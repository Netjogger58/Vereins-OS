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netjogger58/CascadeProjects/Vereins-OS/docs/"/>
    </mc:Choice>
  </mc:AlternateContent>
  <xr:revisionPtr revIDLastSave="0" documentId="13_ncr:1_{A2A5F2D1-A9C9-FF48-AE8A-F0D4763B9D27}" xr6:coauthVersionLast="47" xr6:coauthVersionMax="47" xr10:uidLastSave="{00000000-0000-0000-0000-000000000000}"/>
  <bookViews>
    <workbookView xWindow="14980" yWindow="5440" windowWidth="31200" windowHeight="23360" xr2:uid="{00000000-000D-0000-FFFF-FFFF00000000}"/>
  </bookViews>
  <sheets>
    <sheet name="Membres 2026_2027" sheetId="1" r:id="rId1"/>
    <sheet name="Medico 2026" sheetId="2" r:id="rId2"/>
    <sheet name="Tables new" sheetId="3" r:id="rId3"/>
    <sheet name="Donateurs-Benévoles-Sponsors" sheetId="4" r:id="rId4"/>
    <sheet name="Annulés" sheetId="5" r:id="rId5"/>
    <sheet name="Codes alt-neu" sheetId="6" r:id="rId6"/>
    <sheet name="Tables" sheetId="7" r:id="rId7"/>
  </sheets>
  <definedNames>
    <definedName name="_xlnm._FilterDatabase" localSheetId="0" hidden="1">'Membres 2026_2027'!$A$1:$BR$1</definedName>
    <definedName name="_xlnm._FilterDatabase" localSheetId="2" hidden="1">'Tables new'!A1:E73</definedName>
    <definedName name="CAT_JOUEUR">Tables!$A$1:$B$77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4" i="1" l="1"/>
  <c r="P37" i="1"/>
  <c r="P36" i="1"/>
  <c r="M36" i="1"/>
  <c r="M37" i="1"/>
  <c r="M314" i="1"/>
  <c r="L561" i="1"/>
  <c r="M561" i="1"/>
  <c r="O561" i="1"/>
  <c r="P561" i="1"/>
  <c r="L562" i="1"/>
  <c r="M562" i="1"/>
  <c r="O562" i="1"/>
  <c r="P562" i="1"/>
  <c r="L563" i="1"/>
  <c r="M563" i="1"/>
  <c r="O563" i="1"/>
  <c r="P563" i="1"/>
  <c r="L564" i="1"/>
  <c r="M564" i="1"/>
  <c r="O564" i="1"/>
  <c r="P564" i="1"/>
  <c r="L565" i="1"/>
  <c r="M565" i="1"/>
  <c r="O565" i="1"/>
  <c r="P565" i="1"/>
  <c r="L566" i="1"/>
  <c r="M566" i="1"/>
  <c r="O566" i="1"/>
  <c r="P566" i="1"/>
  <c r="L567" i="1"/>
  <c r="M567" i="1"/>
  <c r="O567" i="1"/>
  <c r="P567" i="1"/>
  <c r="L568" i="1"/>
  <c r="M568" i="1"/>
  <c r="O568" i="1"/>
  <c r="P568" i="1"/>
  <c r="L569" i="1"/>
  <c r="M569" i="1"/>
  <c r="O569" i="1"/>
  <c r="P569" i="1"/>
  <c r="L570" i="1"/>
  <c r="M570" i="1"/>
  <c r="O570" i="1"/>
  <c r="P570" i="1"/>
  <c r="L571" i="1"/>
  <c r="M571" i="1"/>
  <c r="O571" i="1"/>
  <c r="P571" i="1"/>
  <c r="L572" i="1"/>
  <c r="M572" i="1"/>
  <c r="O572" i="1"/>
  <c r="P572" i="1"/>
  <c r="L573" i="1"/>
  <c r="M573" i="1"/>
  <c r="O573" i="1"/>
  <c r="P573" i="1"/>
  <c r="L574" i="1"/>
  <c r="M574" i="1"/>
  <c r="O574" i="1"/>
  <c r="P574" i="1"/>
  <c r="L25" i="5"/>
  <c r="J25" i="5"/>
  <c r="L24" i="5"/>
  <c r="J24" i="5"/>
  <c r="L23" i="5"/>
  <c r="J23" i="5"/>
  <c r="L22" i="5"/>
  <c r="J22" i="5"/>
  <c r="L21" i="5"/>
  <c r="J21" i="5"/>
  <c r="L20" i="5"/>
  <c r="J20" i="5"/>
  <c r="L19" i="5"/>
  <c r="J19" i="5"/>
  <c r="L18" i="5"/>
  <c r="J18" i="5"/>
  <c r="L17" i="5"/>
  <c r="J17" i="5"/>
  <c r="L16" i="5"/>
  <c r="J16" i="5"/>
  <c r="L15" i="5"/>
  <c r="J15" i="5"/>
  <c r="L14" i="5"/>
  <c r="J14" i="5"/>
  <c r="L13" i="5"/>
  <c r="J13" i="5"/>
  <c r="L12" i="5"/>
  <c r="J12" i="5"/>
  <c r="L11" i="5"/>
  <c r="J11" i="5"/>
  <c r="L10" i="5"/>
  <c r="J10" i="5"/>
  <c r="L9" i="5"/>
  <c r="J9" i="5"/>
  <c r="L8" i="5"/>
  <c r="J8" i="5"/>
  <c r="L7" i="5"/>
  <c r="J7" i="5"/>
  <c r="L6" i="5"/>
  <c r="J6" i="5"/>
  <c r="L5" i="5"/>
  <c r="J5" i="5"/>
  <c r="L4" i="5"/>
  <c r="J4" i="5"/>
  <c r="L3" i="5"/>
  <c r="J3" i="5"/>
  <c r="L2" i="5"/>
  <c r="J2" i="5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J2" i="4"/>
  <c r="P753" i="1"/>
  <c r="O753" i="1"/>
  <c r="M753" i="1"/>
  <c r="L753" i="1"/>
  <c r="P752" i="1"/>
  <c r="O752" i="1"/>
  <c r="M752" i="1"/>
  <c r="L752" i="1"/>
  <c r="P751" i="1"/>
  <c r="O751" i="1"/>
  <c r="M751" i="1"/>
  <c r="L751" i="1"/>
  <c r="P750" i="1"/>
  <c r="O750" i="1"/>
  <c r="M750" i="1"/>
  <c r="L750" i="1"/>
  <c r="P749" i="1"/>
  <c r="O749" i="1"/>
  <c r="M749" i="1"/>
  <c r="L749" i="1"/>
  <c r="P748" i="1"/>
  <c r="O748" i="1"/>
  <c r="M748" i="1"/>
  <c r="L748" i="1"/>
  <c r="P747" i="1"/>
  <c r="O747" i="1"/>
  <c r="M747" i="1"/>
  <c r="L747" i="1"/>
  <c r="P746" i="1"/>
  <c r="O746" i="1"/>
  <c r="M746" i="1"/>
  <c r="L746" i="1"/>
  <c r="P745" i="1"/>
  <c r="O745" i="1"/>
  <c r="M745" i="1"/>
  <c r="L745" i="1"/>
  <c r="P744" i="1"/>
  <c r="O744" i="1"/>
  <c r="M744" i="1"/>
  <c r="L744" i="1"/>
  <c r="P743" i="1"/>
  <c r="O743" i="1"/>
  <c r="M743" i="1"/>
  <c r="L743" i="1"/>
  <c r="P742" i="1"/>
  <c r="O742" i="1"/>
  <c r="M742" i="1"/>
  <c r="L742" i="1"/>
  <c r="P741" i="1"/>
  <c r="O741" i="1"/>
  <c r="M741" i="1"/>
  <c r="L741" i="1"/>
  <c r="P740" i="1"/>
  <c r="O740" i="1"/>
  <c r="M740" i="1"/>
  <c r="L740" i="1"/>
  <c r="P739" i="1"/>
  <c r="O739" i="1"/>
  <c r="M739" i="1"/>
  <c r="L739" i="1"/>
  <c r="P738" i="1"/>
  <c r="O738" i="1"/>
  <c r="M738" i="1"/>
  <c r="L738" i="1"/>
  <c r="P737" i="1"/>
  <c r="O737" i="1"/>
  <c r="M737" i="1"/>
  <c r="L737" i="1"/>
  <c r="P736" i="1"/>
  <c r="O736" i="1"/>
  <c r="M736" i="1"/>
  <c r="L736" i="1"/>
  <c r="P735" i="1"/>
  <c r="O735" i="1"/>
  <c r="M735" i="1"/>
  <c r="L735" i="1"/>
  <c r="P734" i="1"/>
  <c r="O734" i="1"/>
  <c r="M734" i="1"/>
  <c r="L734" i="1"/>
  <c r="P733" i="1"/>
  <c r="O733" i="1"/>
  <c r="M733" i="1"/>
  <c r="L733" i="1"/>
  <c r="P732" i="1"/>
  <c r="O732" i="1"/>
  <c r="M732" i="1"/>
  <c r="L732" i="1"/>
  <c r="P731" i="1"/>
  <c r="O731" i="1"/>
  <c r="M731" i="1"/>
  <c r="L731" i="1"/>
  <c r="P730" i="1"/>
  <c r="O730" i="1"/>
  <c r="M730" i="1"/>
  <c r="L730" i="1"/>
  <c r="P729" i="1"/>
  <c r="O729" i="1"/>
  <c r="M729" i="1"/>
  <c r="L729" i="1"/>
  <c r="P728" i="1"/>
  <c r="O728" i="1"/>
  <c r="M728" i="1"/>
  <c r="L728" i="1"/>
  <c r="P727" i="1"/>
  <c r="O727" i="1"/>
  <c r="M727" i="1"/>
  <c r="L727" i="1"/>
  <c r="P726" i="1"/>
  <c r="O726" i="1"/>
  <c r="M726" i="1"/>
  <c r="L726" i="1"/>
  <c r="P725" i="1"/>
  <c r="O725" i="1"/>
  <c r="M725" i="1"/>
  <c r="L725" i="1"/>
  <c r="P724" i="1"/>
  <c r="O724" i="1"/>
  <c r="M724" i="1"/>
  <c r="L724" i="1"/>
  <c r="P723" i="1"/>
  <c r="O723" i="1"/>
  <c r="M723" i="1"/>
  <c r="L723" i="1"/>
  <c r="P722" i="1"/>
  <c r="O722" i="1"/>
  <c r="M722" i="1"/>
  <c r="L722" i="1"/>
  <c r="P721" i="1"/>
  <c r="O721" i="1"/>
  <c r="M721" i="1"/>
  <c r="L721" i="1"/>
  <c r="P720" i="1"/>
  <c r="O720" i="1"/>
  <c r="M720" i="1"/>
  <c r="L720" i="1"/>
  <c r="P719" i="1"/>
  <c r="O719" i="1"/>
  <c r="M719" i="1"/>
  <c r="L719" i="1"/>
  <c r="P718" i="1"/>
  <c r="O718" i="1"/>
  <c r="M718" i="1"/>
  <c r="L718" i="1"/>
  <c r="P717" i="1"/>
  <c r="O717" i="1"/>
  <c r="M717" i="1"/>
  <c r="L717" i="1"/>
  <c r="P716" i="1"/>
  <c r="O716" i="1"/>
  <c r="M716" i="1"/>
  <c r="L716" i="1"/>
  <c r="P715" i="1"/>
  <c r="O715" i="1"/>
  <c r="M715" i="1"/>
  <c r="L715" i="1"/>
  <c r="P714" i="1"/>
  <c r="O714" i="1"/>
  <c r="M714" i="1"/>
  <c r="L714" i="1"/>
  <c r="P713" i="1"/>
  <c r="O713" i="1"/>
  <c r="M713" i="1"/>
  <c r="L713" i="1"/>
  <c r="P712" i="1"/>
  <c r="O712" i="1"/>
  <c r="M712" i="1"/>
  <c r="L712" i="1"/>
  <c r="P711" i="1"/>
  <c r="O711" i="1"/>
  <c r="M711" i="1"/>
  <c r="L711" i="1"/>
  <c r="P710" i="1"/>
  <c r="O710" i="1"/>
  <c r="M710" i="1"/>
  <c r="L710" i="1"/>
  <c r="P709" i="1"/>
  <c r="O709" i="1"/>
  <c r="M709" i="1"/>
  <c r="L709" i="1"/>
  <c r="P708" i="1"/>
  <c r="O708" i="1"/>
  <c r="M708" i="1"/>
  <c r="L708" i="1"/>
  <c r="P707" i="1"/>
  <c r="O707" i="1"/>
  <c r="M707" i="1"/>
  <c r="L707" i="1"/>
  <c r="P706" i="1"/>
  <c r="O706" i="1"/>
  <c r="M706" i="1"/>
  <c r="L706" i="1"/>
  <c r="P705" i="1"/>
  <c r="O705" i="1"/>
  <c r="M705" i="1"/>
  <c r="L705" i="1"/>
  <c r="P704" i="1"/>
  <c r="O704" i="1"/>
  <c r="M704" i="1"/>
  <c r="L704" i="1"/>
  <c r="P703" i="1"/>
  <c r="O703" i="1"/>
  <c r="M703" i="1"/>
  <c r="L703" i="1"/>
  <c r="P702" i="1"/>
  <c r="O702" i="1"/>
  <c r="M702" i="1"/>
  <c r="L702" i="1"/>
  <c r="P701" i="1"/>
  <c r="O701" i="1"/>
  <c r="M701" i="1"/>
  <c r="L701" i="1"/>
  <c r="P700" i="1"/>
  <c r="O700" i="1"/>
  <c r="M700" i="1"/>
  <c r="L700" i="1"/>
  <c r="P699" i="1"/>
  <c r="O699" i="1"/>
  <c r="M699" i="1"/>
  <c r="L699" i="1"/>
  <c r="P698" i="1"/>
  <c r="O698" i="1"/>
  <c r="M698" i="1"/>
  <c r="L698" i="1"/>
  <c r="P697" i="1"/>
  <c r="O697" i="1"/>
  <c r="M697" i="1"/>
  <c r="L697" i="1"/>
  <c r="P696" i="1"/>
  <c r="O696" i="1"/>
  <c r="M696" i="1"/>
  <c r="L696" i="1"/>
  <c r="P695" i="1"/>
  <c r="O695" i="1"/>
  <c r="M695" i="1"/>
  <c r="L695" i="1"/>
  <c r="P694" i="1"/>
  <c r="O694" i="1"/>
  <c r="M694" i="1"/>
  <c r="L694" i="1"/>
  <c r="P693" i="1"/>
  <c r="O693" i="1"/>
  <c r="M693" i="1"/>
  <c r="L693" i="1"/>
  <c r="P692" i="1"/>
  <c r="O692" i="1"/>
  <c r="M692" i="1"/>
  <c r="L692" i="1"/>
  <c r="P691" i="1"/>
  <c r="O691" i="1"/>
  <c r="M691" i="1"/>
  <c r="L691" i="1"/>
  <c r="P690" i="1"/>
  <c r="O690" i="1"/>
  <c r="M690" i="1"/>
  <c r="L690" i="1"/>
  <c r="P689" i="1"/>
  <c r="O689" i="1"/>
  <c r="M689" i="1"/>
  <c r="L689" i="1"/>
  <c r="P688" i="1"/>
  <c r="O688" i="1"/>
  <c r="M688" i="1"/>
  <c r="L688" i="1"/>
  <c r="P687" i="1"/>
  <c r="O687" i="1"/>
  <c r="M687" i="1"/>
  <c r="L687" i="1"/>
  <c r="P686" i="1"/>
  <c r="O686" i="1"/>
  <c r="M686" i="1"/>
  <c r="L686" i="1"/>
  <c r="P685" i="1"/>
  <c r="O685" i="1"/>
  <c r="M685" i="1"/>
  <c r="L685" i="1"/>
  <c r="P684" i="1"/>
  <c r="O684" i="1"/>
  <c r="M684" i="1"/>
  <c r="L684" i="1"/>
  <c r="P683" i="1"/>
  <c r="O683" i="1"/>
  <c r="M683" i="1"/>
  <c r="L683" i="1"/>
  <c r="P682" i="1"/>
  <c r="O682" i="1"/>
  <c r="M682" i="1"/>
  <c r="L682" i="1"/>
  <c r="P681" i="1"/>
  <c r="O681" i="1"/>
  <c r="M681" i="1"/>
  <c r="L681" i="1"/>
  <c r="P680" i="1"/>
  <c r="O680" i="1"/>
  <c r="M680" i="1"/>
  <c r="L680" i="1"/>
  <c r="P679" i="1"/>
  <c r="O679" i="1"/>
  <c r="M679" i="1"/>
  <c r="L679" i="1"/>
  <c r="P678" i="1"/>
  <c r="O678" i="1"/>
  <c r="M678" i="1"/>
  <c r="L678" i="1"/>
  <c r="P677" i="1"/>
  <c r="O677" i="1"/>
  <c r="M677" i="1"/>
  <c r="L677" i="1"/>
  <c r="P676" i="1"/>
  <c r="O676" i="1"/>
  <c r="M676" i="1"/>
  <c r="L676" i="1"/>
  <c r="P675" i="1"/>
  <c r="O675" i="1"/>
  <c r="M675" i="1"/>
  <c r="L675" i="1"/>
  <c r="P674" i="1"/>
  <c r="O674" i="1"/>
  <c r="M674" i="1"/>
  <c r="L674" i="1"/>
  <c r="P673" i="1"/>
  <c r="O673" i="1"/>
  <c r="M673" i="1"/>
  <c r="L673" i="1"/>
  <c r="P672" i="1"/>
  <c r="O672" i="1"/>
  <c r="M672" i="1"/>
  <c r="L672" i="1"/>
  <c r="P671" i="1"/>
  <c r="O671" i="1"/>
  <c r="M671" i="1"/>
  <c r="L671" i="1"/>
  <c r="P670" i="1"/>
  <c r="O670" i="1"/>
  <c r="M670" i="1"/>
  <c r="L670" i="1"/>
  <c r="P669" i="1"/>
  <c r="O669" i="1"/>
  <c r="M669" i="1"/>
  <c r="L669" i="1"/>
  <c r="P668" i="1"/>
  <c r="O668" i="1"/>
  <c r="M668" i="1"/>
  <c r="L668" i="1"/>
  <c r="P667" i="1"/>
  <c r="O667" i="1"/>
  <c r="M667" i="1"/>
  <c r="L667" i="1"/>
  <c r="P666" i="1"/>
  <c r="O666" i="1"/>
  <c r="M666" i="1"/>
  <c r="L666" i="1"/>
  <c r="P665" i="1"/>
  <c r="O665" i="1"/>
  <c r="M665" i="1"/>
  <c r="L665" i="1"/>
  <c r="P664" i="1"/>
  <c r="O664" i="1"/>
  <c r="M664" i="1"/>
  <c r="L664" i="1"/>
  <c r="P663" i="1"/>
  <c r="O663" i="1"/>
  <c r="M663" i="1"/>
  <c r="L663" i="1"/>
  <c r="P662" i="1"/>
  <c r="O662" i="1"/>
  <c r="M662" i="1"/>
  <c r="L662" i="1"/>
  <c r="P661" i="1"/>
  <c r="O661" i="1"/>
  <c r="M661" i="1"/>
  <c r="L661" i="1"/>
  <c r="P660" i="1"/>
  <c r="O660" i="1"/>
  <c r="M660" i="1"/>
  <c r="L660" i="1"/>
  <c r="P659" i="1"/>
  <c r="O659" i="1"/>
  <c r="M659" i="1"/>
  <c r="L659" i="1"/>
  <c r="P658" i="1"/>
  <c r="O658" i="1"/>
  <c r="M658" i="1"/>
  <c r="L658" i="1"/>
  <c r="P657" i="1"/>
  <c r="O657" i="1"/>
  <c r="M657" i="1"/>
  <c r="L657" i="1"/>
  <c r="P656" i="1"/>
  <c r="O656" i="1"/>
  <c r="M656" i="1"/>
  <c r="L656" i="1"/>
  <c r="P655" i="1"/>
  <c r="O655" i="1"/>
  <c r="M655" i="1"/>
  <c r="L655" i="1"/>
  <c r="P654" i="1"/>
  <c r="O654" i="1"/>
  <c r="M654" i="1"/>
  <c r="L654" i="1"/>
  <c r="P653" i="1"/>
  <c r="O653" i="1"/>
  <c r="M653" i="1"/>
  <c r="L653" i="1"/>
  <c r="P652" i="1"/>
  <c r="O652" i="1"/>
  <c r="M652" i="1"/>
  <c r="L652" i="1"/>
  <c r="P651" i="1"/>
  <c r="O651" i="1"/>
  <c r="M651" i="1"/>
  <c r="L651" i="1"/>
  <c r="P650" i="1"/>
  <c r="O650" i="1"/>
  <c r="M650" i="1"/>
  <c r="L650" i="1"/>
  <c r="P649" i="1"/>
  <c r="O649" i="1"/>
  <c r="M649" i="1"/>
  <c r="L649" i="1"/>
  <c r="P648" i="1"/>
  <c r="O648" i="1"/>
  <c r="M648" i="1"/>
  <c r="L648" i="1"/>
  <c r="P647" i="1"/>
  <c r="O647" i="1"/>
  <c r="M647" i="1"/>
  <c r="L647" i="1"/>
  <c r="P646" i="1"/>
  <c r="O646" i="1"/>
  <c r="M646" i="1"/>
  <c r="L646" i="1"/>
  <c r="P645" i="1"/>
  <c r="O645" i="1"/>
  <c r="M645" i="1"/>
  <c r="L645" i="1"/>
  <c r="P644" i="1"/>
  <c r="O644" i="1"/>
  <c r="M644" i="1"/>
  <c r="L644" i="1"/>
  <c r="P643" i="1"/>
  <c r="O643" i="1"/>
  <c r="M643" i="1"/>
  <c r="L643" i="1"/>
  <c r="P642" i="1"/>
  <c r="O642" i="1"/>
  <c r="M642" i="1"/>
  <c r="L642" i="1"/>
  <c r="P641" i="1"/>
  <c r="O641" i="1"/>
  <c r="M641" i="1"/>
  <c r="L641" i="1"/>
  <c r="P640" i="1"/>
  <c r="O640" i="1"/>
  <c r="M640" i="1"/>
  <c r="L640" i="1"/>
  <c r="P639" i="1"/>
  <c r="O639" i="1"/>
  <c r="M639" i="1"/>
  <c r="L639" i="1"/>
  <c r="P638" i="1"/>
  <c r="O638" i="1"/>
  <c r="M638" i="1"/>
  <c r="L638" i="1"/>
  <c r="P637" i="1"/>
  <c r="O637" i="1"/>
  <c r="M637" i="1"/>
  <c r="L637" i="1"/>
  <c r="P636" i="1"/>
  <c r="O636" i="1"/>
  <c r="M636" i="1"/>
  <c r="L636" i="1"/>
  <c r="P635" i="1"/>
  <c r="O635" i="1"/>
  <c r="M635" i="1"/>
  <c r="L635" i="1"/>
  <c r="P634" i="1"/>
  <c r="O634" i="1"/>
  <c r="M634" i="1"/>
  <c r="L634" i="1"/>
  <c r="P633" i="1"/>
  <c r="O633" i="1"/>
  <c r="M633" i="1"/>
  <c r="L633" i="1"/>
  <c r="P632" i="1"/>
  <c r="O632" i="1"/>
  <c r="M632" i="1"/>
  <c r="L632" i="1"/>
  <c r="P631" i="1"/>
  <c r="O631" i="1"/>
  <c r="M631" i="1"/>
  <c r="L631" i="1"/>
  <c r="P630" i="1"/>
  <c r="O630" i="1"/>
  <c r="M630" i="1"/>
  <c r="L630" i="1"/>
  <c r="P629" i="1"/>
  <c r="O629" i="1"/>
  <c r="M629" i="1"/>
  <c r="L629" i="1"/>
  <c r="P628" i="1"/>
  <c r="O628" i="1"/>
  <c r="M628" i="1"/>
  <c r="L628" i="1"/>
  <c r="P627" i="1"/>
  <c r="O627" i="1"/>
  <c r="M627" i="1"/>
  <c r="L627" i="1"/>
  <c r="P626" i="1"/>
  <c r="O626" i="1"/>
  <c r="M626" i="1"/>
  <c r="L626" i="1"/>
  <c r="P625" i="1"/>
  <c r="O625" i="1"/>
  <c r="M625" i="1"/>
  <c r="L625" i="1"/>
  <c r="P624" i="1"/>
  <c r="O624" i="1"/>
  <c r="M624" i="1"/>
  <c r="L624" i="1"/>
  <c r="P623" i="1"/>
  <c r="O623" i="1"/>
  <c r="M623" i="1"/>
  <c r="L623" i="1"/>
  <c r="P622" i="1"/>
  <c r="O622" i="1"/>
  <c r="M622" i="1"/>
  <c r="L622" i="1"/>
  <c r="P621" i="1"/>
  <c r="O621" i="1"/>
  <c r="M621" i="1"/>
  <c r="L621" i="1"/>
  <c r="P620" i="1"/>
  <c r="O620" i="1"/>
  <c r="M620" i="1"/>
  <c r="L620" i="1"/>
  <c r="P619" i="1"/>
  <c r="O619" i="1"/>
  <c r="M619" i="1"/>
  <c r="L619" i="1"/>
  <c r="P618" i="1"/>
  <c r="O618" i="1"/>
  <c r="M618" i="1"/>
  <c r="L618" i="1"/>
  <c r="P617" i="1"/>
  <c r="O617" i="1"/>
  <c r="M617" i="1"/>
  <c r="L617" i="1"/>
  <c r="P616" i="1"/>
  <c r="O616" i="1"/>
  <c r="M616" i="1"/>
  <c r="L616" i="1"/>
  <c r="P615" i="1"/>
  <c r="O615" i="1"/>
  <c r="M615" i="1"/>
  <c r="L615" i="1"/>
  <c r="P614" i="1"/>
  <c r="O614" i="1"/>
  <c r="M614" i="1"/>
  <c r="L614" i="1"/>
  <c r="P613" i="1"/>
  <c r="O613" i="1"/>
  <c r="M613" i="1"/>
  <c r="L613" i="1"/>
  <c r="P612" i="1"/>
  <c r="O612" i="1"/>
  <c r="M612" i="1"/>
  <c r="L612" i="1"/>
  <c r="P611" i="1"/>
  <c r="O611" i="1"/>
  <c r="M611" i="1"/>
  <c r="L611" i="1"/>
  <c r="P610" i="1"/>
  <c r="O610" i="1"/>
  <c r="M610" i="1"/>
  <c r="L610" i="1"/>
  <c r="P609" i="1"/>
  <c r="O609" i="1"/>
  <c r="M609" i="1"/>
  <c r="L609" i="1"/>
  <c r="P608" i="1"/>
  <c r="O608" i="1"/>
  <c r="M608" i="1"/>
  <c r="L608" i="1"/>
  <c r="P607" i="1"/>
  <c r="O607" i="1"/>
  <c r="M607" i="1"/>
  <c r="L607" i="1"/>
  <c r="P606" i="1"/>
  <c r="O606" i="1"/>
  <c r="M606" i="1"/>
  <c r="L606" i="1"/>
  <c r="P605" i="1"/>
  <c r="O605" i="1"/>
  <c r="M605" i="1"/>
  <c r="L605" i="1"/>
  <c r="P604" i="1"/>
  <c r="O604" i="1"/>
  <c r="M604" i="1"/>
  <c r="L604" i="1"/>
  <c r="P603" i="1"/>
  <c r="O603" i="1"/>
  <c r="M603" i="1"/>
  <c r="L603" i="1"/>
  <c r="P602" i="1"/>
  <c r="O602" i="1"/>
  <c r="M602" i="1"/>
  <c r="L602" i="1"/>
  <c r="P601" i="1"/>
  <c r="O601" i="1"/>
  <c r="M601" i="1"/>
  <c r="L601" i="1"/>
  <c r="P600" i="1"/>
  <c r="O600" i="1"/>
  <c r="M600" i="1"/>
  <c r="L600" i="1"/>
  <c r="P599" i="1"/>
  <c r="O599" i="1"/>
  <c r="M599" i="1"/>
  <c r="L599" i="1"/>
  <c r="P598" i="1"/>
  <c r="O598" i="1"/>
  <c r="M598" i="1"/>
  <c r="L598" i="1"/>
  <c r="P597" i="1"/>
  <c r="O597" i="1"/>
  <c r="M597" i="1"/>
  <c r="L597" i="1"/>
  <c r="P596" i="1"/>
  <c r="O596" i="1"/>
  <c r="M596" i="1"/>
  <c r="L596" i="1"/>
  <c r="P595" i="1"/>
  <c r="O595" i="1"/>
  <c r="M595" i="1"/>
  <c r="L595" i="1"/>
  <c r="P594" i="1"/>
  <c r="O594" i="1"/>
  <c r="M594" i="1"/>
  <c r="L594" i="1"/>
  <c r="P593" i="1"/>
  <c r="O593" i="1"/>
  <c r="M593" i="1"/>
  <c r="L593" i="1"/>
  <c r="P592" i="1"/>
  <c r="O592" i="1"/>
  <c r="M592" i="1"/>
  <c r="L592" i="1"/>
  <c r="P591" i="1"/>
  <c r="O591" i="1"/>
  <c r="M591" i="1"/>
  <c r="L591" i="1"/>
  <c r="P590" i="1"/>
  <c r="O590" i="1"/>
  <c r="M590" i="1"/>
  <c r="L590" i="1"/>
  <c r="P589" i="1"/>
  <c r="O589" i="1"/>
  <c r="M589" i="1"/>
  <c r="L589" i="1"/>
  <c r="P588" i="1"/>
  <c r="O588" i="1"/>
  <c r="M588" i="1"/>
  <c r="L588" i="1"/>
  <c r="P587" i="1"/>
  <c r="O587" i="1"/>
  <c r="M587" i="1"/>
  <c r="L587" i="1"/>
  <c r="P586" i="1"/>
  <c r="O586" i="1"/>
  <c r="M586" i="1"/>
  <c r="L586" i="1"/>
  <c r="P585" i="1"/>
  <c r="O585" i="1"/>
  <c r="M585" i="1"/>
  <c r="L585" i="1"/>
  <c r="P584" i="1"/>
  <c r="O584" i="1"/>
  <c r="M584" i="1"/>
  <c r="L584" i="1"/>
  <c r="P583" i="1"/>
  <c r="O583" i="1"/>
  <c r="M583" i="1"/>
  <c r="L583" i="1"/>
  <c r="P582" i="1"/>
  <c r="O582" i="1"/>
  <c r="M582" i="1"/>
  <c r="L582" i="1"/>
  <c r="P581" i="1"/>
  <c r="O581" i="1"/>
  <c r="M581" i="1"/>
  <c r="L581" i="1"/>
  <c r="P580" i="1"/>
  <c r="O580" i="1"/>
  <c r="M580" i="1"/>
  <c r="L580" i="1"/>
  <c r="P579" i="1"/>
  <c r="O579" i="1"/>
  <c r="M579" i="1"/>
  <c r="L579" i="1"/>
  <c r="P578" i="1"/>
  <c r="O578" i="1"/>
  <c r="M578" i="1"/>
  <c r="L578" i="1"/>
  <c r="P577" i="1"/>
  <c r="O577" i="1"/>
  <c r="M577" i="1"/>
  <c r="L577" i="1"/>
  <c r="P576" i="1"/>
  <c r="O576" i="1"/>
  <c r="M576" i="1"/>
  <c r="L576" i="1"/>
  <c r="P575" i="1"/>
  <c r="O575" i="1"/>
  <c r="M575" i="1"/>
  <c r="L575" i="1"/>
  <c r="P560" i="1"/>
  <c r="O560" i="1"/>
  <c r="M560" i="1"/>
  <c r="L560" i="1"/>
  <c r="P559" i="1"/>
  <c r="O559" i="1"/>
  <c r="M559" i="1"/>
  <c r="L559" i="1"/>
  <c r="P558" i="1"/>
  <c r="O558" i="1"/>
  <c r="M558" i="1"/>
  <c r="L558" i="1"/>
  <c r="P557" i="1"/>
  <c r="O557" i="1"/>
  <c r="M557" i="1"/>
  <c r="L557" i="1"/>
  <c r="P556" i="1"/>
  <c r="O556" i="1"/>
  <c r="M556" i="1"/>
  <c r="L556" i="1"/>
  <c r="P555" i="1"/>
  <c r="O555" i="1"/>
  <c r="M555" i="1"/>
  <c r="L555" i="1"/>
  <c r="P554" i="1"/>
  <c r="O554" i="1"/>
  <c r="M554" i="1"/>
  <c r="L554" i="1"/>
  <c r="P553" i="1"/>
  <c r="O553" i="1"/>
  <c r="M553" i="1"/>
  <c r="L553" i="1"/>
  <c r="P552" i="1"/>
  <c r="O552" i="1"/>
  <c r="M552" i="1"/>
  <c r="L552" i="1"/>
  <c r="P551" i="1"/>
  <c r="O551" i="1"/>
  <c r="M551" i="1"/>
  <c r="L551" i="1"/>
  <c r="P550" i="1"/>
  <c r="O550" i="1"/>
  <c r="M550" i="1"/>
  <c r="L550" i="1"/>
  <c r="P549" i="1"/>
  <c r="O549" i="1"/>
  <c r="M549" i="1"/>
  <c r="L549" i="1"/>
  <c r="P548" i="1"/>
  <c r="O548" i="1"/>
  <c r="M548" i="1"/>
  <c r="L548" i="1"/>
  <c r="P547" i="1"/>
  <c r="O547" i="1"/>
  <c r="M547" i="1"/>
  <c r="L547" i="1"/>
  <c r="P546" i="1"/>
  <c r="O546" i="1"/>
  <c r="M546" i="1"/>
  <c r="L546" i="1"/>
  <c r="P545" i="1"/>
  <c r="O545" i="1"/>
  <c r="M545" i="1"/>
  <c r="L545" i="1"/>
  <c r="P544" i="1"/>
  <c r="O544" i="1"/>
  <c r="M544" i="1"/>
  <c r="L544" i="1"/>
  <c r="P543" i="1"/>
  <c r="O543" i="1"/>
  <c r="M543" i="1"/>
  <c r="L543" i="1"/>
  <c r="P542" i="1"/>
  <c r="O542" i="1"/>
  <c r="M542" i="1"/>
  <c r="L542" i="1"/>
  <c r="P541" i="1"/>
  <c r="O541" i="1"/>
  <c r="M541" i="1"/>
  <c r="L541" i="1"/>
  <c r="P540" i="1"/>
  <c r="O540" i="1"/>
  <c r="M540" i="1"/>
  <c r="L540" i="1"/>
  <c r="P539" i="1"/>
  <c r="O539" i="1"/>
  <c r="M539" i="1"/>
  <c r="L539" i="1"/>
  <c r="P538" i="1"/>
  <c r="O538" i="1"/>
  <c r="M538" i="1"/>
  <c r="L538" i="1"/>
  <c r="P537" i="1"/>
  <c r="O537" i="1"/>
  <c r="M537" i="1"/>
  <c r="L537" i="1"/>
  <c r="P536" i="1"/>
  <c r="O536" i="1"/>
  <c r="M536" i="1"/>
  <c r="L536" i="1"/>
  <c r="P535" i="1"/>
  <c r="O535" i="1"/>
  <c r="M535" i="1"/>
  <c r="L535" i="1"/>
  <c r="P534" i="1"/>
  <c r="O534" i="1"/>
  <c r="M534" i="1"/>
  <c r="L534" i="1"/>
  <c r="P533" i="1"/>
  <c r="O533" i="1"/>
  <c r="M533" i="1"/>
  <c r="L533" i="1"/>
  <c r="P532" i="1"/>
  <c r="O532" i="1"/>
  <c r="M532" i="1"/>
  <c r="L532" i="1"/>
  <c r="P531" i="1"/>
  <c r="O531" i="1"/>
  <c r="M531" i="1"/>
  <c r="L531" i="1"/>
  <c r="P530" i="1"/>
  <c r="O530" i="1"/>
  <c r="M530" i="1"/>
  <c r="L530" i="1"/>
  <c r="P529" i="1"/>
  <c r="O529" i="1"/>
  <c r="M529" i="1"/>
  <c r="L529" i="1"/>
  <c r="P528" i="1"/>
  <c r="O528" i="1"/>
  <c r="M528" i="1"/>
  <c r="L528" i="1"/>
  <c r="P527" i="1"/>
  <c r="O527" i="1"/>
  <c r="M527" i="1"/>
  <c r="L527" i="1"/>
  <c r="P526" i="1"/>
  <c r="O526" i="1"/>
  <c r="M526" i="1"/>
  <c r="L526" i="1"/>
  <c r="P525" i="1"/>
  <c r="O525" i="1"/>
  <c r="M525" i="1"/>
  <c r="L525" i="1"/>
  <c r="P524" i="1"/>
  <c r="O524" i="1"/>
  <c r="M524" i="1"/>
  <c r="L524" i="1"/>
  <c r="P523" i="1"/>
  <c r="O523" i="1"/>
  <c r="M523" i="1"/>
  <c r="L523" i="1"/>
  <c r="P522" i="1"/>
  <c r="O522" i="1"/>
  <c r="M522" i="1"/>
  <c r="L522" i="1"/>
  <c r="P521" i="1"/>
  <c r="O521" i="1"/>
  <c r="M521" i="1"/>
  <c r="L521" i="1"/>
  <c r="P520" i="1"/>
  <c r="O520" i="1"/>
  <c r="M520" i="1"/>
  <c r="L520" i="1"/>
  <c r="P519" i="1"/>
  <c r="O519" i="1"/>
  <c r="M519" i="1"/>
  <c r="L519" i="1"/>
  <c r="P518" i="1"/>
  <c r="O518" i="1"/>
  <c r="M518" i="1"/>
  <c r="L518" i="1"/>
  <c r="P517" i="1"/>
  <c r="O517" i="1"/>
  <c r="M517" i="1"/>
  <c r="L517" i="1"/>
  <c r="P516" i="1"/>
  <c r="O516" i="1"/>
  <c r="M516" i="1"/>
  <c r="L516" i="1"/>
  <c r="P515" i="1"/>
  <c r="O515" i="1"/>
  <c r="M515" i="1"/>
  <c r="L515" i="1"/>
  <c r="P514" i="1"/>
  <c r="O514" i="1"/>
  <c r="M514" i="1"/>
  <c r="L514" i="1"/>
  <c r="P513" i="1"/>
  <c r="O513" i="1"/>
  <c r="P512" i="1"/>
  <c r="O512" i="1"/>
  <c r="M512" i="1"/>
  <c r="L512" i="1"/>
  <c r="P511" i="1"/>
  <c r="O511" i="1"/>
  <c r="M511" i="1"/>
  <c r="L511" i="1"/>
  <c r="P510" i="1"/>
  <c r="O510" i="1"/>
  <c r="M510" i="1"/>
  <c r="L510" i="1"/>
  <c r="P509" i="1"/>
  <c r="O509" i="1"/>
  <c r="M509" i="1"/>
  <c r="L509" i="1"/>
  <c r="P508" i="1"/>
  <c r="O508" i="1"/>
  <c r="M508" i="1"/>
  <c r="L508" i="1"/>
  <c r="P507" i="1"/>
  <c r="O507" i="1"/>
  <c r="M507" i="1"/>
  <c r="L507" i="1"/>
  <c r="P506" i="1"/>
  <c r="O506" i="1"/>
  <c r="M506" i="1"/>
  <c r="L506" i="1"/>
  <c r="P505" i="1"/>
  <c r="O505" i="1"/>
  <c r="M505" i="1"/>
  <c r="L505" i="1"/>
  <c r="P504" i="1"/>
  <c r="O504" i="1"/>
  <c r="M504" i="1"/>
  <c r="L504" i="1"/>
  <c r="P503" i="1"/>
  <c r="O503" i="1"/>
  <c r="M503" i="1"/>
  <c r="L503" i="1"/>
  <c r="P502" i="1"/>
  <c r="O502" i="1"/>
  <c r="M502" i="1"/>
  <c r="L502" i="1"/>
  <c r="P501" i="1"/>
  <c r="O501" i="1"/>
  <c r="M501" i="1"/>
  <c r="L501" i="1"/>
  <c r="P500" i="1"/>
  <c r="O500" i="1"/>
  <c r="M500" i="1"/>
  <c r="L500" i="1"/>
  <c r="P499" i="1"/>
  <c r="O499" i="1"/>
  <c r="M499" i="1"/>
  <c r="L499" i="1"/>
  <c r="P498" i="1"/>
  <c r="O498" i="1"/>
  <c r="M498" i="1"/>
  <c r="L498" i="1"/>
  <c r="P497" i="1"/>
  <c r="O497" i="1"/>
  <c r="M497" i="1"/>
  <c r="L497" i="1"/>
  <c r="P496" i="1"/>
  <c r="O496" i="1"/>
  <c r="M496" i="1"/>
  <c r="L496" i="1"/>
  <c r="P495" i="1"/>
  <c r="O495" i="1"/>
  <c r="M495" i="1"/>
  <c r="L495" i="1"/>
  <c r="P494" i="1"/>
  <c r="O494" i="1"/>
  <c r="M494" i="1"/>
  <c r="L494" i="1"/>
  <c r="P493" i="1"/>
  <c r="O493" i="1"/>
  <c r="M493" i="1"/>
  <c r="L493" i="1"/>
  <c r="P492" i="1"/>
  <c r="O492" i="1"/>
  <c r="M492" i="1"/>
  <c r="L492" i="1"/>
  <c r="P491" i="1"/>
  <c r="O491" i="1"/>
  <c r="M491" i="1"/>
  <c r="L491" i="1"/>
  <c r="P490" i="1"/>
  <c r="O490" i="1"/>
  <c r="M490" i="1"/>
  <c r="L490" i="1"/>
  <c r="P489" i="1"/>
  <c r="O489" i="1"/>
  <c r="P488" i="1"/>
  <c r="O488" i="1"/>
  <c r="M488" i="1"/>
  <c r="L488" i="1"/>
  <c r="P487" i="1"/>
  <c r="O487" i="1"/>
  <c r="M487" i="1"/>
  <c r="L487" i="1"/>
  <c r="P486" i="1"/>
  <c r="O486" i="1"/>
  <c r="M486" i="1"/>
  <c r="L486" i="1"/>
  <c r="P485" i="1"/>
  <c r="O485" i="1"/>
  <c r="M485" i="1"/>
  <c r="L485" i="1"/>
  <c r="P484" i="1"/>
  <c r="O484" i="1"/>
  <c r="M484" i="1"/>
  <c r="L484" i="1"/>
  <c r="P483" i="1"/>
  <c r="O483" i="1"/>
  <c r="M483" i="1"/>
  <c r="L483" i="1"/>
  <c r="P482" i="1"/>
  <c r="O482" i="1"/>
  <c r="M482" i="1"/>
  <c r="L482" i="1"/>
  <c r="P481" i="1"/>
  <c r="O481" i="1"/>
  <c r="M481" i="1"/>
  <c r="L481" i="1"/>
  <c r="P480" i="1"/>
  <c r="O480" i="1"/>
  <c r="M480" i="1"/>
  <c r="L480" i="1"/>
  <c r="P479" i="1"/>
  <c r="O479" i="1"/>
  <c r="M479" i="1"/>
  <c r="L479" i="1"/>
  <c r="P478" i="1"/>
  <c r="O478" i="1"/>
  <c r="M478" i="1"/>
  <c r="L478" i="1"/>
  <c r="P477" i="1"/>
  <c r="O477" i="1"/>
  <c r="M477" i="1"/>
  <c r="L477" i="1"/>
  <c r="P476" i="1"/>
  <c r="O476" i="1"/>
  <c r="M476" i="1"/>
  <c r="L476" i="1"/>
  <c r="P475" i="1"/>
  <c r="O475" i="1"/>
  <c r="M475" i="1"/>
  <c r="L475" i="1"/>
  <c r="P474" i="1"/>
  <c r="O474" i="1"/>
  <c r="M474" i="1"/>
  <c r="L474" i="1"/>
  <c r="P473" i="1"/>
  <c r="O473" i="1"/>
  <c r="M473" i="1"/>
  <c r="L473" i="1"/>
  <c r="P472" i="1"/>
  <c r="O472" i="1"/>
  <c r="M472" i="1"/>
  <c r="L472" i="1"/>
  <c r="P471" i="1"/>
  <c r="O471" i="1"/>
  <c r="M471" i="1"/>
  <c r="L471" i="1"/>
  <c r="P470" i="1"/>
  <c r="O470" i="1"/>
  <c r="M470" i="1"/>
  <c r="L470" i="1"/>
  <c r="P469" i="1"/>
  <c r="O469" i="1"/>
  <c r="M469" i="1"/>
  <c r="L469" i="1"/>
  <c r="P468" i="1"/>
  <c r="O468" i="1"/>
  <c r="M468" i="1"/>
  <c r="L468" i="1"/>
  <c r="P467" i="1"/>
  <c r="O467" i="1"/>
  <c r="M467" i="1"/>
  <c r="L467" i="1"/>
  <c r="P466" i="1"/>
  <c r="O466" i="1"/>
  <c r="M466" i="1"/>
  <c r="L466" i="1"/>
  <c r="P465" i="1"/>
  <c r="O465" i="1"/>
  <c r="P464" i="1"/>
  <c r="O464" i="1"/>
  <c r="M464" i="1"/>
  <c r="L464" i="1"/>
  <c r="P463" i="1"/>
  <c r="O463" i="1"/>
  <c r="M463" i="1"/>
  <c r="L463" i="1"/>
  <c r="P462" i="1"/>
  <c r="O462" i="1"/>
  <c r="M462" i="1"/>
  <c r="L462" i="1"/>
  <c r="P461" i="1"/>
  <c r="O461" i="1"/>
  <c r="M461" i="1"/>
  <c r="L461" i="1"/>
  <c r="P460" i="1"/>
  <c r="O460" i="1"/>
  <c r="M460" i="1"/>
  <c r="L460" i="1"/>
  <c r="P459" i="1"/>
  <c r="O459" i="1"/>
  <c r="M459" i="1"/>
  <c r="L459" i="1"/>
  <c r="P458" i="1"/>
  <c r="O458" i="1"/>
  <c r="M458" i="1"/>
  <c r="L458" i="1"/>
  <c r="P457" i="1"/>
  <c r="O457" i="1"/>
  <c r="M457" i="1"/>
  <c r="L457" i="1"/>
  <c r="P456" i="1"/>
  <c r="O456" i="1"/>
  <c r="M456" i="1"/>
  <c r="L456" i="1"/>
  <c r="P455" i="1"/>
  <c r="O455" i="1"/>
  <c r="M455" i="1"/>
  <c r="L455" i="1"/>
  <c r="P454" i="1"/>
  <c r="O454" i="1"/>
  <c r="M454" i="1"/>
  <c r="L454" i="1"/>
  <c r="P453" i="1"/>
  <c r="O453" i="1"/>
  <c r="M453" i="1"/>
  <c r="L453" i="1"/>
  <c r="P452" i="1"/>
  <c r="O452" i="1"/>
  <c r="M452" i="1"/>
  <c r="L452" i="1"/>
  <c r="P451" i="1"/>
  <c r="O451" i="1"/>
  <c r="M451" i="1"/>
  <c r="L451" i="1"/>
  <c r="P450" i="1"/>
  <c r="O450" i="1"/>
  <c r="M450" i="1"/>
  <c r="L450" i="1"/>
  <c r="P449" i="1"/>
  <c r="O449" i="1"/>
  <c r="M449" i="1"/>
  <c r="L449" i="1"/>
  <c r="P448" i="1"/>
  <c r="O448" i="1"/>
  <c r="M448" i="1"/>
  <c r="L448" i="1"/>
  <c r="P447" i="1"/>
  <c r="O447" i="1"/>
  <c r="M447" i="1"/>
  <c r="L447" i="1"/>
  <c r="P446" i="1"/>
  <c r="O446" i="1"/>
  <c r="M446" i="1"/>
  <c r="L446" i="1"/>
  <c r="P445" i="1"/>
  <c r="O445" i="1"/>
  <c r="M445" i="1"/>
  <c r="L445" i="1"/>
  <c r="P444" i="1"/>
  <c r="O444" i="1"/>
  <c r="M444" i="1"/>
  <c r="L444" i="1"/>
  <c r="P443" i="1"/>
  <c r="O443" i="1"/>
  <c r="P442" i="1"/>
  <c r="O442" i="1"/>
  <c r="P441" i="1"/>
  <c r="O441" i="1"/>
  <c r="M441" i="1"/>
  <c r="L441" i="1"/>
  <c r="P440" i="1"/>
  <c r="O440" i="1"/>
  <c r="M440" i="1"/>
  <c r="L440" i="1"/>
  <c r="P439" i="1"/>
  <c r="O439" i="1"/>
  <c r="M439" i="1"/>
  <c r="L439" i="1"/>
  <c r="P438" i="1"/>
  <c r="O438" i="1"/>
  <c r="M438" i="1"/>
  <c r="L438" i="1"/>
  <c r="P437" i="1"/>
  <c r="O437" i="1"/>
  <c r="M437" i="1"/>
  <c r="L437" i="1"/>
  <c r="P436" i="1"/>
  <c r="O436" i="1"/>
  <c r="M436" i="1"/>
  <c r="L436" i="1"/>
  <c r="P435" i="1"/>
  <c r="O435" i="1"/>
  <c r="M435" i="1"/>
  <c r="L435" i="1"/>
  <c r="P434" i="1"/>
  <c r="O434" i="1"/>
  <c r="M434" i="1"/>
  <c r="L434" i="1"/>
  <c r="P433" i="1"/>
  <c r="O433" i="1"/>
  <c r="M433" i="1"/>
  <c r="L433" i="1"/>
  <c r="P432" i="1"/>
  <c r="O432" i="1"/>
  <c r="M432" i="1"/>
  <c r="L432" i="1"/>
  <c r="P431" i="1"/>
  <c r="O431" i="1"/>
  <c r="P430" i="1"/>
  <c r="O430" i="1"/>
  <c r="M430" i="1"/>
  <c r="L430" i="1"/>
  <c r="P429" i="1"/>
  <c r="O429" i="1"/>
  <c r="M429" i="1"/>
  <c r="L429" i="1"/>
  <c r="P428" i="1"/>
  <c r="O428" i="1"/>
  <c r="M428" i="1"/>
  <c r="L428" i="1"/>
  <c r="P427" i="1"/>
  <c r="O427" i="1"/>
  <c r="M427" i="1"/>
  <c r="L427" i="1"/>
  <c r="P426" i="1"/>
  <c r="O426" i="1"/>
  <c r="M426" i="1"/>
  <c r="L426" i="1"/>
  <c r="P425" i="1"/>
  <c r="O425" i="1"/>
  <c r="M425" i="1"/>
  <c r="L425" i="1"/>
  <c r="P424" i="1"/>
  <c r="O424" i="1"/>
  <c r="M424" i="1"/>
  <c r="L424" i="1"/>
  <c r="P423" i="1"/>
  <c r="O423" i="1"/>
  <c r="M423" i="1"/>
  <c r="L423" i="1"/>
  <c r="P422" i="1"/>
  <c r="O422" i="1"/>
  <c r="M422" i="1"/>
  <c r="L422" i="1"/>
  <c r="P421" i="1"/>
  <c r="O421" i="1"/>
  <c r="M421" i="1"/>
  <c r="L421" i="1"/>
  <c r="P420" i="1"/>
  <c r="O420" i="1"/>
  <c r="M420" i="1"/>
  <c r="L420" i="1"/>
  <c r="P419" i="1"/>
  <c r="O419" i="1"/>
  <c r="M419" i="1"/>
  <c r="L419" i="1"/>
  <c r="P418" i="1"/>
  <c r="O418" i="1"/>
  <c r="M418" i="1"/>
  <c r="L418" i="1"/>
  <c r="P417" i="1"/>
  <c r="O417" i="1"/>
  <c r="M417" i="1"/>
  <c r="L417" i="1"/>
  <c r="P416" i="1"/>
  <c r="O416" i="1"/>
  <c r="M416" i="1"/>
  <c r="L416" i="1"/>
  <c r="P415" i="1"/>
  <c r="O415" i="1"/>
  <c r="M415" i="1"/>
  <c r="L415" i="1"/>
  <c r="P414" i="1"/>
  <c r="O414" i="1"/>
  <c r="M414" i="1"/>
  <c r="L414" i="1"/>
  <c r="P413" i="1"/>
  <c r="O413" i="1"/>
  <c r="M413" i="1"/>
  <c r="L413" i="1"/>
  <c r="P412" i="1"/>
  <c r="O412" i="1"/>
  <c r="M412" i="1"/>
  <c r="L412" i="1"/>
  <c r="P411" i="1"/>
  <c r="O411" i="1"/>
  <c r="M411" i="1"/>
  <c r="L411" i="1"/>
  <c r="P410" i="1"/>
  <c r="O410" i="1"/>
  <c r="M410" i="1"/>
  <c r="L410" i="1"/>
  <c r="P409" i="1"/>
  <c r="O409" i="1"/>
  <c r="M409" i="1"/>
  <c r="L409" i="1"/>
  <c r="P408" i="1"/>
  <c r="O408" i="1"/>
  <c r="M408" i="1"/>
  <c r="L408" i="1"/>
  <c r="P407" i="1"/>
  <c r="O407" i="1"/>
  <c r="M407" i="1"/>
  <c r="L407" i="1"/>
  <c r="P406" i="1"/>
  <c r="O406" i="1"/>
  <c r="M406" i="1"/>
  <c r="L406" i="1"/>
  <c r="P405" i="1"/>
  <c r="O405" i="1"/>
  <c r="M405" i="1"/>
  <c r="L405" i="1"/>
  <c r="P404" i="1"/>
  <c r="O404" i="1"/>
  <c r="M404" i="1"/>
  <c r="L404" i="1"/>
  <c r="P403" i="1"/>
  <c r="O403" i="1"/>
  <c r="M403" i="1"/>
  <c r="L403" i="1"/>
  <c r="P402" i="1"/>
  <c r="O402" i="1"/>
  <c r="M402" i="1"/>
  <c r="L402" i="1"/>
  <c r="P401" i="1"/>
  <c r="O401" i="1"/>
  <c r="M401" i="1"/>
  <c r="L401" i="1"/>
  <c r="P400" i="1"/>
  <c r="O400" i="1"/>
  <c r="M400" i="1"/>
  <c r="L400" i="1"/>
  <c r="P399" i="1"/>
  <c r="O399" i="1"/>
  <c r="M399" i="1"/>
  <c r="L399" i="1"/>
  <c r="P398" i="1"/>
  <c r="O398" i="1"/>
  <c r="M398" i="1"/>
  <c r="L398" i="1"/>
  <c r="P397" i="1"/>
  <c r="O397" i="1"/>
  <c r="M397" i="1"/>
  <c r="L397" i="1"/>
  <c r="P396" i="1"/>
  <c r="O396" i="1"/>
  <c r="M396" i="1"/>
  <c r="L396" i="1"/>
  <c r="P395" i="1"/>
  <c r="O395" i="1"/>
  <c r="M395" i="1"/>
  <c r="L395" i="1"/>
  <c r="P394" i="1"/>
  <c r="O394" i="1"/>
  <c r="M394" i="1"/>
  <c r="L394" i="1"/>
  <c r="P393" i="1"/>
  <c r="O393" i="1"/>
  <c r="M393" i="1"/>
  <c r="L393" i="1"/>
  <c r="P392" i="1"/>
  <c r="O392" i="1"/>
  <c r="M392" i="1"/>
  <c r="L392" i="1"/>
  <c r="P391" i="1"/>
  <c r="O391" i="1"/>
  <c r="M391" i="1"/>
  <c r="L391" i="1"/>
  <c r="P390" i="1"/>
  <c r="O390" i="1"/>
  <c r="M390" i="1"/>
  <c r="L390" i="1"/>
  <c r="P389" i="1"/>
  <c r="O389" i="1"/>
  <c r="M389" i="1"/>
  <c r="L389" i="1"/>
  <c r="P388" i="1"/>
  <c r="O388" i="1"/>
  <c r="M388" i="1"/>
  <c r="L388" i="1"/>
  <c r="P387" i="1"/>
  <c r="O387" i="1"/>
  <c r="P386" i="1"/>
  <c r="O386" i="1"/>
  <c r="M386" i="1"/>
  <c r="L386" i="1"/>
  <c r="P385" i="1"/>
  <c r="O385" i="1"/>
  <c r="M385" i="1"/>
  <c r="L385" i="1"/>
  <c r="P384" i="1"/>
  <c r="O384" i="1"/>
  <c r="M384" i="1"/>
  <c r="L384" i="1"/>
  <c r="P383" i="1"/>
  <c r="O383" i="1"/>
  <c r="M383" i="1"/>
  <c r="L383" i="1"/>
  <c r="P382" i="1"/>
  <c r="O382" i="1"/>
  <c r="M382" i="1"/>
  <c r="L382" i="1"/>
  <c r="P381" i="1"/>
  <c r="O381" i="1"/>
  <c r="M381" i="1"/>
  <c r="L381" i="1"/>
  <c r="P380" i="1"/>
  <c r="O380" i="1"/>
  <c r="M380" i="1"/>
  <c r="L380" i="1"/>
  <c r="P379" i="1"/>
  <c r="O379" i="1"/>
  <c r="M379" i="1"/>
  <c r="L379" i="1"/>
  <c r="P378" i="1"/>
  <c r="O378" i="1"/>
  <c r="M378" i="1"/>
  <c r="L378" i="1"/>
  <c r="P377" i="1"/>
  <c r="O377" i="1"/>
  <c r="M377" i="1"/>
  <c r="L377" i="1"/>
  <c r="P376" i="1"/>
  <c r="O376" i="1"/>
  <c r="M376" i="1"/>
  <c r="L376" i="1"/>
  <c r="P375" i="1"/>
  <c r="O375" i="1"/>
  <c r="M375" i="1"/>
  <c r="L375" i="1"/>
  <c r="P374" i="1"/>
  <c r="O374" i="1"/>
  <c r="M374" i="1"/>
  <c r="L374" i="1"/>
  <c r="P373" i="1"/>
  <c r="O373" i="1"/>
  <c r="M373" i="1"/>
  <c r="L373" i="1"/>
  <c r="P372" i="1"/>
  <c r="O372" i="1"/>
  <c r="M372" i="1"/>
  <c r="L372" i="1"/>
  <c r="P371" i="1"/>
  <c r="O371" i="1"/>
  <c r="M371" i="1"/>
  <c r="L371" i="1"/>
  <c r="P370" i="1"/>
  <c r="O370" i="1"/>
  <c r="M370" i="1"/>
  <c r="L370" i="1"/>
  <c r="P369" i="1"/>
  <c r="O369" i="1"/>
  <c r="M369" i="1"/>
  <c r="L369" i="1"/>
  <c r="P368" i="1"/>
  <c r="O368" i="1"/>
  <c r="M368" i="1"/>
  <c r="L368" i="1"/>
  <c r="P367" i="1"/>
  <c r="O367" i="1"/>
  <c r="M367" i="1"/>
  <c r="L367" i="1"/>
  <c r="P366" i="1"/>
  <c r="O366" i="1"/>
  <c r="M366" i="1"/>
  <c r="L366" i="1"/>
  <c r="P365" i="1"/>
  <c r="O365" i="1"/>
  <c r="M365" i="1"/>
  <c r="L365" i="1"/>
  <c r="P364" i="1"/>
  <c r="O364" i="1"/>
  <c r="M364" i="1"/>
  <c r="L364" i="1"/>
  <c r="P363" i="1"/>
  <c r="O363" i="1"/>
  <c r="M363" i="1"/>
  <c r="L363" i="1"/>
  <c r="P362" i="1"/>
  <c r="O362" i="1"/>
  <c r="M362" i="1"/>
  <c r="L362" i="1"/>
  <c r="P361" i="1"/>
  <c r="O361" i="1"/>
  <c r="M361" i="1"/>
  <c r="L361" i="1"/>
  <c r="P360" i="1"/>
  <c r="O360" i="1"/>
  <c r="M360" i="1"/>
  <c r="L360" i="1"/>
  <c r="P359" i="1"/>
  <c r="O359" i="1"/>
  <c r="M359" i="1"/>
  <c r="L359" i="1"/>
  <c r="P358" i="1"/>
  <c r="O358" i="1"/>
  <c r="M358" i="1"/>
  <c r="L358" i="1"/>
  <c r="P357" i="1"/>
  <c r="O357" i="1"/>
  <c r="M357" i="1"/>
  <c r="L357" i="1"/>
  <c r="P356" i="1"/>
  <c r="O356" i="1"/>
  <c r="M356" i="1"/>
  <c r="L356" i="1"/>
  <c r="P355" i="1"/>
  <c r="O355" i="1"/>
  <c r="M355" i="1"/>
  <c r="L355" i="1"/>
  <c r="P354" i="1"/>
  <c r="O354" i="1"/>
  <c r="M354" i="1"/>
  <c r="L354" i="1"/>
  <c r="P353" i="1"/>
  <c r="O353" i="1"/>
  <c r="M353" i="1"/>
  <c r="L353" i="1"/>
  <c r="P352" i="1"/>
  <c r="O352" i="1"/>
  <c r="M352" i="1"/>
  <c r="L352" i="1"/>
  <c r="P351" i="1"/>
  <c r="O351" i="1"/>
  <c r="M351" i="1"/>
  <c r="L351" i="1"/>
  <c r="P350" i="1"/>
  <c r="O350" i="1"/>
  <c r="M350" i="1"/>
  <c r="L350" i="1"/>
  <c r="P349" i="1"/>
  <c r="O349" i="1"/>
  <c r="M349" i="1"/>
  <c r="L349" i="1"/>
  <c r="P348" i="1"/>
  <c r="O348" i="1"/>
  <c r="M348" i="1"/>
  <c r="L348" i="1"/>
  <c r="P347" i="1"/>
  <c r="O347" i="1"/>
  <c r="M347" i="1"/>
  <c r="L347" i="1"/>
  <c r="P346" i="1"/>
  <c r="O346" i="1"/>
  <c r="M346" i="1"/>
  <c r="L346" i="1"/>
  <c r="P345" i="1"/>
  <c r="O345" i="1"/>
  <c r="M345" i="1"/>
  <c r="L345" i="1"/>
  <c r="P344" i="1"/>
  <c r="O344" i="1"/>
  <c r="M344" i="1"/>
  <c r="L344" i="1"/>
  <c r="P343" i="1"/>
  <c r="O343" i="1"/>
  <c r="M343" i="1"/>
  <c r="L343" i="1"/>
  <c r="P342" i="1"/>
  <c r="O342" i="1"/>
  <c r="M342" i="1"/>
  <c r="L342" i="1"/>
  <c r="P341" i="1"/>
  <c r="O341" i="1"/>
  <c r="M341" i="1"/>
  <c r="L341" i="1"/>
  <c r="P340" i="1"/>
  <c r="O340" i="1"/>
  <c r="M340" i="1"/>
  <c r="L340" i="1"/>
  <c r="P339" i="1"/>
  <c r="O339" i="1"/>
  <c r="M339" i="1"/>
  <c r="L339" i="1"/>
  <c r="P338" i="1"/>
  <c r="O338" i="1"/>
  <c r="M338" i="1"/>
  <c r="L338" i="1"/>
  <c r="P337" i="1"/>
  <c r="O337" i="1"/>
  <c r="M337" i="1"/>
  <c r="L337" i="1"/>
  <c r="P336" i="1"/>
  <c r="O336" i="1"/>
  <c r="M336" i="1"/>
  <c r="L336" i="1"/>
  <c r="P335" i="1"/>
  <c r="O335" i="1"/>
  <c r="M335" i="1"/>
  <c r="L335" i="1"/>
  <c r="P334" i="1"/>
  <c r="O334" i="1"/>
  <c r="M334" i="1"/>
  <c r="L334" i="1"/>
  <c r="P333" i="1"/>
  <c r="O333" i="1"/>
  <c r="M333" i="1"/>
  <c r="L333" i="1"/>
  <c r="P332" i="1"/>
  <c r="O332" i="1"/>
  <c r="M332" i="1"/>
  <c r="L332" i="1"/>
  <c r="P331" i="1"/>
  <c r="O331" i="1"/>
  <c r="M331" i="1"/>
  <c r="L331" i="1"/>
  <c r="P330" i="1"/>
  <c r="O330" i="1"/>
  <c r="M330" i="1"/>
  <c r="L330" i="1"/>
  <c r="P329" i="1"/>
  <c r="O329" i="1"/>
  <c r="M329" i="1"/>
  <c r="L329" i="1"/>
  <c r="P328" i="1"/>
  <c r="O328" i="1"/>
  <c r="M328" i="1"/>
  <c r="L328" i="1"/>
  <c r="P327" i="1"/>
  <c r="O327" i="1"/>
  <c r="M327" i="1"/>
  <c r="L327" i="1"/>
  <c r="P326" i="1"/>
  <c r="O326" i="1"/>
  <c r="M326" i="1"/>
  <c r="L326" i="1"/>
  <c r="P325" i="1"/>
  <c r="O325" i="1"/>
  <c r="M325" i="1"/>
  <c r="L325" i="1"/>
  <c r="P324" i="1"/>
  <c r="O324" i="1"/>
  <c r="M324" i="1"/>
  <c r="L324" i="1"/>
  <c r="P323" i="1"/>
  <c r="O323" i="1"/>
  <c r="M323" i="1"/>
  <c r="L323" i="1"/>
  <c r="P322" i="1"/>
  <c r="O322" i="1"/>
  <c r="M322" i="1"/>
  <c r="L322" i="1"/>
  <c r="P321" i="1"/>
  <c r="O321" i="1"/>
  <c r="M321" i="1"/>
  <c r="L321" i="1"/>
  <c r="P320" i="1"/>
  <c r="O320" i="1"/>
  <c r="M320" i="1"/>
  <c r="L320" i="1"/>
  <c r="P319" i="1"/>
  <c r="O319" i="1"/>
  <c r="M319" i="1"/>
  <c r="L319" i="1"/>
  <c r="P318" i="1"/>
  <c r="O318" i="1"/>
  <c r="M318" i="1"/>
  <c r="L318" i="1"/>
  <c r="P317" i="1"/>
  <c r="O317" i="1"/>
  <c r="M317" i="1"/>
  <c r="L317" i="1"/>
  <c r="P316" i="1"/>
  <c r="O316" i="1"/>
  <c r="M316" i="1"/>
  <c r="L316" i="1"/>
  <c r="P315" i="1"/>
  <c r="O315" i="1"/>
  <c r="M315" i="1"/>
  <c r="L315" i="1"/>
  <c r="P313" i="1"/>
  <c r="O313" i="1"/>
  <c r="M313" i="1"/>
  <c r="L313" i="1"/>
  <c r="P312" i="1"/>
  <c r="O312" i="1"/>
  <c r="M312" i="1"/>
  <c r="L312" i="1"/>
  <c r="P311" i="1"/>
  <c r="O311" i="1"/>
  <c r="M311" i="1"/>
  <c r="L311" i="1"/>
  <c r="P310" i="1"/>
  <c r="O310" i="1"/>
  <c r="M310" i="1"/>
  <c r="L310" i="1"/>
  <c r="P309" i="1"/>
  <c r="O309" i="1"/>
  <c r="M309" i="1"/>
  <c r="L309" i="1"/>
  <c r="P308" i="1"/>
  <c r="O308" i="1"/>
  <c r="M308" i="1"/>
  <c r="L308" i="1"/>
  <c r="P307" i="1"/>
  <c r="O307" i="1"/>
  <c r="P306" i="1"/>
  <c r="O306" i="1"/>
  <c r="M306" i="1"/>
  <c r="L306" i="1"/>
  <c r="P305" i="1"/>
  <c r="O305" i="1"/>
  <c r="M305" i="1"/>
  <c r="L305" i="1"/>
  <c r="P304" i="1"/>
  <c r="O304" i="1"/>
  <c r="M304" i="1"/>
  <c r="L304" i="1"/>
  <c r="P303" i="1"/>
  <c r="O303" i="1"/>
  <c r="M303" i="1"/>
  <c r="L303" i="1"/>
  <c r="P302" i="1"/>
  <c r="O302" i="1"/>
  <c r="M302" i="1"/>
  <c r="L302" i="1"/>
  <c r="P301" i="1"/>
  <c r="O301" i="1"/>
  <c r="M301" i="1"/>
  <c r="L301" i="1"/>
  <c r="P300" i="1"/>
  <c r="O300" i="1"/>
  <c r="M300" i="1"/>
  <c r="L300" i="1"/>
  <c r="P299" i="1"/>
  <c r="O299" i="1"/>
  <c r="M299" i="1"/>
  <c r="L299" i="1"/>
  <c r="P298" i="1"/>
  <c r="O298" i="1"/>
  <c r="M298" i="1"/>
  <c r="L298" i="1"/>
  <c r="P297" i="1"/>
  <c r="O297" i="1"/>
  <c r="M297" i="1"/>
  <c r="L297" i="1"/>
  <c r="P296" i="1"/>
  <c r="O296" i="1"/>
  <c r="M296" i="1"/>
  <c r="L296" i="1"/>
  <c r="P295" i="1"/>
  <c r="O295" i="1"/>
  <c r="M295" i="1"/>
  <c r="L295" i="1"/>
  <c r="P294" i="1"/>
  <c r="O294" i="1"/>
  <c r="M294" i="1"/>
  <c r="L294" i="1"/>
  <c r="P293" i="1"/>
  <c r="O293" i="1"/>
  <c r="M293" i="1"/>
  <c r="L293" i="1"/>
  <c r="P292" i="1"/>
  <c r="O292" i="1"/>
  <c r="M292" i="1"/>
  <c r="L292" i="1"/>
  <c r="P291" i="1"/>
  <c r="O291" i="1"/>
  <c r="M291" i="1"/>
  <c r="L291" i="1"/>
  <c r="P290" i="1"/>
  <c r="O290" i="1"/>
  <c r="M290" i="1"/>
  <c r="L290" i="1"/>
  <c r="P289" i="1"/>
  <c r="O289" i="1"/>
  <c r="M289" i="1"/>
  <c r="L289" i="1"/>
  <c r="P288" i="1"/>
  <c r="O288" i="1"/>
  <c r="M288" i="1"/>
  <c r="L288" i="1"/>
  <c r="P287" i="1"/>
  <c r="O287" i="1"/>
  <c r="M287" i="1"/>
  <c r="L287" i="1"/>
  <c r="P286" i="1"/>
  <c r="O286" i="1"/>
  <c r="M286" i="1"/>
  <c r="L286" i="1"/>
  <c r="P285" i="1"/>
  <c r="O285" i="1"/>
  <c r="M285" i="1"/>
  <c r="L285" i="1"/>
  <c r="P284" i="1"/>
  <c r="O284" i="1"/>
  <c r="M284" i="1"/>
  <c r="L284" i="1"/>
  <c r="P283" i="1"/>
  <c r="O283" i="1"/>
  <c r="M283" i="1"/>
  <c r="L283" i="1"/>
  <c r="P282" i="1"/>
  <c r="O282" i="1"/>
  <c r="M282" i="1"/>
  <c r="L282" i="1"/>
  <c r="P281" i="1"/>
  <c r="O281" i="1"/>
  <c r="M281" i="1"/>
  <c r="L281" i="1"/>
  <c r="P280" i="1"/>
  <c r="O280" i="1"/>
  <c r="M280" i="1"/>
  <c r="L280" i="1"/>
  <c r="P279" i="1"/>
  <c r="O279" i="1"/>
  <c r="M279" i="1"/>
  <c r="L279" i="1"/>
  <c r="P278" i="1"/>
  <c r="O278" i="1"/>
  <c r="M278" i="1"/>
  <c r="L278" i="1"/>
  <c r="P277" i="1"/>
  <c r="O277" i="1"/>
  <c r="M277" i="1"/>
  <c r="L277" i="1"/>
  <c r="P276" i="1"/>
  <c r="O276" i="1"/>
  <c r="M276" i="1"/>
  <c r="L276" i="1"/>
  <c r="P275" i="1"/>
  <c r="O275" i="1"/>
  <c r="M275" i="1"/>
  <c r="L275" i="1"/>
  <c r="P274" i="1"/>
  <c r="O274" i="1"/>
  <c r="M274" i="1"/>
  <c r="L274" i="1"/>
  <c r="P273" i="1"/>
  <c r="O273" i="1"/>
  <c r="M273" i="1"/>
  <c r="L273" i="1"/>
  <c r="P272" i="1"/>
  <c r="O272" i="1"/>
  <c r="M272" i="1"/>
  <c r="L272" i="1"/>
  <c r="P271" i="1"/>
  <c r="O271" i="1"/>
  <c r="M271" i="1"/>
  <c r="L271" i="1"/>
  <c r="P270" i="1"/>
  <c r="O270" i="1"/>
  <c r="M270" i="1"/>
  <c r="L270" i="1"/>
  <c r="P269" i="1"/>
  <c r="O269" i="1"/>
  <c r="P268" i="1"/>
  <c r="O268" i="1"/>
  <c r="M268" i="1"/>
  <c r="L268" i="1"/>
  <c r="P267" i="1"/>
  <c r="O267" i="1"/>
  <c r="M267" i="1"/>
  <c r="L267" i="1"/>
  <c r="P266" i="1"/>
  <c r="O266" i="1"/>
  <c r="M266" i="1"/>
  <c r="L266" i="1"/>
  <c r="P265" i="1"/>
  <c r="O265" i="1"/>
  <c r="M265" i="1"/>
  <c r="L265" i="1"/>
  <c r="P264" i="1"/>
  <c r="O264" i="1"/>
  <c r="M264" i="1"/>
  <c r="L264" i="1"/>
  <c r="P263" i="1"/>
  <c r="O263" i="1"/>
  <c r="M263" i="1"/>
  <c r="L263" i="1"/>
  <c r="P262" i="1"/>
  <c r="O262" i="1"/>
  <c r="M262" i="1"/>
  <c r="L262" i="1"/>
  <c r="P261" i="1"/>
  <c r="O261" i="1"/>
  <c r="M261" i="1"/>
  <c r="L261" i="1"/>
  <c r="P260" i="1"/>
  <c r="O260" i="1"/>
  <c r="M260" i="1"/>
  <c r="L260" i="1"/>
  <c r="P259" i="1"/>
  <c r="O259" i="1"/>
  <c r="M259" i="1"/>
  <c r="L259" i="1"/>
  <c r="P258" i="1"/>
  <c r="O258" i="1"/>
  <c r="M258" i="1"/>
  <c r="L258" i="1"/>
  <c r="P257" i="1"/>
  <c r="O257" i="1"/>
  <c r="M257" i="1"/>
  <c r="L257" i="1"/>
  <c r="P256" i="1"/>
  <c r="O256" i="1"/>
  <c r="M256" i="1"/>
  <c r="L256" i="1"/>
  <c r="P255" i="1"/>
  <c r="O255" i="1"/>
  <c r="M255" i="1"/>
  <c r="L255" i="1"/>
  <c r="P254" i="1"/>
  <c r="O254" i="1"/>
  <c r="M254" i="1"/>
  <c r="L254" i="1"/>
  <c r="P253" i="1"/>
  <c r="O253" i="1"/>
  <c r="M253" i="1"/>
  <c r="L253" i="1"/>
  <c r="P252" i="1"/>
  <c r="O252" i="1"/>
  <c r="M252" i="1"/>
  <c r="L252" i="1"/>
  <c r="P251" i="1"/>
  <c r="O251" i="1"/>
  <c r="M251" i="1"/>
  <c r="L251" i="1"/>
  <c r="P250" i="1"/>
  <c r="O250" i="1"/>
  <c r="M250" i="1"/>
  <c r="L250" i="1"/>
  <c r="P249" i="1"/>
  <c r="O249" i="1"/>
  <c r="M249" i="1"/>
  <c r="L249" i="1"/>
  <c r="P248" i="1"/>
  <c r="O248" i="1"/>
  <c r="M248" i="1"/>
  <c r="L248" i="1"/>
  <c r="P247" i="1"/>
  <c r="O247" i="1"/>
  <c r="M247" i="1"/>
  <c r="L247" i="1"/>
  <c r="P246" i="1"/>
  <c r="O246" i="1"/>
  <c r="M246" i="1"/>
  <c r="L246" i="1"/>
  <c r="P245" i="1"/>
  <c r="O245" i="1"/>
  <c r="M245" i="1"/>
  <c r="L245" i="1"/>
  <c r="P244" i="1"/>
  <c r="O244" i="1"/>
  <c r="M244" i="1"/>
  <c r="L244" i="1"/>
  <c r="P243" i="1"/>
  <c r="O243" i="1"/>
  <c r="M243" i="1"/>
  <c r="L243" i="1"/>
  <c r="P242" i="1"/>
  <c r="O242" i="1"/>
  <c r="M242" i="1"/>
  <c r="L242" i="1"/>
  <c r="P241" i="1"/>
  <c r="O241" i="1"/>
  <c r="M241" i="1"/>
  <c r="L241" i="1"/>
  <c r="P240" i="1"/>
  <c r="O240" i="1"/>
  <c r="M240" i="1"/>
  <c r="L240" i="1"/>
  <c r="P239" i="1"/>
  <c r="O239" i="1"/>
  <c r="M239" i="1"/>
  <c r="L239" i="1"/>
  <c r="P238" i="1"/>
  <c r="O238" i="1"/>
  <c r="M238" i="1"/>
  <c r="L238" i="1"/>
  <c r="P237" i="1"/>
  <c r="O237" i="1"/>
  <c r="M237" i="1"/>
  <c r="L237" i="1"/>
  <c r="P236" i="1"/>
  <c r="O236" i="1"/>
  <c r="M236" i="1"/>
  <c r="L236" i="1"/>
  <c r="P235" i="1"/>
  <c r="O235" i="1"/>
  <c r="P234" i="1"/>
  <c r="O234" i="1"/>
  <c r="M234" i="1"/>
  <c r="L234" i="1"/>
  <c r="P233" i="1"/>
  <c r="O233" i="1"/>
  <c r="M233" i="1"/>
  <c r="L233" i="1"/>
  <c r="P232" i="1"/>
  <c r="O232" i="1"/>
  <c r="M232" i="1"/>
  <c r="L232" i="1"/>
  <c r="P231" i="1"/>
  <c r="O231" i="1"/>
  <c r="M231" i="1"/>
  <c r="L231" i="1"/>
  <c r="P230" i="1"/>
  <c r="O230" i="1"/>
  <c r="M230" i="1"/>
  <c r="L230" i="1"/>
  <c r="P229" i="1"/>
  <c r="O229" i="1"/>
  <c r="M229" i="1"/>
  <c r="L229" i="1"/>
  <c r="P228" i="1"/>
  <c r="O228" i="1"/>
  <c r="M228" i="1"/>
  <c r="L228" i="1"/>
  <c r="P227" i="1"/>
  <c r="O227" i="1"/>
  <c r="M227" i="1"/>
  <c r="L227" i="1"/>
  <c r="P226" i="1"/>
  <c r="O226" i="1"/>
  <c r="M226" i="1"/>
  <c r="L226" i="1"/>
  <c r="P225" i="1"/>
  <c r="O225" i="1"/>
  <c r="M225" i="1"/>
  <c r="L225" i="1"/>
  <c r="P224" i="1"/>
  <c r="O224" i="1"/>
  <c r="M224" i="1"/>
  <c r="L224" i="1"/>
  <c r="P223" i="1"/>
  <c r="O223" i="1"/>
  <c r="M223" i="1"/>
  <c r="L223" i="1"/>
  <c r="P222" i="1"/>
  <c r="O222" i="1"/>
  <c r="M222" i="1"/>
  <c r="L222" i="1"/>
  <c r="P221" i="1"/>
  <c r="O221" i="1"/>
  <c r="M221" i="1"/>
  <c r="L221" i="1"/>
  <c r="P220" i="1"/>
  <c r="O220" i="1"/>
  <c r="M220" i="1"/>
  <c r="L220" i="1"/>
  <c r="P219" i="1"/>
  <c r="O219" i="1"/>
  <c r="M219" i="1"/>
  <c r="L219" i="1"/>
  <c r="P218" i="1"/>
  <c r="O218" i="1"/>
  <c r="M218" i="1"/>
  <c r="L218" i="1"/>
  <c r="P217" i="1"/>
  <c r="O217" i="1"/>
  <c r="M217" i="1"/>
  <c r="L217" i="1"/>
  <c r="P216" i="1"/>
  <c r="O216" i="1"/>
  <c r="M216" i="1"/>
  <c r="L216" i="1"/>
  <c r="P215" i="1"/>
  <c r="O215" i="1"/>
  <c r="M215" i="1"/>
  <c r="L215" i="1"/>
  <c r="P214" i="1"/>
  <c r="O214" i="1"/>
  <c r="M214" i="1"/>
  <c r="L214" i="1"/>
  <c r="P213" i="1"/>
  <c r="O213" i="1"/>
  <c r="M213" i="1"/>
  <c r="L213" i="1"/>
  <c r="P212" i="1"/>
  <c r="O212" i="1"/>
  <c r="M212" i="1"/>
  <c r="L212" i="1"/>
  <c r="P211" i="1"/>
  <c r="O211" i="1"/>
  <c r="M211" i="1"/>
  <c r="L211" i="1"/>
  <c r="P210" i="1"/>
  <c r="O210" i="1"/>
  <c r="M210" i="1"/>
  <c r="L210" i="1"/>
  <c r="P209" i="1"/>
  <c r="O209" i="1"/>
  <c r="M209" i="1"/>
  <c r="L209" i="1"/>
  <c r="P208" i="1"/>
  <c r="O208" i="1"/>
  <c r="M208" i="1"/>
  <c r="L208" i="1"/>
  <c r="P207" i="1"/>
  <c r="O207" i="1"/>
  <c r="M207" i="1"/>
  <c r="L207" i="1"/>
  <c r="P206" i="1"/>
  <c r="O206" i="1"/>
  <c r="M206" i="1"/>
  <c r="L206" i="1"/>
  <c r="P205" i="1"/>
  <c r="O205" i="1"/>
  <c r="M205" i="1"/>
  <c r="L205" i="1"/>
  <c r="P204" i="1"/>
  <c r="O204" i="1"/>
  <c r="M204" i="1"/>
  <c r="L204" i="1"/>
  <c r="P203" i="1"/>
  <c r="O203" i="1"/>
  <c r="M203" i="1"/>
  <c r="L203" i="1"/>
  <c r="P202" i="1"/>
  <c r="O202" i="1"/>
  <c r="M202" i="1"/>
  <c r="L202" i="1"/>
  <c r="P201" i="1"/>
  <c r="O201" i="1"/>
  <c r="M201" i="1"/>
  <c r="L201" i="1"/>
  <c r="P200" i="1"/>
  <c r="O200" i="1"/>
  <c r="M200" i="1"/>
  <c r="L200" i="1"/>
  <c r="P199" i="1"/>
  <c r="O199" i="1"/>
  <c r="M199" i="1"/>
  <c r="L199" i="1"/>
  <c r="P198" i="1"/>
  <c r="O198" i="1"/>
  <c r="M198" i="1"/>
  <c r="L198" i="1"/>
  <c r="P197" i="1"/>
  <c r="O197" i="1"/>
  <c r="M197" i="1"/>
  <c r="L197" i="1"/>
  <c r="P196" i="1"/>
  <c r="O196" i="1"/>
  <c r="M196" i="1"/>
  <c r="L196" i="1"/>
  <c r="P195" i="1"/>
  <c r="O195" i="1"/>
  <c r="M195" i="1"/>
  <c r="L195" i="1"/>
  <c r="P194" i="1"/>
  <c r="O194" i="1"/>
  <c r="M194" i="1"/>
  <c r="L194" i="1"/>
  <c r="P193" i="1"/>
  <c r="O193" i="1"/>
  <c r="M193" i="1"/>
  <c r="L193" i="1"/>
  <c r="P192" i="1"/>
  <c r="O192" i="1"/>
  <c r="M192" i="1"/>
  <c r="L192" i="1"/>
  <c r="P191" i="1"/>
  <c r="O191" i="1"/>
  <c r="M191" i="1"/>
  <c r="L191" i="1"/>
  <c r="P190" i="1"/>
  <c r="O190" i="1"/>
  <c r="M190" i="1"/>
  <c r="L190" i="1"/>
  <c r="P189" i="1"/>
  <c r="O189" i="1"/>
  <c r="M189" i="1"/>
  <c r="L189" i="1"/>
  <c r="P188" i="1"/>
  <c r="O188" i="1"/>
  <c r="M188" i="1"/>
  <c r="L188" i="1"/>
  <c r="P187" i="1"/>
  <c r="O187" i="1"/>
  <c r="M187" i="1"/>
  <c r="L187" i="1"/>
  <c r="P186" i="1"/>
  <c r="O186" i="1"/>
  <c r="M186" i="1"/>
  <c r="L186" i="1"/>
  <c r="P185" i="1"/>
  <c r="O185" i="1"/>
  <c r="M185" i="1"/>
  <c r="L185" i="1"/>
  <c r="P184" i="1"/>
  <c r="O184" i="1"/>
  <c r="M184" i="1"/>
  <c r="L184" i="1"/>
  <c r="P183" i="1"/>
  <c r="O183" i="1"/>
  <c r="M183" i="1"/>
  <c r="L183" i="1"/>
  <c r="P182" i="1"/>
  <c r="O182" i="1"/>
  <c r="M182" i="1"/>
  <c r="L182" i="1"/>
  <c r="P181" i="1"/>
  <c r="O181" i="1"/>
  <c r="M181" i="1"/>
  <c r="L181" i="1"/>
  <c r="P180" i="1"/>
  <c r="O180" i="1"/>
  <c r="M180" i="1"/>
  <c r="L180" i="1"/>
  <c r="P179" i="1"/>
  <c r="O179" i="1"/>
  <c r="M179" i="1"/>
  <c r="L179" i="1"/>
  <c r="P178" i="1"/>
  <c r="O178" i="1"/>
  <c r="M178" i="1"/>
  <c r="L178" i="1"/>
  <c r="P177" i="1"/>
  <c r="O177" i="1"/>
  <c r="M177" i="1"/>
  <c r="L177" i="1"/>
  <c r="P176" i="1"/>
  <c r="O176" i="1"/>
  <c r="M176" i="1"/>
  <c r="L176" i="1"/>
  <c r="P175" i="1"/>
  <c r="O175" i="1"/>
  <c r="M175" i="1"/>
  <c r="L175" i="1"/>
  <c r="P174" i="1"/>
  <c r="O174" i="1"/>
  <c r="M174" i="1"/>
  <c r="L174" i="1"/>
  <c r="P173" i="1"/>
  <c r="O173" i="1"/>
  <c r="M173" i="1"/>
  <c r="L173" i="1"/>
  <c r="P172" i="1"/>
  <c r="O172" i="1"/>
  <c r="M172" i="1"/>
  <c r="L172" i="1"/>
  <c r="P171" i="1"/>
  <c r="O171" i="1"/>
  <c r="M171" i="1"/>
  <c r="L171" i="1"/>
  <c r="P170" i="1"/>
  <c r="O170" i="1"/>
  <c r="P169" i="1"/>
  <c r="O169" i="1"/>
  <c r="M169" i="1"/>
  <c r="L169" i="1"/>
  <c r="P168" i="1"/>
  <c r="O168" i="1"/>
  <c r="M168" i="1"/>
  <c r="L168" i="1"/>
  <c r="P167" i="1"/>
  <c r="O167" i="1"/>
  <c r="M167" i="1"/>
  <c r="L167" i="1"/>
  <c r="P166" i="1"/>
  <c r="O166" i="1"/>
  <c r="M166" i="1"/>
  <c r="L166" i="1"/>
  <c r="P165" i="1"/>
  <c r="O165" i="1"/>
  <c r="M165" i="1"/>
  <c r="L165" i="1"/>
  <c r="P164" i="1"/>
  <c r="O164" i="1"/>
  <c r="M164" i="1"/>
  <c r="L164" i="1"/>
  <c r="P163" i="1"/>
  <c r="O163" i="1"/>
  <c r="M163" i="1"/>
  <c r="L163" i="1"/>
  <c r="P162" i="1"/>
  <c r="O162" i="1"/>
  <c r="M162" i="1"/>
  <c r="L162" i="1"/>
  <c r="P161" i="1"/>
  <c r="O161" i="1"/>
  <c r="M161" i="1"/>
  <c r="L161" i="1"/>
  <c r="P160" i="1"/>
  <c r="O160" i="1"/>
  <c r="M160" i="1"/>
  <c r="L160" i="1"/>
  <c r="P159" i="1"/>
  <c r="O159" i="1"/>
  <c r="M159" i="1"/>
  <c r="L159" i="1"/>
  <c r="P158" i="1"/>
  <c r="O158" i="1"/>
  <c r="M158" i="1"/>
  <c r="L158" i="1"/>
  <c r="P157" i="1"/>
  <c r="O157" i="1"/>
  <c r="M157" i="1"/>
  <c r="L157" i="1"/>
  <c r="P156" i="1"/>
  <c r="O156" i="1"/>
  <c r="M156" i="1"/>
  <c r="L156" i="1"/>
  <c r="P155" i="1"/>
  <c r="O155" i="1"/>
  <c r="M155" i="1"/>
  <c r="L155" i="1"/>
  <c r="P154" i="1"/>
  <c r="O154" i="1"/>
  <c r="M154" i="1"/>
  <c r="L154" i="1"/>
  <c r="P153" i="1"/>
  <c r="O153" i="1"/>
  <c r="M153" i="1"/>
  <c r="L153" i="1"/>
  <c r="P152" i="1"/>
  <c r="O152" i="1"/>
  <c r="M152" i="1"/>
  <c r="L152" i="1"/>
  <c r="P151" i="1"/>
  <c r="O151" i="1"/>
  <c r="M151" i="1"/>
  <c r="L151" i="1"/>
  <c r="P150" i="1"/>
  <c r="O150" i="1"/>
  <c r="M150" i="1"/>
  <c r="L150" i="1"/>
  <c r="P149" i="1"/>
  <c r="O149" i="1"/>
  <c r="M149" i="1"/>
  <c r="L149" i="1"/>
  <c r="P148" i="1"/>
  <c r="O148" i="1"/>
  <c r="M148" i="1"/>
  <c r="L148" i="1"/>
  <c r="P147" i="1"/>
  <c r="O147" i="1"/>
  <c r="M147" i="1"/>
  <c r="L147" i="1"/>
  <c r="P146" i="1"/>
  <c r="O146" i="1"/>
  <c r="M146" i="1"/>
  <c r="L146" i="1"/>
  <c r="P145" i="1"/>
  <c r="O145" i="1"/>
  <c r="M145" i="1"/>
  <c r="L145" i="1"/>
  <c r="P144" i="1"/>
  <c r="O144" i="1"/>
  <c r="M144" i="1"/>
  <c r="L144" i="1"/>
  <c r="P143" i="1"/>
  <c r="O143" i="1"/>
  <c r="M143" i="1"/>
  <c r="L143" i="1"/>
  <c r="P142" i="1"/>
  <c r="O142" i="1"/>
  <c r="M142" i="1"/>
  <c r="L142" i="1"/>
  <c r="P141" i="1"/>
  <c r="O141" i="1"/>
  <c r="M141" i="1"/>
  <c r="L141" i="1"/>
  <c r="P140" i="1"/>
  <c r="O140" i="1"/>
  <c r="M140" i="1"/>
  <c r="L140" i="1"/>
  <c r="P139" i="1"/>
  <c r="O139" i="1"/>
  <c r="M139" i="1"/>
  <c r="L139" i="1"/>
  <c r="P138" i="1"/>
  <c r="O138" i="1"/>
  <c r="M138" i="1"/>
  <c r="L138" i="1"/>
  <c r="P137" i="1"/>
  <c r="O137" i="1"/>
  <c r="M137" i="1"/>
  <c r="L137" i="1"/>
  <c r="P136" i="1"/>
  <c r="O136" i="1"/>
  <c r="M136" i="1"/>
  <c r="L136" i="1"/>
  <c r="P135" i="1"/>
  <c r="O135" i="1"/>
  <c r="M135" i="1"/>
  <c r="L135" i="1"/>
  <c r="P134" i="1"/>
  <c r="O134" i="1"/>
  <c r="M134" i="1"/>
  <c r="L134" i="1"/>
  <c r="P133" i="1"/>
  <c r="O133" i="1"/>
  <c r="P132" i="1"/>
  <c r="O132" i="1"/>
  <c r="M132" i="1"/>
  <c r="L132" i="1"/>
  <c r="P131" i="1"/>
  <c r="O131" i="1"/>
  <c r="M131" i="1"/>
  <c r="L131" i="1"/>
  <c r="P130" i="1"/>
  <c r="O130" i="1"/>
  <c r="M130" i="1"/>
  <c r="L130" i="1"/>
  <c r="P129" i="1"/>
  <c r="O129" i="1"/>
  <c r="M129" i="1"/>
  <c r="L129" i="1"/>
  <c r="P128" i="1"/>
  <c r="O128" i="1"/>
  <c r="P127" i="1"/>
  <c r="O127" i="1"/>
  <c r="M127" i="1"/>
  <c r="L127" i="1"/>
  <c r="P126" i="1"/>
  <c r="O126" i="1"/>
  <c r="M126" i="1"/>
  <c r="L126" i="1"/>
  <c r="P125" i="1"/>
  <c r="O125" i="1"/>
  <c r="M125" i="1"/>
  <c r="L125" i="1"/>
  <c r="P124" i="1"/>
  <c r="O124" i="1"/>
  <c r="M124" i="1"/>
  <c r="L124" i="1"/>
  <c r="P123" i="1"/>
  <c r="O123" i="1"/>
  <c r="M123" i="1"/>
  <c r="L123" i="1"/>
  <c r="P122" i="1"/>
  <c r="O122" i="1"/>
  <c r="M122" i="1"/>
  <c r="L122" i="1"/>
  <c r="P121" i="1"/>
  <c r="O121" i="1"/>
  <c r="M121" i="1"/>
  <c r="L121" i="1"/>
  <c r="P120" i="1"/>
  <c r="O120" i="1"/>
  <c r="M120" i="1"/>
  <c r="L120" i="1"/>
  <c r="P119" i="1"/>
  <c r="O119" i="1"/>
  <c r="M119" i="1"/>
  <c r="L119" i="1"/>
  <c r="P118" i="1"/>
  <c r="O118" i="1"/>
  <c r="M118" i="1"/>
  <c r="L118" i="1"/>
  <c r="P117" i="1"/>
  <c r="O117" i="1"/>
  <c r="M117" i="1"/>
  <c r="L117" i="1"/>
  <c r="P116" i="1"/>
  <c r="O116" i="1"/>
  <c r="M116" i="1"/>
  <c r="L116" i="1"/>
  <c r="P115" i="1"/>
  <c r="O115" i="1"/>
  <c r="M115" i="1"/>
  <c r="L115" i="1"/>
  <c r="P114" i="1"/>
  <c r="O114" i="1"/>
  <c r="M114" i="1"/>
  <c r="L114" i="1"/>
  <c r="P113" i="1"/>
  <c r="O113" i="1"/>
  <c r="M113" i="1"/>
  <c r="L113" i="1"/>
  <c r="P112" i="1"/>
  <c r="O112" i="1"/>
  <c r="M112" i="1"/>
  <c r="L112" i="1"/>
  <c r="P111" i="1"/>
  <c r="O111" i="1"/>
  <c r="P110" i="1"/>
  <c r="O110" i="1"/>
  <c r="M110" i="1"/>
  <c r="L110" i="1"/>
  <c r="P109" i="1"/>
  <c r="O109" i="1"/>
  <c r="M109" i="1"/>
  <c r="L109" i="1"/>
  <c r="P108" i="1"/>
  <c r="O108" i="1"/>
  <c r="M108" i="1"/>
  <c r="L108" i="1"/>
  <c r="P107" i="1"/>
  <c r="O107" i="1"/>
  <c r="M107" i="1"/>
  <c r="L107" i="1"/>
  <c r="P106" i="1"/>
  <c r="O106" i="1"/>
  <c r="M106" i="1"/>
  <c r="L106" i="1"/>
  <c r="P105" i="1"/>
  <c r="O105" i="1"/>
  <c r="M105" i="1"/>
  <c r="L105" i="1"/>
  <c r="P104" i="1"/>
  <c r="O104" i="1"/>
  <c r="M104" i="1"/>
  <c r="L104" i="1"/>
  <c r="P103" i="1"/>
  <c r="O103" i="1"/>
  <c r="M103" i="1"/>
  <c r="L103" i="1"/>
  <c r="P102" i="1"/>
  <c r="O102" i="1"/>
  <c r="P101" i="1"/>
  <c r="O101" i="1"/>
  <c r="M101" i="1"/>
  <c r="L101" i="1"/>
  <c r="P100" i="1"/>
  <c r="O100" i="1"/>
  <c r="M100" i="1"/>
  <c r="L100" i="1"/>
  <c r="P99" i="1"/>
  <c r="O99" i="1"/>
  <c r="M99" i="1"/>
  <c r="L99" i="1"/>
  <c r="P98" i="1"/>
  <c r="O98" i="1"/>
  <c r="M98" i="1"/>
  <c r="L98" i="1"/>
  <c r="P97" i="1"/>
  <c r="O97" i="1"/>
  <c r="M97" i="1"/>
  <c r="L97" i="1"/>
  <c r="P96" i="1"/>
  <c r="O96" i="1"/>
  <c r="M96" i="1"/>
  <c r="L96" i="1"/>
  <c r="P95" i="1"/>
  <c r="O95" i="1"/>
  <c r="M95" i="1"/>
  <c r="L95" i="1"/>
  <c r="P94" i="1"/>
  <c r="O94" i="1"/>
  <c r="M94" i="1"/>
  <c r="L94" i="1"/>
  <c r="P93" i="1"/>
  <c r="O93" i="1"/>
  <c r="M93" i="1"/>
  <c r="L93" i="1"/>
  <c r="P92" i="1"/>
  <c r="O92" i="1"/>
  <c r="M92" i="1"/>
  <c r="L92" i="1"/>
  <c r="P91" i="1"/>
  <c r="O91" i="1"/>
  <c r="M91" i="1"/>
  <c r="L91" i="1"/>
  <c r="P90" i="1"/>
  <c r="O90" i="1"/>
  <c r="M90" i="1"/>
  <c r="L90" i="1"/>
  <c r="P89" i="1"/>
  <c r="O89" i="1"/>
  <c r="M89" i="1"/>
  <c r="L89" i="1"/>
  <c r="P88" i="1"/>
  <c r="O88" i="1"/>
  <c r="M88" i="1"/>
  <c r="L88" i="1"/>
  <c r="P87" i="1"/>
  <c r="O87" i="1"/>
  <c r="M87" i="1"/>
  <c r="L87" i="1"/>
  <c r="P86" i="1"/>
  <c r="O86" i="1"/>
  <c r="M86" i="1"/>
  <c r="L86" i="1"/>
  <c r="P85" i="1"/>
  <c r="O85" i="1"/>
  <c r="M85" i="1"/>
  <c r="L85" i="1"/>
  <c r="P84" i="1"/>
  <c r="O84" i="1"/>
  <c r="M84" i="1"/>
  <c r="L84" i="1"/>
  <c r="P83" i="1"/>
  <c r="O83" i="1"/>
  <c r="M83" i="1"/>
  <c r="L83" i="1"/>
  <c r="P82" i="1"/>
  <c r="O82" i="1"/>
  <c r="M82" i="1"/>
  <c r="L82" i="1"/>
  <c r="P81" i="1"/>
  <c r="O81" i="1"/>
  <c r="M81" i="1"/>
  <c r="L81" i="1"/>
  <c r="P80" i="1"/>
  <c r="O80" i="1"/>
  <c r="M80" i="1"/>
  <c r="L80" i="1"/>
  <c r="P79" i="1"/>
  <c r="O79" i="1"/>
  <c r="M79" i="1"/>
  <c r="L79" i="1"/>
  <c r="P78" i="1"/>
  <c r="O78" i="1"/>
  <c r="M78" i="1"/>
  <c r="L78" i="1"/>
  <c r="P77" i="1"/>
  <c r="O77" i="1"/>
  <c r="P76" i="1"/>
  <c r="O76" i="1"/>
  <c r="M76" i="1"/>
  <c r="L76" i="1"/>
  <c r="P75" i="1"/>
  <c r="O75" i="1"/>
  <c r="M75" i="1"/>
  <c r="L75" i="1"/>
  <c r="P74" i="1"/>
  <c r="O74" i="1"/>
  <c r="M74" i="1"/>
  <c r="L74" i="1"/>
  <c r="P73" i="1"/>
  <c r="O73" i="1"/>
  <c r="M73" i="1"/>
  <c r="L73" i="1"/>
  <c r="P72" i="1"/>
  <c r="O72" i="1"/>
  <c r="M72" i="1"/>
  <c r="L72" i="1"/>
  <c r="P71" i="1"/>
  <c r="O71" i="1"/>
  <c r="M71" i="1"/>
  <c r="L71" i="1"/>
  <c r="P70" i="1"/>
  <c r="O70" i="1"/>
  <c r="M70" i="1"/>
  <c r="L70" i="1"/>
  <c r="P69" i="1"/>
  <c r="O69" i="1"/>
  <c r="M69" i="1"/>
  <c r="L69" i="1"/>
  <c r="P68" i="1"/>
  <c r="O68" i="1"/>
  <c r="M68" i="1"/>
  <c r="L68" i="1"/>
  <c r="P67" i="1"/>
  <c r="O67" i="1"/>
  <c r="M67" i="1"/>
  <c r="L67" i="1"/>
  <c r="P66" i="1"/>
  <c r="O66" i="1"/>
  <c r="M66" i="1"/>
  <c r="L66" i="1"/>
  <c r="P65" i="1"/>
  <c r="O65" i="1"/>
  <c r="M65" i="1"/>
  <c r="L65" i="1"/>
  <c r="P64" i="1"/>
  <c r="O64" i="1"/>
  <c r="M64" i="1"/>
  <c r="L64" i="1"/>
  <c r="P63" i="1"/>
  <c r="O63" i="1"/>
  <c r="M63" i="1"/>
  <c r="L63" i="1"/>
  <c r="P62" i="1"/>
  <c r="O62" i="1"/>
  <c r="M62" i="1"/>
  <c r="L62" i="1"/>
  <c r="P61" i="1"/>
  <c r="O61" i="1"/>
  <c r="M61" i="1"/>
  <c r="L61" i="1"/>
  <c r="P60" i="1"/>
  <c r="O60" i="1"/>
  <c r="M60" i="1"/>
  <c r="L60" i="1"/>
  <c r="BD59" i="1"/>
  <c r="P59" i="1"/>
  <c r="O59" i="1"/>
  <c r="M59" i="1"/>
  <c r="L59" i="1"/>
  <c r="P58" i="1"/>
  <c r="O58" i="1"/>
  <c r="M58" i="1"/>
  <c r="L58" i="1"/>
  <c r="P57" i="1"/>
  <c r="O57" i="1"/>
  <c r="M57" i="1"/>
  <c r="L57" i="1"/>
  <c r="P56" i="1"/>
  <c r="O56" i="1"/>
  <c r="M56" i="1"/>
  <c r="L56" i="1"/>
  <c r="P55" i="1"/>
  <c r="O55" i="1"/>
  <c r="M55" i="1"/>
  <c r="L55" i="1"/>
  <c r="P54" i="1"/>
  <c r="O54" i="1"/>
  <c r="M54" i="1"/>
  <c r="L54" i="1"/>
  <c r="P53" i="1"/>
  <c r="O53" i="1"/>
  <c r="M53" i="1"/>
  <c r="L53" i="1"/>
  <c r="AQ52" i="1"/>
  <c r="P52" i="1"/>
  <c r="O52" i="1"/>
  <c r="M52" i="1"/>
  <c r="L52" i="1"/>
  <c r="P51" i="1"/>
  <c r="O51" i="1"/>
  <c r="M51" i="1"/>
  <c r="L51" i="1"/>
  <c r="P50" i="1"/>
  <c r="O50" i="1"/>
  <c r="M50" i="1"/>
  <c r="L50" i="1"/>
  <c r="P49" i="1"/>
  <c r="O49" i="1"/>
  <c r="M49" i="1"/>
  <c r="L49" i="1"/>
  <c r="P48" i="1"/>
  <c r="O48" i="1"/>
  <c r="M48" i="1"/>
  <c r="L48" i="1"/>
  <c r="P47" i="1"/>
  <c r="O47" i="1"/>
  <c r="M47" i="1"/>
  <c r="L47" i="1"/>
  <c r="P46" i="1"/>
  <c r="O46" i="1"/>
  <c r="M46" i="1"/>
  <c r="L46" i="1"/>
  <c r="P45" i="1"/>
  <c r="O45" i="1"/>
  <c r="M45" i="1"/>
  <c r="L45" i="1"/>
  <c r="P44" i="1"/>
  <c r="O44" i="1"/>
  <c r="M44" i="1"/>
  <c r="L44" i="1"/>
  <c r="P43" i="1"/>
  <c r="O43" i="1"/>
  <c r="M43" i="1"/>
  <c r="L43" i="1"/>
  <c r="P42" i="1"/>
  <c r="O42" i="1"/>
  <c r="M42" i="1"/>
  <c r="L42" i="1"/>
  <c r="P41" i="1"/>
  <c r="O41" i="1"/>
  <c r="M41" i="1"/>
  <c r="L41" i="1"/>
  <c r="P40" i="1"/>
  <c r="O40" i="1"/>
  <c r="M40" i="1"/>
  <c r="L40" i="1"/>
  <c r="P39" i="1"/>
  <c r="O39" i="1"/>
  <c r="M39" i="1"/>
  <c r="L39" i="1"/>
  <c r="P38" i="1"/>
  <c r="O38" i="1"/>
  <c r="M38" i="1"/>
  <c r="L38" i="1"/>
  <c r="P35" i="1"/>
  <c r="O35" i="1"/>
  <c r="M35" i="1"/>
  <c r="L35" i="1"/>
  <c r="P34" i="1"/>
  <c r="O34" i="1"/>
  <c r="M34" i="1"/>
  <c r="L34" i="1"/>
  <c r="P33" i="1"/>
  <c r="O33" i="1"/>
  <c r="M33" i="1"/>
  <c r="L33" i="1"/>
  <c r="P32" i="1"/>
  <c r="O32" i="1"/>
  <c r="M32" i="1"/>
  <c r="L32" i="1"/>
  <c r="P31" i="1"/>
  <c r="O31" i="1"/>
  <c r="M31" i="1"/>
  <c r="L31" i="1"/>
  <c r="P30" i="1"/>
  <c r="O30" i="1"/>
  <c r="M30" i="1"/>
  <c r="L30" i="1"/>
  <c r="P29" i="1"/>
  <c r="O29" i="1"/>
  <c r="M29" i="1"/>
  <c r="L29" i="1"/>
  <c r="P28" i="1"/>
  <c r="O28" i="1"/>
  <c r="P27" i="1"/>
  <c r="O27" i="1"/>
  <c r="M27" i="1"/>
  <c r="L27" i="1"/>
  <c r="P26" i="1"/>
  <c r="O26" i="1"/>
  <c r="M26" i="1"/>
  <c r="L26" i="1"/>
  <c r="P25" i="1"/>
  <c r="O25" i="1"/>
  <c r="M25" i="1"/>
  <c r="L25" i="1"/>
  <c r="P24" i="1"/>
  <c r="O24" i="1"/>
  <c r="M24" i="1"/>
  <c r="L24" i="1"/>
  <c r="P23" i="1"/>
  <c r="O23" i="1"/>
  <c r="M23" i="1"/>
  <c r="L23" i="1"/>
  <c r="P22" i="1"/>
  <c r="O22" i="1"/>
  <c r="M22" i="1"/>
  <c r="L22" i="1"/>
  <c r="P21" i="1"/>
  <c r="O21" i="1"/>
  <c r="M21" i="1"/>
  <c r="L21" i="1"/>
  <c r="P20" i="1"/>
  <c r="O20" i="1"/>
  <c r="M20" i="1"/>
  <c r="L20" i="1"/>
  <c r="P19" i="1"/>
  <c r="O19" i="1"/>
  <c r="M19" i="1"/>
  <c r="L19" i="1"/>
  <c r="P18" i="1"/>
  <c r="O18" i="1"/>
  <c r="M18" i="1"/>
  <c r="L18" i="1"/>
  <c r="P17" i="1"/>
  <c r="O17" i="1"/>
  <c r="M17" i="1"/>
  <c r="L17" i="1"/>
  <c r="P16" i="1"/>
  <c r="O16" i="1"/>
  <c r="M16" i="1"/>
  <c r="L16" i="1"/>
  <c r="P15" i="1"/>
  <c r="O15" i="1"/>
  <c r="M15" i="1"/>
  <c r="L15" i="1"/>
  <c r="P14" i="1"/>
  <c r="O14" i="1"/>
  <c r="M14" i="1"/>
  <c r="L14" i="1"/>
  <c r="P13" i="1"/>
  <c r="O13" i="1"/>
  <c r="M13" i="1"/>
  <c r="L13" i="1"/>
  <c r="P12" i="1"/>
  <c r="O12" i="1"/>
  <c r="M12" i="1"/>
  <c r="L12" i="1"/>
  <c r="P11" i="1"/>
  <c r="O11" i="1"/>
  <c r="M11" i="1"/>
  <c r="L11" i="1"/>
  <c r="P10" i="1"/>
  <c r="O10" i="1"/>
  <c r="M10" i="1"/>
  <c r="L10" i="1"/>
  <c r="P9" i="1"/>
  <c r="O9" i="1"/>
  <c r="M9" i="1"/>
  <c r="L9" i="1"/>
  <c r="P8" i="1"/>
  <c r="O8" i="1"/>
  <c r="M8" i="1"/>
  <c r="L8" i="1"/>
  <c r="P7" i="1"/>
  <c r="O7" i="1"/>
  <c r="M7" i="1"/>
  <c r="L7" i="1"/>
  <c r="P6" i="1"/>
  <c r="O6" i="1"/>
  <c r="M6" i="1"/>
  <c r="L6" i="1"/>
  <c r="P5" i="1"/>
  <c r="O5" i="1"/>
  <c r="M5" i="1"/>
  <c r="L5" i="1"/>
  <c r="P4" i="1"/>
  <c r="O4" i="1"/>
  <c r="M4" i="1"/>
  <c r="L4" i="1"/>
  <c r="P3" i="1"/>
  <c r="O3" i="1"/>
  <c r="M3" i="1"/>
  <c r="L3" i="1"/>
  <c r="P2" i="1"/>
  <c r="O2" i="1"/>
  <c r="M2" i="1"/>
  <c r="L2" i="1"/>
</calcChain>
</file>

<file path=xl/sharedStrings.xml><?xml version="1.0" encoding="utf-8"?>
<sst xmlns="http://schemas.openxmlformats.org/spreadsheetml/2006/main" count="21236" uniqueCount="3962">
  <si>
    <t>Nom</t>
  </si>
  <si>
    <t>Prénom ou les prénoms</t>
  </si>
  <si>
    <t>Random-No</t>
  </si>
  <si>
    <t>Langue</t>
  </si>
  <si>
    <t>Nationalité</t>
  </si>
  <si>
    <t>Adresse</t>
  </si>
  <si>
    <t>Code _x000D_
postale</t>
  </si>
  <si>
    <t>Localité</t>
  </si>
  <si>
    <t>code courrier</t>
  </si>
  <si>
    <t>_x000D_
 courrier ???</t>
  </si>
  <si>
    <t>AL Cat</t>
  </si>
  <si>
    <t>Nei CAT</t>
  </si>
  <si>
    <t>Catégorie interne Mersch75 2026-2027</t>
  </si>
  <si>
    <t>Al Cat</t>
  </si>
  <si>
    <t>Nei Cat</t>
  </si>
  <si>
    <t>Catégorie Listing _x000D_
FLH 2026-2027</t>
  </si>
  <si>
    <t>Etudiant</t>
  </si>
  <si>
    <t>U17H</t>
  </si>
  <si>
    <t>U15H</t>
  </si>
  <si>
    <t>U13H</t>
  </si>
  <si>
    <t>U11M</t>
  </si>
  <si>
    <t>U9M</t>
  </si>
  <si>
    <t>U7M</t>
  </si>
  <si>
    <t>U17F</t>
  </si>
  <si>
    <t>U15F</t>
  </si>
  <si>
    <t>U13F</t>
  </si>
  <si>
    <t>Pass Nummer (Licences Joueurs / Joueuses)</t>
  </si>
  <si>
    <t>Licences Off (officiels)</t>
  </si>
  <si>
    <t>Licences ZS (secrétaires / chronométreurs)</t>
  </si>
  <si>
    <t>Licences SR (arbitre)</t>
  </si>
  <si>
    <t>Licences CL (Carte de Légitimation)</t>
  </si>
  <si>
    <t>Commentaires &amp; changements (Secrétaire)</t>
  </si>
  <si>
    <t xml:space="preserve">Transfert à faire en fin de saison </t>
  </si>
  <si>
    <t>Date début_x000D_
licence (JJ/MM/AA)</t>
  </si>
  <si>
    <t>date début membre (JJ/MM/AA)</t>
  </si>
  <si>
    <t>Prochain _x000D_
Médico</t>
  </si>
  <si>
    <t>Naissance (JJ/MM/AA)</t>
  </si>
  <si>
    <t>Matricule</t>
  </si>
  <si>
    <t>Lieu et pays de naissance seulement membre comité</t>
  </si>
  <si>
    <t>Tél.</t>
  </si>
  <si>
    <t>Tél.-Bureau</t>
  </si>
  <si>
    <t>GSM</t>
  </si>
  <si>
    <t>Email</t>
  </si>
  <si>
    <t>Communicateur</t>
  </si>
  <si>
    <t>Membres commission des jeunes</t>
  </si>
  <si>
    <t>Cat_Arbitre</t>
  </si>
  <si>
    <t>Comité</t>
  </si>
  <si>
    <t>Officiel</t>
  </si>
  <si>
    <t>FLH</t>
  </si>
  <si>
    <t>Entraîneur Diplôme</t>
  </si>
  <si>
    <t>cat _x000D_
cot _x000D_
19-20</t>
  </si>
  <si>
    <t>cat   cot   20-21</t>
  </si>
  <si>
    <t>envoi1 cot_x000D_
 19-20</t>
  </si>
  <si>
    <t>envoi2 cot _x000D_
19-20</t>
  </si>
  <si>
    <t>carte membre 19-20</t>
  </si>
  <si>
    <t>pmt cot 19-20</t>
  </si>
  <si>
    <t>rappel impayes 2019-20</t>
  </si>
  <si>
    <t>comment Cot 19-20</t>
  </si>
  <si>
    <t>pmt cot 20-21</t>
  </si>
  <si>
    <t>rappel impayes 2020-21</t>
  </si>
  <si>
    <t>comment Cot 20-21</t>
  </si>
  <si>
    <t>pmt   cot   21-22</t>
  </si>
  <si>
    <t>rappel impayes 2021-22</t>
  </si>
  <si>
    <t>comment Cot 21-22</t>
  </si>
  <si>
    <t>Go      2 Sports</t>
  </si>
  <si>
    <t xml:space="preserve">subs. etat 2018_x000D_
</t>
  </si>
  <si>
    <t>Subside Etat 2018</t>
  </si>
  <si>
    <t>Subside Etat 2019</t>
  </si>
  <si>
    <t>Subside Etat 2020</t>
  </si>
  <si>
    <t>Commentaires 2021/22</t>
  </si>
  <si>
    <t>AAMODT</t>
  </si>
  <si>
    <t>Astrid</t>
  </si>
  <si>
    <t>FR</t>
  </si>
  <si>
    <t>franco - luxembourgeoise</t>
  </si>
  <si>
    <t xml:space="preserve">29, rue Paul Eyschen </t>
  </si>
  <si>
    <t>L-7317</t>
  </si>
  <si>
    <t>Mullendorf</t>
  </si>
  <si>
    <t>F96</t>
  </si>
  <si>
    <t xml:space="preserve"> ///</t>
  </si>
  <si>
    <t>NA</t>
  </si>
  <si>
    <t>aamodtastrid@gmail.com</t>
  </si>
  <si>
    <t>AGOVIC</t>
  </si>
  <si>
    <t>Ajscla</t>
  </si>
  <si>
    <t>DE</t>
  </si>
  <si>
    <t>allemande</t>
  </si>
  <si>
    <t>9, An der Gässel</t>
  </si>
  <si>
    <t>L-9452</t>
  </si>
  <si>
    <t>Bettel</t>
  </si>
  <si>
    <t>F94</t>
  </si>
  <si>
    <t>c</t>
  </si>
  <si>
    <t>661 330 110</t>
  </si>
  <si>
    <t>fam</t>
  </si>
  <si>
    <t>no mail ad</t>
  </si>
  <si>
    <t>g-1</t>
  </si>
  <si>
    <t>AGREBI</t>
  </si>
  <si>
    <t>Myriam</t>
  </si>
  <si>
    <t>luxembourgeoise</t>
  </si>
  <si>
    <t>7, rue Gruenewald</t>
  </si>
  <si>
    <t>L-7392</t>
  </si>
  <si>
    <t>Blaschette</t>
  </si>
  <si>
    <t>F141</t>
  </si>
  <si>
    <t>agrebimyriam@hotmail.com</t>
  </si>
  <si>
    <t>AKIKAWA</t>
  </si>
  <si>
    <t>Kotaro</t>
  </si>
  <si>
    <t>EN</t>
  </si>
  <si>
    <t>japonaise</t>
  </si>
  <si>
    <t>32, rue de Diekirch</t>
  </si>
  <si>
    <t>L-7441</t>
  </si>
  <si>
    <t>Lintgen</t>
  </si>
  <si>
    <t>F103</t>
  </si>
  <si>
    <t>ka8084a@gmail.com</t>
  </si>
  <si>
    <t>Marie</t>
  </si>
  <si>
    <t>L-7440</t>
  </si>
  <si>
    <t>j</t>
  </si>
  <si>
    <t>401105</t>
  </si>
  <si>
    <t>2018 05 19 044 82</t>
  </si>
  <si>
    <t>621 218 818 (père)</t>
  </si>
  <si>
    <t>621 174 806 (mère)</t>
  </si>
  <si>
    <t>minao310@gmail.com</t>
  </si>
  <si>
    <t>Minao</t>
  </si>
  <si>
    <t>L-7442</t>
  </si>
  <si>
    <t>ALMEIDA</t>
  </si>
  <si>
    <t>Frederico</t>
  </si>
  <si>
    <t>portugaise</t>
  </si>
  <si>
    <t>56, rue Scheerbach</t>
  </si>
  <si>
    <t>L-7625</t>
  </si>
  <si>
    <t>Heffingen</t>
  </si>
  <si>
    <t>F153</t>
  </si>
  <si>
    <t>ALVES DOS SANTOS</t>
  </si>
  <si>
    <t>Marlène</t>
  </si>
  <si>
    <t>91, rue d'Arlon</t>
  </si>
  <si>
    <t>L-7513</t>
  </si>
  <si>
    <t>Mersch</t>
  </si>
  <si>
    <t>F108</t>
  </si>
  <si>
    <t>691 883 012</t>
  </si>
  <si>
    <t xml:space="preserve">marlene_alves_6@hotmail.com </t>
  </si>
  <si>
    <t>25/09/19</t>
  </si>
  <si>
    <t>pas envoi</t>
  </si>
  <si>
    <t>i1</t>
  </si>
  <si>
    <t>pi</t>
  </si>
  <si>
    <t xml:space="preserve">AMADOR FORTES  </t>
  </si>
  <si>
    <t>Fabio Daniel</t>
  </si>
  <si>
    <t>4, rue du Kockelberg</t>
  </si>
  <si>
    <t>L-9252</t>
  </si>
  <si>
    <t>Diekirch</t>
  </si>
  <si>
    <t>Seul</t>
  </si>
  <si>
    <t>402064</t>
  </si>
  <si>
    <t>2001 10 04 044 79</t>
  </si>
  <si>
    <t>fabioamador2001@gmail.com</t>
  </si>
  <si>
    <t>ANDRIEN</t>
  </si>
  <si>
    <t>Morgane</t>
  </si>
  <si>
    <t>68, rue d'Arlon</t>
  </si>
  <si>
    <t>L-7415</t>
  </si>
  <si>
    <t>Brouch</t>
  </si>
  <si>
    <t>F119</t>
  </si>
  <si>
    <t>xxx</t>
  </si>
  <si>
    <t>2020 09 04 005 85</t>
  </si>
  <si>
    <t>691 539 588 (mère)</t>
  </si>
  <si>
    <t>vasari.mendy@hotmail.com</t>
  </si>
  <si>
    <t>ANSAY</t>
  </si>
  <si>
    <t>Luka</t>
  </si>
  <si>
    <t>Belgo-Franco-Lux</t>
  </si>
  <si>
    <t>1, Medernacherstrooss</t>
  </si>
  <si>
    <t>L-9366</t>
  </si>
  <si>
    <t>Ermsdorf</t>
  </si>
  <si>
    <t>100687</t>
  </si>
  <si>
    <t>2001 05 12 035 29</t>
  </si>
  <si>
    <t>26 84 00 84</t>
  </si>
  <si>
    <t>621 219 668</t>
  </si>
  <si>
    <t>ansay.luka@gmail.com</t>
  </si>
  <si>
    <t>Mathis</t>
  </si>
  <si>
    <t>100716</t>
  </si>
  <si>
    <t>2005 05 04 094 50</t>
  </si>
  <si>
    <t>671 040 505</t>
  </si>
  <si>
    <t>ansay.p.a.mathis@gmail.com</t>
  </si>
  <si>
    <t>ANTHONSEN</t>
  </si>
  <si>
    <t>Laura</t>
  </si>
  <si>
    <t>6, rue Basse</t>
  </si>
  <si>
    <t>L-8313</t>
  </si>
  <si>
    <t>Capellen</t>
  </si>
  <si>
    <t>F156</t>
  </si>
  <si>
    <t>403860</t>
  </si>
  <si>
    <t>nouvelle licence 26/27</t>
  </si>
  <si>
    <t>2016 04 22 063 60</t>
  </si>
  <si>
    <t>691 348 144 (père)</t>
  </si>
  <si>
    <t>691 151 731 (mère)</t>
  </si>
  <si>
    <t>celgrun@gmail.com</t>
  </si>
  <si>
    <t>Rasmus Meier</t>
  </si>
  <si>
    <t>ANTUNES BERNARDINO</t>
  </si>
  <si>
    <t>Marco</t>
  </si>
  <si>
    <t>7E, rue de Brouch</t>
  </si>
  <si>
    <t>L-7596</t>
  </si>
  <si>
    <t>Reckange / Mersch</t>
  </si>
  <si>
    <t>F101</t>
  </si>
  <si>
    <t>antunesmarco@outlook.com</t>
  </si>
  <si>
    <t>ANTUNES CLOOS</t>
  </si>
  <si>
    <t>Keo</t>
  </si>
  <si>
    <t>402185</t>
  </si>
  <si>
    <t>2014 08 12 001 68</t>
  </si>
  <si>
    <t>621 430 204 (père)</t>
  </si>
  <si>
    <t>661 699 000 (mère)</t>
  </si>
  <si>
    <t>branckaert.vanessa@hotmail.fr</t>
  </si>
  <si>
    <t>ARENO</t>
  </si>
  <si>
    <t>Camille</t>
  </si>
  <si>
    <t>5, rue Père Bettendorff</t>
  </si>
  <si>
    <t>L-7458</t>
  </si>
  <si>
    <t>F52</t>
  </si>
  <si>
    <t>401397</t>
  </si>
  <si>
    <t xml:space="preserve"> </t>
  </si>
  <si>
    <t>2015 10 05 022 66</t>
  </si>
  <si>
    <t>yschroeder@hotmail.com</t>
  </si>
  <si>
    <t>Gilles</t>
  </si>
  <si>
    <t>Matis</t>
  </si>
  <si>
    <t>401434</t>
  </si>
  <si>
    <t>2017 04 26 002 90</t>
  </si>
  <si>
    <t>ARSENIJEVIC</t>
  </si>
  <si>
    <t>Katarina</t>
  </si>
  <si>
    <t>Serbe</t>
  </si>
  <si>
    <t>2, rue de Gosseldange</t>
  </si>
  <si>
    <t>L-7536</t>
  </si>
  <si>
    <t>F120</t>
  </si>
  <si>
    <t>Sara</t>
  </si>
  <si>
    <t>402861</t>
  </si>
  <si>
    <t>nouvelle licence 25/26</t>
  </si>
  <si>
    <t>2014 07 28 007 67</t>
  </si>
  <si>
    <t>srecko83z@gmail.com</t>
  </si>
  <si>
    <t>Sofija</t>
  </si>
  <si>
    <t>L-7537</t>
  </si>
  <si>
    <t>403011</t>
  </si>
  <si>
    <t>2016 11 18 001 30</t>
  </si>
  <si>
    <t>Srecko</t>
  </si>
  <si>
    <t>ASSEL</t>
  </si>
  <si>
    <t>Leo</t>
  </si>
  <si>
    <t>1, rue Albert Lentz</t>
  </si>
  <si>
    <t>L-7593</t>
  </si>
  <si>
    <t>Beringen</t>
  </si>
  <si>
    <t>AJ-GL</t>
  </si>
  <si>
    <t>NO</t>
  </si>
  <si>
    <t>401390</t>
  </si>
  <si>
    <t>nouvelle licence / Arrêt reste Saison</t>
  </si>
  <si>
    <t>2016 03 14 002 57</t>
  </si>
  <si>
    <t>661 756 759 (père)</t>
  </si>
  <si>
    <t>paul.assel@education.lu</t>
  </si>
  <si>
    <t xml:space="preserve">BARBIER </t>
  </si>
  <si>
    <t>Mickaël</t>
  </si>
  <si>
    <t>Française</t>
  </si>
  <si>
    <t>12, rue de l'Eglise</t>
  </si>
  <si>
    <t>L-7447</t>
  </si>
  <si>
    <t>F19</t>
  </si>
  <si>
    <t>1988 11 08 731 38</t>
  </si>
  <si>
    <t>mickael.barbier.ieseg@gmail.com</t>
  </si>
  <si>
    <t>BARBIER VILA</t>
  </si>
  <si>
    <t xml:space="preserve">Alex </t>
  </si>
  <si>
    <t>Française-Espagnole</t>
  </si>
  <si>
    <t>L-7446</t>
  </si>
  <si>
    <t>401333</t>
  </si>
  <si>
    <t>2020 12 16 004 23</t>
  </si>
  <si>
    <t>691 577 634 (père)</t>
  </si>
  <si>
    <t>691 843 599 (mère)</t>
  </si>
  <si>
    <t>BARBOSA RODRIGUES</t>
  </si>
  <si>
    <t>Fabiana</t>
  </si>
  <si>
    <t>portuguaise</t>
  </si>
  <si>
    <t>24, an der Uecht</t>
  </si>
  <si>
    <t>L-7713</t>
  </si>
  <si>
    <t>Welsdorf</t>
  </si>
  <si>
    <t>Femmes</t>
  </si>
  <si>
    <t>100428</t>
  </si>
  <si>
    <t>1993 27 04 546 43</t>
  </si>
  <si>
    <t>691 594 372</t>
  </si>
  <si>
    <t>fb27041993@gmail.com</t>
  </si>
  <si>
    <t>s</t>
  </si>
  <si>
    <t>19/11/19</t>
  </si>
  <si>
    <t>BATLEY</t>
  </si>
  <si>
    <t>Storm</t>
  </si>
  <si>
    <t>Danoise</t>
  </si>
  <si>
    <t>14, rue des Roses</t>
  </si>
  <si>
    <t>L-8263</t>
  </si>
  <si>
    <t>Mamer</t>
  </si>
  <si>
    <t>401424</t>
  </si>
  <si>
    <t>2013 01 11 352 29</t>
  </si>
  <si>
    <t>661 810 607 (mère)</t>
  </si>
  <si>
    <t>christinabatley@hotmail.com</t>
  </si>
  <si>
    <t>BAUER</t>
  </si>
  <si>
    <t>Philippe</t>
  </si>
  <si>
    <t>6, Schéissbierg</t>
  </si>
  <si>
    <t>L-8705</t>
  </si>
  <si>
    <t>Useldange</t>
  </si>
  <si>
    <t>402162</t>
  </si>
  <si>
    <t>2022 06 15 009 81</t>
  </si>
  <si>
    <t>691 568 600 (père)</t>
  </si>
  <si>
    <t>621 783 377 (mère)</t>
  </si>
  <si>
    <t>cameleon.engage@yahoo.de</t>
  </si>
  <si>
    <t>René</t>
  </si>
  <si>
    <t>402161</t>
  </si>
  <si>
    <t>nouvelle licence 24/26</t>
  </si>
  <si>
    <t>2020 02 24 002 84</t>
  </si>
  <si>
    <t>BAULER</t>
  </si>
  <si>
    <t>Chloé</t>
  </si>
  <si>
    <t>17, rue Gustave Wilhelmy</t>
  </si>
  <si>
    <t>L-7558</t>
  </si>
  <si>
    <t>Rollingen/Mersch</t>
  </si>
  <si>
    <t>401101</t>
  </si>
  <si>
    <t>2015 12 04 003 59</t>
  </si>
  <si>
    <t>621 661 292 (père)</t>
  </si>
  <si>
    <t>691 798 219 (mère)</t>
  </si>
  <si>
    <t>baulerlaurent@gmail.com</t>
  </si>
  <si>
    <t>BAURAIN</t>
  </si>
  <si>
    <t>Auguste</t>
  </si>
  <si>
    <t>francaise</t>
  </si>
  <si>
    <t>45, rue de l'Ecole</t>
  </si>
  <si>
    <t>L-7445</t>
  </si>
  <si>
    <t>F29</t>
  </si>
  <si>
    <t>401375</t>
  </si>
  <si>
    <t>2020 04 12 011 14</t>
  </si>
  <si>
    <t>621 730 690 (père)</t>
  </si>
  <si>
    <t>691 992 270 (mère)</t>
  </si>
  <si>
    <t>maxime.baurain@outlook.com</t>
  </si>
  <si>
    <t>1989 02 21 567 48</t>
  </si>
  <si>
    <t>camille.fumery@gmail.com</t>
  </si>
  <si>
    <t>Maxime</t>
  </si>
  <si>
    <t>1986 01 27 779 33</t>
  </si>
  <si>
    <t>BEAUME</t>
  </si>
  <si>
    <t>Yannick</t>
  </si>
  <si>
    <t>8, rue Ahlheck</t>
  </si>
  <si>
    <t>L-7511</t>
  </si>
  <si>
    <t>400130</t>
  </si>
  <si>
    <t>2010 12 08 118 25</t>
  </si>
  <si>
    <t>26 32 07 08</t>
  </si>
  <si>
    <t>691 815 077 (père)</t>
  </si>
  <si>
    <t>691 436 498 (mère)</t>
  </si>
  <si>
    <t>carmenbouche@hotmail.com</t>
  </si>
  <si>
    <t>50A</t>
  </si>
  <si>
    <t>BECKER - REDING</t>
  </si>
  <si>
    <t>Laurence</t>
  </si>
  <si>
    <t>18, rue Michel Stoffel</t>
  </si>
  <si>
    <t>L-7793</t>
  </si>
  <si>
    <t>Bissen</t>
  </si>
  <si>
    <t>F57</t>
  </si>
  <si>
    <t>85 93 74</t>
  </si>
  <si>
    <t>621 793 741</t>
  </si>
  <si>
    <t>redinglau@hotmail.com</t>
  </si>
  <si>
    <t>BEGIC</t>
  </si>
  <si>
    <t>Belma</t>
  </si>
  <si>
    <t>10,rue Fernand Schwachtgen</t>
  </si>
  <si>
    <t>L-7538</t>
  </si>
  <si>
    <t>F90</t>
  </si>
  <si>
    <t>begicbelma@hotmail.com</t>
  </si>
  <si>
    <t>Sanel</t>
  </si>
  <si>
    <t>Taira</t>
  </si>
  <si>
    <t>402844</t>
  </si>
  <si>
    <t>2017 05 29 025 67</t>
  </si>
  <si>
    <t>661 798 179 (père)</t>
  </si>
  <si>
    <t>621 367 930 (mère)</t>
  </si>
  <si>
    <t>BENEKE</t>
  </si>
  <si>
    <t>Finn</t>
  </si>
  <si>
    <t>41d, rue de Mamer</t>
  </si>
  <si>
    <t>L-8280</t>
  </si>
  <si>
    <t>Kehlen</t>
  </si>
  <si>
    <t>F144</t>
  </si>
  <si>
    <t>402949</t>
  </si>
  <si>
    <t xml:space="preserve">nouvelle licence 25/26 </t>
  </si>
  <si>
    <t>2012 03 13 038 45</t>
  </si>
  <si>
    <t>benetim@pt.lu</t>
  </si>
  <si>
    <t>Tim</t>
  </si>
  <si>
    <t>BERCHEM</t>
  </si>
  <si>
    <t>Alex</t>
  </si>
  <si>
    <t>23, rte Principale</t>
  </si>
  <si>
    <t>L-7450</t>
  </si>
  <si>
    <t>400463</t>
  </si>
  <si>
    <t>2016 03 28 007 84</t>
  </si>
  <si>
    <t>621 756 305 (mère)</t>
  </si>
  <si>
    <t>nathalie_berchem@hotmail.com</t>
  </si>
  <si>
    <t>BERLIN</t>
  </si>
  <si>
    <t>Andreas</t>
  </si>
  <si>
    <t>8, Op der Diert</t>
  </si>
  <si>
    <t>L-6124</t>
  </si>
  <si>
    <t>Junglinster</t>
  </si>
  <si>
    <t>F75</t>
  </si>
  <si>
    <t>molitort@pt.lu</t>
  </si>
  <si>
    <t>Maximilian</t>
  </si>
  <si>
    <t>400802</t>
  </si>
  <si>
    <t>2013 07 29 097 79</t>
  </si>
  <si>
    <t>621 488 080 (père)</t>
  </si>
  <si>
    <t>661 810 220 (mère)</t>
  </si>
  <si>
    <t>BERTEMES</t>
  </si>
  <si>
    <t>Jean-Paul</t>
  </si>
  <si>
    <t>47a,rue de Kehlen</t>
  </si>
  <si>
    <t>L-8295</t>
  </si>
  <si>
    <t>Keispelt</t>
  </si>
  <si>
    <t>F127</t>
  </si>
  <si>
    <t>jhempb@yahoo.com</t>
  </si>
  <si>
    <t>Milo</t>
  </si>
  <si>
    <t>402529</t>
  </si>
  <si>
    <t>2015 08 13 009 70</t>
  </si>
  <si>
    <t>691 687 347 (père)</t>
  </si>
  <si>
    <t>691 238 288 (mère)</t>
  </si>
  <si>
    <t>BERTHEZENE</t>
  </si>
  <si>
    <t>Clement</t>
  </si>
  <si>
    <t>française</t>
  </si>
  <si>
    <t>113, route de Luxembourg</t>
  </si>
  <si>
    <t>L-7241</t>
  </si>
  <si>
    <t xml:space="preserve">Walferdange </t>
  </si>
  <si>
    <t>402063</t>
  </si>
  <si>
    <t>2000 02 23 022 12</t>
  </si>
  <si>
    <t>0679 576 916</t>
  </si>
  <si>
    <t>clem.berthezene@gmail.com</t>
  </si>
  <si>
    <t>BETTENDROFFER</t>
  </si>
  <si>
    <t>Corinne</t>
  </si>
  <si>
    <t>2a, rue Hurkes</t>
  </si>
  <si>
    <t>L-7591</t>
  </si>
  <si>
    <t>040497</t>
  </si>
  <si>
    <t>1984 06 27 244 57</t>
  </si>
  <si>
    <t xml:space="preserve">691 290 109 </t>
  </si>
  <si>
    <t>bcorinne84@yahoo.com</t>
  </si>
  <si>
    <t>Isabelle</t>
  </si>
  <si>
    <t>7b, rue Principale</t>
  </si>
  <si>
    <t>L-7595</t>
  </si>
  <si>
    <t>Reckange</t>
  </si>
  <si>
    <t>400918</t>
  </si>
  <si>
    <t>1985 07 21 028 69</t>
  </si>
  <si>
    <t>691 831 618</t>
  </si>
  <si>
    <t>BINCK</t>
  </si>
  <si>
    <t>Vicky</t>
  </si>
  <si>
    <t>23, rue du Château</t>
  </si>
  <si>
    <t>L-7473</t>
  </si>
  <si>
    <t>Schoenfels</t>
  </si>
  <si>
    <t>F135</t>
  </si>
  <si>
    <t>vickybinck@hotmail.com</t>
  </si>
  <si>
    <t>BINGEN</t>
  </si>
  <si>
    <t>Dani</t>
  </si>
  <si>
    <t>11, Am Letschert</t>
  </si>
  <si>
    <t>L-8711</t>
  </si>
  <si>
    <t>Boevange/Attert</t>
  </si>
  <si>
    <t>F15</t>
  </si>
  <si>
    <t>401396</t>
  </si>
  <si>
    <t>2017 05 14 001 49</t>
  </si>
  <si>
    <t>691 839 545</t>
  </si>
  <si>
    <t>Bingenfrank@hotmail.com</t>
  </si>
  <si>
    <t>Fränk</t>
  </si>
  <si>
    <t>100068</t>
  </si>
  <si>
    <t xml:space="preserve">Médico inapte temporairement </t>
  </si>
  <si>
    <t>1983 08 10 156 92</t>
  </si>
  <si>
    <t>S</t>
  </si>
  <si>
    <t>5.2</t>
  </si>
  <si>
    <t>BINICHAKI</t>
  </si>
  <si>
    <t>Ionna</t>
  </si>
  <si>
    <t>anglaise</t>
  </si>
  <si>
    <t>29c, rue de Luxembourg</t>
  </si>
  <si>
    <t>L-7540</t>
  </si>
  <si>
    <t>F10</t>
  </si>
  <si>
    <t xml:space="preserve">1987 02 28 689 16 </t>
  </si>
  <si>
    <t>binixaki@gmail.com</t>
  </si>
  <si>
    <t>BISENIUS</t>
  </si>
  <si>
    <t>Amelie Holm</t>
  </si>
  <si>
    <t>2, rue Bell</t>
  </si>
  <si>
    <t>L-7432</t>
  </si>
  <si>
    <t>Gosseldange</t>
  </si>
  <si>
    <t>F59</t>
  </si>
  <si>
    <t>400858</t>
  </si>
  <si>
    <t>2016 03 23 060 25</t>
  </si>
  <si>
    <t>621 488 559 (père)</t>
  </si>
  <si>
    <t>621 665 197 (mère)</t>
  </si>
  <si>
    <t>benbisenius@gmail.com</t>
  </si>
  <si>
    <t>Anne Holm</t>
  </si>
  <si>
    <t>danoise</t>
  </si>
  <si>
    <t>400286</t>
  </si>
  <si>
    <t>1984 11 14 283 12</t>
  </si>
  <si>
    <t>annehj@yahoo.com</t>
  </si>
  <si>
    <t>X</t>
  </si>
  <si>
    <t>LUXQF3 ?</t>
  </si>
  <si>
    <t>Ben</t>
  </si>
  <si>
    <t>401534</t>
  </si>
  <si>
    <t>1984 05 30 151 83</t>
  </si>
  <si>
    <t>Luxembourg, Luxembourg</t>
  </si>
  <si>
    <t>621 488 559</t>
  </si>
  <si>
    <t>2020, Caissier</t>
  </si>
  <si>
    <t>Esther Holm</t>
  </si>
  <si>
    <t>400859</t>
  </si>
  <si>
    <t>2016 03 23 059 46</t>
  </si>
  <si>
    <t>Samson Holm</t>
  </si>
  <si>
    <t>400735</t>
  </si>
  <si>
    <t>2013 06 26 379 35</t>
  </si>
  <si>
    <t>BLAISE</t>
  </si>
  <si>
    <t>Linda</t>
  </si>
  <si>
    <t>50, rue des Prés</t>
  </si>
  <si>
    <t>L-7246</t>
  </si>
  <si>
    <t>Helmsange</t>
  </si>
  <si>
    <t>F34</t>
  </si>
  <si>
    <t>621 777 527</t>
  </si>
  <si>
    <t>lindablaise@gmail.com</t>
  </si>
  <si>
    <t>BLANC</t>
  </si>
  <si>
    <t>Max</t>
  </si>
  <si>
    <t>29B, rue d'Ettelbrück</t>
  </si>
  <si>
    <t>L-7462</t>
  </si>
  <si>
    <t>Moesdorf</t>
  </si>
  <si>
    <t>6846</t>
  </si>
  <si>
    <t>01,06,25</t>
  </si>
  <si>
    <t>1989 02 13 055 01</t>
  </si>
  <si>
    <t>0049 151 105 733 79</t>
  </si>
  <si>
    <t>blanc.max18@gmail.com</t>
  </si>
  <si>
    <t xml:space="preserve">BOENIGK </t>
  </si>
  <si>
    <t>Fabio</t>
  </si>
  <si>
    <t>77, route de Fischbach</t>
  </si>
  <si>
    <t>L7447</t>
  </si>
  <si>
    <t>F102</t>
  </si>
  <si>
    <t>fabio.boenigk@outlook.com</t>
  </si>
  <si>
    <t>BOENIGK DAMIAN</t>
  </si>
  <si>
    <t xml:space="preserve">Amelie  </t>
  </si>
  <si>
    <t>Allemande</t>
  </si>
  <si>
    <t>401878</t>
  </si>
  <si>
    <t>2021 12 08 007 40</t>
  </si>
  <si>
    <t>671 156 198 (mère)</t>
  </si>
  <si>
    <t>BONFILS</t>
  </si>
  <si>
    <t>Carmen</t>
  </si>
  <si>
    <t>27, rue de l'Eglise</t>
  </si>
  <si>
    <t>L-6186</t>
  </si>
  <si>
    <t>Gonderange</t>
  </si>
  <si>
    <t>F88</t>
  </si>
  <si>
    <t>2021 03 04 037 60</t>
  </si>
  <si>
    <t>621 794 842 (mère)</t>
  </si>
  <si>
    <t>schmit.elena@gmail.com</t>
  </si>
  <si>
    <t>BOSSERS</t>
  </si>
  <si>
    <t>bossergilles@hotmail.com</t>
  </si>
  <si>
    <t>Leonie</t>
  </si>
  <si>
    <t>2018 08 23 014 27</t>
  </si>
  <si>
    <t>661 618 531 (père)</t>
  </si>
  <si>
    <t>621 571 149 (mère)</t>
  </si>
  <si>
    <t>BOURG</t>
  </si>
  <si>
    <t>Jeannot</t>
  </si>
  <si>
    <t>29, Duerfstrooss</t>
  </si>
  <si>
    <t>L-8620</t>
  </si>
  <si>
    <t>Schandel.</t>
  </si>
  <si>
    <t>F06</t>
  </si>
  <si>
    <t>3371</t>
  </si>
  <si>
    <t>///</t>
  </si>
  <si>
    <t>23 63 04 77 22</t>
  </si>
  <si>
    <t>621 184 553</t>
  </si>
  <si>
    <t>bourgj@pt.lu</t>
  </si>
  <si>
    <t>spon</t>
  </si>
  <si>
    <t>d-2</t>
  </si>
  <si>
    <t>BOURG-THIELEN</t>
  </si>
  <si>
    <t>Gaby</t>
  </si>
  <si>
    <t>100061</t>
  </si>
  <si>
    <t>292</t>
  </si>
  <si>
    <t>23 63 04 77</t>
  </si>
  <si>
    <t>621 254 923</t>
  </si>
  <si>
    <t>thielengaby@gmail.com</t>
  </si>
  <si>
    <t>5.1</t>
  </si>
  <si>
    <t>BOUVIER</t>
  </si>
  <si>
    <t>Manon</t>
  </si>
  <si>
    <t>37,rue Knepel</t>
  </si>
  <si>
    <t>L-7451</t>
  </si>
  <si>
    <t>F67</t>
  </si>
  <si>
    <t>manon.bouvier@tutanota.com</t>
  </si>
  <si>
    <t>BOUVY</t>
  </si>
  <si>
    <t>Séverine</t>
  </si>
  <si>
    <t>belge</t>
  </si>
  <si>
    <t>8, Op Petschert</t>
  </si>
  <si>
    <t>L-7362</t>
  </si>
  <si>
    <t>Bofferdange</t>
  </si>
  <si>
    <t>F63</t>
  </si>
  <si>
    <t>roederj@me.com</t>
  </si>
  <si>
    <t>BRANCKAERT</t>
  </si>
  <si>
    <t>Vanessa</t>
  </si>
  <si>
    <t>BRANDT</t>
  </si>
  <si>
    <t>Sabrina</t>
  </si>
  <si>
    <t>brésiliene</t>
  </si>
  <si>
    <t>4, rue Théodore Pescatore</t>
  </si>
  <si>
    <t>L-7380</t>
  </si>
  <si>
    <t>F99</t>
  </si>
  <si>
    <t>1985 01 20 008 51</t>
  </si>
  <si>
    <t>sabrinabrandt1@gmail.com</t>
  </si>
  <si>
    <t>BRANDT EIRO</t>
  </si>
  <si>
    <t>Bernardo</t>
  </si>
  <si>
    <t>L-7378</t>
  </si>
  <si>
    <t>401583</t>
  </si>
  <si>
    <t>2022 01 08 012 61</t>
  </si>
  <si>
    <t>621 523 369 (père)</t>
  </si>
  <si>
    <t>621 488 144 (mère)</t>
  </si>
  <si>
    <t>tomas.eiro@gmail.com</t>
  </si>
  <si>
    <t>BRESER</t>
  </si>
  <si>
    <t>Jean-Marie</t>
  </si>
  <si>
    <t>36a, rue de Steinsel</t>
  </si>
  <si>
    <t>L-7395</t>
  </si>
  <si>
    <t>Hünsdorf</t>
  </si>
  <si>
    <t>402135</t>
  </si>
  <si>
    <t>Cert. Med. ok</t>
  </si>
  <si>
    <t>1959 06 04 111 40</t>
  </si>
  <si>
    <t>jm.breser@gmail.com</t>
  </si>
  <si>
    <t>Nadine</t>
  </si>
  <si>
    <t>20, Neie Wee</t>
  </si>
  <si>
    <t>L-6841</t>
  </si>
  <si>
    <t>Machtum</t>
  </si>
  <si>
    <t>401040</t>
  </si>
  <si>
    <t>1993 02 13 147 98</t>
  </si>
  <si>
    <t>nadine.breser@hotmail.com</t>
  </si>
  <si>
    <t>BROSIUS</t>
  </si>
  <si>
    <t>Ania</t>
  </si>
  <si>
    <t>41, rue E Servais</t>
  </si>
  <si>
    <t>L-7565</t>
  </si>
  <si>
    <t>F114</t>
  </si>
  <si>
    <t>BRÜCK</t>
  </si>
  <si>
    <t>Felix</t>
  </si>
  <si>
    <t>78, rte de Mersch</t>
  </si>
  <si>
    <t>F76</t>
  </si>
  <si>
    <t>400807</t>
  </si>
  <si>
    <t>2013 08 13 071 95</t>
  </si>
  <si>
    <t>26 32 12 37</t>
  </si>
  <si>
    <t>621 753 140 (père)</t>
  </si>
  <si>
    <t>621 724 416 (mère)</t>
  </si>
  <si>
    <t>jtoisul@pt.lu</t>
  </si>
  <si>
    <t>Oscar</t>
  </si>
  <si>
    <t>400791</t>
  </si>
  <si>
    <t>2015 07 02 006 79</t>
  </si>
  <si>
    <t>Thierry</t>
  </si>
  <si>
    <t>bruckt@pt.lu</t>
  </si>
  <si>
    <t>BÜCHLER</t>
  </si>
  <si>
    <t>Marc</t>
  </si>
  <si>
    <t>5, Enner den Thermen</t>
  </si>
  <si>
    <t>L-9137</t>
  </si>
  <si>
    <t>Schieren</t>
  </si>
  <si>
    <t>F54</t>
  </si>
  <si>
    <t>marc.buchler@yahoo.de</t>
  </si>
  <si>
    <t>402518</t>
  </si>
  <si>
    <t>2015 15 21 017 64</t>
  </si>
  <si>
    <t>621 683 434 (père)</t>
  </si>
  <si>
    <t>621 639 458 (mère)</t>
  </si>
  <si>
    <t>marc.buchler@education.lu</t>
  </si>
  <si>
    <t>401511</t>
  </si>
  <si>
    <t>2018 07 05 016 02</t>
  </si>
  <si>
    <t>BÜCK</t>
  </si>
  <si>
    <t>Tania</t>
  </si>
  <si>
    <t>22, rue Grand-Duc Jean</t>
  </si>
  <si>
    <t>L-7547</t>
  </si>
  <si>
    <t>F113</t>
  </si>
  <si>
    <t>661 808 488</t>
  </si>
  <si>
    <t>tabueck@hotmail.com</t>
  </si>
  <si>
    <t>famr</t>
  </si>
  <si>
    <t>fcmp</t>
  </si>
  <si>
    <t>BUSCH</t>
  </si>
  <si>
    <t>Eliott</t>
  </si>
  <si>
    <t>401136</t>
  </si>
  <si>
    <t>2009 04 11 072 91</t>
  </si>
  <si>
    <t>eliott@busch.lu</t>
  </si>
  <si>
    <t>Eric</t>
  </si>
  <si>
    <t>46, rue Basse</t>
  </si>
  <si>
    <t>L-7307</t>
  </si>
  <si>
    <t>Steinsel</t>
  </si>
  <si>
    <t>eric@busch.lu</t>
  </si>
  <si>
    <t>CARVALHO</t>
  </si>
  <si>
    <t>Paulo</t>
  </si>
  <si>
    <t>12, rue des Champs</t>
  </si>
  <si>
    <t>L-7714</t>
  </si>
  <si>
    <t>F48</t>
  </si>
  <si>
    <t>621 708 113</t>
  </si>
  <si>
    <t>veigacindy@gmail.com</t>
  </si>
  <si>
    <t>Tiago</t>
  </si>
  <si>
    <t>400538</t>
  </si>
  <si>
    <t>2017 02 26 012 04</t>
  </si>
  <si>
    <t>621 708 113 (père)</t>
  </si>
  <si>
    <t>661 220 483 (mère)</t>
  </si>
  <si>
    <t>CASTELLANO</t>
  </si>
  <si>
    <t>Virginio</t>
  </si>
  <si>
    <t>115, rte de Luxembourg</t>
  </si>
  <si>
    <t>3378</t>
  </si>
  <si>
    <t>1960 06 10 298 87</t>
  </si>
  <si>
    <t>Codroipo, Italie</t>
  </si>
  <si>
    <t>32 95 18</t>
  </si>
  <si>
    <t>691 313 058</t>
  </si>
  <si>
    <t>691 313 057</t>
  </si>
  <si>
    <t>castellano.virginio@gmail.com</t>
  </si>
  <si>
    <t>2019,Secrétaire adm.; resp. méd. &amp; lic.</t>
  </si>
  <si>
    <t>Tribunal fédéral d'appel</t>
  </si>
  <si>
    <t>LUXQF2</t>
  </si>
  <si>
    <t>sr</t>
  </si>
  <si>
    <t>adf-2</t>
  </si>
  <si>
    <t>CHOURIS</t>
  </si>
  <si>
    <t>Hector</t>
  </si>
  <si>
    <t>401086</t>
  </si>
  <si>
    <t>2014 07 06 001 57</t>
  </si>
  <si>
    <t>661 664 066 (père)</t>
  </si>
  <si>
    <t>661 664 266 (mère)</t>
  </si>
  <si>
    <t>Marios</t>
  </si>
  <si>
    <t>2a, rue Lohrbierg</t>
  </si>
  <si>
    <t>L-7545</t>
  </si>
  <si>
    <t>1981 01 27 913 36</t>
  </si>
  <si>
    <t>mchour@hotmail.com</t>
  </si>
  <si>
    <t>CLEMENT</t>
  </si>
  <si>
    <t>Liliane</t>
  </si>
  <si>
    <t>205,route de Luxembourg</t>
  </si>
  <si>
    <t>L-7374</t>
  </si>
  <si>
    <t>F26</t>
  </si>
  <si>
    <t>3661</t>
  </si>
  <si>
    <t>mail par famille</t>
  </si>
  <si>
    <t>f1</t>
  </si>
  <si>
    <t>d-1</t>
  </si>
  <si>
    <t>CLOOS</t>
  </si>
  <si>
    <t>Anne</t>
  </si>
  <si>
    <t>2, rue Gustave Wilhelmy</t>
  </si>
  <si>
    <t>F27</t>
  </si>
  <si>
    <t>anne.cloos@yahoo.de</t>
  </si>
  <si>
    <t>CONCONI</t>
  </si>
  <si>
    <t>Filippo</t>
  </si>
  <si>
    <t>I-H</t>
  </si>
  <si>
    <t>22, rue des Vergers</t>
  </si>
  <si>
    <t>L-7457</t>
  </si>
  <si>
    <t>F130</t>
  </si>
  <si>
    <t>401166</t>
  </si>
  <si>
    <t>2018 05 12 002 33</t>
  </si>
  <si>
    <t>691 673 898 (père)</t>
  </si>
  <si>
    <t>691 673 899 (mère)</t>
  </si>
  <si>
    <t>anna.eszter.kalman@gmail.com</t>
  </si>
  <si>
    <t>Isabella</t>
  </si>
  <si>
    <t>401167</t>
  </si>
  <si>
    <t>2021 01 10 010 79</t>
  </si>
  <si>
    <t>Paolo</t>
  </si>
  <si>
    <t>IT</t>
  </si>
  <si>
    <t>française, anglaise</t>
  </si>
  <si>
    <t>conconipaol@gmail.com</t>
  </si>
  <si>
    <t>CROITORU</t>
  </si>
  <si>
    <t>Nathalie</t>
  </si>
  <si>
    <t>7, rue Père Bettendorff</t>
  </si>
  <si>
    <t>L-4785</t>
  </si>
  <si>
    <t>F128</t>
  </si>
  <si>
    <t>402857</t>
  </si>
  <si>
    <t>2014 04 21 163 72</t>
  </si>
  <si>
    <t>olegcroitoru@gmail.com</t>
  </si>
  <si>
    <t>Oleg</t>
  </si>
  <si>
    <t>DA CONCEICAO</t>
  </si>
  <si>
    <t>Samantha</t>
  </si>
  <si>
    <t>5A, rue d'Enneschtgaas</t>
  </si>
  <si>
    <t>L-7435</t>
  </si>
  <si>
    <t>Hollenfels</t>
  </si>
  <si>
    <t>F11</t>
  </si>
  <si>
    <t>100016</t>
  </si>
  <si>
    <t>2000 04 18 103 46</t>
  </si>
  <si>
    <t>30 75 29</t>
  </si>
  <si>
    <t>621 154 842</t>
  </si>
  <si>
    <t>fernandez-samantha@hotmail.com</t>
  </si>
  <si>
    <t>2024, Membre</t>
  </si>
  <si>
    <t>4.1</t>
  </si>
  <si>
    <t>Sandra</t>
  </si>
  <si>
    <t>6A, rue des Près</t>
  </si>
  <si>
    <t>100018</t>
  </si>
  <si>
    <t>1989 02 08 021 93</t>
  </si>
  <si>
    <t>691 469 600</t>
  </si>
  <si>
    <t>loca.sandy@hotmail.com</t>
  </si>
  <si>
    <t>DA COSTA</t>
  </si>
  <si>
    <t>Catarina</t>
  </si>
  <si>
    <t>1, rue de la Paix</t>
  </si>
  <si>
    <t>L-8020</t>
  </si>
  <si>
    <t>Strassen</t>
  </si>
  <si>
    <t>F40</t>
  </si>
  <si>
    <t>691 132 848</t>
  </si>
  <si>
    <t>dacosta.catarina@hotmail.com</t>
  </si>
  <si>
    <t>DAMIAN</t>
  </si>
  <si>
    <t>Alexandra</t>
  </si>
  <si>
    <t>Roumaine</t>
  </si>
  <si>
    <t>DE LORENZI</t>
  </si>
  <si>
    <t>Alain</t>
  </si>
  <si>
    <t>27, Tommesknapp</t>
  </si>
  <si>
    <t>L-7419</t>
  </si>
  <si>
    <t>F111</t>
  </si>
  <si>
    <t>2017 08 18 008 21</t>
  </si>
  <si>
    <t>691 311 820 (mère)</t>
  </si>
  <si>
    <t>monia.demuth@gmail.com</t>
  </si>
  <si>
    <t>DE PINA ROCHA</t>
  </si>
  <si>
    <t>Tamara</t>
  </si>
  <si>
    <t>1, Bloc E appart. 12 Centre Marisca</t>
  </si>
  <si>
    <t>L-7560</t>
  </si>
  <si>
    <t>F91</t>
  </si>
  <si>
    <t>depinatamara@gmail.com</t>
  </si>
  <si>
    <t>DE SA CASALEIRO</t>
  </si>
  <si>
    <t>David</t>
  </si>
  <si>
    <t>1, rue de Beringen</t>
  </si>
  <si>
    <t>L-7517</t>
  </si>
  <si>
    <t>F24</t>
  </si>
  <si>
    <t>400201</t>
  </si>
  <si>
    <t>2007 05 05 097 51</t>
  </si>
  <si>
    <t>621 935 214</t>
  </si>
  <si>
    <t>casaleirocarla78@gmail.com</t>
  </si>
  <si>
    <t>new50</t>
  </si>
  <si>
    <t>01/12/19</t>
  </si>
  <si>
    <t>free</t>
  </si>
  <si>
    <t>DE SA FERREIRA CASALEIRO</t>
  </si>
  <si>
    <t>Carla Marina</t>
  </si>
  <si>
    <t>661 735 214</t>
  </si>
  <si>
    <t>DEDU</t>
  </si>
  <si>
    <t>Cristian</t>
  </si>
  <si>
    <t>roumaine</t>
  </si>
  <si>
    <t>1, Um Birkelt</t>
  </si>
  <si>
    <t>L-7633</t>
  </si>
  <si>
    <t>Larochette</t>
  </si>
  <si>
    <t>F04</t>
  </si>
  <si>
    <t>Sofia Elena</t>
  </si>
  <si>
    <t>néerlandaise</t>
  </si>
  <si>
    <t>400966</t>
  </si>
  <si>
    <t>2009 08 05 017 85</t>
  </si>
  <si>
    <t>sofia0509elena@gmail.com</t>
  </si>
  <si>
    <t>DEISCHTER</t>
  </si>
  <si>
    <t>Adrien</t>
  </si>
  <si>
    <t>3, rue de Junglinster</t>
  </si>
  <si>
    <t xml:space="preserve">L-6160 </t>
  </si>
  <si>
    <t>Bourglinster</t>
  </si>
  <si>
    <t>100231</t>
  </si>
  <si>
    <t>1958 09 07 116 83</t>
  </si>
  <si>
    <t>Differdange, Luxembourg</t>
  </si>
  <si>
    <t>40 15 43 75</t>
  </si>
  <si>
    <t>661 789 420</t>
  </si>
  <si>
    <t>deisadhb@gmail.com</t>
  </si>
  <si>
    <t>A</t>
  </si>
  <si>
    <t>LUXQF4 &amp; LUXQF3</t>
  </si>
  <si>
    <t>5f-2</t>
  </si>
  <si>
    <t>DELGADO CARDOSO</t>
  </si>
  <si>
    <t>Gabriel</t>
  </si>
  <si>
    <t>43, rue de Hunsdorf</t>
  </si>
  <si>
    <t>L-7324</t>
  </si>
  <si>
    <t>F68</t>
  </si>
  <si>
    <t>400752</t>
  </si>
  <si>
    <t>2012 08 19 071 48</t>
  </si>
  <si>
    <t>45 00 45 80 02</t>
  </si>
  <si>
    <t>delgadocaremonika@gmail.com</t>
  </si>
  <si>
    <t>x</t>
  </si>
  <si>
    <t>DELGADO CARE</t>
  </si>
  <si>
    <t>Monika</t>
  </si>
  <si>
    <t>DELHALT</t>
  </si>
  <si>
    <t>10, rue de l'Eglise</t>
  </si>
  <si>
    <t>L-7410</t>
  </si>
  <si>
    <t>Angelsberg</t>
  </si>
  <si>
    <t>F55</t>
  </si>
  <si>
    <t>DEMANT</t>
  </si>
  <si>
    <t xml:space="preserve">Anna  </t>
  </si>
  <si>
    <t>DK</t>
  </si>
  <si>
    <t>Danoise, française, anglaise &amp; luxembourgeoise</t>
  </si>
  <si>
    <t>13, rue du Château</t>
  </si>
  <si>
    <t>L-6961</t>
  </si>
  <si>
    <t>Senningen</t>
  </si>
  <si>
    <t>F74</t>
  </si>
  <si>
    <t>400843</t>
  </si>
  <si>
    <t>2018 07 20 014 63</t>
  </si>
  <si>
    <t>691 281 557 (père)</t>
  </si>
  <si>
    <t>621 322 578 (mère)</t>
  </si>
  <si>
    <t>matiasdemant@gmail.com</t>
  </si>
  <si>
    <t>Matias</t>
  </si>
  <si>
    <t>DEMUTH</t>
  </si>
  <si>
    <t>Monia</t>
  </si>
  <si>
    <t>DEN REIJER</t>
  </si>
  <si>
    <t>25, rue de la Montagne</t>
  </si>
  <si>
    <t>L-7460</t>
  </si>
  <si>
    <t>Prettingen</t>
  </si>
  <si>
    <t>100774</t>
  </si>
  <si>
    <t>1994 04 27 145 40</t>
  </si>
  <si>
    <t>661 105 959</t>
  </si>
  <si>
    <t>denreijer.linda@yahoo.de</t>
  </si>
  <si>
    <t>a</t>
  </si>
  <si>
    <t>DENGLER</t>
  </si>
  <si>
    <t>Simone</t>
  </si>
  <si>
    <t>61, rue de la Bergerie</t>
  </si>
  <si>
    <t>F69</t>
  </si>
  <si>
    <t>DERNEDEN</t>
  </si>
  <si>
    <t>8, rue Hobsteltgen</t>
  </si>
  <si>
    <t>L-8508</t>
  </si>
  <si>
    <t>Redange/Attert</t>
  </si>
  <si>
    <t>130450</t>
  </si>
  <si>
    <t>2006 12 03 096 12</t>
  </si>
  <si>
    <t>dernedenm@gmail.com</t>
  </si>
  <si>
    <t>DEUTSCH</t>
  </si>
  <si>
    <t>Léonie</t>
  </si>
  <si>
    <t>autrichiene</t>
  </si>
  <si>
    <t>17, rue de Schandel</t>
  </si>
  <si>
    <t>L-8707</t>
  </si>
  <si>
    <t>F70</t>
  </si>
  <si>
    <t>401140</t>
  </si>
  <si>
    <t>2016 06 17 013 69</t>
  </si>
  <si>
    <t>691 525 137 (père)</t>
  </si>
  <si>
    <t>661 277 627 (mère)</t>
  </si>
  <si>
    <t>julia.haslbauer@gmx.at</t>
  </si>
  <si>
    <t>Lévi</t>
  </si>
  <si>
    <t>400772</t>
  </si>
  <si>
    <t>2019 05 03 022 10</t>
  </si>
  <si>
    <t>deutschthierry@yahoo.co.uk</t>
  </si>
  <si>
    <t>DEVELDER</t>
  </si>
  <si>
    <t>Elise</t>
  </si>
  <si>
    <t>43,rue de Blaschette</t>
  </si>
  <si>
    <t>L-7353</t>
  </si>
  <si>
    <t>Lorentzweiler</t>
  </si>
  <si>
    <t>F09</t>
  </si>
  <si>
    <t>402522</t>
  </si>
  <si>
    <t>2021 01 17 008 40</t>
  </si>
  <si>
    <t>621 599 686 (père)</t>
  </si>
  <si>
    <t>661 846 521 (mère)</t>
  </si>
  <si>
    <t>steffan_develder@hotmail.com</t>
  </si>
  <si>
    <t>Stefaan</t>
  </si>
  <si>
    <t>DIDELOT</t>
  </si>
  <si>
    <t>Joran</t>
  </si>
  <si>
    <t>120, route de Fischbach</t>
  </si>
  <si>
    <t>100236</t>
  </si>
  <si>
    <t>1983 11 16 318 49</t>
  </si>
  <si>
    <t>jorandidelot@gmail.com</t>
  </si>
  <si>
    <t>Line</t>
  </si>
  <si>
    <t>120, rue de Fischbach</t>
  </si>
  <si>
    <t>402850</t>
  </si>
  <si>
    <t>1992 04 07 024 79</t>
  </si>
  <si>
    <t>line@didelot.org</t>
  </si>
  <si>
    <t>Loïc</t>
  </si>
  <si>
    <t>18, rue Alheck</t>
  </si>
  <si>
    <t>Rollingen / Mersch</t>
  </si>
  <si>
    <t>100521</t>
  </si>
  <si>
    <t>1982 02 11 130 05</t>
  </si>
  <si>
    <t>20 33 33 20 02</t>
  </si>
  <si>
    <t>691 333 180</t>
  </si>
  <si>
    <t>loic@didelot.org</t>
  </si>
  <si>
    <t>2020, Membre</t>
  </si>
  <si>
    <t>DIDELOT-SCHOEN</t>
  </si>
  <si>
    <t>Arsène, Jean Pierre</t>
  </si>
  <si>
    <t xml:space="preserve">L-7447 </t>
  </si>
  <si>
    <t>licence supprimée</t>
  </si>
  <si>
    <t>1951 08 07 179 28</t>
  </si>
  <si>
    <t>32 98 18</t>
  </si>
  <si>
    <t>691 329 851</t>
  </si>
  <si>
    <t>arsene@didelot.org</t>
  </si>
  <si>
    <t>ad-2</t>
  </si>
  <si>
    <t xml:space="preserve">DIEDENHOFEN </t>
  </si>
  <si>
    <t>140, rue de Fischbach</t>
  </si>
  <si>
    <t>F13</t>
  </si>
  <si>
    <t>100188</t>
  </si>
  <si>
    <t>2002 03 06 018 70</t>
  </si>
  <si>
    <t>32 07 59</t>
  </si>
  <si>
    <t>621 738 039</t>
  </si>
  <si>
    <t>didip@pt.lu</t>
  </si>
  <si>
    <t>R17</t>
  </si>
  <si>
    <t>Pascal</t>
  </si>
  <si>
    <t>3392</t>
  </si>
  <si>
    <t>27 57 4541</t>
  </si>
  <si>
    <t>691 614 802</t>
  </si>
  <si>
    <t>DIMOLA</t>
  </si>
  <si>
    <t>Gina</t>
  </si>
  <si>
    <t>99, route de Fischbach</t>
  </si>
  <si>
    <t>401008</t>
  </si>
  <si>
    <t>1996 08 17 063 59</t>
  </si>
  <si>
    <t>ginad@pt.lu</t>
  </si>
  <si>
    <t>DOBERDOLANI</t>
  </si>
  <si>
    <t>Arlind</t>
  </si>
  <si>
    <t>allemande - française</t>
  </si>
  <si>
    <t>32, rue Gustave Wilhelmy</t>
  </si>
  <si>
    <t>F121</t>
  </si>
  <si>
    <t>adoberdolani@gmail.com</t>
  </si>
  <si>
    <t>Flora</t>
  </si>
  <si>
    <t>401569</t>
  </si>
  <si>
    <t>2021 05 29 016 92</t>
  </si>
  <si>
    <t>Ilan</t>
  </si>
  <si>
    <t>401110</t>
  </si>
  <si>
    <t>2019 12 11 017 23</t>
  </si>
  <si>
    <t>Luan</t>
  </si>
  <si>
    <t>401109</t>
  </si>
  <si>
    <t>2017 12 25 007 99</t>
  </si>
  <si>
    <t>DOGARI</t>
  </si>
  <si>
    <t>Nineta</t>
  </si>
  <si>
    <t>50,route de Fischbach</t>
  </si>
  <si>
    <t>F131</t>
  </si>
  <si>
    <t>nineta.dogari@gmail.com</t>
  </si>
  <si>
    <t xml:space="preserve">DOS SANTOS </t>
  </si>
  <si>
    <t>Renato Daniel</t>
  </si>
  <si>
    <t>2c, rue de la Chapelle</t>
  </si>
  <si>
    <t>L-9188</t>
  </si>
  <si>
    <t>Vichten</t>
  </si>
  <si>
    <t>400134</t>
  </si>
  <si>
    <t>1992 02 25 317 52</t>
  </si>
  <si>
    <t>dossantosrenato07@gmail.com</t>
  </si>
  <si>
    <t>DOS SANTOS RIBEIRO</t>
  </si>
  <si>
    <t>Camila</t>
  </si>
  <si>
    <t>100769</t>
  </si>
  <si>
    <t>2011 08 20 047 26</t>
  </si>
  <si>
    <t>691 883 008 (père)</t>
  </si>
  <si>
    <t>691 883 012 (mère)</t>
  </si>
  <si>
    <t>marlene_alves_6@hotmail.com</t>
  </si>
  <si>
    <t>Thais</t>
  </si>
  <si>
    <t>400808</t>
  </si>
  <si>
    <t>2015 11 18 009 78</t>
  </si>
  <si>
    <t>DOSSOW</t>
  </si>
  <si>
    <t>Annemarie</t>
  </si>
  <si>
    <t>espagnole</t>
  </si>
  <si>
    <t>3, rue de la Vallée</t>
  </si>
  <si>
    <t>F126</t>
  </si>
  <si>
    <t>domingogomartinez@gmail.com</t>
  </si>
  <si>
    <t>DUFéTEL</t>
  </si>
  <si>
    <t>Alexandre</t>
  </si>
  <si>
    <t>19, rue du château</t>
  </si>
  <si>
    <t>L-7463</t>
  </si>
  <si>
    <t>Pettingen/Mersch</t>
  </si>
  <si>
    <t>F123</t>
  </si>
  <si>
    <t>621 512 476</t>
  </si>
  <si>
    <t>lekza2@gmail.com</t>
  </si>
  <si>
    <t>Cyril</t>
  </si>
  <si>
    <t>400068</t>
  </si>
  <si>
    <t>2009 02 11 030 95</t>
  </si>
  <si>
    <t>621 186 950</t>
  </si>
  <si>
    <t>pinsalexa@hotmail.com</t>
  </si>
  <si>
    <t>EBERHARDT</t>
  </si>
  <si>
    <t>Alexise</t>
  </si>
  <si>
    <t>27, rue Dr.Jean-Pierre Glaesener</t>
  </si>
  <si>
    <t>L-9235</t>
  </si>
  <si>
    <t>F61</t>
  </si>
  <si>
    <t>mignotlexy@gmail.com</t>
  </si>
  <si>
    <t>EECKHAUT</t>
  </si>
  <si>
    <t>8, rue Jaansmillen</t>
  </si>
  <si>
    <t xml:space="preserve">L-7539 </t>
  </si>
  <si>
    <t>F43</t>
  </si>
  <si>
    <t>eeckhaut.radogna@gmail.com</t>
  </si>
  <si>
    <t>401915</t>
  </si>
  <si>
    <t>2013 03 05 211 65</t>
  </si>
  <si>
    <t>691 903 263 (père)</t>
  </si>
  <si>
    <t>EFE</t>
  </si>
  <si>
    <t>Haci Arif</t>
  </si>
  <si>
    <t>13A, route de Mersch</t>
  </si>
  <si>
    <t>F129</t>
  </si>
  <si>
    <t>efeharif@gmail.com</t>
  </si>
  <si>
    <t>Meva</t>
  </si>
  <si>
    <t>401157</t>
  </si>
  <si>
    <t>2019 08 27 015 48</t>
  </si>
  <si>
    <t>661 451 382 (père)</t>
  </si>
  <si>
    <t>661 890 301 (mère)</t>
  </si>
  <si>
    <t>EICH</t>
  </si>
  <si>
    <t>4, an der Kéier</t>
  </si>
  <si>
    <t>L-8363</t>
  </si>
  <si>
    <t>Greisch</t>
  </si>
  <si>
    <t>F139</t>
  </si>
  <si>
    <t>402835</t>
  </si>
  <si>
    <t>2017 11 07 005 62</t>
  </si>
  <si>
    <t>621 255 430 (père)</t>
  </si>
  <si>
    <t>621 785 490 (mère)</t>
  </si>
  <si>
    <t>kim88.lang@yahoo.de</t>
  </si>
  <si>
    <t>Matti</t>
  </si>
  <si>
    <t>2019 09 27 012 04</t>
  </si>
  <si>
    <t>EICH-LANG</t>
  </si>
  <si>
    <t>Kim</t>
  </si>
  <si>
    <t>EIRO</t>
  </si>
  <si>
    <t>Tomàs</t>
  </si>
  <si>
    <t>L-7379</t>
  </si>
  <si>
    <t>1985 03 08 018 81</t>
  </si>
  <si>
    <t>ELSEN</t>
  </si>
  <si>
    <t>Emily</t>
  </si>
  <si>
    <t>16, rue Zechel</t>
  </si>
  <si>
    <t>L-9170</t>
  </si>
  <si>
    <t>Mertzig</t>
  </si>
  <si>
    <t>F73</t>
  </si>
  <si>
    <t>400842</t>
  </si>
  <si>
    <t>2018 06 08 011 98</t>
  </si>
  <si>
    <t>621 624 521 (père)</t>
  </si>
  <si>
    <t>691 626 937 (mère)</t>
  </si>
  <si>
    <t>sarah.lanners@education.lu</t>
  </si>
  <si>
    <t>Georges</t>
  </si>
  <si>
    <t>L-9171</t>
  </si>
  <si>
    <t>georges.elsen@education.lu</t>
  </si>
  <si>
    <t>Lio</t>
  </si>
  <si>
    <t>401117</t>
  </si>
  <si>
    <t>2020 07 28 011 02</t>
  </si>
  <si>
    <t>621624521 (père)</t>
  </si>
  <si>
    <t>ENSCH</t>
  </si>
  <si>
    <t>Valérie</t>
  </si>
  <si>
    <t>4, rue Lucien Wercollier</t>
  </si>
  <si>
    <t>L-8156</t>
  </si>
  <si>
    <t>Bridel</t>
  </si>
  <si>
    <t>F138</t>
  </si>
  <si>
    <t>vensch@pt.lu</t>
  </si>
  <si>
    <t>EPPS</t>
  </si>
  <si>
    <t>Charly</t>
  </si>
  <si>
    <t>6, im Batz</t>
  </si>
  <si>
    <t>L-7430</t>
  </si>
  <si>
    <t>Fischbach</t>
  </si>
  <si>
    <t>F39</t>
  </si>
  <si>
    <t>100681</t>
  </si>
  <si>
    <t>2000 03 29 011 73</t>
  </si>
  <si>
    <t>621 785 596</t>
  </si>
  <si>
    <t>Epps9charles@gmail.com</t>
  </si>
  <si>
    <t>2026, Membre</t>
  </si>
  <si>
    <t>Thomas</t>
  </si>
  <si>
    <t>100665</t>
  </si>
  <si>
    <t>E-Mail Mère:isabellepirson@pt.lu</t>
  </si>
  <si>
    <t>2004 04 28 217 62</t>
  </si>
  <si>
    <t>620 290 403 (Mère)</t>
  </si>
  <si>
    <t>621 764 210</t>
  </si>
  <si>
    <t>thomas8epps@gmail.com</t>
  </si>
  <si>
    <t>ERNSTER</t>
  </si>
  <si>
    <t>20, route de Mersch</t>
  </si>
  <si>
    <t>F41</t>
  </si>
  <si>
    <t>400422</t>
  </si>
  <si>
    <t>2016 08 30 023 61</t>
  </si>
  <si>
    <t>661 198 318 (père)</t>
  </si>
  <si>
    <t>621 768 176 (mère)</t>
  </si>
  <si>
    <t>marc.ernster@gmail.com</t>
  </si>
  <si>
    <t>Secrétaire adjoint</t>
  </si>
  <si>
    <t>661 198 318</t>
  </si>
  <si>
    <t>EYDT</t>
  </si>
  <si>
    <t xml:space="preserve">Jill  </t>
  </si>
  <si>
    <t>45, rue du Château</t>
  </si>
  <si>
    <t>F64</t>
  </si>
  <si>
    <t>5307</t>
  </si>
  <si>
    <t>1986 03 25 244 80</t>
  </si>
  <si>
    <t>32 85 67</t>
  </si>
  <si>
    <t>jilleydt@pt.lu</t>
  </si>
  <si>
    <t>U13</t>
  </si>
  <si>
    <t>FABER</t>
  </si>
  <si>
    <t>Anouchka</t>
  </si>
  <si>
    <t>38, rue de la Bergerie</t>
  </si>
  <si>
    <t>F147</t>
  </si>
  <si>
    <t>vic.weiler@icloud.com</t>
  </si>
  <si>
    <t>Eric, Armand, Valeri</t>
  </si>
  <si>
    <t>6, Impasse Aloyse Kayser</t>
  </si>
  <si>
    <t>L-7541</t>
  </si>
  <si>
    <t>100168</t>
  </si>
  <si>
    <t>14.09.16+AD175:AL175</t>
  </si>
  <si>
    <t>1988 09 29 219 86</t>
  </si>
  <si>
    <t>Niederkorn, Luxembourg</t>
  </si>
  <si>
    <t>32 51 55</t>
  </si>
  <si>
    <t>621 489 121</t>
  </si>
  <si>
    <t>Faber-eric@hotmail.com</t>
  </si>
  <si>
    <t>C</t>
  </si>
  <si>
    <t>4a-2</t>
  </si>
  <si>
    <t>Jamie</t>
  </si>
  <si>
    <t>124, route de Mersch</t>
  </si>
  <si>
    <t>F56</t>
  </si>
  <si>
    <t>400556</t>
  </si>
  <si>
    <t>2017 04 01 001 02</t>
  </si>
  <si>
    <t>671 523 925 (mère)</t>
  </si>
  <si>
    <t>fabernastasja@hotmail.com</t>
  </si>
  <si>
    <t>Nastasja</t>
  </si>
  <si>
    <t>FELTEN</t>
  </si>
  <si>
    <t>Laurent</t>
  </si>
  <si>
    <t>6, Poulferwee</t>
  </si>
  <si>
    <t>L-8525</t>
  </si>
  <si>
    <t>Calmus</t>
  </si>
  <si>
    <t>100341</t>
  </si>
  <si>
    <t>1982 05 19 119 27</t>
  </si>
  <si>
    <t>32 96 70</t>
  </si>
  <si>
    <t>621 614 574</t>
  </si>
  <si>
    <t>laurent.felten82@gmail.com</t>
  </si>
  <si>
    <t>FERNANDEZ</t>
  </si>
  <si>
    <t>Anna Maria</t>
  </si>
  <si>
    <t>100415</t>
  </si>
  <si>
    <t>Certicat Docteur ok</t>
  </si>
  <si>
    <t>Apte</t>
  </si>
  <si>
    <t>621 542 158</t>
  </si>
  <si>
    <t>n'a pas de mail</t>
  </si>
  <si>
    <t>FERNANDEZ RAMOS</t>
  </si>
  <si>
    <t>Jessica</t>
  </si>
  <si>
    <t>12, rue de la Fontaine</t>
  </si>
  <si>
    <t>L-8386</t>
  </si>
  <si>
    <t>Koerich</t>
  </si>
  <si>
    <t>100744</t>
  </si>
  <si>
    <t>1997 08 28 209 02</t>
  </si>
  <si>
    <t>26 39 30 53</t>
  </si>
  <si>
    <t>621 687 933</t>
  </si>
  <si>
    <t>fernandez-jessica@live.fr</t>
  </si>
  <si>
    <t>FERRANTI</t>
  </si>
  <si>
    <t>61, route de Mersch</t>
  </si>
  <si>
    <t>F86</t>
  </si>
  <si>
    <t>7074</t>
  </si>
  <si>
    <t>1977 05 23 195 33</t>
  </si>
  <si>
    <t>ferranti104@gmail.com</t>
  </si>
  <si>
    <t>FERRANTI MAYER</t>
  </si>
  <si>
    <t xml:space="preserve">Eva  </t>
  </si>
  <si>
    <t>402088</t>
  </si>
  <si>
    <t>2019 02 15 003 00</t>
  </si>
  <si>
    <t>621 193 180 (père)</t>
  </si>
  <si>
    <t>621 730 324 (mère)</t>
  </si>
  <si>
    <t>catherinemayer84@gmail.com</t>
  </si>
  <si>
    <t>Juna</t>
  </si>
  <si>
    <t>402087</t>
  </si>
  <si>
    <t>2019 02 15 002 24</t>
  </si>
  <si>
    <t>402086</t>
  </si>
  <si>
    <t>2015 09 12 000 61</t>
  </si>
  <si>
    <t>FERREIRA</t>
  </si>
  <si>
    <t>Cindy</t>
  </si>
  <si>
    <t>FERRING</t>
  </si>
  <si>
    <t>12A, rue des Soeurs Franciscaines</t>
  </si>
  <si>
    <t>L-7569</t>
  </si>
  <si>
    <t>F134</t>
  </si>
  <si>
    <t>Tom</t>
  </si>
  <si>
    <t>402917</t>
  </si>
  <si>
    <t>201 06 22 008 27</t>
  </si>
  <si>
    <t>celine.gamot02@gmail.com</t>
  </si>
  <si>
    <t xml:space="preserve">FIHL   </t>
  </si>
  <si>
    <t>Soren</t>
  </si>
  <si>
    <t>8, rue Jean Engling</t>
  </si>
  <si>
    <t>L-1466</t>
  </si>
  <si>
    <t>Luxembourg</t>
  </si>
  <si>
    <t>F97</t>
  </si>
  <si>
    <t>fihl@pt.lu</t>
  </si>
  <si>
    <t>FIHL HÖLZMER</t>
  </si>
  <si>
    <t>Liva</t>
  </si>
  <si>
    <t>401553</t>
  </si>
  <si>
    <t>2018 08 13 008 66</t>
  </si>
  <si>
    <t>Noah</t>
  </si>
  <si>
    <t>401554</t>
  </si>
  <si>
    <t>2020 11 17 009 12</t>
  </si>
  <si>
    <t>FLAMENT</t>
  </si>
  <si>
    <t>8, rue Albert Lentz</t>
  </si>
  <si>
    <t>F106</t>
  </si>
  <si>
    <t>flament.ma@gmail.com</t>
  </si>
  <si>
    <t>FLAMMANG</t>
  </si>
  <si>
    <t>Lou</t>
  </si>
  <si>
    <t>003408</t>
  </si>
  <si>
    <t>Transfert IN</t>
  </si>
  <si>
    <t>1954 08 13 … ..</t>
  </si>
  <si>
    <t>FLESCH</t>
  </si>
  <si>
    <t>Rebecca</t>
  </si>
  <si>
    <t>4, rue d'Arlon</t>
  </si>
  <si>
    <t>L-8395</t>
  </si>
  <si>
    <t>Septfontaines</t>
  </si>
  <si>
    <t>F118</t>
  </si>
  <si>
    <t>621 239 131</t>
  </si>
  <si>
    <t>rebeccalingen@yahoo.de</t>
  </si>
  <si>
    <t>FLORIDO VILA</t>
  </si>
  <si>
    <t>Espagnole</t>
  </si>
  <si>
    <t>L-7448</t>
  </si>
  <si>
    <t>1987 07 06 904 55</t>
  </si>
  <si>
    <t>sara.floridovila@gmail.com</t>
  </si>
  <si>
    <t>FODOR</t>
  </si>
  <si>
    <t>Christina</t>
  </si>
  <si>
    <t>greque</t>
  </si>
  <si>
    <t>22,rue de Colmar-Berg</t>
  </si>
  <si>
    <t>L-7525</t>
  </si>
  <si>
    <t>F30</t>
  </si>
  <si>
    <t>1975 11 01 009 67</t>
  </si>
  <si>
    <t>crisfodor@gmail.com</t>
  </si>
  <si>
    <t xml:space="preserve">FODOR </t>
  </si>
  <si>
    <t>22, rue de Colmar-Berg</t>
  </si>
  <si>
    <t>FODOR MANGIOSI</t>
  </si>
  <si>
    <t>Sofia-Alexandra</t>
  </si>
  <si>
    <t>2017 03 20 014 13</t>
  </si>
  <si>
    <t>661 115 657 (père)</t>
  </si>
  <si>
    <t>661 115 656 (mère)</t>
  </si>
  <si>
    <t>FONCK</t>
  </si>
  <si>
    <t>Joelle</t>
  </si>
  <si>
    <t>19b, rue de Buschdorf</t>
  </si>
  <si>
    <t>F132</t>
  </si>
  <si>
    <t>frank_ods@hotmail.com</t>
  </si>
  <si>
    <t>FORTES FLOR</t>
  </si>
  <si>
    <t>Lucas</t>
  </si>
  <si>
    <t>36, rue um Boeschel</t>
  </si>
  <si>
    <t>L-9017</t>
  </si>
  <si>
    <t>Ettelbrück</t>
  </si>
  <si>
    <t>180841</t>
  </si>
  <si>
    <t>2002 12 18 090 12</t>
  </si>
  <si>
    <t>lukasfortesflor@gmail.</t>
  </si>
  <si>
    <t>FRIEDEN</t>
  </si>
  <si>
    <t xml:space="preserve">20, Haaptstrooss </t>
  </si>
  <si>
    <t>L-7475</t>
  </si>
  <si>
    <t>Schoos</t>
  </si>
  <si>
    <t>100089</t>
  </si>
  <si>
    <t>849</t>
  </si>
  <si>
    <t>Certificat Docteur nécessaire</t>
  </si>
  <si>
    <t>32 78 42</t>
  </si>
  <si>
    <t>691 190 261</t>
  </si>
  <si>
    <t>georges.frieden.flh@gmx.com</t>
  </si>
  <si>
    <t>A; Coordinateur Jeune Arbitre; Arbitre formateur</t>
  </si>
  <si>
    <t>arb</t>
  </si>
  <si>
    <t>5c-2</t>
  </si>
  <si>
    <t>FRISCH</t>
  </si>
  <si>
    <t>Andy</t>
  </si>
  <si>
    <t>5, Op der Strooss</t>
  </si>
  <si>
    <t>L-7650</t>
  </si>
  <si>
    <t>402216</t>
  </si>
  <si>
    <t>1995 09 10 197 83</t>
  </si>
  <si>
    <t>frian197@hotmail.com</t>
  </si>
  <si>
    <t>FROIDEVAUX</t>
  </si>
  <si>
    <t>Aurélien</t>
  </si>
  <si>
    <t>12b, Fielserstrooss</t>
  </si>
  <si>
    <t>L-7640</t>
  </si>
  <si>
    <t>Chrisnach</t>
  </si>
  <si>
    <t>F117</t>
  </si>
  <si>
    <t>afroide@hotmail.fr</t>
  </si>
  <si>
    <t>Mayla</t>
  </si>
  <si>
    <t>402227</t>
  </si>
  <si>
    <t>2021 04 15 010 90</t>
  </si>
  <si>
    <t>692 855 676 (père)</t>
  </si>
  <si>
    <t>GALASSI</t>
  </si>
  <si>
    <t>27,rue de la Gare</t>
  </si>
  <si>
    <t>F22</t>
  </si>
  <si>
    <t>621 222 045</t>
  </si>
  <si>
    <t>galassisandra@gmail.com</t>
  </si>
  <si>
    <t>GAMOT</t>
  </si>
  <si>
    <t>Céline</t>
  </si>
  <si>
    <t>GENNARI</t>
  </si>
  <si>
    <t>Maison 5</t>
  </si>
  <si>
    <t>L-6175</t>
  </si>
  <si>
    <t>Schiltzbierg</t>
  </si>
  <si>
    <t xml:space="preserve"> F133</t>
  </si>
  <si>
    <t>alexandergennari@yahoo.fr</t>
  </si>
  <si>
    <t>Iris Johanna</t>
  </si>
  <si>
    <t>8, Impass Aloise Kayser</t>
  </si>
  <si>
    <t>402845</t>
  </si>
  <si>
    <t>2014 08 11 031 48</t>
  </si>
  <si>
    <t>28 77 61 94</t>
  </si>
  <si>
    <t>661 139 088 (père)</t>
  </si>
  <si>
    <t>691 102 616 (mère)</t>
  </si>
  <si>
    <t>GILLET</t>
  </si>
  <si>
    <t>Odile</t>
  </si>
  <si>
    <t>29, rue Kreuzert</t>
  </si>
  <si>
    <t>L-7453</t>
  </si>
  <si>
    <t>F32</t>
  </si>
  <si>
    <t>26 32 10 06</t>
  </si>
  <si>
    <t>621 326 319</t>
  </si>
  <si>
    <t>odgil@hotmail.com</t>
  </si>
  <si>
    <t xml:space="preserve">GLODEN </t>
  </si>
  <si>
    <t>Cathy</t>
  </si>
  <si>
    <t>27, rue Bouvart</t>
  </si>
  <si>
    <t>L-7520</t>
  </si>
  <si>
    <t>F98</t>
  </si>
  <si>
    <t>621 746 699</t>
  </si>
  <si>
    <t>cathy_glo@hotmail.de</t>
  </si>
  <si>
    <t xml:space="preserve">GOEDERT </t>
  </si>
  <si>
    <t>691 130 013</t>
  </si>
  <si>
    <t>GOEDERT DA COSTA</t>
  </si>
  <si>
    <t>Eleonor</t>
  </si>
  <si>
    <t>400461</t>
  </si>
  <si>
    <t>2018 01 15 008 14</t>
  </si>
  <si>
    <t>691 130 013 (père)</t>
  </si>
  <si>
    <t>691 132 848 (mère)</t>
  </si>
  <si>
    <t>GOERENS</t>
  </si>
  <si>
    <t>Yves</t>
  </si>
  <si>
    <t>8, rue Général Patton</t>
  </si>
  <si>
    <t>L-2317</t>
  </si>
  <si>
    <t>Howald</t>
  </si>
  <si>
    <t>100456</t>
  </si>
  <si>
    <t>1964 11 29 154 16</t>
  </si>
  <si>
    <t>691 666 478</t>
  </si>
  <si>
    <t>constructor1164@gmail.com</t>
  </si>
  <si>
    <t>Tribunal fédéral</t>
  </si>
  <si>
    <t>i2</t>
  </si>
  <si>
    <t>5a-2</t>
  </si>
  <si>
    <t>GONCALVES SOARES</t>
  </si>
  <si>
    <t>Lara</t>
  </si>
  <si>
    <t/>
  </si>
  <si>
    <t>44, rue Principale</t>
  </si>
  <si>
    <t>F8</t>
  </si>
  <si>
    <t>nouvelle licence 16/27</t>
  </si>
  <si>
    <t>2016 12 15 009 81</t>
  </si>
  <si>
    <t>xilaflash80@gmail.com</t>
  </si>
  <si>
    <t>GREIS</t>
  </si>
  <si>
    <t>Christophe</t>
  </si>
  <si>
    <t>10, rue des Noyers</t>
  </si>
  <si>
    <t>L-7384</t>
  </si>
  <si>
    <t>F109</t>
  </si>
  <si>
    <t>greis.christophe@gmail.com</t>
  </si>
  <si>
    <t>402203</t>
  </si>
  <si>
    <t>2020 12 20 010 38</t>
  </si>
  <si>
    <t>622 287 291 (père)</t>
  </si>
  <si>
    <t>Loris</t>
  </si>
  <si>
    <t>6, rue de Prettange</t>
  </si>
  <si>
    <t>L-7396</t>
  </si>
  <si>
    <t>Hunsdorf</t>
  </si>
  <si>
    <t>F50</t>
  </si>
  <si>
    <t>401111</t>
  </si>
  <si>
    <t>2019 07 03 004 71</t>
  </si>
  <si>
    <t>691 672 159 (père)</t>
  </si>
  <si>
    <t>philippe.greis@gmail.com</t>
  </si>
  <si>
    <t>L-7397</t>
  </si>
  <si>
    <t>Timo</t>
  </si>
  <si>
    <t>L-7398</t>
  </si>
  <si>
    <t>402204</t>
  </si>
  <si>
    <t>2021 04 08 006 68</t>
  </si>
  <si>
    <t>GREISCHER</t>
  </si>
  <si>
    <t>Jean-Luc</t>
  </si>
  <si>
    <t>13, rue du Knapp</t>
  </si>
  <si>
    <t>401190</t>
  </si>
  <si>
    <t>1997 07 05 034 02</t>
  </si>
  <si>
    <t>greischer.jeanluc@gmail.com</t>
  </si>
  <si>
    <t>GROSSE-STRANGMANN</t>
  </si>
  <si>
    <t>Christine</t>
  </si>
  <si>
    <t>15a Lohrbierg</t>
  </si>
  <si>
    <t>F145</t>
  </si>
  <si>
    <t>gpoulles@gmail.com</t>
  </si>
  <si>
    <t>GRÜNER</t>
  </si>
  <si>
    <t>Mie Celine</t>
  </si>
  <si>
    <t>GUILLAUME</t>
  </si>
  <si>
    <t>Mireille</t>
  </si>
  <si>
    <t>9, rue Marthe Prim Welter</t>
  </si>
  <si>
    <t>L-6138</t>
  </si>
  <si>
    <t>F104</t>
  </si>
  <si>
    <t>HAAS</t>
  </si>
  <si>
    <t>Lily</t>
  </si>
  <si>
    <t>402205</t>
  </si>
  <si>
    <t>2020 12 05 016 95</t>
  </si>
  <si>
    <t>671 170 583 (père)</t>
  </si>
  <si>
    <t>tom.haas@gmx.lu</t>
  </si>
  <si>
    <t>1983 05 17 238 15</t>
  </si>
  <si>
    <t>Sr</t>
  </si>
  <si>
    <t>HADROVIC</t>
  </si>
  <si>
    <t>Mirza</t>
  </si>
  <si>
    <t>74A, rue du Cimetière</t>
  </si>
  <si>
    <t>L-7313</t>
  </si>
  <si>
    <t>Heisdorf</t>
  </si>
  <si>
    <t>F14</t>
  </si>
  <si>
    <t>100489</t>
  </si>
  <si>
    <t>1997 10 15 090 58</t>
  </si>
  <si>
    <t>26 43 13 15</t>
  </si>
  <si>
    <t>621 409 051</t>
  </si>
  <si>
    <t>adiemira@yahoo.com</t>
  </si>
  <si>
    <t>4.2</t>
  </si>
  <si>
    <t>HALLDORSSON</t>
  </si>
  <si>
    <t>Halldor</t>
  </si>
  <si>
    <t>halldor.halldorsson@pt.lu</t>
  </si>
  <si>
    <t>Jonas</t>
  </si>
  <si>
    <t>401574</t>
  </si>
  <si>
    <t>2012 09 28 172 83</t>
  </si>
  <si>
    <t>621 274 171 (père)</t>
  </si>
  <si>
    <t>HAMRO-DROTZ</t>
  </si>
  <si>
    <t>Ava Freya</t>
  </si>
  <si>
    <t>22, Am Wangert</t>
  </si>
  <si>
    <t>L-7568</t>
  </si>
  <si>
    <t>F77</t>
  </si>
  <si>
    <t>402777</t>
  </si>
  <si>
    <t>2014 05 04 003 53</t>
  </si>
  <si>
    <t>661 444 151 (père)</t>
  </si>
  <si>
    <t>661 444 158 (mère)</t>
  </si>
  <si>
    <t>nazli.hamrodrotz@gmail.com</t>
  </si>
  <si>
    <t>Avid Nicole</t>
  </si>
  <si>
    <t>402779</t>
  </si>
  <si>
    <t>2016 05 12 018 12</t>
  </si>
  <si>
    <t>Robin</t>
  </si>
  <si>
    <t>robin.hamrodrotz@gmail.com</t>
  </si>
  <si>
    <t>HASLBAUER</t>
  </si>
  <si>
    <t>Julia</t>
  </si>
  <si>
    <t>HAUFFELS</t>
  </si>
  <si>
    <t>Martine</t>
  </si>
  <si>
    <t>HEINZ</t>
  </si>
  <si>
    <t>Nolan</t>
  </si>
  <si>
    <t>23, Im Batz</t>
  </si>
  <si>
    <t>F51</t>
  </si>
  <si>
    <t>400605</t>
  </si>
  <si>
    <t>2011 02 02 173 48</t>
  </si>
  <si>
    <t>heinztom@pt.lu</t>
  </si>
  <si>
    <t>HERMES</t>
  </si>
  <si>
    <t>Betty</t>
  </si>
  <si>
    <t>3, rue Irbicht</t>
  </si>
  <si>
    <t>L-7590</t>
  </si>
  <si>
    <t>F58</t>
  </si>
  <si>
    <t>400704</t>
  </si>
  <si>
    <t>2014 01 27 087 57</t>
  </si>
  <si>
    <t>26 32 08 68</t>
  </si>
  <si>
    <t>linktess@pt.lu</t>
  </si>
  <si>
    <t>Emma</t>
  </si>
  <si>
    <t>400703</t>
  </si>
  <si>
    <t>2011 04 08 065 40</t>
  </si>
  <si>
    <t>HERMES-LINK</t>
  </si>
  <si>
    <t>Tessy</t>
  </si>
  <si>
    <t>HERR</t>
  </si>
  <si>
    <t>Jeff</t>
  </si>
  <si>
    <t>24, rue des Verges</t>
  </si>
  <si>
    <t>F80</t>
  </si>
  <si>
    <t>401103</t>
  </si>
  <si>
    <t>2017 12 13 018 06</t>
  </si>
  <si>
    <t>661840908 (père)</t>
  </si>
  <si>
    <t>ana.ribeiro@education.lu</t>
  </si>
  <si>
    <t>Noel</t>
  </si>
  <si>
    <t>400860</t>
  </si>
  <si>
    <t>2014 05 16 075 94</t>
  </si>
  <si>
    <t>HERR-RIBEIRO</t>
  </si>
  <si>
    <t>Ana</t>
  </si>
  <si>
    <t>HESSER</t>
  </si>
  <si>
    <t>Jeanette</t>
  </si>
  <si>
    <t>1, rue Saint Laurent</t>
  </si>
  <si>
    <t>L-7370</t>
  </si>
  <si>
    <t>F87</t>
  </si>
  <si>
    <t>jeannettehesser@yahoo.com</t>
  </si>
  <si>
    <t>Jeanette.Hesser@hines.com</t>
  </si>
  <si>
    <t>Marius</t>
  </si>
  <si>
    <t>401085</t>
  </si>
  <si>
    <t>2019 11 26 017 63</t>
  </si>
  <si>
    <t>HOCHSTRASSER</t>
  </si>
  <si>
    <t>Janika</t>
  </si>
  <si>
    <t>26, Chemin J-A Zinnen</t>
  </si>
  <si>
    <t>L-7626</t>
  </si>
  <si>
    <t>401898</t>
  </si>
  <si>
    <t>1995 01 24 066 75</t>
  </si>
  <si>
    <t>0049 174 625 605</t>
  </si>
  <si>
    <t>janika.hochstrasser@t-online.de</t>
  </si>
  <si>
    <t>HOFFMANN</t>
  </si>
  <si>
    <t>Franky</t>
  </si>
  <si>
    <t>L-7418</t>
  </si>
  <si>
    <t>L-7417</t>
  </si>
  <si>
    <t>401204</t>
  </si>
  <si>
    <t>2018 02 27 007 86</t>
  </si>
  <si>
    <t>HÖHN</t>
  </si>
  <si>
    <t>Kirstin</t>
  </si>
  <si>
    <t>HOLLARD</t>
  </si>
  <si>
    <t>21a, rue Krepel</t>
  </si>
  <si>
    <t>F47</t>
  </si>
  <si>
    <t xml:space="preserve">661 140 507 </t>
  </si>
  <si>
    <t>aurelien.hollard@gmail.com</t>
  </si>
  <si>
    <t>Elyas</t>
  </si>
  <si>
    <t>2019 07 03 022 91</t>
  </si>
  <si>
    <t>661 140 507 (père)</t>
  </si>
  <si>
    <t>691 860 502 (mère)</t>
  </si>
  <si>
    <t>saniye_tipirdamaz@yahoo.fr</t>
  </si>
  <si>
    <t>Timour</t>
  </si>
  <si>
    <t>400563</t>
  </si>
  <si>
    <t>2017 03 03 011 89</t>
  </si>
  <si>
    <t xml:space="preserve"> t.saniye@gmail.com</t>
  </si>
  <si>
    <t>HOLLARD TIPIRDAMAZ</t>
  </si>
  <si>
    <t>Saniyé</t>
  </si>
  <si>
    <t>691 860 502</t>
  </si>
  <si>
    <t>HOLMBERG</t>
  </si>
  <si>
    <t>Amélie</t>
  </si>
  <si>
    <t>finlandaise</t>
  </si>
  <si>
    <t>31,Cité JF Kennedy</t>
  </si>
  <si>
    <t>L-7234</t>
  </si>
  <si>
    <t>F152</t>
  </si>
  <si>
    <t>403195</t>
  </si>
  <si>
    <t>2016 04 08 005 59</t>
  </si>
  <si>
    <t>bjornevholmberg@gmail.com</t>
  </si>
  <si>
    <t>Björn</t>
  </si>
  <si>
    <t>Minna</t>
  </si>
  <si>
    <t>kovanen.minna@gmail.com</t>
  </si>
  <si>
    <t>HÖLZMER</t>
  </si>
  <si>
    <t>Sibylle</t>
  </si>
  <si>
    <t>HORNICK</t>
  </si>
  <si>
    <t>HUBERTY</t>
  </si>
  <si>
    <t>Jan</t>
  </si>
  <si>
    <t>31, rue du Village</t>
  </si>
  <si>
    <t>L-7416</t>
  </si>
  <si>
    <t>100121</t>
  </si>
  <si>
    <t>1154</t>
  </si>
  <si>
    <t>1998 06 18 210 10</t>
  </si>
  <si>
    <t>23 63 95 67</t>
  </si>
  <si>
    <t>621 615 404</t>
  </si>
  <si>
    <t>jan321h@gmail.com</t>
  </si>
  <si>
    <t>HUSS</t>
  </si>
  <si>
    <t>Danielle</t>
  </si>
  <si>
    <t>5, rue des Noyers</t>
  </si>
  <si>
    <t>L-7306</t>
  </si>
  <si>
    <t>F107</t>
  </si>
  <si>
    <t>622 371 551</t>
  </si>
  <si>
    <t>danielle.huss@education.lu</t>
  </si>
  <si>
    <t>HUSSEIN</t>
  </si>
  <si>
    <t>Mohamed Gamal Demrdash</t>
  </si>
  <si>
    <t>égyptienne</t>
  </si>
  <si>
    <t>96, rue de Luxembourg</t>
  </si>
  <si>
    <t>401889</t>
  </si>
  <si>
    <t>Médico apte temporairement jusqu'au 12.10.2024</t>
  </si>
  <si>
    <t>1995 08 07 071 13</t>
  </si>
  <si>
    <t>mohamedgamaldi22@gmail.com</t>
  </si>
  <si>
    <t>IMPEY</t>
  </si>
  <si>
    <t>Joanna</t>
  </si>
  <si>
    <t>Belge Britanique</t>
  </si>
  <si>
    <t>12, um Knapp</t>
  </si>
  <si>
    <t>L-7779</t>
  </si>
  <si>
    <t>F38</t>
  </si>
  <si>
    <t>JACOBSEN</t>
  </si>
  <si>
    <t xml:space="preserve">Joel </t>
  </si>
  <si>
    <t>22, Haaptstrooss</t>
  </si>
  <si>
    <t>401125</t>
  </si>
  <si>
    <t>1991 08 06 230 85</t>
  </si>
  <si>
    <t>joel.jacobsen@outlook.com</t>
  </si>
  <si>
    <t>JACQUELIN</t>
  </si>
  <si>
    <t>16, rue Hurkes</t>
  </si>
  <si>
    <t>F05</t>
  </si>
  <si>
    <t>1989 01 26 020 00</t>
  </si>
  <si>
    <t>adrienjacquelin@gmail.com</t>
  </si>
  <si>
    <t>1987 10 16 545 92</t>
  </si>
  <si>
    <t>laura.brisard@icloud.com</t>
  </si>
  <si>
    <t>Rose</t>
  </si>
  <si>
    <t>luxembourgeoise/française</t>
  </si>
  <si>
    <t>401332</t>
  </si>
  <si>
    <t>2019 04 18 002 79</t>
  </si>
  <si>
    <t>692 997 460 (père)</t>
  </si>
  <si>
    <t>692 800 206 (mère)</t>
  </si>
  <si>
    <t>401331</t>
  </si>
  <si>
    <t>2020 07 16 023 91</t>
  </si>
  <si>
    <t>691 997 460 (père)</t>
  </si>
  <si>
    <t>691 800 206 (mère)</t>
  </si>
  <si>
    <t>JOST</t>
  </si>
  <si>
    <t>Catherine</t>
  </si>
  <si>
    <t>8, rue des Carrefours</t>
  </si>
  <si>
    <t>L-8124</t>
  </si>
  <si>
    <t>F82</t>
  </si>
  <si>
    <t>jostcat@gmail.com</t>
  </si>
  <si>
    <t>JUNCK</t>
  </si>
  <si>
    <t>42, rue Belle-vue</t>
  </si>
  <si>
    <t>L-7350</t>
  </si>
  <si>
    <t>F36</t>
  </si>
  <si>
    <t>junckisa@hotmail.com</t>
  </si>
  <si>
    <t xml:space="preserve">JUNG </t>
  </si>
  <si>
    <t>Lisa</t>
  </si>
  <si>
    <t>14, rue Hiel</t>
  </si>
  <si>
    <t xml:space="preserve">L-7597 </t>
  </si>
  <si>
    <t>F84</t>
  </si>
  <si>
    <t>JUNGELS</t>
  </si>
  <si>
    <t>Emilia</t>
  </si>
  <si>
    <t>18, rue Belle-Vue</t>
  </si>
  <si>
    <t>F45</t>
  </si>
  <si>
    <t>401426</t>
  </si>
  <si>
    <t>2021 08 15 005 52</t>
  </si>
  <si>
    <t>621 503 093 (père)</t>
  </si>
  <si>
    <t>621 179 284 (mère)</t>
  </si>
  <si>
    <t>nopatz@hotmail.com</t>
  </si>
  <si>
    <t>Laurie</t>
  </si>
  <si>
    <t>400674</t>
  </si>
  <si>
    <t>2018 09 05 015 03</t>
  </si>
  <si>
    <t>1984 06 20 134 57</t>
  </si>
  <si>
    <t>621 503 093</t>
  </si>
  <si>
    <t>marcjungels@msn.com</t>
  </si>
  <si>
    <t>KAHROBAEL</t>
  </si>
  <si>
    <t>Nazli</t>
  </si>
  <si>
    <t>KALMAN</t>
  </si>
  <si>
    <t>Anna Eszter</t>
  </si>
  <si>
    <t>HU</t>
  </si>
  <si>
    <t>KASEL</t>
  </si>
  <si>
    <t>Katharina</t>
  </si>
  <si>
    <t>13, rue des Forges</t>
  </si>
  <si>
    <t>L-7771</t>
  </si>
  <si>
    <t>F37</t>
  </si>
  <si>
    <t>400398</t>
  </si>
  <si>
    <t>2015 12 22 022 34</t>
  </si>
  <si>
    <t>621 698 969 (mère)</t>
  </si>
  <si>
    <t>petermurielle05@gmail.com</t>
  </si>
  <si>
    <t>Khloé</t>
  </si>
  <si>
    <t>2017 06 30 078 69</t>
  </si>
  <si>
    <t>KASS</t>
  </si>
  <si>
    <t>145b, rue de Luxembourg</t>
  </si>
  <si>
    <t>F18</t>
  </si>
  <si>
    <t>621 280 390</t>
  </si>
  <si>
    <t>kassmartine89@gmail.com</t>
  </si>
  <si>
    <t>KIEFFER</t>
  </si>
  <si>
    <t>Liz</t>
  </si>
  <si>
    <t>21, rue de Luxembourg</t>
  </si>
  <si>
    <t>L-7330</t>
  </si>
  <si>
    <t>403225</t>
  </si>
  <si>
    <t>1999 02 12 166 47</t>
  </si>
  <si>
    <t>liz.k1999@outlook.com</t>
  </si>
  <si>
    <t>KINTZLE</t>
  </si>
  <si>
    <t>Christian</t>
  </si>
  <si>
    <t>621 239 113</t>
  </si>
  <si>
    <t>christian.kintzle@gmail.com</t>
  </si>
  <si>
    <t>Lena</t>
  </si>
  <si>
    <t>400844</t>
  </si>
  <si>
    <t>2017 08 09 007 52</t>
  </si>
  <si>
    <t>621 239 113 (père)</t>
  </si>
  <si>
    <t>621 239 131 (mère)</t>
  </si>
  <si>
    <t>Yann</t>
  </si>
  <si>
    <t>100781</t>
  </si>
  <si>
    <t>2014 04 18 030 32</t>
  </si>
  <si>
    <t>KLYUCHKO</t>
  </si>
  <si>
    <t>Olha</t>
  </si>
  <si>
    <t>KNOPS</t>
  </si>
  <si>
    <t xml:space="preserve">Michel </t>
  </si>
  <si>
    <t>53, Zanerknupp</t>
  </si>
  <si>
    <t>F17</t>
  </si>
  <si>
    <t>veromoien@hotmail.com</t>
  </si>
  <si>
    <t>Tun</t>
  </si>
  <si>
    <t>2015 09 22 024 44</t>
  </si>
  <si>
    <t>691 475 433 (père)</t>
  </si>
  <si>
    <t>661 660 966 (mère)</t>
  </si>
  <si>
    <t>KRAEWINKELS</t>
  </si>
  <si>
    <t>Kirsten</t>
  </si>
  <si>
    <t>1, Beiewee</t>
  </si>
  <si>
    <t>F116</t>
  </si>
  <si>
    <t>KRATOCHVILOVA</t>
  </si>
  <si>
    <t>Kristina</t>
  </si>
  <si>
    <t>kristinakratochvilova@hotmail.com</t>
  </si>
  <si>
    <t>KRAU</t>
  </si>
  <si>
    <t>L-7519</t>
  </si>
  <si>
    <t>100740</t>
  </si>
  <si>
    <t>2008 10 30 031 53</t>
  </si>
  <si>
    <t>621 223 334</t>
  </si>
  <si>
    <t>ricky1387@hotmail.de</t>
  </si>
  <si>
    <t>1.2</t>
  </si>
  <si>
    <t>KRECKé</t>
  </si>
  <si>
    <t>Elisabeth</t>
  </si>
  <si>
    <t>621 768 176</t>
  </si>
  <si>
    <t>KREMER</t>
  </si>
  <si>
    <t>Armand</t>
  </si>
  <si>
    <t>132, cité Roger Schmitz</t>
  </si>
  <si>
    <t>L-7381</t>
  </si>
  <si>
    <t>3462</t>
  </si>
  <si>
    <t>1955 06 25 132 92</t>
  </si>
  <si>
    <t>Clervaux, Luxembourg</t>
  </si>
  <si>
    <t>33 19 21</t>
  </si>
  <si>
    <t>621 413 152</t>
  </si>
  <si>
    <t>arkremer@pt.lu</t>
  </si>
  <si>
    <t>Billy</t>
  </si>
  <si>
    <t>2a, rue Hiel</t>
  </si>
  <si>
    <t>L-7390</t>
  </si>
  <si>
    <t>691 629 276</t>
  </si>
  <si>
    <t>billy.kremer@secours.etat.lu</t>
  </si>
  <si>
    <t>Christophe, François, Fernand</t>
  </si>
  <si>
    <t>100209</t>
  </si>
  <si>
    <t>1353</t>
  </si>
  <si>
    <t>1983 11 08 293 96</t>
  </si>
  <si>
    <t>26 32 13 41</t>
  </si>
  <si>
    <t>95 92 05 26</t>
  </si>
  <si>
    <t>691 622 099</t>
  </si>
  <si>
    <t>christophe.kremer83@gmail.com</t>
  </si>
  <si>
    <t>U7</t>
  </si>
  <si>
    <t>LUXQF1</t>
  </si>
  <si>
    <t>5af-2</t>
  </si>
  <si>
    <t>Jim</t>
  </si>
  <si>
    <t>400496</t>
  </si>
  <si>
    <t>2016 08 01 002 59</t>
  </si>
  <si>
    <t>691 622 099 (père)</t>
  </si>
  <si>
    <t>621 222 045 (mère)</t>
  </si>
  <si>
    <t>Julie</t>
  </si>
  <si>
    <t>10a, rue des Champs</t>
  </si>
  <si>
    <t>L-7312</t>
  </si>
  <si>
    <t>Müllendorf</t>
  </si>
  <si>
    <t>400462</t>
  </si>
  <si>
    <t>2018 02 10 001 05</t>
  </si>
  <si>
    <t>26 33 44 69</t>
  </si>
  <si>
    <t>621 352 630 (père)</t>
  </si>
  <si>
    <t>661 566 805 (mère)</t>
  </si>
  <si>
    <t>jetti.rossy@education.lu</t>
  </si>
  <si>
    <t>400464</t>
  </si>
  <si>
    <t>2016 04 04 003 42</t>
  </si>
  <si>
    <t>Philippe, Ruud, Vivian</t>
  </si>
  <si>
    <t>2, rue Hiel</t>
  </si>
  <si>
    <t>100252</t>
  </si>
  <si>
    <t>1354</t>
  </si>
  <si>
    <t>1987 05 07 030 04</t>
  </si>
  <si>
    <t>691 550 385</t>
  </si>
  <si>
    <t>kremerphi@hotmail.com</t>
  </si>
  <si>
    <t>KRIER</t>
  </si>
  <si>
    <t>Benoit</t>
  </si>
  <si>
    <t>16b, rue Hurkes</t>
  </si>
  <si>
    <t>F65</t>
  </si>
  <si>
    <t>160380</t>
  </si>
  <si>
    <t>1983 07 20 017 26</t>
  </si>
  <si>
    <t>benoit.krier@education.lu</t>
  </si>
  <si>
    <t>Frederik</t>
  </si>
  <si>
    <t>401515</t>
  </si>
  <si>
    <t>2021 10 15 001 08</t>
  </si>
  <si>
    <t>621 791 631 (père)</t>
  </si>
  <si>
    <t>691 714 662 (mère)</t>
  </si>
  <si>
    <t>29, rue Wenzel</t>
  </si>
  <si>
    <t>400269</t>
  </si>
  <si>
    <t>1991 07 20 115 48</t>
  </si>
  <si>
    <t>32 94 88</t>
  </si>
  <si>
    <t>621 252 669</t>
  </si>
  <si>
    <t>georges.krier@yahoo.de</t>
  </si>
  <si>
    <t>KUGELER</t>
  </si>
  <si>
    <t>KUSABA</t>
  </si>
  <si>
    <t>Kevin</t>
  </si>
  <si>
    <t>Uganda</t>
  </si>
  <si>
    <t>77, rue d'Arlon</t>
  </si>
  <si>
    <t>2003 05 22 039 09</t>
  </si>
  <si>
    <t>kevinkusaba@gmail.com</t>
  </si>
  <si>
    <t>LACKNER</t>
  </si>
  <si>
    <t>Mahuwènan</t>
  </si>
  <si>
    <t>autrichienne</t>
  </si>
  <si>
    <t>1 Bloc C, Centre Marisca</t>
  </si>
  <si>
    <t>F150</t>
  </si>
  <si>
    <t>403188</t>
  </si>
  <si>
    <t>2017 05 30 002 26</t>
  </si>
  <si>
    <t>rosalinelackner@gmail.com</t>
  </si>
  <si>
    <t>Manfred</t>
  </si>
  <si>
    <t xml:space="preserve">  </t>
  </si>
  <si>
    <t>LACKNER HOUNWANOU</t>
  </si>
  <si>
    <t>Rosaline</t>
  </si>
  <si>
    <t>LAGE GONCALVES</t>
  </si>
  <si>
    <t xml:space="preserve">Ruben </t>
  </si>
  <si>
    <t>12, Impasse Aloyse Kayser</t>
  </si>
  <si>
    <t>400214</t>
  </si>
  <si>
    <t>2000 05 06 215 96</t>
  </si>
  <si>
    <t>32 92 72</t>
  </si>
  <si>
    <t>691 243 874</t>
  </si>
  <si>
    <t>rubenlage17@gmail.com</t>
  </si>
  <si>
    <t>luxembougeoise</t>
  </si>
  <si>
    <t>1, rue de Mersch</t>
  </si>
  <si>
    <t>400034</t>
  </si>
  <si>
    <t>1990 12 07 138 77</t>
  </si>
  <si>
    <t>691 537 354</t>
  </si>
  <si>
    <t>Tiago.l.g.7@gmail.com</t>
  </si>
  <si>
    <t>LALLEMENT</t>
  </si>
  <si>
    <t>1a, Bei de Feschweieren</t>
  </si>
  <si>
    <t>400841</t>
  </si>
  <si>
    <t>2012 09 29 071 18</t>
  </si>
  <si>
    <t>691 828 756 (père)</t>
  </si>
  <si>
    <t>621 700 553 (mère)</t>
  </si>
  <si>
    <t>audreymangon@gmail.com</t>
  </si>
  <si>
    <t>LAMHèNE</t>
  </si>
  <si>
    <t>Aki</t>
  </si>
  <si>
    <t>7, Place Roschten</t>
  </si>
  <si>
    <t>L-7456</t>
  </si>
  <si>
    <t>F72</t>
  </si>
  <si>
    <t>400729</t>
  </si>
  <si>
    <t>06.12,21</t>
  </si>
  <si>
    <t>2017 06 07 012 98</t>
  </si>
  <si>
    <t>691 528 563 (père)</t>
  </si>
  <si>
    <t>661 875 908 (mère)</t>
  </si>
  <si>
    <t>ericlamhene@gmail.com</t>
  </si>
  <si>
    <t>LANGE</t>
  </si>
  <si>
    <t>Amalia</t>
  </si>
  <si>
    <t>1, rue Alsbich</t>
  </si>
  <si>
    <t>F93</t>
  </si>
  <si>
    <t>403840</t>
  </si>
  <si>
    <t>2014 02 21 067 28</t>
  </si>
  <si>
    <t>691 419 128 (père)</t>
  </si>
  <si>
    <t>691 233 822 (mère)</t>
  </si>
  <si>
    <t>chloe.murat@education.lu</t>
  </si>
  <si>
    <t>LANNERS</t>
  </si>
  <si>
    <t>Sarah</t>
  </si>
  <si>
    <t xml:space="preserve">LE ROY  </t>
  </si>
  <si>
    <t>Sebastien</t>
  </si>
  <si>
    <t>5, Grondwee</t>
  </si>
  <si>
    <t>L-9045</t>
  </si>
  <si>
    <t>F5</t>
  </si>
  <si>
    <t>1977 09 29 957 66</t>
  </si>
  <si>
    <t>esslerr@hotmail.com</t>
  </si>
  <si>
    <t>LE ROY MARECHAL</t>
  </si>
  <si>
    <t>401428</t>
  </si>
  <si>
    <t>2017 12 20 027 29</t>
  </si>
  <si>
    <t>661 977 929 (père)</t>
  </si>
  <si>
    <t>LED TRIAS</t>
  </si>
  <si>
    <t>Natalia</t>
  </si>
  <si>
    <t>19, rue Principale</t>
  </si>
  <si>
    <t>F66</t>
  </si>
  <si>
    <t>natalialed@hotmail.com</t>
  </si>
  <si>
    <t>LEE</t>
  </si>
  <si>
    <t>Rae Lyn</t>
  </si>
  <si>
    <t>raelyn@rll.sg</t>
  </si>
  <si>
    <t>LEHNEN</t>
  </si>
  <si>
    <t>Cynthia</t>
  </si>
  <si>
    <t>7, Helperterwee</t>
  </si>
  <si>
    <t>Buschdorf</t>
  </si>
  <si>
    <t>100215</t>
  </si>
  <si>
    <t>1995 02 11 086 97</t>
  </si>
  <si>
    <t>32 72 54</t>
  </si>
  <si>
    <t>691 943 275</t>
  </si>
  <si>
    <t>cynthialehnen@gmail.com</t>
  </si>
  <si>
    <t>4a-1</t>
  </si>
  <si>
    <t>LEISEN</t>
  </si>
  <si>
    <t>Jo-Anne</t>
  </si>
  <si>
    <t>33, op der Diert</t>
  </si>
  <si>
    <t>F112</t>
  </si>
  <si>
    <t>400886</t>
  </si>
  <si>
    <t>1985 05 13 069 23</t>
  </si>
  <si>
    <t>26 94 56 64</t>
  </si>
  <si>
    <t>661 614 335</t>
  </si>
  <si>
    <t>leisen.j@gmail.com</t>
  </si>
  <si>
    <t>LENGLET</t>
  </si>
  <si>
    <t>Benjamin</t>
  </si>
  <si>
    <t>403546</t>
  </si>
  <si>
    <t>2020 03 18 017 32</t>
  </si>
  <si>
    <t>c.lenglet@mf.me</t>
  </si>
  <si>
    <t>Cedric</t>
  </si>
  <si>
    <t>LIBRIZZI</t>
  </si>
  <si>
    <t>Francesco</t>
  </si>
  <si>
    <t>italienne</t>
  </si>
  <si>
    <t>librizzi.fra@gmail.com</t>
  </si>
  <si>
    <t>401192</t>
  </si>
  <si>
    <t>2018 07 11 010 54</t>
  </si>
  <si>
    <t>691 435 025 (père)</t>
  </si>
  <si>
    <t>691 243 337 (mère)</t>
  </si>
  <si>
    <t>LINSTER</t>
  </si>
  <si>
    <t>37, rue Joseph Hackin</t>
  </si>
  <si>
    <t>F53</t>
  </si>
  <si>
    <t>LOUTSCH</t>
  </si>
  <si>
    <t>Natascha</t>
  </si>
  <si>
    <t>64, rue de Hunsdorf</t>
  </si>
  <si>
    <t>F100</t>
  </si>
  <si>
    <t>26 33 18 54</t>
  </si>
  <si>
    <t>691 627 125</t>
  </si>
  <si>
    <t>tascha0427@gmail.com</t>
  </si>
  <si>
    <t xml:space="preserve">LUCAS </t>
  </si>
  <si>
    <t>Eugenia</t>
  </si>
  <si>
    <t>eugeniamdlucas@gmail.com</t>
  </si>
  <si>
    <t>LUCAS DE ALMEIDA</t>
  </si>
  <si>
    <t>Vicente</t>
  </si>
  <si>
    <t>403812</t>
  </si>
  <si>
    <t>nouvelle licence 25/26 / apte temporairement jusqu'au 26.08.2026)</t>
  </si>
  <si>
    <t>2014 09 13 027 95</t>
  </si>
  <si>
    <t>661 813 163 (père)</t>
  </si>
  <si>
    <t>661 113 163 (mère)</t>
  </si>
  <si>
    <t>LUDWIG</t>
  </si>
  <si>
    <t>Dean</t>
  </si>
  <si>
    <t>3, Kiirchepad</t>
  </si>
  <si>
    <t>F33</t>
  </si>
  <si>
    <t>400247</t>
  </si>
  <si>
    <t>2013 01 10 011 53</t>
  </si>
  <si>
    <t>26 88 02 39</t>
  </si>
  <si>
    <t>691 308 870 (père)</t>
  </si>
  <si>
    <t>691 546 306 (mère)</t>
  </si>
  <si>
    <t>j-lindsay@hotmail.de</t>
  </si>
  <si>
    <t>400248</t>
  </si>
  <si>
    <t>2015 08 24 007 87</t>
  </si>
  <si>
    <t>Serge</t>
  </si>
  <si>
    <t>691 308 870</t>
  </si>
  <si>
    <t>MAGALHAES CERQUEIRA</t>
  </si>
  <si>
    <t>Paulo Filipe</t>
  </si>
  <si>
    <t>10, rue ST. Hubert</t>
  </si>
  <si>
    <t>L-4582</t>
  </si>
  <si>
    <t>Differdange</t>
  </si>
  <si>
    <t>140385</t>
  </si>
  <si>
    <t>1997 06 18 298 73</t>
  </si>
  <si>
    <t>691 180 697</t>
  </si>
  <si>
    <t>paulo.magalhaes19971806@gmail.com</t>
  </si>
  <si>
    <t>MAJERUS</t>
  </si>
  <si>
    <t>Matheo</t>
  </si>
  <si>
    <t>22, rue Gustave Wilhelmy</t>
  </si>
  <si>
    <t>400705</t>
  </si>
  <si>
    <t>2017 08 05 006 12</t>
  </si>
  <si>
    <t>621 743 892 (père)</t>
  </si>
  <si>
    <t>691 852 981 (mère)</t>
  </si>
  <si>
    <t>laurence.majerus@education.lu</t>
  </si>
  <si>
    <t>Nick</t>
  </si>
  <si>
    <t>32B, rue de Steinsel</t>
  </si>
  <si>
    <t>F20</t>
  </si>
  <si>
    <t>corinne_steinbach@yahoo.de</t>
  </si>
  <si>
    <t>Patrick</t>
  </si>
  <si>
    <t>Samu</t>
  </si>
  <si>
    <t>400283</t>
  </si>
  <si>
    <t>2015 08 17 017 67</t>
  </si>
  <si>
    <t>401141</t>
  </si>
  <si>
    <t>2020 02 08 001 00</t>
  </si>
  <si>
    <t>691 930 390 (père)</t>
  </si>
  <si>
    <t>691 629 882 (mère)</t>
  </si>
  <si>
    <t>MALGET</t>
  </si>
  <si>
    <t>Hana</t>
  </si>
  <si>
    <t>400747</t>
  </si>
  <si>
    <t>2020 05 02 019 54</t>
  </si>
  <si>
    <t>621 466 686 (père)</t>
  </si>
  <si>
    <t>621 466 175 (mère)</t>
  </si>
  <si>
    <t>joemalget@hotmail.com</t>
  </si>
  <si>
    <t>Joé</t>
  </si>
  <si>
    <t>1986 03 29 037 20</t>
  </si>
  <si>
    <t>joe.malget@lintgen.lu</t>
  </si>
  <si>
    <t>26, rue de la Forêt</t>
  </si>
  <si>
    <t>L-7227</t>
  </si>
  <si>
    <t>Bereldange</t>
  </si>
  <si>
    <t>100163</t>
  </si>
  <si>
    <t>1983 10 18 219 31</t>
  </si>
  <si>
    <t>27 40 34 05</t>
  </si>
  <si>
    <t>661 632 324</t>
  </si>
  <si>
    <t>patrickmalget@gmail.com</t>
  </si>
  <si>
    <t>MANGIOSI FODOR</t>
  </si>
  <si>
    <t>Sofia Alexandra</t>
  </si>
  <si>
    <t>F151</t>
  </si>
  <si>
    <t>403192</t>
  </si>
  <si>
    <t>MANGIOSIS</t>
  </si>
  <si>
    <t>Georgios</t>
  </si>
  <si>
    <t>MANNES</t>
  </si>
  <si>
    <t>Louis</t>
  </si>
  <si>
    <t>16B, rue Schaarfeneck</t>
  </si>
  <si>
    <t>L-8283</t>
  </si>
  <si>
    <t>No</t>
  </si>
  <si>
    <t>401930</t>
  </si>
  <si>
    <t>2014 11 04 010 28</t>
  </si>
  <si>
    <t>621 241 541 (père)</t>
  </si>
  <si>
    <t>621 388 550 (mère)</t>
  </si>
  <si>
    <t>gaby.altenhoven@gmail.com</t>
  </si>
  <si>
    <t>MAQUIL</t>
  </si>
  <si>
    <t>Charel</t>
  </si>
  <si>
    <t>100780</t>
  </si>
  <si>
    <t>2013 04 10 031 06</t>
  </si>
  <si>
    <t>661 653 184 (père)</t>
  </si>
  <si>
    <t>661 808 488 (mère)</t>
  </si>
  <si>
    <t>Pol</t>
  </si>
  <si>
    <t>400820</t>
  </si>
  <si>
    <t>2015 03 13 017 54</t>
  </si>
  <si>
    <t>Xavier</t>
  </si>
  <si>
    <t>5370</t>
  </si>
  <si>
    <t>1984 08 11 177 32</t>
  </si>
  <si>
    <t>661 653 184</t>
  </si>
  <si>
    <t>xavier@maquil.lu</t>
  </si>
  <si>
    <t>2026, Membre / SBO Jugend</t>
  </si>
  <si>
    <t>MARCK</t>
  </si>
  <si>
    <t>100778</t>
  </si>
  <si>
    <t>2014 11 12 008 66</t>
  </si>
  <si>
    <t>100779</t>
  </si>
  <si>
    <t>2013 07 24 214 37</t>
  </si>
  <si>
    <t>Peter</t>
  </si>
  <si>
    <t>401043</t>
  </si>
  <si>
    <t>1985 01 30 070 30</t>
  </si>
  <si>
    <t>petermarck@hotmail.com</t>
  </si>
  <si>
    <t>MARECHAL</t>
  </si>
  <si>
    <t>1978 01 31 113 91</t>
  </si>
  <si>
    <t>MARTINEZ DOSSOW</t>
  </si>
  <si>
    <t>402942</t>
  </si>
  <si>
    <t>2021 09 17 008 62</t>
  </si>
  <si>
    <t>691 982 030 (père)</t>
  </si>
  <si>
    <t>691 394 449 (mère)</t>
  </si>
  <si>
    <t>MARTINEZ SOLANO</t>
  </si>
  <si>
    <t>Jose Domingo</t>
  </si>
  <si>
    <t>MARTINY</t>
  </si>
  <si>
    <t xml:space="preserve">9a, rue Lucien Wercollier </t>
  </si>
  <si>
    <t>F155</t>
  </si>
  <si>
    <t>403861</t>
  </si>
  <si>
    <t>2013 11 08 134 79</t>
  </si>
  <si>
    <t>621 198 606 (père)</t>
  </si>
  <si>
    <t>661 771 662 (mère)</t>
  </si>
  <si>
    <t>line.sebenico@yahoo.com</t>
  </si>
  <si>
    <t>Luc</t>
  </si>
  <si>
    <t>MARZADORI</t>
  </si>
  <si>
    <t>Sascha</t>
  </si>
  <si>
    <t>rue Wantergaass</t>
  </si>
  <si>
    <t>L-7651</t>
  </si>
  <si>
    <t>140729</t>
  </si>
  <si>
    <t>1990 11 03 073 14</t>
  </si>
  <si>
    <t>marzadorisascha@hotmail.de</t>
  </si>
  <si>
    <t>MATOS</t>
  </si>
  <si>
    <t>Joao</t>
  </si>
  <si>
    <t>21, rue du Moulin</t>
  </si>
  <si>
    <t>L-7621</t>
  </si>
  <si>
    <t>401611</t>
  </si>
  <si>
    <t>2003 08 12 531 50</t>
  </si>
  <si>
    <t>joaomatosgraca2003@gmail.com</t>
  </si>
  <si>
    <t>MAURER</t>
  </si>
  <si>
    <t>Sophie</t>
  </si>
  <si>
    <t>35, rue Knepel</t>
  </si>
  <si>
    <t>F89</t>
  </si>
  <si>
    <t>1975 12 08 165 88</t>
  </si>
  <si>
    <t>28 20 07 67</t>
  </si>
  <si>
    <t>semaurer@yahoo.co.uk</t>
  </si>
  <si>
    <t>MAY</t>
  </si>
  <si>
    <t>Charlotte</t>
  </si>
  <si>
    <t>19, Allée St Hubert</t>
  </si>
  <si>
    <t>L-8138</t>
  </si>
  <si>
    <t>402846</t>
  </si>
  <si>
    <t>2014 09 29 006 55</t>
  </si>
  <si>
    <t>691 237 686 (père)</t>
  </si>
  <si>
    <t>691 901 172 (mère)</t>
  </si>
  <si>
    <t>L-8139</t>
  </si>
  <si>
    <t>ericmay@pt.lu</t>
  </si>
  <si>
    <t>MAYER</t>
  </si>
  <si>
    <t>7057</t>
  </si>
  <si>
    <t>1984 11 29 108 35</t>
  </si>
  <si>
    <t>16, rue E. Servais</t>
  </si>
  <si>
    <t>F105</t>
  </si>
  <si>
    <t>5327</t>
  </si>
  <si>
    <t>1980 06 12 155 43</t>
  </si>
  <si>
    <t>26 51 29 78</t>
  </si>
  <si>
    <t>621 756 720</t>
  </si>
  <si>
    <t>flepp.mayer@gmail.com</t>
  </si>
  <si>
    <t>Roby</t>
  </si>
  <si>
    <t>401031</t>
  </si>
  <si>
    <t>2015 08 20 016 32</t>
  </si>
  <si>
    <t>621 756 720 (père)</t>
  </si>
  <si>
    <t>621 309 647 (mère)</t>
  </si>
  <si>
    <t>bettyrodesch@hotmail.com</t>
  </si>
  <si>
    <t>Théo</t>
  </si>
  <si>
    <t>100763</t>
  </si>
  <si>
    <t>2012 10 10 195 69</t>
  </si>
  <si>
    <t>MC INERNEY</t>
  </si>
  <si>
    <t>Aisling</t>
  </si>
  <si>
    <t>IRL</t>
  </si>
  <si>
    <t>8, rue de Schoos</t>
  </si>
  <si>
    <t>L-7413</t>
  </si>
  <si>
    <t>F142</t>
  </si>
  <si>
    <t>steenfamily1@outlook.com</t>
  </si>
  <si>
    <t>MC KEON</t>
  </si>
  <si>
    <t>24, rue de l'Avenir</t>
  </si>
  <si>
    <t>L-7211</t>
  </si>
  <si>
    <t>F143</t>
  </si>
  <si>
    <t>mailto:fihl@pt.lu</t>
  </si>
  <si>
    <t>Sonny</t>
  </si>
  <si>
    <t>402932</t>
  </si>
  <si>
    <t>2022 01 21 023 65</t>
  </si>
  <si>
    <t>691 842 609 (père)</t>
  </si>
  <si>
    <t>691 286 840 (mère)</t>
  </si>
  <si>
    <t>dinaramcilovic@yahoo.com</t>
  </si>
  <si>
    <t>MCKEON</t>
  </si>
  <si>
    <t>Fionn</t>
  </si>
  <si>
    <t>402978</t>
  </si>
  <si>
    <t>2019 10 07 014 74</t>
  </si>
  <si>
    <t xml:space="preserve">MEDINGER </t>
  </si>
  <si>
    <t>2, rue de la Gare</t>
  </si>
  <si>
    <t>L-7420</t>
  </si>
  <si>
    <t>Cruchten</t>
  </si>
  <si>
    <t>F31</t>
  </si>
  <si>
    <t>jeamed@pt.lu</t>
  </si>
  <si>
    <t>MEDINGER WEBER</t>
  </si>
  <si>
    <t>Colyn Philip</t>
  </si>
  <si>
    <t>401427</t>
  </si>
  <si>
    <t>2018 03 27 004 43</t>
  </si>
  <si>
    <t>621 239 604 (père)</t>
  </si>
  <si>
    <t>621 754 388 (mère)</t>
  </si>
  <si>
    <t>MEIS</t>
  </si>
  <si>
    <t>Marthe</t>
  </si>
  <si>
    <t>25, rue du Baumbusch</t>
  </si>
  <si>
    <t>L-8213</t>
  </si>
  <si>
    <t>400282</t>
  </si>
  <si>
    <t>1979 03 30 202 88</t>
  </si>
  <si>
    <t>621 704 968</t>
  </si>
  <si>
    <t>marthemeis@yahoo.de</t>
  </si>
  <si>
    <t>MERING</t>
  </si>
  <si>
    <t>Steven</t>
  </si>
  <si>
    <t>26, An der Gewan</t>
  </si>
  <si>
    <t>L-9177</t>
  </si>
  <si>
    <t>Niederfeulen</t>
  </si>
  <si>
    <t>100405</t>
  </si>
  <si>
    <t>1616</t>
  </si>
  <si>
    <t>1989 12 31 051 53</t>
  </si>
  <si>
    <t>26 88 55 73</t>
  </si>
  <si>
    <t>691 798 646</t>
  </si>
  <si>
    <t>stevenmering31@gmail.com</t>
  </si>
  <si>
    <t>va payer 50€ car licence bloqué médico</t>
  </si>
  <si>
    <t>MERSCH</t>
  </si>
  <si>
    <t>Diane</t>
  </si>
  <si>
    <t xml:space="preserve">101, rte de Luxembourg </t>
  </si>
  <si>
    <t>L-7373</t>
  </si>
  <si>
    <t>F115</t>
  </si>
  <si>
    <t>26 32 19 12 28</t>
  </si>
  <si>
    <t>621 274 710</t>
  </si>
  <si>
    <t>diane.mersch@centermed.lu</t>
  </si>
  <si>
    <t>11, beim Xald</t>
  </si>
  <si>
    <t>F25</t>
  </si>
  <si>
    <t>661 221 166</t>
  </si>
  <si>
    <t>merschjoelle66@gmail.com</t>
  </si>
  <si>
    <t>METZLER</t>
  </si>
  <si>
    <t>Bernard</t>
  </si>
  <si>
    <t>3476</t>
  </si>
  <si>
    <t>1953 07 05 296 78</t>
  </si>
  <si>
    <t>691 332 432</t>
  </si>
  <si>
    <t>bmetzler@pt.lu</t>
  </si>
  <si>
    <t xml:space="preserve">2019, Secrétaire technique </t>
  </si>
  <si>
    <t>3, rue Neuve</t>
  </si>
  <si>
    <t>100078</t>
  </si>
  <si>
    <t>1991 02 19 211 98</t>
  </si>
  <si>
    <t>lmetzler@pt.lu</t>
  </si>
  <si>
    <t>MICA</t>
  </si>
  <si>
    <t>Oana</t>
  </si>
  <si>
    <t>luxembourgeoise roumaine</t>
  </si>
  <si>
    <t>16, rue Camille Kleber</t>
  </si>
  <si>
    <t>L-7597</t>
  </si>
  <si>
    <t>F35</t>
  </si>
  <si>
    <t>Olivia</t>
  </si>
  <si>
    <t>403230</t>
  </si>
  <si>
    <t>2019 06 06 008 67</t>
  </si>
  <si>
    <t>catalin_mica@yahoo.com</t>
  </si>
  <si>
    <t>MICA VALENTIN</t>
  </si>
  <si>
    <t>Catalin</t>
  </si>
  <si>
    <t>MIGLIOSI</t>
  </si>
  <si>
    <t>Pit</t>
  </si>
  <si>
    <t>31, Montée Willy Goergen</t>
  </si>
  <si>
    <t>L-7322</t>
  </si>
  <si>
    <t>F110</t>
  </si>
  <si>
    <t>100772</t>
  </si>
  <si>
    <t>2007 09 30 014 50</t>
  </si>
  <si>
    <t>621 784 580 (père)</t>
  </si>
  <si>
    <t>621 363 328 (mère)</t>
  </si>
  <si>
    <t>yves.migliosi@gmail.com</t>
  </si>
  <si>
    <t>621 784 580</t>
  </si>
  <si>
    <t>MIGNOT</t>
  </si>
  <si>
    <t>mailto:eeckhaut.radogna@gmail.com</t>
  </si>
  <si>
    <t>Jules</t>
  </si>
  <si>
    <t>40552</t>
  </si>
  <si>
    <t>2007 12 22 099 10</t>
  </si>
  <si>
    <t>661 874 186 (père)</t>
  </si>
  <si>
    <t>691 150 969 (mère)</t>
  </si>
  <si>
    <t>jmignot2212@gmail.com</t>
  </si>
  <si>
    <t>MIGUELEZ LED</t>
  </si>
  <si>
    <t>Teo</t>
  </si>
  <si>
    <t>401952</t>
  </si>
  <si>
    <t>2017 03 10 003 64</t>
  </si>
  <si>
    <t>661 118 095 (père)</t>
  </si>
  <si>
    <t>661 118 094 (mère)</t>
  </si>
  <si>
    <t>MIGUELEZ LOPEZ</t>
  </si>
  <si>
    <t>Miguel Angel</t>
  </si>
  <si>
    <t>m_miguelez@hotmail.com</t>
  </si>
  <si>
    <t>MOECHER</t>
  </si>
  <si>
    <t>42, rue des Vergers</t>
  </si>
  <si>
    <t>F78</t>
  </si>
  <si>
    <t>mosli55@hotmail.com</t>
  </si>
  <si>
    <t>MOLITOR</t>
  </si>
  <si>
    <t>27 69 63 211 (Bureau)</t>
  </si>
  <si>
    <t>MORENO</t>
  </si>
  <si>
    <t>Lea</t>
  </si>
  <si>
    <t>401929</t>
  </si>
  <si>
    <t>2016 02 16 004 04</t>
  </si>
  <si>
    <t>661 166 999 (père)</t>
  </si>
  <si>
    <t>661 723 316 (mère)</t>
  </si>
  <si>
    <t xml:space="preserve">Max </t>
  </si>
  <si>
    <t>402519</t>
  </si>
  <si>
    <t>2014 11 07 001 86</t>
  </si>
  <si>
    <t>MORENO ZALDIVAR</t>
  </si>
  <si>
    <t>Mirko</t>
  </si>
  <si>
    <t>mirko-moreno@web.de</t>
  </si>
  <si>
    <t>MURAT</t>
  </si>
  <si>
    <t>NOTARNICOLA</t>
  </si>
  <si>
    <t>Delphine</t>
  </si>
  <si>
    <t>Denis</t>
  </si>
  <si>
    <t>400198</t>
  </si>
  <si>
    <t>2013 07 31 296 11</t>
  </si>
  <si>
    <t>661 280 390 (père)</t>
  </si>
  <si>
    <t>621 280 390 (mère)</t>
  </si>
  <si>
    <t>661 280 390</t>
  </si>
  <si>
    <t>NUNES FRAGA</t>
  </si>
  <si>
    <t>Raphael</t>
  </si>
  <si>
    <t>14, rue du Coin</t>
  </si>
  <si>
    <t>100666</t>
  </si>
  <si>
    <t>2004 08 04 014 14</t>
  </si>
  <si>
    <t>32 09 27</t>
  </si>
  <si>
    <t>691 240 152</t>
  </si>
  <si>
    <t>nunesrafaelfraga@gmail.com</t>
  </si>
  <si>
    <t>ODEM</t>
  </si>
  <si>
    <t>Caroline</t>
  </si>
  <si>
    <t>23, Urtelbach</t>
  </si>
  <si>
    <t>F95</t>
  </si>
  <si>
    <t>caroline.odem@education.lu</t>
  </si>
  <si>
    <t>OGUINE</t>
  </si>
  <si>
    <t xml:space="preserve">Henri </t>
  </si>
  <si>
    <t>16, rue des Près</t>
  </si>
  <si>
    <t>L-7561</t>
  </si>
  <si>
    <t>F44</t>
  </si>
  <si>
    <t>henry.oguine@gmail.com</t>
  </si>
  <si>
    <t>Olaedo Chinomso</t>
  </si>
  <si>
    <t>403008</t>
  </si>
  <si>
    <t xml:space="preserve">nouvelle licence 25/26 / Inapte temporairement </t>
  </si>
  <si>
    <t>2014 04 03 084 76</t>
  </si>
  <si>
    <t>OLINGER</t>
  </si>
  <si>
    <t>17, rue de Rollingen</t>
  </si>
  <si>
    <t>030620</t>
  </si>
  <si>
    <t>1992 03 14 085 03</t>
  </si>
  <si>
    <t>621 343 204</t>
  </si>
  <si>
    <t>caroline19921403@gmail.com</t>
  </si>
  <si>
    <t xml:space="preserve">PAPADOPOULOU </t>
  </si>
  <si>
    <t>Anatoli</t>
  </si>
  <si>
    <t>Grèque</t>
  </si>
  <si>
    <t>26, rue Belle-Vue</t>
  </si>
  <si>
    <t>F23</t>
  </si>
  <si>
    <t xml:space="preserve"> /// </t>
  </si>
  <si>
    <t>anipapado@hotmail.com</t>
  </si>
  <si>
    <t>PAPADOPOULOU STRORUP</t>
  </si>
  <si>
    <t>Fivi</t>
  </si>
  <si>
    <t>401879</t>
  </si>
  <si>
    <t>2021 01 21 023 76</t>
  </si>
  <si>
    <t>691 614 744 (père)</t>
  </si>
  <si>
    <t>691 661 744 (mère)</t>
  </si>
  <si>
    <t>mstroerup@hotmail.com</t>
  </si>
  <si>
    <t>400675</t>
  </si>
  <si>
    <t>2018 09 09 011 54</t>
  </si>
  <si>
    <t>PASCU</t>
  </si>
  <si>
    <t xml:space="preserve">Diana </t>
  </si>
  <si>
    <t>56, Mnt. Willy Goergen</t>
  </si>
  <si>
    <t>F148</t>
  </si>
  <si>
    <t>Georgian</t>
  </si>
  <si>
    <t>0031 6 15288577</t>
  </si>
  <si>
    <t>george_pascu@ymail.com</t>
  </si>
  <si>
    <t>Theodor</t>
  </si>
  <si>
    <t>403178</t>
  </si>
  <si>
    <t>2015 02 18 060 12</t>
  </si>
  <si>
    <t>PATZ</t>
  </si>
  <si>
    <t>Noémie</t>
  </si>
  <si>
    <t>1984 01 08 123 98</t>
  </si>
  <si>
    <t>621 179 284</t>
  </si>
  <si>
    <t>PEDERSEN</t>
  </si>
  <si>
    <t>Nadia</t>
  </si>
  <si>
    <t>nadia.6.petersen@gmail.com</t>
  </si>
  <si>
    <t>PEREIRA CASALEIRO</t>
  </si>
  <si>
    <t>Sergio Manuel</t>
  </si>
  <si>
    <t>661 842 829</t>
  </si>
  <si>
    <t>PEREIRA GONCALVES</t>
  </si>
  <si>
    <t>Lucilia</t>
  </si>
  <si>
    <t xml:space="preserve">PETER </t>
  </si>
  <si>
    <t>Murielle</t>
  </si>
  <si>
    <t>621 698 969</t>
  </si>
  <si>
    <t>PETOUO</t>
  </si>
  <si>
    <t>Berthold</t>
  </si>
  <si>
    <t>cameroonaise</t>
  </si>
  <si>
    <t>55, rue de Beggen</t>
  </si>
  <si>
    <t>L-1221</t>
  </si>
  <si>
    <t>401444</t>
  </si>
  <si>
    <t>1992 10 28 032 79</t>
  </si>
  <si>
    <t>petouoberthold@yahoo.com</t>
  </si>
  <si>
    <t>PETTINGER</t>
  </si>
  <si>
    <t>7, Hauptstrooss</t>
  </si>
  <si>
    <t>L-9972</t>
  </si>
  <si>
    <t>Lieler</t>
  </si>
  <si>
    <t>100088</t>
  </si>
  <si>
    <t>1995 08 19 130 12</t>
  </si>
  <si>
    <t>26 32 23 12</t>
  </si>
  <si>
    <t>621 138 041</t>
  </si>
  <si>
    <t>661 509 087</t>
  </si>
  <si>
    <t>petki1995@gmail.com</t>
  </si>
  <si>
    <t>Noé</t>
  </si>
  <si>
    <t>1, rue d'Ansembourg</t>
  </si>
  <si>
    <t>L-7512</t>
  </si>
  <si>
    <t>400284</t>
  </si>
  <si>
    <t>déménagé</t>
  </si>
  <si>
    <t>2014 09 25 016 85</t>
  </si>
  <si>
    <t>621 132 041 (père)</t>
  </si>
  <si>
    <t>621 212 646 (mère)</t>
  </si>
  <si>
    <t>kimpetti@pt.lu</t>
  </si>
  <si>
    <t>PIERRET</t>
  </si>
  <si>
    <t>Arnaud</t>
  </si>
  <si>
    <t>Belge</t>
  </si>
  <si>
    <t>27, rue Mameranus</t>
  </si>
  <si>
    <t>L-8249</t>
  </si>
  <si>
    <t>F49</t>
  </si>
  <si>
    <t>Mia</t>
  </si>
  <si>
    <t>Belge/Danoise</t>
  </si>
  <si>
    <t>401438</t>
  </si>
  <si>
    <t>2012 05 04 062 30</t>
  </si>
  <si>
    <t>661 822 408 (mère)</t>
  </si>
  <si>
    <t>lajne.thomsen@gmail.com</t>
  </si>
  <si>
    <t>PIETRASIK</t>
  </si>
  <si>
    <t>Katarzyna</t>
  </si>
  <si>
    <t>polonaise</t>
  </si>
  <si>
    <t>24, Bd. G.-D. Charlotte</t>
  </si>
  <si>
    <t>L-9024</t>
  </si>
  <si>
    <t>1938</t>
  </si>
  <si>
    <t>1976 02 22 421 86</t>
  </si>
  <si>
    <t>kacha267@icloud.com</t>
  </si>
  <si>
    <t>PILASKI</t>
  </si>
  <si>
    <t>Alina</t>
  </si>
  <si>
    <t>PINTO</t>
  </si>
  <si>
    <t>34, Op der Strooss</t>
  </si>
  <si>
    <t>F92</t>
  </si>
  <si>
    <t>pintomarco_7@msn.com</t>
  </si>
  <si>
    <t>PINTO CARVALHO</t>
  </si>
  <si>
    <t>Eva Maria</t>
  </si>
  <si>
    <t>401102</t>
  </si>
  <si>
    <t>2018 08 02 002 20</t>
  </si>
  <si>
    <t>691 130 785 (père)</t>
  </si>
  <si>
    <t>621 318 311 (mère)</t>
  </si>
  <si>
    <t>pocahontas9021@hotmail.com</t>
  </si>
  <si>
    <t>PIRES MARTINS</t>
  </si>
  <si>
    <t>Jordan</t>
  </si>
  <si>
    <t>31. rue des Champs</t>
  </si>
  <si>
    <t>L-7480</t>
  </si>
  <si>
    <t>Tuntange</t>
  </si>
  <si>
    <t>401084</t>
  </si>
  <si>
    <t>2002 02 21 039 57</t>
  </si>
  <si>
    <t>pirjo2102@hotmail.com</t>
  </si>
  <si>
    <t>PIRSON</t>
  </si>
  <si>
    <t>621 290 403</t>
  </si>
  <si>
    <t>isabellepirson@pt.lu</t>
  </si>
  <si>
    <t>POIREL</t>
  </si>
  <si>
    <t>Amara</t>
  </si>
  <si>
    <t>57a, rue d'Arlon</t>
  </si>
  <si>
    <t>F136</t>
  </si>
  <si>
    <t>2015 01 10 030 39</t>
  </si>
  <si>
    <t>401 412 833 (père)</t>
  </si>
  <si>
    <t>661 792 917 (mère)</t>
  </si>
  <si>
    <t>cheroreen@yahoo.com</t>
  </si>
  <si>
    <t>Jean-Baptiste</t>
  </si>
  <si>
    <t>402913</t>
  </si>
  <si>
    <t>2016 07 16 031 87</t>
  </si>
  <si>
    <t>Maureen</t>
  </si>
  <si>
    <t>thopo57@hotmail.com</t>
  </si>
  <si>
    <t>POLINSKA</t>
  </si>
  <si>
    <t>Patrycja</t>
  </si>
  <si>
    <t>85, rue de Diekirch</t>
  </si>
  <si>
    <t>F154</t>
  </si>
  <si>
    <t>guillaume.patrycja@gmail.com</t>
  </si>
  <si>
    <t>POULLES</t>
  </si>
  <si>
    <t>Chiara</t>
  </si>
  <si>
    <t>402929</t>
  </si>
  <si>
    <t>2016 07 22 000 54</t>
  </si>
  <si>
    <t>661 737 558 (pére)</t>
  </si>
  <si>
    <t>691 988 571 (mère)</t>
  </si>
  <si>
    <t>QUINN</t>
  </si>
  <si>
    <t>Nicole</t>
  </si>
  <si>
    <t>36c, rue des Près</t>
  </si>
  <si>
    <t>L-7333</t>
  </si>
  <si>
    <t>F02</t>
  </si>
  <si>
    <t>5319</t>
  </si>
  <si>
    <t>1976 12 12 337 69</t>
  </si>
  <si>
    <t>26 33 05 40</t>
  </si>
  <si>
    <t>621 285 601</t>
  </si>
  <si>
    <t>nicoleandzoe@googlemail.com</t>
  </si>
  <si>
    <t>Robert</t>
  </si>
  <si>
    <t>Ruben William</t>
  </si>
  <si>
    <t>400162</t>
  </si>
  <si>
    <t>2011 05 12 059 02</t>
  </si>
  <si>
    <t>621 285 601 (mère)</t>
  </si>
  <si>
    <t>RADOGNA</t>
  </si>
  <si>
    <t>Antonia</t>
  </si>
  <si>
    <t>RAMCEVIC</t>
  </si>
  <si>
    <t>Amer</t>
  </si>
  <si>
    <t>g</t>
  </si>
  <si>
    <t>Nejla</t>
  </si>
  <si>
    <t>100736</t>
  </si>
  <si>
    <t>2011 04 02 083 37</t>
  </si>
  <si>
    <t>661 330 110 (mère)</t>
  </si>
  <si>
    <t>1.1</t>
  </si>
  <si>
    <t>RAMCILOVIC</t>
  </si>
  <si>
    <t>Dina</t>
  </si>
  <si>
    <t>RATHS</t>
  </si>
  <si>
    <t>Annick</t>
  </si>
  <si>
    <t>annick.raths@education.lu</t>
  </si>
  <si>
    <t>RAUCHS</t>
  </si>
  <si>
    <t>alain.rauchs@hotmail.com</t>
  </si>
  <si>
    <t>Nora</t>
  </si>
  <si>
    <t>401514</t>
  </si>
  <si>
    <t>2020 11 07 005 16</t>
  </si>
  <si>
    <t>661911537 (père)</t>
  </si>
  <si>
    <t>REDAVID</t>
  </si>
  <si>
    <t>Gregory</t>
  </si>
  <si>
    <t>100077</t>
  </si>
  <si>
    <t>1985 02 13 014 16</t>
  </si>
  <si>
    <t>621 243 419</t>
  </si>
  <si>
    <t>gregory.redavid@tutanota.com</t>
  </si>
  <si>
    <t>U4</t>
  </si>
  <si>
    <t>400787</t>
  </si>
  <si>
    <t>2017 11 09 007 03</t>
  </si>
  <si>
    <t>621 243 419 (père)</t>
  </si>
  <si>
    <t>691 474 110 (mère)</t>
  </si>
  <si>
    <t xml:space="preserve">Paul </t>
  </si>
  <si>
    <t>402877</t>
  </si>
  <si>
    <t>2022 07 08 021 11</t>
  </si>
  <si>
    <t>REDING</t>
  </si>
  <si>
    <t>3, rue Beringerberg</t>
  </si>
  <si>
    <t>F28</t>
  </si>
  <si>
    <t>100502</t>
  </si>
  <si>
    <t xml:space="preserve">2000 05 22 105 28 </t>
  </si>
  <si>
    <t>32 03 55</t>
  </si>
  <si>
    <t>691 650 245</t>
  </si>
  <si>
    <t>laura.2205@hotmail.de</t>
  </si>
  <si>
    <t>REIFER</t>
  </si>
  <si>
    <t>Leonard</t>
  </si>
  <si>
    <t>24, rue Knepel</t>
  </si>
  <si>
    <t>F01</t>
  </si>
  <si>
    <t>403024</t>
  </si>
  <si>
    <t>2018 05 03 011 58</t>
  </si>
  <si>
    <t>marijapetereifer@gmail.com</t>
  </si>
  <si>
    <t>Sam</t>
  </si>
  <si>
    <t>mailto:jhempb@yahoo.com</t>
  </si>
  <si>
    <t>REIFER PETE</t>
  </si>
  <si>
    <t>Marija</t>
  </si>
  <si>
    <t>REINERT</t>
  </si>
  <si>
    <t>403587</t>
  </si>
  <si>
    <t>2021 06 02 009 49</t>
  </si>
  <si>
    <t>621 708 686 (père)</t>
  </si>
  <si>
    <t>621 502 977 (mère)</t>
  </si>
  <si>
    <t>RESSEL</t>
  </si>
  <si>
    <t>400197</t>
  </si>
  <si>
    <t>2013 10 03 103 87</t>
  </si>
  <si>
    <t>691 563 634 (père)</t>
  </si>
  <si>
    <t>621 326 319 (mère)</t>
  </si>
  <si>
    <t>nouvelle licence sera faite plus tard</t>
  </si>
  <si>
    <t>2016 01 14 008 41</t>
  </si>
  <si>
    <t>Steve</t>
  </si>
  <si>
    <t>691 563 634</t>
  </si>
  <si>
    <t>REUTER</t>
  </si>
  <si>
    <t>Jill Lindsay</t>
  </si>
  <si>
    <t>694 546 306</t>
  </si>
  <si>
    <t>RIBEIRO CARVALHO</t>
  </si>
  <si>
    <t xml:space="preserve">Sofia  </t>
  </si>
  <si>
    <t>RIBEIRO DE MEDEIROS</t>
  </si>
  <si>
    <t>Stefhanee</t>
  </si>
  <si>
    <t>brésilienne</t>
  </si>
  <si>
    <t>34, rue Principale</t>
  </si>
  <si>
    <t>L-8814</t>
  </si>
  <si>
    <t>Bigonville</t>
  </si>
  <si>
    <t>402200</t>
  </si>
  <si>
    <t>1996 11 27 055 44</t>
  </si>
  <si>
    <t>stefhanee@gmail.com</t>
  </si>
  <si>
    <t>RIOUAL</t>
  </si>
  <si>
    <t>Estelle</t>
  </si>
  <si>
    <t>23, rue Georges Schwartz</t>
  </si>
  <si>
    <t>402852</t>
  </si>
  <si>
    <t>1194 15 05 055 85</t>
  </si>
  <si>
    <t>0033 673 052 172</t>
  </si>
  <si>
    <t>rioual.estelle@gmail.com</t>
  </si>
  <si>
    <t>ROBERT RAYNAUD</t>
  </si>
  <si>
    <t>Cammille</t>
  </si>
  <si>
    <t>F140</t>
  </si>
  <si>
    <t>raynaud.camille90@gmail.com</t>
  </si>
  <si>
    <t>Licence reactivée 25/26</t>
  </si>
  <si>
    <t>2022 09 13 031 13</t>
  </si>
  <si>
    <t>ROCHA MAJERUS</t>
  </si>
  <si>
    <t>Darius</t>
  </si>
  <si>
    <t>401206</t>
  </si>
  <si>
    <t>2018 08 26 003 25</t>
  </si>
  <si>
    <t>691207199 (mère)</t>
  </si>
  <si>
    <t>RODESCH</t>
  </si>
  <si>
    <t xml:space="preserve">621 309 647 </t>
  </si>
  <si>
    <t>U11</t>
  </si>
  <si>
    <t>RODRIGUES</t>
  </si>
  <si>
    <t>Damien</t>
  </si>
  <si>
    <t>100709</t>
  </si>
  <si>
    <t>2007 01 29 133 45</t>
  </si>
  <si>
    <t>ROEDER</t>
  </si>
  <si>
    <t>Jérôme</t>
  </si>
  <si>
    <t>400676</t>
  </si>
  <si>
    <t>2018 04 26 005 10</t>
  </si>
  <si>
    <t>661 503 206 (père)</t>
  </si>
  <si>
    <t>621 546 945 (mère)</t>
  </si>
  <si>
    <t>ROLLINGER</t>
  </si>
  <si>
    <t>Bo</t>
  </si>
  <si>
    <t>400397</t>
  </si>
  <si>
    <t>2016 01 14 015 90</t>
  </si>
  <si>
    <t>691 550 600 (père)</t>
  </si>
  <si>
    <t>621 777 527 (mère)</t>
  </si>
  <si>
    <t>joelrollinger@yahoo.de</t>
  </si>
  <si>
    <t xml:space="preserve">Joël </t>
  </si>
  <si>
    <t>691 550 600</t>
  </si>
  <si>
    <t>Nils</t>
  </si>
  <si>
    <t>400399</t>
  </si>
  <si>
    <t>2012 07 08 199 75</t>
  </si>
  <si>
    <t>ROSCA</t>
  </si>
  <si>
    <t>Adrian</t>
  </si>
  <si>
    <t>1, rue Jean-Pierre Sauvage</t>
  </si>
  <si>
    <t>L-2514</t>
  </si>
  <si>
    <t>F149</t>
  </si>
  <si>
    <t>rosca.adi@gmail.com</t>
  </si>
  <si>
    <t>Andrei</t>
  </si>
  <si>
    <t>403194</t>
  </si>
  <si>
    <t>2015 11 05 012 68</t>
  </si>
  <si>
    <t>Irina</t>
  </si>
  <si>
    <t>rosca.ionela.irina@gmail.com</t>
  </si>
  <si>
    <t>RUEF</t>
  </si>
  <si>
    <t>Mark, Seth</t>
  </si>
  <si>
    <t>suisse</t>
  </si>
  <si>
    <t>13, Geiferwee</t>
  </si>
  <si>
    <t>L-7481</t>
  </si>
  <si>
    <t>100045</t>
  </si>
  <si>
    <t>Médico inapte temporairement</t>
  </si>
  <si>
    <t>1990 11 21 039 00</t>
  </si>
  <si>
    <t>23 63 93 82</t>
  </si>
  <si>
    <t>691 680 579</t>
  </si>
  <si>
    <t>markruef@hotmail.com</t>
  </si>
  <si>
    <t>100A</t>
  </si>
  <si>
    <t>4acf-2</t>
  </si>
  <si>
    <t>SANCHES BORGES</t>
  </si>
  <si>
    <t>Martina</t>
  </si>
  <si>
    <t>17, rue de l'Etoile</t>
  </si>
  <si>
    <t>L-9229</t>
  </si>
  <si>
    <t>100700</t>
  </si>
  <si>
    <t>1997 05 11 167 28</t>
  </si>
  <si>
    <t>26 80 44 83</t>
  </si>
  <si>
    <t>691 205 190</t>
  </si>
  <si>
    <t>martina.borges97@hotmail.com</t>
  </si>
  <si>
    <t>SCHAEGIS</t>
  </si>
  <si>
    <t>13a, rue Paul Elvinger</t>
  </si>
  <si>
    <t>F124</t>
  </si>
  <si>
    <t>26 33 25 72</t>
  </si>
  <si>
    <t>621 317 093</t>
  </si>
  <si>
    <t>zanitzer@pt.lu</t>
  </si>
  <si>
    <t>SCHAETZEL</t>
  </si>
  <si>
    <t>L-7305</t>
  </si>
  <si>
    <t xml:space="preserve">622 404 502 </t>
  </si>
  <si>
    <t>serge.schaetzel@education.lu</t>
  </si>
  <si>
    <t>Zoé</t>
  </si>
  <si>
    <t>L-7304</t>
  </si>
  <si>
    <t>100768</t>
  </si>
  <si>
    <t>2011 08 10 025 04</t>
  </si>
  <si>
    <t>621 404 502 (père)</t>
  </si>
  <si>
    <t>621 371 551 (mère)</t>
  </si>
  <si>
    <t>SCHANCK</t>
  </si>
  <si>
    <t>Dayne</t>
  </si>
  <si>
    <t>2011 04 14 057 33</t>
  </si>
  <si>
    <t>661 790 810 (père)</t>
  </si>
  <si>
    <t>661 620 125 (mère)</t>
  </si>
  <si>
    <t>pschanck@pt.lu</t>
  </si>
  <si>
    <t>SCHARES</t>
  </si>
  <si>
    <t>Svenja</t>
  </si>
  <si>
    <t>56a, rue Principale</t>
  </si>
  <si>
    <t>L-9375</t>
  </si>
  <si>
    <t>Gralingen</t>
  </si>
  <si>
    <t>040479</t>
  </si>
  <si>
    <t>1997 08 14 186 63</t>
  </si>
  <si>
    <t>621 428 428</t>
  </si>
  <si>
    <t>svenja-schares@hotmail.com</t>
  </si>
  <si>
    <t>SCHILT</t>
  </si>
  <si>
    <t>Michele</t>
  </si>
  <si>
    <t>37, rue Lohr</t>
  </si>
  <si>
    <t>F81</t>
  </si>
  <si>
    <t>5001</t>
  </si>
  <si>
    <t>1980 09 16 103 73</t>
  </si>
  <si>
    <t>michele.schilt@zpb.lu</t>
  </si>
  <si>
    <t>691 874 180</t>
  </si>
  <si>
    <t xml:space="preserve">mischilt@gmail.com </t>
  </si>
  <si>
    <t>SCHILTZ</t>
  </si>
  <si>
    <t>Claude</t>
  </si>
  <si>
    <t>18, rue des Noyers</t>
  </si>
  <si>
    <t>L-7594</t>
  </si>
  <si>
    <t>F137</t>
  </si>
  <si>
    <t>claude.schiltz@education.lu</t>
  </si>
  <si>
    <t>Cléo</t>
  </si>
  <si>
    <t>401465</t>
  </si>
  <si>
    <t>2020 04 15 002 77</t>
  </si>
  <si>
    <t>691 464 348 (père)</t>
  </si>
  <si>
    <t>schiltz.frederic@gmail.com</t>
  </si>
  <si>
    <t>Frédéric</t>
  </si>
  <si>
    <t>2015 11 15 004 14</t>
  </si>
  <si>
    <t>621 277 037 (père)</t>
  </si>
  <si>
    <t>691 477 316 (mère)</t>
  </si>
  <si>
    <t>elisabeth.losch@education.lu</t>
  </si>
  <si>
    <t>SCHILTZ-LOSCH</t>
  </si>
  <si>
    <t>SCHLENTZ</t>
  </si>
  <si>
    <t>Leevi</t>
  </si>
  <si>
    <t>100773</t>
  </si>
  <si>
    <t>2014 05 27 158 03</t>
  </si>
  <si>
    <t>661 313 107 (père)</t>
  </si>
  <si>
    <t>691 831 618 (mère)</t>
  </si>
  <si>
    <t>bettikett@hotmail.com</t>
  </si>
  <si>
    <t>SCHMIT</t>
  </si>
  <si>
    <t>Elena</t>
  </si>
  <si>
    <t>SCHMITZ</t>
  </si>
  <si>
    <t>Eléa</t>
  </si>
  <si>
    <t>401135</t>
  </si>
  <si>
    <t>2019 12 05 012 15</t>
  </si>
  <si>
    <t>691 408 000 (mère)</t>
  </si>
  <si>
    <t>Nathanaël</t>
  </si>
  <si>
    <t>401134</t>
  </si>
  <si>
    <t>2017 01 07 002 57</t>
  </si>
  <si>
    <t>schmitz.sebastien@gmail.com</t>
  </si>
  <si>
    <t>SCHROEDER</t>
  </si>
  <si>
    <t>Yasmine</t>
  </si>
  <si>
    <t>SCHULTé</t>
  </si>
  <si>
    <t>621 297 186</t>
  </si>
  <si>
    <t>claude.schulte@education.lu</t>
  </si>
  <si>
    <t>g-2</t>
  </si>
  <si>
    <t>Jemp</t>
  </si>
  <si>
    <t>100705</t>
  </si>
  <si>
    <t>pour contacter voir contact famille / Médico apte temporairement jusqu'au 02.07.2026</t>
  </si>
  <si>
    <t>2010 08 23 110 61</t>
  </si>
  <si>
    <t>691 874 180 (mère)</t>
  </si>
  <si>
    <t>621 297 186 (père)</t>
  </si>
  <si>
    <t>SCHULTZ</t>
  </si>
  <si>
    <t>Margret</t>
  </si>
  <si>
    <t>margretschulz@orange.fr</t>
  </si>
  <si>
    <t>SCHUSTER</t>
  </si>
  <si>
    <t>Elie</t>
  </si>
  <si>
    <t>4, bei de Weieren</t>
  </si>
  <si>
    <t>L-7346</t>
  </si>
  <si>
    <t>F60</t>
  </si>
  <si>
    <t>100677</t>
  </si>
  <si>
    <t>2006 12 07 172 62</t>
  </si>
  <si>
    <t>26 33 29 28</t>
  </si>
  <si>
    <t>621 747 837 (mère)</t>
  </si>
  <si>
    <t>marie-claude.wiltzius@education.lu</t>
  </si>
  <si>
    <t>3817</t>
  </si>
  <si>
    <t>1976 02 06 116 47</t>
  </si>
  <si>
    <t>621 756 356</t>
  </si>
  <si>
    <t>jeffster@pt.lu</t>
  </si>
  <si>
    <t>2022, Président</t>
  </si>
  <si>
    <t>SCHUSTER - WILTZIUS</t>
  </si>
  <si>
    <t>Marie-Claude</t>
  </si>
  <si>
    <t>621 747 837</t>
  </si>
  <si>
    <t>U15</t>
  </si>
  <si>
    <t>SEBENICO</t>
  </si>
  <si>
    <t>SEBERT</t>
  </si>
  <si>
    <t>Grégory</t>
  </si>
  <si>
    <t>gregory.sebert@gmail.com</t>
  </si>
  <si>
    <t>Henrik</t>
  </si>
  <si>
    <t>402226</t>
  </si>
  <si>
    <t>2020 12 23 007 63</t>
  </si>
  <si>
    <t>621 615 316 (père)</t>
  </si>
  <si>
    <t>SERRES</t>
  </si>
  <si>
    <t>Sven</t>
  </si>
  <si>
    <t>100743</t>
  </si>
  <si>
    <t>2005 08 27 012 71</t>
  </si>
  <si>
    <t>691 879 978</t>
  </si>
  <si>
    <t xml:space="preserve">SILVA  </t>
  </si>
  <si>
    <t>Marcos Antonio</t>
  </si>
  <si>
    <t>4, rue Jean Origer</t>
  </si>
  <si>
    <t>L-2269</t>
  </si>
  <si>
    <t>402062</t>
  </si>
  <si>
    <t>1990 05 16 053 62</t>
  </si>
  <si>
    <t>marc90s.silva@gmail.com</t>
  </si>
  <si>
    <t>SILVA DELGADO</t>
  </si>
  <si>
    <t>16, rue Grand Duc Jean</t>
  </si>
  <si>
    <t>F12</t>
  </si>
  <si>
    <t>100500</t>
  </si>
  <si>
    <t>1999 08 17 149 91</t>
  </si>
  <si>
    <t>26 47 10 91</t>
  </si>
  <si>
    <t>661 178 178</t>
  </si>
  <si>
    <t>d.iana_delgado@hotmail.com</t>
  </si>
  <si>
    <t>SIMOES</t>
  </si>
  <si>
    <t>100771</t>
  </si>
  <si>
    <t>2012 05 22 249 41</t>
  </si>
  <si>
    <t>621 359 187</t>
  </si>
  <si>
    <t xml:space="preserve">SIMOES </t>
  </si>
  <si>
    <t>Gerardo</t>
  </si>
  <si>
    <t>gerardo.simoes@centermed.lu</t>
  </si>
  <si>
    <t>SKOVGAARD</t>
  </si>
  <si>
    <t>Liam Greve</t>
  </si>
  <si>
    <t>16, rue Jean Baptiste Schwartz</t>
  </si>
  <si>
    <t>L-7342</t>
  </si>
  <si>
    <t>F79</t>
  </si>
  <si>
    <t>402004</t>
  </si>
  <si>
    <t>2014 06 11 213 01</t>
  </si>
  <si>
    <t>691 515 871 (père)</t>
  </si>
  <si>
    <t>691 458 246 (mère)</t>
  </si>
  <si>
    <t>wendi@skovgaard.lu</t>
  </si>
  <si>
    <t>Michael</t>
  </si>
  <si>
    <t>1974 11 26 691 35</t>
  </si>
  <si>
    <t>michael@skovgaard.lu</t>
  </si>
  <si>
    <t>Wendi Greve</t>
  </si>
  <si>
    <t>7037</t>
  </si>
  <si>
    <t>1978 03 10 408 62</t>
  </si>
  <si>
    <t>SOUZA RIBEIRO</t>
  </si>
  <si>
    <t>Caio</t>
  </si>
  <si>
    <t>Brésilienne</t>
  </si>
  <si>
    <t>691 883 008</t>
  </si>
  <si>
    <t>brazuca07@hotmail.com</t>
  </si>
  <si>
    <t>SPIEWAK</t>
  </si>
  <si>
    <t>9, rue du Lac</t>
  </si>
  <si>
    <t>L-9453</t>
  </si>
  <si>
    <t>Biwels</t>
  </si>
  <si>
    <t>100027</t>
  </si>
  <si>
    <t>2424</t>
  </si>
  <si>
    <t>1990 09 18 111 69</t>
  </si>
  <si>
    <t>32 54 12</t>
  </si>
  <si>
    <t>621 645 308 (M)</t>
  </si>
  <si>
    <t>691 200 422</t>
  </si>
  <si>
    <t>spiewak.jeff@outlook.com</t>
  </si>
  <si>
    <t xml:space="preserve">STARK  </t>
  </si>
  <si>
    <t>Guillaume</t>
  </si>
  <si>
    <t>STARK POLINSKI</t>
  </si>
  <si>
    <t>Rafael</t>
  </si>
  <si>
    <t>403834</t>
  </si>
  <si>
    <t>2022 10 12 014 58</t>
  </si>
  <si>
    <t>661 364 016 (père)</t>
  </si>
  <si>
    <t>691 114 419 (mère)</t>
  </si>
  <si>
    <t>STEEN</t>
  </si>
  <si>
    <t>Alexander</t>
  </si>
  <si>
    <t xml:space="preserve">L-7410 </t>
  </si>
  <si>
    <t>2021 08 31 026 15</t>
  </si>
  <si>
    <t>691 237 513 (père)</t>
  </si>
  <si>
    <t>691 202 532 (mère)</t>
  </si>
  <si>
    <t>Austin</t>
  </si>
  <si>
    <t>L-7412</t>
  </si>
  <si>
    <t>Juliette</t>
  </si>
  <si>
    <t>L-7411</t>
  </si>
  <si>
    <t>2023 02 06 007 66</t>
  </si>
  <si>
    <t>STEINBACH</t>
  </si>
  <si>
    <t>STRORUP</t>
  </si>
  <si>
    <t>Mikkel</t>
  </si>
  <si>
    <t>SYLVESTER</t>
  </si>
  <si>
    <t>Destiny Emmanuel</t>
  </si>
  <si>
    <t>65, rue Principal</t>
  </si>
  <si>
    <t>L-5367</t>
  </si>
  <si>
    <t>Schuttrange</t>
  </si>
  <si>
    <t>140401</t>
  </si>
  <si>
    <t>2001 06 16 396 37</t>
  </si>
  <si>
    <t>destinysylvester121@gmail.com</t>
  </si>
  <si>
    <t>TEUNISSEN VAN MANEN</t>
  </si>
  <si>
    <t>Birgitte</t>
  </si>
  <si>
    <t>brigitteteunissen@gmail.com</t>
  </si>
  <si>
    <t>TEUSCH</t>
  </si>
  <si>
    <t>L-9184</t>
  </si>
  <si>
    <t>Schrondweiler</t>
  </si>
  <si>
    <t>F46</t>
  </si>
  <si>
    <t>401374</t>
  </si>
  <si>
    <t>2013 02 16 057 19</t>
  </si>
  <si>
    <t>621 734 508 (père)</t>
  </si>
  <si>
    <t>fcmarisca@gmail.com</t>
  </si>
  <si>
    <t>THOLL</t>
  </si>
  <si>
    <t>Nicolas</t>
  </si>
  <si>
    <t>119, rue J.F. Kennedy</t>
  </si>
  <si>
    <t>L-3249</t>
  </si>
  <si>
    <t>Bettembourg</t>
  </si>
  <si>
    <t>400327</t>
  </si>
  <si>
    <t>2000 04 26 076 22</t>
  </si>
  <si>
    <t>51 40 47</t>
  </si>
  <si>
    <t>621 523 602</t>
  </si>
  <si>
    <t>n1c0t@outlook.de</t>
  </si>
  <si>
    <t>THOMSEN</t>
  </si>
  <si>
    <t>TOISUL</t>
  </si>
  <si>
    <t xml:space="preserve">TOISUL </t>
  </si>
  <si>
    <t>steve_toisul@hotmail.com</t>
  </si>
  <si>
    <t>TOISUL LINSTER</t>
  </si>
  <si>
    <t>403610</t>
  </si>
  <si>
    <t>2015 07 23 003 90</t>
  </si>
  <si>
    <t>691 457 054 (père)</t>
  </si>
  <si>
    <t>691 567 058 (mère)</t>
  </si>
  <si>
    <t>VALENTE ESTEVES</t>
  </si>
  <si>
    <t>Ilda</t>
  </si>
  <si>
    <t>37,Bd. Pierre Dupont</t>
  </si>
  <si>
    <t>L-4086</t>
  </si>
  <si>
    <t>Esch/Alzette</t>
  </si>
  <si>
    <t>402524</t>
  </si>
  <si>
    <t>2003 09 17 147 42</t>
  </si>
  <si>
    <t>ildavalenteesteves@gmail.com</t>
  </si>
  <si>
    <t>VAN DER WEKEN</t>
  </si>
  <si>
    <t>5, rue Félicie Schlesser</t>
  </si>
  <si>
    <t>L-9072</t>
  </si>
  <si>
    <t>401526</t>
  </si>
  <si>
    <t>2001 12 04 172 40</t>
  </si>
  <si>
    <t>vanderwekenlouis01@gmail.com</t>
  </si>
  <si>
    <t>2023, Membre</t>
  </si>
  <si>
    <t>LUXQF2 Bis</t>
  </si>
  <si>
    <t>VAN WISSEN</t>
  </si>
  <si>
    <t>Petrus</t>
  </si>
  <si>
    <t>8a, rue de Kehlen</t>
  </si>
  <si>
    <t>L-8390</t>
  </si>
  <si>
    <t>Nospelt</t>
  </si>
  <si>
    <t>F21</t>
  </si>
  <si>
    <t>3635</t>
  </si>
  <si>
    <t>26 30 05 23</t>
  </si>
  <si>
    <t>661 073 081</t>
  </si>
  <si>
    <t>pwissen@pt.lu</t>
  </si>
  <si>
    <t>VASARI</t>
  </si>
  <si>
    <t>Mendy</t>
  </si>
  <si>
    <t>VEIGA</t>
  </si>
  <si>
    <t>L-7715</t>
  </si>
  <si>
    <t>661 220 483</t>
  </si>
  <si>
    <t>VIEILLEVOYE</t>
  </si>
  <si>
    <t>Stéphanie</t>
  </si>
  <si>
    <t>WAGNER</t>
  </si>
  <si>
    <t>2022 03 14 004 37</t>
  </si>
  <si>
    <t>Olivier</t>
  </si>
  <si>
    <t>15a, rue d'Ettelbruck</t>
  </si>
  <si>
    <t>100694</t>
  </si>
  <si>
    <t>1984 07 04 257 31</t>
  </si>
  <si>
    <t>wagner.olivier84@gmail.com</t>
  </si>
  <si>
    <t>400648</t>
  </si>
  <si>
    <t>Apte temporairement jusqu'au 05.08.26</t>
  </si>
  <si>
    <t>2011 02 18 053 01</t>
  </si>
  <si>
    <t>691 697 889 (mère)</t>
  </si>
  <si>
    <t>WALKER</t>
  </si>
  <si>
    <t>Amelie</t>
  </si>
  <si>
    <t>22, rue de Septfontaines</t>
  </si>
  <si>
    <t>F125</t>
  </si>
  <si>
    <t>402908</t>
  </si>
  <si>
    <t>2016 05 30 003 19</t>
  </si>
  <si>
    <t>691 162 398 (père)</t>
  </si>
  <si>
    <t>691 162 668 (mère)</t>
  </si>
  <si>
    <t>simon120414@gmail.com</t>
  </si>
  <si>
    <t>Amy</t>
  </si>
  <si>
    <t>Simon</t>
  </si>
  <si>
    <t>WAMPACH ép. MIGLIOSI</t>
  </si>
  <si>
    <t>Joëlle</t>
  </si>
  <si>
    <t xml:space="preserve">621 363 328 </t>
  </si>
  <si>
    <t>joellewampach@gmail.com</t>
  </si>
  <si>
    <t>WEBER</t>
  </si>
  <si>
    <t>Hailey</t>
  </si>
  <si>
    <t>2, rue Emile Laux</t>
  </si>
  <si>
    <t>L-7544</t>
  </si>
  <si>
    <t>F146</t>
  </si>
  <si>
    <t>2021 03 13 007 88</t>
  </si>
  <si>
    <t>691 714 035 (père)</t>
  </si>
  <si>
    <t>691 543 921 (mère)</t>
  </si>
  <si>
    <t>lucweber09@hotmail.com</t>
  </si>
  <si>
    <t>Krisshelle</t>
  </si>
  <si>
    <t>krishelle@hotmail.com</t>
  </si>
  <si>
    <t>Véronique</t>
  </si>
  <si>
    <t>WEILER</t>
  </si>
  <si>
    <t>Elio</t>
  </si>
  <si>
    <t>2023 01 22 004 43</t>
  </si>
  <si>
    <t xml:space="preserve">Vic </t>
  </si>
  <si>
    <t>WEIS</t>
  </si>
  <si>
    <t>Charles</t>
  </si>
  <si>
    <t>Marcel</t>
  </si>
  <si>
    <t>402005</t>
  </si>
  <si>
    <t>2013 03 12 137 45</t>
  </si>
  <si>
    <t>WEISGERBER</t>
  </si>
  <si>
    <t>19,rue Gustave Wilhelmy</t>
  </si>
  <si>
    <t>F42</t>
  </si>
  <si>
    <t>christine.Weisgerber@gmail.com</t>
  </si>
  <si>
    <t>WEISSGERBER</t>
  </si>
  <si>
    <t>Pierre</t>
  </si>
  <si>
    <t>10, Waldstrasse</t>
  </si>
  <si>
    <t>D-54310</t>
  </si>
  <si>
    <t>Ralingen</t>
  </si>
  <si>
    <t>Tunn</t>
  </si>
  <si>
    <t>401324</t>
  </si>
  <si>
    <t>2013 04 29 131 76</t>
  </si>
  <si>
    <t>621 325 219 (père)</t>
  </si>
  <si>
    <t>661 260 183 (mère)</t>
  </si>
  <si>
    <t>WELLENS</t>
  </si>
  <si>
    <t>30, rue Beaulieu</t>
  </si>
  <si>
    <t>L-7302</t>
  </si>
  <si>
    <t>100636</t>
  </si>
  <si>
    <t>2003 10 14 051 84</t>
  </si>
  <si>
    <t>33 61 80</t>
  </si>
  <si>
    <t>661 707 323</t>
  </si>
  <si>
    <t>tunwellens33@gmail.com</t>
  </si>
  <si>
    <t>WELSCH</t>
  </si>
  <si>
    <t>Mike</t>
  </si>
  <si>
    <t>8, Op Waasserkiirten</t>
  </si>
  <si>
    <t>L-5713</t>
  </si>
  <si>
    <t>Aspelt</t>
  </si>
  <si>
    <t>180037</t>
  </si>
  <si>
    <t>1990 11 19 050 14</t>
  </si>
  <si>
    <t>mikewelsch90@gmail.com</t>
  </si>
  <si>
    <t>WEZENBERG</t>
  </si>
  <si>
    <t>Dirk</t>
  </si>
  <si>
    <t>7, Wieweschgaessel</t>
  </si>
  <si>
    <t>L-5899</t>
  </si>
  <si>
    <t>Syren</t>
  </si>
  <si>
    <t>401525</t>
  </si>
  <si>
    <t>1981 05 27 237 37</t>
  </si>
  <si>
    <t>dirkwezenberg@yahoo.de</t>
  </si>
  <si>
    <t>WILK</t>
  </si>
  <si>
    <t>Dimitri</t>
  </si>
  <si>
    <t>6, rue de la Forêt</t>
  </si>
  <si>
    <t>F83</t>
  </si>
  <si>
    <t>400828</t>
  </si>
  <si>
    <t>2008 12 05 008 20</t>
  </si>
  <si>
    <t>dimitriwilklux@gmail.com</t>
  </si>
  <si>
    <t>Ekaterina</t>
  </si>
  <si>
    <t>russe</t>
  </si>
  <si>
    <t>0033 608 065 932</t>
  </si>
  <si>
    <t>ekaterinawilk@yahoo.fr</t>
  </si>
  <si>
    <t>Reynald</t>
  </si>
  <si>
    <t>0033 601 070 732</t>
  </si>
  <si>
    <t>wilkrey@yahoo.fr</t>
  </si>
  <si>
    <t>WURTH</t>
  </si>
  <si>
    <t>401513</t>
  </si>
  <si>
    <t>2022 02 09 017 34</t>
  </si>
  <si>
    <t>691 329 129 (père)</t>
  </si>
  <si>
    <t>691 951 984 (mère)</t>
  </si>
  <si>
    <t>pipapongo@gmail.com</t>
  </si>
  <si>
    <t>401512</t>
  </si>
  <si>
    <t>2018 09 07 014 14</t>
  </si>
  <si>
    <t>XIAN</t>
  </si>
  <si>
    <t>Changfeng</t>
  </si>
  <si>
    <t>Chinoise</t>
  </si>
  <si>
    <t>13, rue J-P Glaesener</t>
  </si>
  <si>
    <t>L-7358</t>
  </si>
  <si>
    <t>F85</t>
  </si>
  <si>
    <t>401508</t>
  </si>
  <si>
    <t>2014 04 15 027 28</t>
  </si>
  <si>
    <t>621 424 881 (père)</t>
  </si>
  <si>
    <t>621 381 229 (mère)</t>
  </si>
  <si>
    <t>right2julie@gmail.com</t>
  </si>
  <si>
    <t>Yongxing</t>
  </si>
  <si>
    <t>polymer_2005@sohu.com</t>
  </si>
  <si>
    <t>YAGDI</t>
  </si>
  <si>
    <t>Esma</t>
  </si>
  <si>
    <t>esma.yagdi01@gmail.com</t>
  </si>
  <si>
    <t>ZEBROWSKY</t>
  </si>
  <si>
    <t>Amélia</t>
  </si>
  <si>
    <t>4, rue Roger Leiner</t>
  </si>
  <si>
    <t>L-7527</t>
  </si>
  <si>
    <t>F122</t>
  </si>
  <si>
    <t>402163</t>
  </si>
  <si>
    <t>2022 01 14 025 02</t>
  </si>
  <si>
    <t>621 765 406 (père)</t>
  </si>
  <si>
    <t>691 118 239 (mère)</t>
  </si>
  <si>
    <t>sjzebrowsky@gmail.com</t>
  </si>
  <si>
    <t>Julien</t>
  </si>
  <si>
    <t>Silvia</t>
  </si>
  <si>
    <t>1987 02 26 228 01</t>
  </si>
  <si>
    <t>ZHOU</t>
  </si>
  <si>
    <t>Jian</t>
  </si>
  <si>
    <t>ZOLLER</t>
  </si>
  <si>
    <t>Daniel</t>
  </si>
  <si>
    <t>11, Belle-Vue</t>
  </si>
  <si>
    <t>L-8710</t>
  </si>
  <si>
    <t>621 293 786</t>
  </si>
  <si>
    <t>zolldan67@gmail.com</t>
  </si>
  <si>
    <t>400209</t>
  </si>
  <si>
    <t>2006 05 03 193 58</t>
  </si>
  <si>
    <t>23 63 06 41</t>
  </si>
  <si>
    <t>621 739 206</t>
  </si>
  <si>
    <t>zoller333pol@gmail.com</t>
  </si>
  <si>
    <t>ZWANK</t>
  </si>
  <si>
    <t>1975 01 02 231 71</t>
  </si>
  <si>
    <t>27 20 07 67</t>
  </si>
  <si>
    <t>luc.zwank@gtx.net</t>
  </si>
  <si>
    <t>Theo</t>
  </si>
  <si>
    <t>401594</t>
  </si>
  <si>
    <t>2021 12 01 001 40</t>
  </si>
  <si>
    <t>26 20 07 67</t>
  </si>
  <si>
    <t>691 654 785 (père)</t>
  </si>
  <si>
    <t>691 456 576 (mère)</t>
  </si>
  <si>
    <t>F03</t>
  </si>
  <si>
    <t>F07</t>
  </si>
  <si>
    <t>F08</t>
  </si>
  <si>
    <t>F62</t>
  </si>
  <si>
    <t>F71</t>
  </si>
  <si>
    <t>F157</t>
  </si>
  <si>
    <t>F158</t>
  </si>
  <si>
    <t>F159</t>
  </si>
  <si>
    <t>F160</t>
  </si>
  <si>
    <t>Alter Code</t>
  </si>
  <si>
    <t>Original-Beschreibung (FR)</t>
  </si>
  <si>
    <t>Neuer Code</t>
  </si>
  <si>
    <t>Zuordnung (Bereich)</t>
  </si>
  <si>
    <t>Erklärung / Neu</t>
  </si>
  <si>
    <t>CAT à compléter</t>
  </si>
  <si>
    <t>offen</t>
  </si>
  <si>
    <t>noch zu bestimmen (CAT à compléter)</t>
  </si>
  <si>
    <t>Seniors - HO</t>
  </si>
  <si>
    <t>Spielkategorie</t>
  </si>
  <si>
    <t>Seniors HO</t>
  </si>
  <si>
    <t>U 21 HO</t>
  </si>
  <si>
    <t>U21 H</t>
  </si>
  <si>
    <t>U 17 HO</t>
  </si>
  <si>
    <t>U17 H</t>
  </si>
  <si>
    <t>U 15 H</t>
  </si>
  <si>
    <t>U15 H</t>
  </si>
  <si>
    <t>Vétérans - HO</t>
  </si>
  <si>
    <t>Vétérans HO</t>
  </si>
  <si>
    <t>U 13 H</t>
  </si>
  <si>
    <t>U13 H</t>
  </si>
  <si>
    <t>U 11 H</t>
  </si>
  <si>
    <t>U11 H</t>
  </si>
  <si>
    <t>U 9 H</t>
  </si>
  <si>
    <t>U9 H</t>
  </si>
  <si>
    <t>Arbitre</t>
  </si>
  <si>
    <t>Funktion/Kategorie</t>
  </si>
  <si>
    <t>Arbitre HO (21) / FE (41)</t>
  </si>
  <si>
    <t>Seniors / FE</t>
  </si>
  <si>
    <t>U 17 FE</t>
  </si>
  <si>
    <t>U17 FE</t>
  </si>
  <si>
    <t>U 13 F</t>
  </si>
  <si>
    <t>U13 F</t>
  </si>
  <si>
    <t>U 4 Mixte</t>
  </si>
  <si>
    <t>U4 (Mixte) → U4 H 19 / U4 F 39</t>
  </si>
  <si>
    <t>U 11 F</t>
  </si>
  <si>
    <t>U11 F</t>
  </si>
  <si>
    <t>U 9 F</t>
  </si>
  <si>
    <t>U9 F</t>
  </si>
  <si>
    <t>U7 F</t>
  </si>
  <si>
    <t>Officiel HO</t>
  </si>
  <si>
    <t>Funktion</t>
  </si>
  <si>
    <t>Officiel FE</t>
  </si>
  <si>
    <t>U15 F</t>
  </si>
  <si>
    <t>Vétérans - FE</t>
  </si>
  <si>
    <t>Vétérans FE</t>
  </si>
  <si>
    <t>U7 Mixte</t>
  </si>
  <si>
    <t>U7 (Mixte)</t>
  </si>
  <si>
    <t>Benevole</t>
  </si>
  <si>
    <t>Bénévole</t>
  </si>
  <si>
    <t>Bénévole (allgemein)</t>
  </si>
  <si>
    <t>Seniors - Hommes arbitre</t>
  </si>
  <si>
    <t>11+21</t>
  </si>
  <si>
    <t>Kombi → getrennt</t>
  </si>
  <si>
    <t>Seniors H (11) + Arbitre (21)</t>
  </si>
  <si>
    <t>Veteran arbitre</t>
  </si>
  <si>
    <t>20+21</t>
  </si>
  <si>
    <t>Vétérans H (20) + Arbitre (21)</t>
  </si>
  <si>
    <t>Joueur bloqué interne</t>
  </si>
  <si>
    <t>Status</t>
  </si>
  <si>
    <t>intern gesperrt (global, geschlechtsunabhängig)</t>
  </si>
  <si>
    <t>comité</t>
  </si>
  <si>
    <t>Comité (H=1 / F=3)</t>
  </si>
  <si>
    <t>Non actif licencié</t>
  </si>
  <si>
    <t>Status + Lizenz</t>
  </si>
  <si>
    <t>inaktiv, Lizenz-Status "behalten"</t>
  </si>
  <si>
    <t>Donateurs</t>
  </si>
  <si>
    <t>Mitgliedsart</t>
  </si>
  <si>
    <t>Donateur</t>
  </si>
  <si>
    <t>Donateurs licencié</t>
  </si>
  <si>
    <t>Donateur licencié</t>
  </si>
  <si>
    <t>Membre honoraire</t>
  </si>
  <si>
    <t>Contact famille M</t>
  </si>
  <si>
    <t>Kontakt / Info</t>
  </si>
  <si>
    <t>Contact famille (M)</t>
  </si>
  <si>
    <t>Contact famille F</t>
  </si>
  <si>
    <t>Contact famille (F)</t>
  </si>
  <si>
    <t>Contact famille</t>
  </si>
  <si>
    <t>Mère d'acceuil</t>
  </si>
  <si>
    <t>Mère / Père d'accueil</t>
  </si>
  <si>
    <t>Bénévole Famill</t>
  </si>
  <si>
    <t>Bénévole Famille</t>
  </si>
  <si>
    <t>Bénévole avec Licence</t>
  </si>
  <si>
    <t>Arrêt Temporaire</t>
  </si>
  <si>
    <t>Arrêt temporaire</t>
  </si>
  <si>
    <t>Arrêt temporaire licencié</t>
  </si>
  <si>
    <t>Arrêt temporaire (licencié) — Lizenz behalten</t>
  </si>
  <si>
    <t>Ancien Membre</t>
  </si>
  <si>
    <t>Ancien membre (ehemalig)</t>
  </si>
  <si>
    <t>Abondon</t>
  </si>
  <si>
    <t>Abandon / Abbruch</t>
  </si>
  <si>
    <t>Abandon licencié</t>
  </si>
  <si>
    <t>Abandon (licencié) — Lizenz behalten</t>
  </si>
  <si>
    <t>Arrêt jeune (garder licence)</t>
  </si>
  <si>
    <t>Arrêt jeune, Lizenz "behalten"</t>
  </si>
  <si>
    <t>Supprimer contact famille (arrêt jeune)</t>
  </si>
  <si>
    <t>Status + Kontakt</t>
  </si>
  <si>
    <t>Arrêt jeune + Contact famille löschen</t>
  </si>
  <si>
    <t>inactif</t>
  </si>
  <si>
    <t>Arrêt</t>
  </si>
  <si>
    <t>Arrêt (supprimer Licence)</t>
  </si>
  <si>
    <t>Arrêt — Lizenz-Status "gelöscht"</t>
  </si>
  <si>
    <t>Prêt, sortie Mersch75</t>
  </si>
  <si>
    <t>Transfer / Prêt</t>
  </si>
  <si>
    <t>Prêt, sortie Mersch75 (raus)</t>
  </si>
  <si>
    <t>Prêt, entrée Mersch75</t>
  </si>
  <si>
    <t>Prêt, entrée Mersch75 (rein)</t>
  </si>
  <si>
    <t>Transfert entrant en discution</t>
  </si>
  <si>
    <t>Transfert entrant direct (in Diskussion)</t>
  </si>
  <si>
    <t>Prêt gratuit pas équipe club origine</t>
  </si>
  <si>
    <t>Prêt gratuit (pas équipe club origine)</t>
  </si>
  <si>
    <t>Transfert vers autre club</t>
  </si>
  <si>
    <t>Transfert vers autre club (raus)</t>
  </si>
  <si>
    <t>Arrêt (reprend plus la compétion a cause blessure)</t>
  </si>
  <si>
    <t>pausiert (Verletzung) — stoppt Wettkampf</t>
  </si>
  <si>
    <t>blessé attendre rétablissement</t>
  </si>
  <si>
    <t>blessé, wartet auf Genesung</t>
  </si>
  <si>
    <t>impayé remotiver, officiel ou coach backup</t>
  </si>
  <si>
    <t>Verwaltung / Zahlung / Lizenz (100er)</t>
  </si>
  <si>
    <t>impayé → Zahlung "offen"; ggf. Officiel / Coach backup</t>
  </si>
  <si>
    <t>impayé jeune garder licence potentiel jeune</t>
  </si>
  <si>
    <t>impayé jeune → Zahlung "offen" + Lizenz "behalten"</t>
  </si>
  <si>
    <t>sponsor, veut garder licence</t>
  </si>
  <si>
    <t>Mitgliedsart + Lizenz</t>
  </si>
  <si>
    <t>Sponsor + Lizenz "behalten"</t>
  </si>
  <si>
    <t>impayé,lic supprimée,gardé dans memberlist</t>
  </si>
  <si>
    <t>impayé, Lizenz gelöscht, in Liste behalten</t>
  </si>
  <si>
    <t>impayé, garder licence 16-17 potentiel tft</t>
  </si>
  <si>
    <t>impayé → Zahlung "offen" + Lizenz "behalten" (potentiel tft)</t>
  </si>
  <si>
    <t>arrêt 2017-18, svt mail 10-2017</t>
  </si>
  <si>
    <t>Abbruch 2017-18 → Freitext-Kommentar</t>
  </si>
  <si>
    <t>ancien, potentiel officiel</t>
  </si>
  <si>
    <t>Status + Kommentar</t>
  </si>
  <si>
    <t>ancien, potentiel officiel → Kommentar</t>
  </si>
  <si>
    <t>Arrêt personne de contact  (arrêt jeunes)</t>
  </si>
  <si>
    <t>Arrêt personne de contact (arrêt jeunes)</t>
  </si>
  <si>
    <t>inactif, payé cot, garder licence</t>
  </si>
  <si>
    <t>inactif, payé, Lizenz "behalten"</t>
  </si>
  <si>
    <t>supprimer licence et memberslist</t>
  </si>
  <si>
    <t>Lizenz "gelöscht" + aus Memberslist entfernen</t>
  </si>
  <si>
    <t>impayé, garder licence,remotiver joueur-officiel</t>
  </si>
  <si>
    <t>impayé → Zahlung "offen" + Lizenz "behalten" (remotiver)</t>
  </si>
  <si>
    <t>supprimer  licence</t>
  </si>
  <si>
    <t>Lizenz-Status "gelöscht"</t>
  </si>
  <si>
    <t>supprimer memberslist</t>
  </si>
  <si>
    <t>aus Memberslist entfernen</t>
  </si>
  <si>
    <t>jeune inactif, impayé, analyse 08-2017 si potentiel</t>
  </si>
  <si>
    <t>jeune inactif, impayé → Zahlung "offen" + Kommentar</t>
  </si>
  <si>
    <t>adulte inactif, impayé, analyse 08-2017 si potentiel</t>
  </si>
  <si>
    <t>adulte inactif, impayé → Zahlung "offen" + Kommentar</t>
  </si>
  <si>
    <t>Divers voir commentaires</t>
  </si>
  <si>
    <t>Divers → Freitext-Kommentar</t>
  </si>
  <si>
    <t>(à préciser)</t>
  </si>
  <si>
    <t>Langue / Nationalité</t>
  </si>
  <si>
    <t>_x000D_
 courrier</t>
  </si>
  <si>
    <t>Cat</t>
  </si>
  <si>
    <t>Catégorie interne HBM</t>
  </si>
  <si>
    <t>Catégorie Listing _x000D_
FLH 2020-2021</t>
  </si>
  <si>
    <t>Début procédure licence (JJ/MM/AA)</t>
  </si>
  <si>
    <t>Statut "Demande de licence". (sorti Mail)</t>
  </si>
  <si>
    <t>Entraîneur</t>
  </si>
  <si>
    <t>PMT cot 2015</t>
  </si>
  <si>
    <t>PMT cot 2016</t>
  </si>
  <si>
    <t>PMT cot 2017</t>
  </si>
  <si>
    <t>pmt cot 18-19</t>
  </si>
  <si>
    <t>Commentaires 2020/21</t>
  </si>
  <si>
    <t>AGENCE SIMON</t>
  </si>
  <si>
    <t>D</t>
  </si>
  <si>
    <t>don</t>
  </si>
  <si>
    <t>BARTHEL</t>
  </si>
  <si>
    <t>Nico</t>
  </si>
  <si>
    <t xml:space="preserve">BEMTGEN </t>
  </si>
  <si>
    <t>nbemtgen@pt.lu</t>
  </si>
  <si>
    <t>BERTE</t>
  </si>
  <si>
    <t>Henri</t>
  </si>
  <si>
    <t>BONTEMPS</t>
  </si>
  <si>
    <t>Aly</t>
  </si>
  <si>
    <t>F/ luxembourgeoise</t>
  </si>
  <si>
    <t>2, place de l'église</t>
  </si>
  <si>
    <t>L-7533</t>
  </si>
  <si>
    <t>BORMES</t>
  </si>
  <si>
    <t>BUCARI</t>
  </si>
  <si>
    <t>Jos</t>
  </si>
  <si>
    <t>F / luxembourgeoise</t>
  </si>
  <si>
    <t>5 Rue de Septfontaines</t>
  </si>
  <si>
    <t>Reckange (Mersch)</t>
  </si>
  <si>
    <t>CHOINIER</t>
  </si>
  <si>
    <t>3A Romescht</t>
  </si>
  <si>
    <t>L-7364</t>
  </si>
  <si>
    <t>DELGADO-SILVA SANTOS</t>
  </si>
  <si>
    <t>Eva</t>
  </si>
  <si>
    <t>F / portugaise</t>
  </si>
  <si>
    <t xml:space="preserve">16 rue Grand-Duc Jean </t>
  </si>
  <si>
    <t>Rollingen</t>
  </si>
  <si>
    <t>FELGEN</t>
  </si>
  <si>
    <t>Monique</t>
  </si>
  <si>
    <t>41 rue Nic Welter</t>
  </si>
  <si>
    <t>L7570</t>
  </si>
  <si>
    <t>monique.felgen@mersch.lu</t>
  </si>
  <si>
    <t>HENKEL</t>
  </si>
  <si>
    <t>Albert</t>
  </si>
  <si>
    <t>HIRTZ</t>
  </si>
  <si>
    <t>KILL</t>
  </si>
  <si>
    <t>Annette</t>
  </si>
  <si>
    <t>KOLBER</t>
  </si>
  <si>
    <t>Saskia</t>
  </si>
  <si>
    <t>2, rue du berger</t>
  </si>
  <si>
    <t>LENTZ</t>
  </si>
  <si>
    <t>LIPPERT</t>
  </si>
  <si>
    <t>Nicky</t>
  </si>
  <si>
    <t>24, rue du Moulin</t>
  </si>
  <si>
    <t>L-4251</t>
  </si>
  <si>
    <t>Esch / Alzette</t>
  </si>
  <si>
    <t>nickielippert@hotmail.com</t>
  </si>
  <si>
    <t>PALAZZI</t>
  </si>
  <si>
    <t>Rudi</t>
  </si>
  <si>
    <t>PETERS</t>
  </si>
  <si>
    <t>John</t>
  </si>
  <si>
    <t>RECKINGER</t>
  </si>
  <si>
    <t>J-P</t>
  </si>
  <si>
    <t>SAUER</t>
  </si>
  <si>
    <t>Fernand</t>
  </si>
  <si>
    <t>SCHAAL</t>
  </si>
  <si>
    <t>WEYRICH WEILER</t>
  </si>
  <si>
    <t>Prénom</t>
  </si>
  <si>
    <t>Card-ID (DB)</t>
  </si>
  <si>
    <t>Alter Courrier-Code</t>
  </si>
  <si>
    <t>Neuer Courrier-Code (Liste)</t>
  </si>
  <si>
    <t>Courrier geändert</t>
  </si>
  <si>
    <t>Alter Code (Liste)</t>
  </si>
  <si>
    <t>Neuer Code (Staffelung)</t>
  </si>
  <si>
    <t>Neu — Bedeutung</t>
  </si>
  <si>
    <t>Kategorie-Text (Liste)</t>
  </si>
  <si>
    <t>Status (DB)</t>
  </si>
  <si>
    <t>XT9L3NX</t>
  </si>
  <si>
    <t>212</t>
  </si>
  <si>
    <t>70</t>
  </si>
  <si>
    <t>active</t>
  </si>
  <si>
    <t>JD5C6JH</t>
  </si>
  <si>
    <t>KBBSB8G</t>
  </si>
  <si>
    <t>YY624PH</t>
  </si>
  <si>
    <t>8P97XMG</t>
  </si>
  <si>
    <t>18</t>
  </si>
  <si>
    <t>37</t>
  </si>
  <si>
    <t>U9F</t>
  </si>
  <si>
    <t>7X5CDR4</t>
  </si>
  <si>
    <t>8Q5AK6Z</t>
  </si>
  <si>
    <t>STGXTGJ</t>
  </si>
  <si>
    <t>AMADOR FORTES</t>
  </si>
  <si>
    <t>HNPV9R9</t>
  </si>
  <si>
    <t>2</t>
  </si>
  <si>
    <t>11</t>
  </si>
  <si>
    <t>Seniors H</t>
  </si>
  <si>
    <t>Seniors - Hommes</t>
  </si>
  <si>
    <t>UXEZH6L</t>
  </si>
  <si>
    <t>21</t>
  </si>
  <si>
    <t>U7 H</t>
  </si>
  <si>
    <t>DBDVYNJ</t>
  </si>
  <si>
    <t>RHYPSDR</t>
  </si>
  <si>
    <t>6L4439X</t>
  </si>
  <si>
    <t>17</t>
  </si>
  <si>
    <t>36</t>
  </si>
  <si>
    <t>U11F</t>
  </si>
  <si>
    <t>YRLNY6X</t>
  </si>
  <si>
    <t>TWLADY9</t>
  </si>
  <si>
    <t>VTYMZ6J</t>
  </si>
  <si>
    <t>6</t>
  </si>
  <si>
    <t>15</t>
  </si>
  <si>
    <t>U 13 Hommes</t>
  </si>
  <si>
    <t>PZJYXJB</t>
  </si>
  <si>
    <t>EHC2MVX</t>
  </si>
  <si>
    <t>MQD22R4</t>
  </si>
  <si>
    <t>8</t>
  </si>
  <si>
    <t>U 9 Hommes</t>
  </si>
  <si>
    <t>6R89LAE</t>
  </si>
  <si>
    <t>7WSYU64</t>
  </si>
  <si>
    <t>35</t>
  </si>
  <si>
    <t>WNWBSEE</t>
  </si>
  <si>
    <t>5VSGAV7</t>
  </si>
  <si>
    <t>NZ35X8K</t>
  </si>
  <si>
    <t>252</t>
  </si>
  <si>
    <t>85</t>
  </si>
  <si>
    <t>Abbruch jung (Lizenz behalten)</t>
  </si>
  <si>
    <t>BARBIER</t>
  </si>
  <si>
    <t>JFTL747</t>
  </si>
  <si>
    <t>ALJF2PB</t>
  </si>
  <si>
    <t>UQNDXL9</t>
  </si>
  <si>
    <t>12</t>
  </si>
  <si>
    <t>31</t>
  </si>
  <si>
    <t>Seniors FE</t>
  </si>
  <si>
    <t>H879FYC</t>
  </si>
  <si>
    <t>HNVSP2C</t>
  </si>
  <si>
    <t>CB2ZE92</t>
  </si>
  <si>
    <t>KH2PFAF</t>
  </si>
  <si>
    <t>D6CNAX7</t>
  </si>
  <si>
    <t>65R3VCF</t>
  </si>
  <si>
    <t>U6SRKT9</t>
  </si>
  <si>
    <t>7MM9UTC</t>
  </si>
  <si>
    <t>FMMVZU4</t>
  </si>
  <si>
    <t>213</t>
  </si>
  <si>
    <t>71</t>
  </si>
  <si>
    <t>Mère/Père d'accueil</t>
  </si>
  <si>
    <t>2YYNHH8</t>
  </si>
  <si>
    <t>L984CYZ</t>
  </si>
  <si>
    <t>2EATLLS</t>
  </si>
  <si>
    <t>K7L2DY2</t>
  </si>
  <si>
    <t>5</t>
  </si>
  <si>
    <t>14</t>
  </si>
  <si>
    <t>U 15 Hommes</t>
  </si>
  <si>
    <t>87QDVAG</t>
  </si>
  <si>
    <t>5U4UDET</t>
  </si>
  <si>
    <t>J7RUPGA</t>
  </si>
  <si>
    <t>ND9DB99</t>
  </si>
  <si>
    <t>9ERLK7V</t>
  </si>
  <si>
    <t>LVQ95K8</t>
  </si>
  <si>
    <t>VPCRZTF</t>
  </si>
  <si>
    <t>FJ5BMY9</t>
  </si>
  <si>
    <t>19</t>
  </si>
  <si>
    <t>40</t>
  </si>
  <si>
    <t>T2Y97WZ</t>
  </si>
  <si>
    <t>VYA7YJB</t>
  </si>
  <si>
    <t>CZ67R9G</t>
  </si>
  <si>
    <t>7</t>
  </si>
  <si>
    <t>16</t>
  </si>
  <si>
    <t>U 11 Hommes</t>
  </si>
  <si>
    <t>4ZN6Y6C</t>
  </si>
  <si>
    <t>9</t>
  </si>
  <si>
    <t>20</t>
  </si>
  <si>
    <t>Vétérans H</t>
  </si>
  <si>
    <t>Vétérans - Hommes</t>
  </si>
  <si>
    <t>AL6MNGL</t>
  </si>
  <si>
    <t>SFDMCS6</t>
  </si>
  <si>
    <t>UGXGKP4</t>
  </si>
  <si>
    <t>W352Q9V</t>
  </si>
  <si>
    <t>150</t>
  </si>
  <si>
    <t>1</t>
  </si>
  <si>
    <t>HDBXLH6</t>
  </si>
  <si>
    <t>C8DN2EV</t>
  </si>
  <si>
    <t>TKDTFFX</t>
  </si>
  <si>
    <t>R9Y92GL</t>
  </si>
  <si>
    <t>Officiel H</t>
  </si>
  <si>
    <t>BOENIGK</t>
  </si>
  <si>
    <t>9GD7FJK</t>
  </si>
  <si>
    <t>V73BFFS</t>
  </si>
  <si>
    <t>H3MYN6F</t>
  </si>
  <si>
    <t>CBMELBL</t>
  </si>
  <si>
    <t>8GEA6FQ</t>
  </si>
  <si>
    <t>NM626ZU</t>
  </si>
  <si>
    <t>980</t>
  </si>
  <si>
    <t>63</t>
  </si>
  <si>
    <t>Sponsor</t>
  </si>
  <si>
    <t>ESBUTTX</t>
  </si>
  <si>
    <t>NHM9HXN</t>
  </si>
  <si>
    <t>MH2DZBZ</t>
  </si>
  <si>
    <t>2D8PVWS</t>
  </si>
  <si>
    <t>LEHKVRX</t>
  </si>
  <si>
    <t>QLTN6LB</t>
  </si>
  <si>
    <t>Z56RVXM</t>
  </si>
  <si>
    <t>CWG8PY3</t>
  </si>
  <si>
    <t>ZRSP72Q</t>
  </si>
  <si>
    <t>AKYBADR</t>
  </si>
  <si>
    <t>WGFL9RL</t>
  </si>
  <si>
    <t>P6MLRZA</t>
  </si>
  <si>
    <t>49VNWP8</t>
  </si>
  <si>
    <t>HAWJP2K</t>
  </si>
  <si>
    <t>SFDU2RJ</t>
  </si>
  <si>
    <t>67PF2ZR</t>
  </si>
  <si>
    <t>MWRJHR4</t>
  </si>
  <si>
    <t>3</t>
  </si>
  <si>
    <t>U 21 Hommes</t>
  </si>
  <si>
    <t>9MEB2D3</t>
  </si>
  <si>
    <t>N6ZRFTH</t>
  </si>
  <si>
    <t>NMGFFMG</t>
  </si>
  <si>
    <t>PHEGYE8</t>
  </si>
  <si>
    <t>MU5L59F</t>
  </si>
  <si>
    <t>FG7ZHAE</t>
  </si>
  <si>
    <t>8JVR2Q8</t>
  </si>
  <si>
    <t>4</t>
  </si>
  <si>
    <t>Officiel F</t>
  </si>
  <si>
    <t>Officiel D</t>
  </si>
  <si>
    <t>2ASFCJM</t>
  </si>
  <si>
    <t>M35PSXW</t>
  </si>
  <si>
    <t>ARJ4FWX</t>
  </si>
  <si>
    <t>GQ4HXWL</t>
  </si>
  <si>
    <t>KHEHBKX</t>
  </si>
  <si>
    <t>NICHT IN DB</t>
  </si>
  <si>
    <t>Madame</t>
  </si>
  <si>
    <t>3WFWF2Q</t>
  </si>
  <si>
    <t>K4TETUE</t>
  </si>
  <si>
    <t>Z7B99ZL</t>
  </si>
  <si>
    <t>NSJPAGF</t>
  </si>
  <si>
    <t>FYYE545</t>
  </si>
  <si>
    <t>WFC5PMB</t>
  </si>
  <si>
    <t>JG2UVVW</t>
  </si>
  <si>
    <t>VYFSPAC</t>
  </si>
  <si>
    <t>Z6WF9PB</t>
  </si>
  <si>
    <t>LWB5Z99</t>
  </si>
  <si>
    <t>TJB8KJF</t>
  </si>
  <si>
    <t>NHL6AA4</t>
  </si>
  <si>
    <t>4S8BKY4</t>
  </si>
  <si>
    <t>98RA5UL</t>
  </si>
  <si>
    <t>CEEPAAN</t>
  </si>
  <si>
    <t>Anna</t>
  </si>
  <si>
    <t>NXB9RUT</t>
  </si>
  <si>
    <t>BALXRAP</t>
  </si>
  <si>
    <t>75RX98G</t>
  </si>
  <si>
    <t>210</t>
  </si>
  <si>
    <t>7UCRKG4</t>
  </si>
  <si>
    <t>300</t>
  </si>
  <si>
    <t>90</t>
  </si>
  <si>
    <t>Prêt sortie</t>
  </si>
  <si>
    <t>USJDWGS</t>
  </si>
  <si>
    <t>HPM3UFU</t>
  </si>
  <si>
    <t>PPUYRJ9</t>
  </si>
  <si>
    <t>FESA5XY</t>
  </si>
  <si>
    <t>DKQ289X</t>
  </si>
  <si>
    <t>M8GX86Y</t>
  </si>
  <si>
    <t>KWC6XZA</t>
  </si>
  <si>
    <t>MYNBAD4</t>
  </si>
  <si>
    <t>9ECPEXH</t>
  </si>
  <si>
    <t>MVX7QQG</t>
  </si>
  <si>
    <t>DJRLU9P</t>
  </si>
  <si>
    <t>202</t>
  </si>
  <si>
    <t>62</t>
  </si>
  <si>
    <t>DIEDENHOFEN</t>
  </si>
  <si>
    <t>QZ6FFEW</t>
  </si>
  <si>
    <t>AJKQUHX</t>
  </si>
  <si>
    <t>WU4F3BJ</t>
  </si>
  <si>
    <t>K8A32PV</t>
  </si>
  <si>
    <t>T6Y9Y34</t>
  </si>
  <si>
    <t>SS6FEQK</t>
  </si>
  <si>
    <t>B9J3CMW</t>
  </si>
  <si>
    <t>D39QESS</t>
  </si>
  <si>
    <t>DOS SANTOS</t>
  </si>
  <si>
    <t>YKMR4VU</t>
  </si>
  <si>
    <t>MFVRPZF</t>
  </si>
  <si>
    <t>33</t>
  </si>
  <si>
    <t>U17FE</t>
  </si>
  <si>
    <t>QBY6RFF</t>
  </si>
  <si>
    <t>7JFUBCU</t>
  </si>
  <si>
    <t>WYHRKYR</t>
  </si>
  <si>
    <t>XJSGQPV</t>
  </si>
  <si>
    <t>Z29HJ98</t>
  </si>
  <si>
    <t>7Y2U794</t>
  </si>
  <si>
    <t>AVQR8TL</t>
  </si>
  <si>
    <t>AJJLUW8</t>
  </si>
  <si>
    <t>UCLWRZL</t>
  </si>
  <si>
    <t>LFREW5X</t>
  </si>
  <si>
    <t>26QJVCS</t>
  </si>
  <si>
    <t>TN79FS3</t>
  </si>
  <si>
    <t>7Z493PH</t>
  </si>
  <si>
    <t>S3UW4SB</t>
  </si>
  <si>
    <t>MGVKC82</t>
  </si>
  <si>
    <t>ESQ66PG</t>
  </si>
  <si>
    <t>KVPKGWA</t>
  </si>
  <si>
    <t>AD2KJGJ</t>
  </si>
  <si>
    <t>A4FVN6D</t>
  </si>
  <si>
    <t>U49DKVZ</t>
  </si>
  <si>
    <t>AFGDEVA</t>
  </si>
  <si>
    <t>9XXMGYQ</t>
  </si>
  <si>
    <t>Jill</t>
  </si>
  <si>
    <t>YCCPD36</t>
  </si>
  <si>
    <t>JK856F4</t>
  </si>
  <si>
    <t>E9ALJQ7</t>
  </si>
  <si>
    <t>EPKAZAZ</t>
  </si>
  <si>
    <t>SK37TB8</t>
  </si>
  <si>
    <t>M4HG2TK</t>
  </si>
  <si>
    <t>L7CSPJH</t>
  </si>
  <si>
    <t>WY3X9RC</t>
  </si>
  <si>
    <t>N9LD226</t>
  </si>
  <si>
    <t>4ZFAJ2F</t>
  </si>
  <si>
    <t>DAFGQC4</t>
  </si>
  <si>
    <t>MTWU5E3</t>
  </si>
  <si>
    <t>NXRQYSM</t>
  </si>
  <si>
    <t>BTT9U9A</t>
  </si>
  <si>
    <t>XRW3HFD</t>
  </si>
  <si>
    <t>FIHL</t>
  </si>
  <si>
    <t>C2QPZQB</t>
  </si>
  <si>
    <t>WL4SGGZ</t>
  </si>
  <si>
    <t>A4777J8</t>
  </si>
  <si>
    <t>VVABWYW</t>
  </si>
  <si>
    <t>ARD3376</t>
  </si>
  <si>
    <t>BUKTRSS</t>
  </si>
  <si>
    <t>UB9T4DS</t>
  </si>
  <si>
    <t>W55D9G5</t>
  </si>
  <si>
    <t>38</t>
  </si>
  <si>
    <t>JA</t>
  </si>
  <si>
    <t>UWFR5YB</t>
  </si>
  <si>
    <t>WQXKLVD</t>
  </si>
  <si>
    <t>ECMRLYW</t>
  </si>
  <si>
    <t>83WUTFX</t>
  </si>
  <si>
    <t>109</t>
  </si>
  <si>
    <t>Arbitre H</t>
  </si>
  <si>
    <t>P9XAT8F</t>
  </si>
  <si>
    <t>Y52JVN9</t>
  </si>
  <si>
    <t>PQ4TNNJ</t>
  </si>
  <si>
    <t>J7THS9C</t>
  </si>
  <si>
    <t>UXZN2AD</t>
  </si>
  <si>
    <t>9SFVT35</t>
  </si>
  <si>
    <t>F133</t>
  </si>
  <si>
    <t>KEEF2NP</t>
  </si>
  <si>
    <t>XLWAAZZ</t>
  </si>
  <si>
    <t>GLODEN</t>
  </si>
  <si>
    <t>VCKV2VM</t>
  </si>
  <si>
    <t>GOEDERT</t>
  </si>
  <si>
    <t>TXYHXU6</t>
  </si>
  <si>
    <t>L3W338G</t>
  </si>
  <si>
    <t>WG2VX3U</t>
  </si>
  <si>
    <t>JFL8FK6</t>
  </si>
  <si>
    <t>Q2XLE8M</t>
  </si>
  <si>
    <t>GWGXL3D</t>
  </si>
  <si>
    <t>ZEDKXJJ</t>
  </si>
  <si>
    <t>JNFP6KA</t>
  </si>
  <si>
    <t>JB93BYC</t>
  </si>
  <si>
    <t>MLURUT8</t>
  </si>
  <si>
    <t>RQVA72F</t>
  </si>
  <si>
    <t>FP6UFK6</t>
  </si>
  <si>
    <t>QY5R2SF</t>
  </si>
  <si>
    <t>84NT7SF</t>
  </si>
  <si>
    <t>WLD3WUG</t>
  </si>
  <si>
    <t>YLRXS3V</t>
  </si>
  <si>
    <t>XZCZPM4</t>
  </si>
  <si>
    <t>MH7PB7V</t>
  </si>
  <si>
    <t>WT9AUHQ</t>
  </si>
  <si>
    <t>JZABYFK</t>
  </si>
  <si>
    <t>XTVWFC3</t>
  </si>
  <si>
    <t>T5TSQ3L</t>
  </si>
  <si>
    <t>LW6WJB2</t>
  </si>
  <si>
    <t>13</t>
  </si>
  <si>
    <t>U 17 Hommes</t>
  </si>
  <si>
    <t>RGZ8CWM</t>
  </si>
  <si>
    <t>WUEYPZ8</t>
  </si>
  <si>
    <t>2ASPHQD</t>
  </si>
  <si>
    <t>F4YBD3J</t>
  </si>
  <si>
    <t>95KSKRY</t>
  </si>
  <si>
    <t>KJBVYWG</t>
  </si>
  <si>
    <t>2EWRQ4V</t>
  </si>
  <si>
    <t>JSPMUM2</t>
  </si>
  <si>
    <t>3T5BCXX</t>
  </si>
  <si>
    <t>DMATTCF</t>
  </si>
  <si>
    <t>S8TEBD9</t>
  </si>
  <si>
    <t>6835MSG</t>
  </si>
  <si>
    <t>55TKPKS</t>
  </si>
  <si>
    <t>2WZ73HP</t>
  </si>
  <si>
    <t>FSK72W6</t>
  </si>
  <si>
    <t>J4PGMEU</t>
  </si>
  <si>
    <t>ASS4HFS</t>
  </si>
  <si>
    <t>Y4PLN8H</t>
  </si>
  <si>
    <t>9T2F8ZD</t>
  </si>
  <si>
    <t>3X7G869</t>
  </si>
  <si>
    <t>LNGGWBN</t>
  </si>
  <si>
    <t>SXY3WBK</t>
  </si>
  <si>
    <t>LQTJ5YY</t>
  </si>
  <si>
    <t>YMGBFX2</t>
  </si>
  <si>
    <t>YUZHXYK</t>
  </si>
  <si>
    <t>PRS9WES</t>
  </si>
  <si>
    <t>NP5A3ZC</t>
  </si>
  <si>
    <t>UCF74FY</t>
  </si>
  <si>
    <t>Joel</t>
  </si>
  <si>
    <t>3ZPLJAE</t>
  </si>
  <si>
    <t>M4N7F5G</t>
  </si>
  <si>
    <t>ZEEE6PG</t>
  </si>
  <si>
    <t>YCR8EMH</t>
  </si>
  <si>
    <t>HTG77V2</t>
  </si>
  <si>
    <t>4YG4MJS</t>
  </si>
  <si>
    <t>6Y5W7H9</t>
  </si>
  <si>
    <t>JUNG</t>
  </si>
  <si>
    <t>TD6J3SM</t>
  </si>
  <si>
    <t>J5TX43Z</t>
  </si>
  <si>
    <t>S6CHRC9</t>
  </si>
  <si>
    <t>6WUPJ6Y</t>
  </si>
  <si>
    <t>YEZTBKZ</t>
  </si>
  <si>
    <t>3L4ELLW</t>
  </si>
  <si>
    <t>GW44BA9</t>
  </si>
  <si>
    <t>SCKX2ZK</t>
  </si>
  <si>
    <t>7J5KASK</t>
  </si>
  <si>
    <t>7VDVXWT</t>
  </si>
  <si>
    <t>CUXZ47Y</t>
  </si>
  <si>
    <t>TLM4XSR</t>
  </si>
  <si>
    <t>CGA9UQH</t>
  </si>
  <si>
    <t>KHF67YS</t>
  </si>
  <si>
    <t>27ZPQLM</t>
  </si>
  <si>
    <t>Michel</t>
  </si>
  <si>
    <t>ZSRB2G8</t>
  </si>
  <si>
    <t>4SF7MD5</t>
  </si>
  <si>
    <t>NJDGWJ3</t>
  </si>
  <si>
    <t>PMDFVKT</t>
  </si>
  <si>
    <t>N4D3BHR</t>
  </si>
  <si>
    <t>WMBNZUS</t>
  </si>
  <si>
    <t>44FYG7E</t>
  </si>
  <si>
    <t>FLZC9MJ</t>
  </si>
  <si>
    <t>DNCM2X9</t>
  </si>
  <si>
    <t>MHNZJYG</t>
  </si>
  <si>
    <t>4S5AFLF</t>
  </si>
  <si>
    <t>BRCKTT2</t>
  </si>
  <si>
    <t>YU23AM7</t>
  </si>
  <si>
    <t>CTAFBBN</t>
  </si>
  <si>
    <t>5JNCVNM</t>
  </si>
  <si>
    <t>FXQ89DC</t>
  </si>
  <si>
    <t>E3JDXDZ</t>
  </si>
  <si>
    <t>K2V4JXP</t>
  </si>
  <si>
    <t>Ruben</t>
  </si>
  <si>
    <t>MSGPDHX</t>
  </si>
  <si>
    <t>P8T8EMM</t>
  </si>
  <si>
    <t>XRCHEBK</t>
  </si>
  <si>
    <t>HZVJ9PE</t>
  </si>
  <si>
    <t>XRPGRHA</t>
  </si>
  <si>
    <t>Y37MNWH</t>
  </si>
  <si>
    <t>R44HVVC</t>
  </si>
  <si>
    <t>QN5GQ97</t>
  </si>
  <si>
    <t>LE ROY</t>
  </si>
  <si>
    <t>R3GLQKR</t>
  </si>
  <si>
    <t>VWMCEZT</t>
  </si>
  <si>
    <t>H3R4BRM</t>
  </si>
  <si>
    <t>9WYRRAQ</t>
  </si>
  <si>
    <t>B78LSP2</t>
  </si>
  <si>
    <t>Q2T26L9</t>
  </si>
  <si>
    <t>84WWJWE</t>
  </si>
  <si>
    <t>YUCA3N4</t>
  </si>
  <si>
    <t>RUN9EVQ</t>
  </si>
  <si>
    <t>M5U7DLE</t>
  </si>
  <si>
    <t>4E6L9N3</t>
  </si>
  <si>
    <t>EN4H3EC</t>
  </si>
  <si>
    <t>LUCAS</t>
  </si>
  <si>
    <t>A48DPCY</t>
  </si>
  <si>
    <t>JGV7W64</t>
  </si>
  <si>
    <t>EWSJ36K</t>
  </si>
  <si>
    <t>S4SGVMT</t>
  </si>
  <si>
    <t>S4GMNHR</t>
  </si>
  <si>
    <t>YMN3PH4</t>
  </si>
  <si>
    <t>N885S2L</t>
  </si>
  <si>
    <t>YQK4V4A</t>
  </si>
  <si>
    <t>MFG52PY</t>
  </si>
  <si>
    <t>CMU8D3C</t>
  </si>
  <si>
    <t>KJX7MNR</t>
  </si>
  <si>
    <t>3JLKUEX</t>
  </si>
  <si>
    <t>X9NP23F</t>
  </si>
  <si>
    <t>FGD3L4L</t>
  </si>
  <si>
    <t>2N77HB2</t>
  </si>
  <si>
    <t>KTV852L</t>
  </si>
  <si>
    <t>2NJEU3W</t>
  </si>
  <si>
    <t>C7FZDWD</t>
  </si>
  <si>
    <t>44J6SJF</t>
  </si>
  <si>
    <t>FE7C9XB</t>
  </si>
  <si>
    <t>C2ULJMB</t>
  </si>
  <si>
    <t>QUPERPD</t>
  </si>
  <si>
    <t>JVGH7VV</t>
  </si>
  <si>
    <t>T432WUF</t>
  </si>
  <si>
    <t>2HJ8WGM</t>
  </si>
  <si>
    <t>MC4NSGE</t>
  </si>
  <si>
    <t>JQ9J9VE</t>
  </si>
  <si>
    <t>WQ3RQTS</t>
  </si>
  <si>
    <t>WDSKSQJ</t>
  </si>
  <si>
    <t>G6GCHXU</t>
  </si>
  <si>
    <t>8UFVELM</t>
  </si>
  <si>
    <t>L3FPFLZ</t>
  </si>
  <si>
    <t>XLQ5FGT</t>
  </si>
  <si>
    <t>A36GZEC</t>
  </si>
  <si>
    <t>HX2A774</t>
  </si>
  <si>
    <t>VLWBERK</t>
  </si>
  <si>
    <t>E9WEDJN</t>
  </si>
  <si>
    <t>N8NU9FT</t>
  </si>
  <si>
    <t>GBJ4N35</t>
  </si>
  <si>
    <t>MEDINGER</t>
  </si>
  <si>
    <t>ZCJVC4K</t>
  </si>
  <si>
    <t>YGJGLQE</t>
  </si>
  <si>
    <t>7RDXHTE</t>
  </si>
  <si>
    <t>EHT6DM3</t>
  </si>
  <si>
    <t>9UFYXJT</t>
  </si>
  <si>
    <t>R6ZESVK</t>
  </si>
  <si>
    <t>AELV762</t>
  </si>
  <si>
    <t>G8XAHKY</t>
  </si>
  <si>
    <t>9RHSWSR</t>
  </si>
  <si>
    <t>RYY8N25</t>
  </si>
  <si>
    <t>96256ER</t>
  </si>
  <si>
    <t>S6W2MK3</t>
  </si>
  <si>
    <t>CKR3DEY</t>
  </si>
  <si>
    <t>48RTSYY</t>
  </si>
  <si>
    <t>9WNDNMB</t>
  </si>
  <si>
    <t>463CU27</t>
  </si>
  <si>
    <t>LMEZDLF</t>
  </si>
  <si>
    <t>P7QQK79</t>
  </si>
  <si>
    <t>RQYQ53Z</t>
  </si>
  <si>
    <t>JF88X3D</t>
  </si>
  <si>
    <t>BX9UZG3</t>
  </si>
  <si>
    <t>2L7GJRY</t>
  </si>
  <si>
    <t>HL7Y7GC</t>
  </si>
  <si>
    <t>7FZW8YE</t>
  </si>
  <si>
    <t>JBTTN7T</t>
  </si>
  <si>
    <t>CZBNA6P</t>
  </si>
  <si>
    <t>RSLWS2J</t>
  </si>
  <si>
    <t>EAW5J9S</t>
  </si>
  <si>
    <t>N3AHS8E</t>
  </si>
  <si>
    <t>9U2NSMD</t>
  </si>
  <si>
    <t>QGGY4UX</t>
  </si>
  <si>
    <t>PAPADOPOULOU</t>
  </si>
  <si>
    <t>3RDSPFQ</t>
  </si>
  <si>
    <t>G972AJQ</t>
  </si>
  <si>
    <t>V7TWAE4</t>
  </si>
  <si>
    <t>Diana</t>
  </si>
  <si>
    <t>NPBJCN4</t>
  </si>
  <si>
    <t>ZMTJ8PM</t>
  </si>
  <si>
    <t>RA54MPJ</t>
  </si>
  <si>
    <t>R8W25EW</t>
  </si>
  <si>
    <t>63QTKC5</t>
  </si>
  <si>
    <t>Y8A4LV4</t>
  </si>
  <si>
    <t>PETER</t>
  </si>
  <si>
    <t>728RE4C</t>
  </si>
  <si>
    <t>PSHWTTR</t>
  </si>
  <si>
    <t>KQSJNHZ</t>
  </si>
  <si>
    <t>S8CXWVZ</t>
  </si>
  <si>
    <t>9DV4YWL</t>
  </si>
  <si>
    <t>MG2VDS9</t>
  </si>
  <si>
    <t>34</t>
  </si>
  <si>
    <t>DMS8E47</t>
  </si>
  <si>
    <t>946J5BW</t>
  </si>
  <si>
    <t>9J3HTK7</t>
  </si>
  <si>
    <t>DBZSAHN</t>
  </si>
  <si>
    <t>W59S42W</t>
  </si>
  <si>
    <t>HMYCQCC</t>
  </si>
  <si>
    <t>7QNR3BC</t>
  </si>
  <si>
    <t>KT3FYJA</t>
  </si>
  <si>
    <t>YFBW8WS</t>
  </si>
  <si>
    <t>S972SJ6</t>
  </si>
  <si>
    <t>XAQN6SW</t>
  </si>
  <si>
    <t>S75V92Y</t>
  </si>
  <si>
    <t>QXG3A3W</t>
  </si>
  <si>
    <t>6QH2QTA</t>
  </si>
  <si>
    <t>FRMM9DG</t>
  </si>
  <si>
    <t>VXK4Z36</t>
  </si>
  <si>
    <t>W6S3B5C</t>
  </si>
  <si>
    <t>A9JGYZN</t>
  </si>
  <si>
    <t>34Z9ZM5</t>
  </si>
  <si>
    <t>B289685</t>
  </si>
  <si>
    <t>2TSDUZZ</t>
  </si>
  <si>
    <t>DWXX8VA</t>
  </si>
  <si>
    <t>LMD62K5</t>
  </si>
  <si>
    <t>BYSWGML</t>
  </si>
  <si>
    <t>MF2CCC3</t>
  </si>
  <si>
    <t>GR2FJ5G</t>
  </si>
  <si>
    <t>Paul</t>
  </si>
  <si>
    <t>ZT993HZ</t>
  </si>
  <si>
    <t>WAHNNF5</t>
  </si>
  <si>
    <t>SUSVANL</t>
  </si>
  <si>
    <t>29C7R2G</t>
  </si>
  <si>
    <t>HPB5EPC</t>
  </si>
  <si>
    <t>4Z4JLFB</t>
  </si>
  <si>
    <t>FEXQ9VJ</t>
  </si>
  <si>
    <t>94WL4NK</t>
  </si>
  <si>
    <t>MNKAYGP</t>
  </si>
  <si>
    <t>3FDD632</t>
  </si>
  <si>
    <t>SK5VJGM</t>
  </si>
  <si>
    <t>RIBEIRO</t>
  </si>
  <si>
    <t>RWJNAYY</t>
  </si>
  <si>
    <t>Sofia</t>
  </si>
  <si>
    <t>6CFGHJY</t>
  </si>
  <si>
    <t>AJMKGEA</t>
  </si>
  <si>
    <t>AM6L2LQ</t>
  </si>
  <si>
    <t>8Y26AJ4</t>
  </si>
  <si>
    <t>58XZ282</t>
  </si>
  <si>
    <t>E2AY922</t>
  </si>
  <si>
    <t>HNJKFXJ</t>
  </si>
  <si>
    <t>VGFF29H</t>
  </si>
  <si>
    <t>QH8YSGZ</t>
  </si>
  <si>
    <t>9AJCNY6</t>
  </si>
  <si>
    <t>Joël</t>
  </si>
  <si>
    <t>5ETQ2SM</t>
  </si>
  <si>
    <t>CEVV9TY</t>
  </si>
  <si>
    <t>2QVCA8M</t>
  </si>
  <si>
    <t>6C7RHJ5</t>
  </si>
  <si>
    <t>C96X7F5</t>
  </si>
  <si>
    <t>GJYWMNJ</t>
  </si>
  <si>
    <t>98TBTY6</t>
  </si>
  <si>
    <t>7WL9632</t>
  </si>
  <si>
    <t>FY8FMHB</t>
  </si>
  <si>
    <t>XWNN2QT</t>
  </si>
  <si>
    <t>DZANYLB</t>
  </si>
  <si>
    <t>88872F2</t>
  </si>
  <si>
    <t>DGLDFZR</t>
  </si>
  <si>
    <t>5YKKEMG</t>
  </si>
  <si>
    <t>GUK92SX</t>
  </si>
  <si>
    <t>ALJ247E</t>
  </si>
  <si>
    <t>QXELW2W</t>
  </si>
  <si>
    <t>MA73U3D</t>
  </si>
  <si>
    <t>Y3CU75V</t>
  </si>
  <si>
    <t>HVK7KGS</t>
  </si>
  <si>
    <t>FYELKD4</t>
  </si>
  <si>
    <t>VDFMES6</t>
  </si>
  <si>
    <t>G6PJ92N</t>
  </si>
  <si>
    <t>AM4YZRX</t>
  </si>
  <si>
    <t>4M8MHY3</t>
  </si>
  <si>
    <t>LJN7LWJ</t>
  </si>
  <si>
    <t>JYZC2Q5</t>
  </si>
  <si>
    <t>C4DU9HL</t>
  </si>
  <si>
    <t>U6DWJQB</t>
  </si>
  <si>
    <t>303</t>
  </si>
  <si>
    <t>93</t>
  </si>
  <si>
    <t>Prêt gratuit</t>
  </si>
  <si>
    <t>7V5TXZS</t>
  </si>
  <si>
    <t>M9UZFFX</t>
  </si>
  <si>
    <t>KN6JKQL</t>
  </si>
  <si>
    <t>HHR2D56</t>
  </si>
  <si>
    <t>GMT9Z22</t>
  </si>
  <si>
    <t>DNT2VDU</t>
  </si>
  <si>
    <t>SILVA</t>
  </si>
  <si>
    <t>X5QV2VA</t>
  </si>
  <si>
    <t>4QCCTJT</t>
  </si>
  <si>
    <t>2QW2PZM</t>
  </si>
  <si>
    <t>4DSCUMD</t>
  </si>
  <si>
    <t>MK9JVNR</t>
  </si>
  <si>
    <t>TU4F85D</t>
  </si>
  <si>
    <t>JJLRKQM</t>
  </si>
  <si>
    <t>6DA42KE</t>
  </si>
  <si>
    <t>62KT5NR</t>
  </si>
  <si>
    <t>STARK</t>
  </si>
  <si>
    <t>55QLH7W</t>
  </si>
  <si>
    <t>ZY3EPLD</t>
  </si>
  <si>
    <t>U3UXC2T</t>
  </si>
  <si>
    <t>JUXJGNF</t>
  </si>
  <si>
    <t>DB96TEG</t>
  </si>
  <si>
    <t>G2MZ3DX</t>
  </si>
  <si>
    <t>5K8WVK4</t>
  </si>
  <si>
    <t>H3QRY4S</t>
  </si>
  <si>
    <t>PXJDH46</t>
  </si>
  <si>
    <t>5P7LUWP</t>
  </si>
  <si>
    <t>4DT53UD</t>
  </si>
  <si>
    <t>Y3TB7W7</t>
  </si>
  <si>
    <t>CH3PMER</t>
  </si>
  <si>
    <t>4ZD9T28</t>
  </si>
  <si>
    <t>F4ZJ8C7</t>
  </si>
  <si>
    <t>F49CPFZ</t>
  </si>
  <si>
    <t>H658VQL</t>
  </si>
  <si>
    <t>BMQJKNH</t>
  </si>
  <si>
    <t>Q8K98H5</t>
  </si>
  <si>
    <t>2GEGZTT</t>
  </si>
  <si>
    <t>3FJHAMZ</t>
  </si>
  <si>
    <t>BHKUCT2</t>
  </si>
  <si>
    <t>99PHKU8</t>
  </si>
  <si>
    <t>NTGXMZQ</t>
  </si>
  <si>
    <t>QT32UKV</t>
  </si>
  <si>
    <t>H37RBD5</t>
  </si>
  <si>
    <t>SG4KYQ5</t>
  </si>
  <si>
    <t>2EUSKTS</t>
  </si>
  <si>
    <t>VNSRC59</t>
  </si>
  <si>
    <t>ARYLMW3</t>
  </si>
  <si>
    <t>JYHB5W9</t>
  </si>
  <si>
    <t>BRALSBC</t>
  </si>
  <si>
    <t>EKA43HJ</t>
  </si>
  <si>
    <t>GNDFGMR</t>
  </si>
  <si>
    <t>6HQH5TT</t>
  </si>
  <si>
    <t>0</t>
  </si>
  <si>
    <t>zu vervollständigen</t>
  </si>
  <si>
    <t>FRJCL6A</t>
  </si>
  <si>
    <t>Vic</t>
  </si>
  <si>
    <t>KXZY8U3</t>
  </si>
  <si>
    <t>SA3NBT4</t>
  </si>
  <si>
    <t>4LFMD3E</t>
  </si>
  <si>
    <t>ZJHPH98</t>
  </si>
  <si>
    <t>PEWLJK5</t>
  </si>
  <si>
    <t>FLTP49J</t>
  </si>
  <si>
    <t>Y4N35UG</t>
  </si>
  <si>
    <t>AWMQYNX</t>
  </si>
  <si>
    <t>8SHZWRN</t>
  </si>
  <si>
    <t>SURXCAW</t>
  </si>
  <si>
    <t>86KELYE</t>
  </si>
  <si>
    <t>UL6WDJ5</t>
  </si>
  <si>
    <t>EYQXHS2</t>
  </si>
  <si>
    <t>B9BRPRC</t>
  </si>
  <si>
    <t>TQFGXJT</t>
  </si>
  <si>
    <t>KPWQSPJ</t>
  </si>
  <si>
    <t>458N8LR</t>
  </si>
  <si>
    <t>XCXN455</t>
  </si>
  <si>
    <t>JZ8DZ7K</t>
  </si>
  <si>
    <t>ZANITZER</t>
  </si>
  <si>
    <t>SKTSBLX</t>
  </si>
  <si>
    <t>TT9MSPH</t>
  </si>
  <si>
    <t>KP8C43B</t>
  </si>
  <si>
    <t>HNGHGZZ</t>
  </si>
  <si>
    <t>JLKQWK4</t>
  </si>
  <si>
    <t>KTQ5M3P</t>
  </si>
  <si>
    <t>MP6ENZG</t>
  </si>
  <si>
    <t>QN29A8R</t>
  </si>
  <si>
    <t>ECUDPCC</t>
  </si>
  <si>
    <t>MH3LL8Y</t>
  </si>
  <si>
    <t>CAT</t>
  </si>
  <si>
    <t>CAT-JOUEURS</t>
  </si>
  <si>
    <t>comment</t>
  </si>
  <si>
    <t>2025 - 2026</t>
  </si>
  <si>
    <t>2026 - 2027</t>
  </si>
  <si>
    <t>Colonne listing membres</t>
  </si>
  <si>
    <t>explication</t>
  </si>
  <si>
    <t>91-04</t>
  </si>
  <si>
    <t>92-05</t>
  </si>
  <si>
    <t>FMT= XXXX, selon données licence FLH</t>
  </si>
  <si>
    <t>05-08</t>
  </si>
  <si>
    <t>06-09</t>
  </si>
  <si>
    <t>FMT= Xxxx, selon données licence FLH</t>
  </si>
  <si>
    <t>U 17 H</t>
  </si>
  <si>
    <t>09-10</t>
  </si>
  <si>
    <t>10-11</t>
  </si>
  <si>
    <t>FMT= X/Yyyyy; X= code langue de communication, Y = pays nationalité (1 seul) cohérent à listing FLH</t>
  </si>
  <si>
    <t>11-12</t>
  </si>
  <si>
    <t>12-13</t>
  </si>
  <si>
    <t>FMT= 999, Xxxxx; 999= n° maison, Xxxx nom de la rue</t>
  </si>
  <si>
    <t>&lt; 90</t>
  </si>
  <si>
    <t>&lt; 91</t>
  </si>
  <si>
    <t>Code postale</t>
  </si>
  <si>
    <t>FMT= X/99999; X= code pays de résidence; 999 = code postale</t>
  </si>
  <si>
    <t>13-14</t>
  </si>
  <si>
    <t>14-15</t>
  </si>
  <si>
    <t>FMT= Xxxx; Xxxx= Nom de la Localité</t>
  </si>
  <si>
    <t>15-16</t>
  </si>
  <si>
    <t>16-17</t>
  </si>
  <si>
    <t>FMT= X999; S = joueur individuel, D= donateur, F999= famille + n° de famille</t>
  </si>
  <si>
    <t>17-18</t>
  </si>
  <si>
    <t>18-19</t>
  </si>
  <si>
    <t>courrier</t>
  </si>
  <si>
    <t>FMT = xx; xx = no si le membre a demandé par écrit de ne plus être contacté; ? Si un doute de communication existe, (blanc) = défaut</t>
  </si>
  <si>
    <t>FMT= 99; 99 = le n° de la catégorie définie par la FLH pour la saison en cours</t>
  </si>
  <si>
    <t>91-08</t>
  </si>
  <si>
    <t>92-09</t>
  </si>
  <si>
    <t>FMT = Xxxxxxx; Xxxxx = text libre selon table catégorie définie par le club ou le défaut de la FLH de la saison en cours</t>
  </si>
  <si>
    <t>Catégorie Listing _x000D_
FLH saison en cours</t>
  </si>
  <si>
    <t>FMT = Xxxxxxx; Xxxxx = texte libre selon table catégorie de la FLH</t>
  </si>
  <si>
    <t>&gt; 21</t>
  </si>
  <si>
    <t>&gt; 22</t>
  </si>
  <si>
    <t>FMT= 99; 99 = le n° de la catégorie définie par la FLH pour la saison suivante pour simuler les cadres de la sasion suivante</t>
  </si>
  <si>
    <t>Catégorie Listing _x000D_
FLH saison suivante</t>
  </si>
  <si>
    <t>code activé saison suivante</t>
  </si>
  <si>
    <t xml:space="preserve">AC = Actif = présent S1 ou S2 jusqu’au 10/03 avant arrêt Coronna;BL = Blessé au 01/03/2020 en convalescence mais joueur potentiel ;AR =Arrêt : mais à remotivation possible soit comme joueur ou autre fonction : </t>
  </si>
  <si>
    <t>commentaire respectif</t>
  </si>
  <si>
    <t>text pour expliquer des cas spéciaux</t>
  </si>
  <si>
    <t>code sélection</t>
  </si>
  <si>
    <t>SH = licenciés senior hommes+veterans+U19; DA= licenciées Dames, veterans, U18; JE= licenciés jeunes triés par catégorie</t>
  </si>
  <si>
    <t xml:space="preserve">colonne de liaison de ce groupe(catégorie FLH) pour regrouper j = joueur de cette catégorie, ju= joueur de la catégorie inférieure , jd = joueur de la catégorie supérieure, c = contact (parents,…) ou (blanc = pas concerné ); ju et jd sont des reclassements internes organisationnels  </t>
  </si>
  <si>
    <t>&gt; 19</t>
  </si>
  <si>
    <t>&gt; 20</t>
  </si>
  <si>
    <t>code interne HBM</t>
  </si>
  <si>
    <t>U11M_x000D_
2010/11</t>
  </si>
  <si>
    <t>U7M_x000D_
2009/08/..</t>
  </si>
  <si>
    <t>Joueur(euse) bloqué(e) interne</t>
  </si>
  <si>
    <t>Licence</t>
  </si>
  <si>
    <t>FMT = 10-9999; 10 = n° du HBM, 9999 = n° de licence de la FLH (listing)</t>
  </si>
  <si>
    <t>FMT = JJ/MM/SSAA; JJ= jour, MM = mois; SS= siècle; AA = année</t>
  </si>
  <si>
    <t xml:space="preserve">FMT = SSAA/MM/JJ-Xxxx; siècle, année, mois, jour; Xxxx = état de la demande: lp = mail aux parents, j = mail à joueur, FLH = mail à FLH ; </t>
  </si>
  <si>
    <t xml:space="preserve">FMT = Xxxxx; Xxxx = texte libre du secrétaire pour expliquer une exception dans les données du membre/licencié ou une instruction à suivre </t>
  </si>
  <si>
    <t>FMT : JJ/MM/SSAA; respecter cohérence avec listing FLH</t>
  </si>
  <si>
    <t>FMT : JJ/MM/SSAA; selon 1 ier contact demande de membre ou selon date licence ????; joueur qui part et revient : la date de réintégration est à saisir, les années de la première période sont perdues</t>
  </si>
  <si>
    <t>FMT = SSAA; selon date listing FLH;uniquement pour licencié</t>
  </si>
  <si>
    <t>FMT = JJ/MM/SSAA; selon date carte identité; respecter cohérence avec listing FLH</t>
  </si>
  <si>
    <t>FMT = SSAA MM JJ 999 99;  selon date carte identité; respecter cohérence avec listing FLH; NA = pas nécessaire pour FLH ni demande subside</t>
  </si>
  <si>
    <t>FMT = 9(9); selon donnée demande membership/licence</t>
  </si>
  <si>
    <t>FMT = x(.x)@x.x; selon donnée demande membership/licence</t>
  </si>
  <si>
    <t xml:space="preserve">FMT = X; X = niveau du diplôme: A, B, C, ; J = jeune </t>
  </si>
  <si>
    <t>FMT = XXXXX; X = rôle selon définition statuts; président, secrétaire, trésorier, membre et/ou rôle groupe de travail: Coordinateur:  events, sports, compétition, …</t>
  </si>
  <si>
    <t xml:space="preserve">FMT = X; O = oui, C = en cours, W = mise en veille </t>
  </si>
  <si>
    <t xml:space="preserve">FMT = X; = membre d'un organe de la FLH; comité central, tribunal fédéral, tribunal appel, commission des jeunes, commission arbitre,... </t>
  </si>
  <si>
    <t xml:space="preserve">FMT = X; X = niveau du diplôme: A, B, C, ou ???????; J = jeune </t>
  </si>
  <si>
    <t>PMT cot SSAA-4AA-3</t>
  </si>
  <si>
    <t>FMT = xxx ou 999 ou 999A; complété par le trésorier; 999 = montant payé, 99A = montant acompte payé, fcomp = la cot est comprise dans un PMT familial; free = la cotisation n'est pas dû; pi: la personne n'est pas intéressée d'être membre ( père/mère d'un jeune</t>
  </si>
  <si>
    <t>PMT cot SSAA-3AA-2</t>
  </si>
  <si>
    <t>PMT cot SSAA-2AA-1</t>
  </si>
  <si>
    <t xml:space="preserve">Transfert vers autre club </t>
  </si>
  <si>
    <t>cat _x000D_
cot _x000D_
18-19</t>
  </si>
  <si>
    <t>FMT = xxx ; complété par le trésorier; XXX = catégorie courrier cotisation: fam, famr, s, sr, new, new0, new50: voir note gestion cotisation</t>
  </si>
  <si>
    <t>envoi1 cot_x000D_
 18-19</t>
  </si>
  <si>
    <t>FMT= JJ/MM/AA; date envoi 1 ière lettre (selon catégorie) cotisation;complété par le trésorier</t>
  </si>
  <si>
    <t>envoi2 cot _x000D_
18-19</t>
  </si>
  <si>
    <t>FMT= JJ/MM/AA; date envoi 2 ième lettre (selon catégorie) cotisation;complété par le trésorier</t>
  </si>
  <si>
    <t>carte membre 18-19</t>
  </si>
  <si>
    <t>FMT = X9; X =type de carte membre à confectionner; 9 = n° de création ; F = carte membre famille, S = carte membre simple; complété par le trésorier; voir note gestion cotisation</t>
  </si>
  <si>
    <t>actif 20AA-AA+1</t>
  </si>
  <si>
    <t>pmt cot SSAA-1AA</t>
  </si>
  <si>
    <t>FMT = xxx ou 999 ou 999A; complété par le trésorier; 999 = montant payé, 99A = montant acompte payé, fcomp = la cot est comprise dans un PMT familial; free = la cotisation n'est pas dû; pi: la personne n'est pas intéressée d'être membre ( père/mère d'un jeune; voir note gestion cotisation</t>
  </si>
  <si>
    <t>rappel impayes 2018-19</t>
  </si>
  <si>
    <t>FMT = 9; 9 = nombre de rappel envoyé; complété par le trésorier; voir note gestion cotisation</t>
  </si>
  <si>
    <t>comment Cot 18-19</t>
  </si>
  <si>
    <t>FMT = XXXXXXX; Xxxx = texte libre du trésorier pour expliquer une exception de gestion ou de suivi de la demande de cotisation</t>
  </si>
  <si>
    <t>zone de travil pour préparer la demande_x000D_
FMT = RAA ou 9; code catégorie utilisé pour compléter la demande; _x000D_
1= &lt; 16ans+n° licence existe_x000D_
2= &lt; 16 ans sans n° de licence_x000D_
3=n° de licence, date naissance et matricule inconnu, &lt; 16 ans_x000D_
4= n° licence inexistant,date naissance et matricule inconnu, &lt; 16 ans_x000D_
RAA= repris année AA</t>
  </si>
  <si>
    <t>code de ventilation dans catégorie</t>
  </si>
  <si>
    <t>2018/19_x000D_
activité_x000D_
Joueur/se</t>
  </si>
  <si>
    <t xml:space="preserve">complété par entraîneur et coordinateur competition; </t>
  </si>
  <si>
    <t>2018/19 Joueur/se_x000D_
à remotiver</t>
  </si>
  <si>
    <t>complété par entraîneur et coordinateur competition</t>
  </si>
  <si>
    <t xml:space="preserve">2018/19 Licence à supprimer </t>
  </si>
  <si>
    <t>Commentaires 2018/19</t>
  </si>
  <si>
    <t>Présences entrainements 17/18</t>
  </si>
  <si>
    <t>Présences Matchs 17/18</t>
  </si>
  <si>
    <t>Commentaires Présences 17/18</t>
  </si>
  <si>
    <t>BEADER</t>
  </si>
  <si>
    <t>Ella</t>
  </si>
  <si>
    <t>69, rue de Colmar-Berg</t>
  </si>
  <si>
    <t>Veljko</t>
  </si>
  <si>
    <t>LOKIN-BEADER</t>
  </si>
  <si>
    <t>Renata</t>
  </si>
  <si>
    <t>2019 06 14 022 79</t>
  </si>
  <si>
    <t>r.lokin-beader@eif.org</t>
  </si>
  <si>
    <t>691 286 621</t>
  </si>
  <si>
    <t>691 258 502</t>
  </si>
  <si>
    <t>nouvelle Licence 26/27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</si>
</sst>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0" fontId="0" fillId="2" borderId="0" xfId="0" applyFill="1" applyAlignment="1">
      <alignment horizontal="center" vertical="center"/>
    </xf>
    <xf numFmtId="0" fontId="0" fillId="2" borderId="0" xfId="0" applyFill="1"/>
  </cellXfs>
  <cellStyles count="2">
    <cellStyle name="Link" xfId="1" builtinId="8"/>
    <cellStyle name="Standard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Faber-eric@hotmail.com" TargetMode="External"/><Relationship Id="rId299" Type="http://schemas.openxmlformats.org/officeDocument/2006/relationships/hyperlink" Target="mailto:junckisa@hotmail.com" TargetMode="External"/><Relationship Id="rId21" Type="http://schemas.openxmlformats.org/officeDocument/2006/relationships/hyperlink" Target="mailto:cameleon.engage@yahoo.de" TargetMode="External"/><Relationship Id="rId63" Type="http://schemas.openxmlformats.org/officeDocument/2006/relationships/hyperlink" Target="mailto:binixaki@gmail.com" TargetMode="External"/><Relationship Id="rId159" Type="http://schemas.openxmlformats.org/officeDocument/2006/relationships/hyperlink" Target="mailto:ana.ribeiro@education.lu" TargetMode="External"/><Relationship Id="rId324" Type="http://schemas.openxmlformats.org/officeDocument/2006/relationships/hyperlink" Target="mailto:schiltz.frederic@gmail.com" TargetMode="External"/><Relationship Id="rId366" Type="http://schemas.openxmlformats.org/officeDocument/2006/relationships/hyperlink" Target="mailto:lucweber09@hotmail.com" TargetMode="External"/><Relationship Id="rId170" Type="http://schemas.openxmlformats.org/officeDocument/2006/relationships/hyperlink" Target="mailto:kovanen.minna@gmail.com" TargetMode="External"/><Relationship Id="rId226" Type="http://schemas.openxmlformats.org/officeDocument/2006/relationships/hyperlink" Target="mailto:joe.malget@lintgen.lu" TargetMode="External"/><Relationship Id="rId268" Type="http://schemas.openxmlformats.org/officeDocument/2006/relationships/hyperlink" Target="mailto:cameleon.engage@yahoo.de" TargetMode="External"/><Relationship Id="rId32" Type="http://schemas.openxmlformats.org/officeDocument/2006/relationships/hyperlink" Target="mailto:molitort@pt.lu" TargetMode="External"/><Relationship Id="rId74" Type="http://schemas.openxmlformats.org/officeDocument/2006/relationships/hyperlink" Target="mailto:sofia0509elena@gmail.com" TargetMode="External"/><Relationship Id="rId128" Type="http://schemas.openxmlformats.org/officeDocument/2006/relationships/hyperlink" Target="mailto:crisfodor@gmail.com" TargetMode="External"/><Relationship Id="rId335" Type="http://schemas.openxmlformats.org/officeDocument/2006/relationships/hyperlink" Target="mailto:jeffster@pt.lu" TargetMode="External"/><Relationship Id="rId377" Type="http://schemas.openxmlformats.org/officeDocument/2006/relationships/hyperlink" Target="mailto:ekaterinawilk@yahoo.fr" TargetMode="External"/><Relationship Id="rId5" Type="http://schemas.openxmlformats.org/officeDocument/2006/relationships/hyperlink" Target="mailto:marlene_alves_6@hotmail.com" TargetMode="External"/><Relationship Id="rId181" Type="http://schemas.openxmlformats.org/officeDocument/2006/relationships/hyperlink" Target="mailto:petermurielle05@gmail.com" TargetMode="External"/><Relationship Id="rId237" Type="http://schemas.openxmlformats.org/officeDocument/2006/relationships/hyperlink" Target="mailto:line.sebenico@yahoo.com" TargetMode="External"/><Relationship Id="rId279" Type="http://schemas.openxmlformats.org/officeDocument/2006/relationships/hyperlink" Target="mailto:petki1995@gmail.com" TargetMode="External"/><Relationship Id="rId43" Type="http://schemas.openxmlformats.org/officeDocument/2006/relationships/hyperlink" Target="mailto:fabio.boenigk@outlook.com" TargetMode="External"/><Relationship Id="rId139" Type="http://schemas.openxmlformats.org/officeDocument/2006/relationships/hyperlink" Target="mailto:dacosta.catarina@hotmail.com" TargetMode="External"/><Relationship Id="rId290" Type="http://schemas.openxmlformats.org/officeDocument/2006/relationships/hyperlink" Target="mailto:alain.rauchs@hotmail.com" TargetMode="External"/><Relationship Id="rId304" Type="http://schemas.openxmlformats.org/officeDocument/2006/relationships/hyperlink" Target="mailto:raynaud.camille90@gmail.com" TargetMode="External"/><Relationship Id="rId346" Type="http://schemas.openxmlformats.org/officeDocument/2006/relationships/hyperlink" Target="mailto:guillaume.patrycja@gmail.com" TargetMode="External"/><Relationship Id="rId388" Type="http://schemas.openxmlformats.org/officeDocument/2006/relationships/hyperlink" Target="mailto:r.lokin-beader@eif.org" TargetMode="External"/><Relationship Id="rId85" Type="http://schemas.openxmlformats.org/officeDocument/2006/relationships/hyperlink" Target="mailto:deutschthierry@yahoo.co.uk" TargetMode="External"/><Relationship Id="rId150" Type="http://schemas.openxmlformats.org/officeDocument/2006/relationships/hyperlink" Target="mailto:halldor.halldorsson@pt.lu" TargetMode="External"/><Relationship Id="rId192" Type="http://schemas.openxmlformats.org/officeDocument/2006/relationships/hyperlink" Target="mailto:jetti.rossy@education.lu" TargetMode="External"/><Relationship Id="rId206" Type="http://schemas.openxmlformats.org/officeDocument/2006/relationships/hyperlink" Target="mailto:chloe.murat@education.lu" TargetMode="External"/><Relationship Id="rId248" Type="http://schemas.openxmlformats.org/officeDocument/2006/relationships/hyperlink" Target="mailto:dinaramcilovic@yahoo.com" TargetMode="External"/><Relationship Id="rId12" Type="http://schemas.openxmlformats.org/officeDocument/2006/relationships/hyperlink" Target="mailto:yschroeder@hotmail.com" TargetMode="External"/><Relationship Id="rId108" Type="http://schemas.openxmlformats.org/officeDocument/2006/relationships/hyperlink" Target="mailto:tomas.eiro@gmail.com" TargetMode="External"/><Relationship Id="rId315" Type="http://schemas.openxmlformats.org/officeDocument/2006/relationships/hyperlink" Target="mailto:zanitzer@pt.lu" TargetMode="External"/><Relationship Id="rId357" Type="http://schemas.openxmlformats.org/officeDocument/2006/relationships/hyperlink" Target="mailto:vanderwekenlouis01@gmail.com" TargetMode="External"/><Relationship Id="rId54" Type="http://schemas.openxmlformats.org/officeDocument/2006/relationships/hyperlink" Target="mailto:bruckt@pt.lu" TargetMode="External"/><Relationship Id="rId96" Type="http://schemas.openxmlformats.org/officeDocument/2006/relationships/hyperlink" Target="mailto:nineta.dogari@gmail.com" TargetMode="External"/><Relationship Id="rId161" Type="http://schemas.openxmlformats.org/officeDocument/2006/relationships/hyperlink" Target="mailto:molitort@pt.lu" TargetMode="External"/><Relationship Id="rId217" Type="http://schemas.openxmlformats.org/officeDocument/2006/relationships/hyperlink" Target="mailto:tascha0427@gmail.com" TargetMode="External"/><Relationship Id="rId259" Type="http://schemas.openxmlformats.org/officeDocument/2006/relationships/hyperlink" Target="mailto:eeckhaut.radogna@gmail.com" TargetMode="External"/><Relationship Id="rId23" Type="http://schemas.openxmlformats.org/officeDocument/2006/relationships/hyperlink" Target="mailto:maxime.baurain@outlook.com" TargetMode="External"/><Relationship Id="rId119" Type="http://schemas.openxmlformats.org/officeDocument/2006/relationships/hyperlink" Target="mailto:fabernastasja@hotmail.com" TargetMode="External"/><Relationship Id="rId270" Type="http://schemas.openxmlformats.org/officeDocument/2006/relationships/hyperlink" Target="mailto:kassmartine89@gmail.com" TargetMode="External"/><Relationship Id="rId326" Type="http://schemas.openxmlformats.org/officeDocument/2006/relationships/hyperlink" Target="mailto:simon120414@gmail.com" TargetMode="External"/><Relationship Id="rId65" Type="http://schemas.openxmlformats.org/officeDocument/2006/relationships/hyperlink" Target="mailto:anna.eszter.kalman@gmail.com" TargetMode="External"/><Relationship Id="rId130" Type="http://schemas.openxmlformats.org/officeDocument/2006/relationships/hyperlink" Target="about:blank" TargetMode="External"/><Relationship Id="rId368" Type="http://schemas.openxmlformats.org/officeDocument/2006/relationships/hyperlink" Target="mailto:lucweber09@hotmail.com" TargetMode="External"/><Relationship Id="rId172" Type="http://schemas.openxmlformats.org/officeDocument/2006/relationships/hyperlink" Target="mailto:mohamedgamaldi22@gmail.com" TargetMode="External"/><Relationship Id="rId228" Type="http://schemas.openxmlformats.org/officeDocument/2006/relationships/hyperlink" Target="mailto:crisfodor@gmail.com" TargetMode="External"/><Relationship Id="rId281" Type="http://schemas.openxmlformats.org/officeDocument/2006/relationships/hyperlink" Target="mailto:kacha267@icloud.com" TargetMode="External"/><Relationship Id="rId337" Type="http://schemas.openxmlformats.org/officeDocument/2006/relationships/hyperlink" Target="mailto:gregory.sebert@gmail.com" TargetMode="External"/><Relationship Id="rId34" Type="http://schemas.openxmlformats.org/officeDocument/2006/relationships/hyperlink" Target="mailto:clem.berthezene@gmail.com" TargetMode="External"/><Relationship Id="rId76" Type="http://schemas.openxmlformats.org/officeDocument/2006/relationships/hyperlink" Target="mailto:delgadocaremonika@gmail.com" TargetMode="External"/><Relationship Id="rId141" Type="http://schemas.openxmlformats.org/officeDocument/2006/relationships/hyperlink" Target="mailto:greis.christophe@gmail.com" TargetMode="External"/><Relationship Id="rId379" Type="http://schemas.openxmlformats.org/officeDocument/2006/relationships/hyperlink" Target="mailto:pipapongo@gmail.com" TargetMode="External"/><Relationship Id="rId7" Type="http://schemas.openxmlformats.org/officeDocument/2006/relationships/hyperlink" Target="mailto:vasari.mendy@hotmail.com" TargetMode="External"/><Relationship Id="rId183" Type="http://schemas.openxmlformats.org/officeDocument/2006/relationships/hyperlink" Target="mailto:christian.kintzle@gmail.com" TargetMode="External"/><Relationship Id="rId239" Type="http://schemas.openxmlformats.org/officeDocument/2006/relationships/hyperlink" Target="mailto:joaomatosgraca2003@gmail.com" TargetMode="External"/><Relationship Id="rId250" Type="http://schemas.openxmlformats.org/officeDocument/2006/relationships/hyperlink" Target="mailto:marthemeis@yahoo.de" TargetMode="External"/><Relationship Id="rId292" Type="http://schemas.openxmlformats.org/officeDocument/2006/relationships/hyperlink" Target="mailto:gregory.redavid@tutanota.com" TargetMode="External"/><Relationship Id="rId306" Type="http://schemas.openxmlformats.org/officeDocument/2006/relationships/hyperlink" Target="mailto:bettyrodesch@hotmail.com" TargetMode="External"/><Relationship Id="rId45" Type="http://schemas.openxmlformats.org/officeDocument/2006/relationships/hyperlink" Target="mailto:bossergilles@hotmail.com" TargetMode="External"/><Relationship Id="rId87" Type="http://schemas.openxmlformats.org/officeDocument/2006/relationships/hyperlink" Target="mailto:steffan_develder@hotmail.com" TargetMode="External"/><Relationship Id="rId110" Type="http://schemas.openxmlformats.org/officeDocument/2006/relationships/hyperlink" Target="mailto:georges.elsen@education.lu" TargetMode="External"/><Relationship Id="rId348" Type="http://schemas.openxmlformats.org/officeDocument/2006/relationships/hyperlink" Target="mailto:mstroerup@hotmail.com" TargetMode="External"/><Relationship Id="rId152" Type="http://schemas.openxmlformats.org/officeDocument/2006/relationships/hyperlink" Target="mailto:nazli.hamrodrotz@gmail.com" TargetMode="External"/><Relationship Id="rId194" Type="http://schemas.openxmlformats.org/officeDocument/2006/relationships/hyperlink" Target="mailto:benoit.krier@education.lu" TargetMode="External"/><Relationship Id="rId208" Type="http://schemas.openxmlformats.org/officeDocument/2006/relationships/hyperlink" Target="mailto:adrienjacquelin@gmail.com" TargetMode="External"/><Relationship Id="rId261" Type="http://schemas.openxmlformats.org/officeDocument/2006/relationships/hyperlink" Target="mailto:natalialed@hotmail.com" TargetMode="External"/><Relationship Id="rId14" Type="http://schemas.openxmlformats.org/officeDocument/2006/relationships/hyperlink" Target="mailto:srecko83z@gmail.com" TargetMode="External"/><Relationship Id="rId56" Type="http://schemas.openxmlformats.org/officeDocument/2006/relationships/hyperlink" Target="mailto:marc.buchler@education.lu" TargetMode="External"/><Relationship Id="rId317" Type="http://schemas.openxmlformats.org/officeDocument/2006/relationships/hyperlink" Target="mailto:caroline.odem@education.lu" TargetMode="External"/><Relationship Id="rId359" Type="http://schemas.openxmlformats.org/officeDocument/2006/relationships/hyperlink" Target="mailto:vasari.mendy@hotmail.com" TargetMode="External"/><Relationship Id="rId98" Type="http://schemas.openxmlformats.org/officeDocument/2006/relationships/hyperlink" Target="mailto:marlene_alves_6@hotmail.com" TargetMode="External"/><Relationship Id="rId121" Type="http://schemas.openxmlformats.org/officeDocument/2006/relationships/hyperlink" Target="mailto:fernandez-jessica@live.fr" TargetMode="External"/><Relationship Id="rId163" Type="http://schemas.openxmlformats.org/officeDocument/2006/relationships/hyperlink" Target="mailto:molitort@pt.lu" TargetMode="External"/><Relationship Id="rId219" Type="http://schemas.openxmlformats.org/officeDocument/2006/relationships/hyperlink" Target="mailto:eugeniamdlucas@gmail.com" TargetMode="External"/><Relationship Id="rId370" Type="http://schemas.openxmlformats.org/officeDocument/2006/relationships/hyperlink" Target="mailto:vic.weiler@icloud.com" TargetMode="External"/><Relationship Id="rId230" Type="http://schemas.openxmlformats.org/officeDocument/2006/relationships/hyperlink" Target="mailto:joelrollinger@yahoo.de" TargetMode="External"/><Relationship Id="rId25" Type="http://schemas.openxmlformats.org/officeDocument/2006/relationships/hyperlink" Target="mailto:maxime.baurain@outlook.com" TargetMode="External"/><Relationship Id="rId67" Type="http://schemas.openxmlformats.org/officeDocument/2006/relationships/hyperlink" Target="mailto:conconipaol@gmail.com" TargetMode="External"/><Relationship Id="rId272" Type="http://schemas.openxmlformats.org/officeDocument/2006/relationships/hyperlink" Target="mailto:caroline19921403@gmail.com" TargetMode="External"/><Relationship Id="rId328" Type="http://schemas.openxmlformats.org/officeDocument/2006/relationships/hyperlink" Target="mailto:schmit.elena@gmail.com" TargetMode="External"/><Relationship Id="rId132" Type="http://schemas.openxmlformats.org/officeDocument/2006/relationships/hyperlink" Target="mailto:frian197@hotmail.com" TargetMode="External"/><Relationship Id="rId174" Type="http://schemas.openxmlformats.org/officeDocument/2006/relationships/hyperlink" Target="mailto:laura.brisard@icloud.com" TargetMode="External"/><Relationship Id="rId381" Type="http://schemas.openxmlformats.org/officeDocument/2006/relationships/hyperlink" Target="mailto:pipapongo@gmail.com" TargetMode="External"/><Relationship Id="rId241" Type="http://schemas.openxmlformats.org/officeDocument/2006/relationships/hyperlink" Target="mailto:vensch@pt.lu" TargetMode="External"/><Relationship Id="rId36" Type="http://schemas.openxmlformats.org/officeDocument/2006/relationships/hyperlink" Target="mailto:Bingenfrank@hotmail.com" TargetMode="External"/><Relationship Id="rId283" Type="http://schemas.openxmlformats.org/officeDocument/2006/relationships/hyperlink" Target="mailto:pocahontas9021@hotmail.com" TargetMode="External"/><Relationship Id="rId339" Type="http://schemas.openxmlformats.org/officeDocument/2006/relationships/hyperlink" Target="mailto:marc90s.silva@gmail.com" TargetMode="External"/><Relationship Id="rId78" Type="http://schemas.openxmlformats.org/officeDocument/2006/relationships/hyperlink" Target="mailto:matiasdemant@gmail.com" TargetMode="External"/><Relationship Id="rId101" Type="http://schemas.openxmlformats.org/officeDocument/2006/relationships/hyperlink" Target="mailto:pinsalexa@hotmail.com" TargetMode="External"/><Relationship Id="rId143" Type="http://schemas.openxmlformats.org/officeDocument/2006/relationships/hyperlink" Target="mailto:philippe.greis@gmail.com" TargetMode="External"/><Relationship Id="rId185" Type="http://schemas.openxmlformats.org/officeDocument/2006/relationships/hyperlink" Target="mailto:flament.ma@gmail.com" TargetMode="External"/><Relationship Id="rId350" Type="http://schemas.openxmlformats.org/officeDocument/2006/relationships/hyperlink" Target="mailto:brigitteteunissen@gmail.com" TargetMode="External"/><Relationship Id="rId9" Type="http://schemas.openxmlformats.org/officeDocument/2006/relationships/hyperlink" Target="mailto:celgrun@gmail.com" TargetMode="External"/><Relationship Id="rId210" Type="http://schemas.openxmlformats.org/officeDocument/2006/relationships/hyperlink" Target="mailto:raelyn@rll.sg" TargetMode="External"/><Relationship Id="rId252" Type="http://schemas.openxmlformats.org/officeDocument/2006/relationships/hyperlink" Target="mailto:merschjoelle66@gmail.com" TargetMode="External"/><Relationship Id="rId294" Type="http://schemas.openxmlformats.org/officeDocument/2006/relationships/hyperlink" Target="mailto:gregory.redavid@tutanota.com" TargetMode="External"/><Relationship Id="rId308" Type="http://schemas.openxmlformats.org/officeDocument/2006/relationships/hyperlink" Target="mailto:roederj@me.com" TargetMode="External"/><Relationship Id="rId47" Type="http://schemas.openxmlformats.org/officeDocument/2006/relationships/hyperlink" Target="mailto:manon.bouvier@tutanota.com" TargetMode="External"/><Relationship Id="rId68" Type="http://schemas.openxmlformats.org/officeDocument/2006/relationships/hyperlink" Target="mailto:olegcroitoru@gmail.com" TargetMode="External"/><Relationship Id="rId89" Type="http://schemas.openxmlformats.org/officeDocument/2006/relationships/hyperlink" Target="mailto:line@didelot.org" TargetMode="External"/><Relationship Id="rId112" Type="http://schemas.openxmlformats.org/officeDocument/2006/relationships/hyperlink" Target="mailto:isabellepirson@pt.lu" TargetMode="External"/><Relationship Id="rId133" Type="http://schemas.openxmlformats.org/officeDocument/2006/relationships/hyperlink" Target="mailto:afroide@hotmail.fr" TargetMode="External"/><Relationship Id="rId154" Type="http://schemas.openxmlformats.org/officeDocument/2006/relationships/hyperlink" Target="mailto:didip@pt.lu" TargetMode="External"/><Relationship Id="rId175" Type="http://schemas.openxmlformats.org/officeDocument/2006/relationships/hyperlink" Target="mailto:adrienjacquelin@gmail.com" TargetMode="External"/><Relationship Id="rId340" Type="http://schemas.openxmlformats.org/officeDocument/2006/relationships/hyperlink" Target="mailto:d.iana_delgado@hotmail.com" TargetMode="External"/><Relationship Id="rId361" Type="http://schemas.openxmlformats.org/officeDocument/2006/relationships/hyperlink" Target="mailto:agrebimyriam@hotmail.com" TargetMode="External"/><Relationship Id="rId196" Type="http://schemas.openxmlformats.org/officeDocument/2006/relationships/hyperlink" Target="mailto:georges.krier@yahoo.de" TargetMode="External"/><Relationship Id="rId200" Type="http://schemas.openxmlformats.org/officeDocument/2006/relationships/hyperlink" Target="mailto:rosalinelackner@gmail.com" TargetMode="External"/><Relationship Id="rId382" Type="http://schemas.openxmlformats.org/officeDocument/2006/relationships/hyperlink" Target="mailto:esma.yagdi01@gmail.com" TargetMode="External"/><Relationship Id="rId16" Type="http://schemas.openxmlformats.org/officeDocument/2006/relationships/hyperlink" Target="mailto:paul.assel@education.lu" TargetMode="External"/><Relationship Id="rId221" Type="http://schemas.openxmlformats.org/officeDocument/2006/relationships/hyperlink" Target="mailto:paulo.magalhaes19971806@gmail.com" TargetMode="External"/><Relationship Id="rId242" Type="http://schemas.openxmlformats.org/officeDocument/2006/relationships/hyperlink" Target="mailto:ericmay@pt.lu" TargetMode="External"/><Relationship Id="rId263" Type="http://schemas.openxmlformats.org/officeDocument/2006/relationships/hyperlink" Target="mailto:mosli55@hotmail.com" TargetMode="External"/><Relationship Id="rId284" Type="http://schemas.openxmlformats.org/officeDocument/2006/relationships/hyperlink" Target="mailto:sjzebrowsky@gmail.com" TargetMode="External"/><Relationship Id="rId319" Type="http://schemas.openxmlformats.org/officeDocument/2006/relationships/hyperlink" Target="mailto:svenja-schares@hotmail.com" TargetMode="External"/><Relationship Id="rId37" Type="http://schemas.openxmlformats.org/officeDocument/2006/relationships/hyperlink" Target="mailto:Bingenfrank@hotmail.com" TargetMode="External"/><Relationship Id="rId58" Type="http://schemas.openxmlformats.org/officeDocument/2006/relationships/hyperlink" Target="mailto:tabueck@hotmail.com" TargetMode="External"/><Relationship Id="rId79" Type="http://schemas.openxmlformats.org/officeDocument/2006/relationships/hyperlink" Target="mailto:matiasdemant@gmail.com" TargetMode="External"/><Relationship Id="rId102" Type="http://schemas.openxmlformats.org/officeDocument/2006/relationships/hyperlink" Target="mailto:mignotlexy@gmail.com" TargetMode="External"/><Relationship Id="rId123" Type="http://schemas.openxmlformats.org/officeDocument/2006/relationships/hyperlink" Target="mailto:catherinemayer84@gmail.com" TargetMode="External"/><Relationship Id="rId144" Type="http://schemas.openxmlformats.org/officeDocument/2006/relationships/hyperlink" Target="mailto:philippe.greis@gmail.com" TargetMode="External"/><Relationship Id="rId330" Type="http://schemas.openxmlformats.org/officeDocument/2006/relationships/hyperlink" Target="mailto:schmitz.sebastien@gmail.com" TargetMode="External"/><Relationship Id="rId90" Type="http://schemas.openxmlformats.org/officeDocument/2006/relationships/hyperlink" Target="mailto:arsene@didelot.org" TargetMode="External"/><Relationship Id="rId165" Type="http://schemas.openxmlformats.org/officeDocument/2006/relationships/hyperlink" Target="mailto:frank_ods@hotmail.com" TargetMode="External"/><Relationship Id="rId186" Type="http://schemas.openxmlformats.org/officeDocument/2006/relationships/hyperlink" Target="mailto:veromoien@hotmail.com" TargetMode="External"/><Relationship Id="rId351" Type="http://schemas.openxmlformats.org/officeDocument/2006/relationships/hyperlink" Target="mailto:fcmarisca@gmail.com" TargetMode="External"/><Relationship Id="rId372" Type="http://schemas.openxmlformats.org/officeDocument/2006/relationships/hyperlink" Target="mailto:guillaume.patrycja@gmail.com" TargetMode="External"/><Relationship Id="rId211" Type="http://schemas.openxmlformats.org/officeDocument/2006/relationships/hyperlink" Target="mailto:cynthialehnen@gmail.com" TargetMode="External"/><Relationship Id="rId232" Type="http://schemas.openxmlformats.org/officeDocument/2006/relationships/hyperlink" Target="mailto:xavier@maquil.lu" TargetMode="External"/><Relationship Id="rId253" Type="http://schemas.openxmlformats.org/officeDocument/2006/relationships/hyperlink" Target="mailto:bmetzler@pt.lu" TargetMode="External"/><Relationship Id="rId274" Type="http://schemas.openxmlformats.org/officeDocument/2006/relationships/hyperlink" Target="mailto:mstroerup@hotmail.com" TargetMode="External"/><Relationship Id="rId295" Type="http://schemas.openxmlformats.org/officeDocument/2006/relationships/hyperlink" Target="mailto:laura.2205@hotmail.de" TargetMode="External"/><Relationship Id="rId309" Type="http://schemas.openxmlformats.org/officeDocument/2006/relationships/hyperlink" Target="mailto:joelrollinger@yahoo.de" TargetMode="External"/><Relationship Id="rId27" Type="http://schemas.openxmlformats.org/officeDocument/2006/relationships/hyperlink" Target="mailto:redinglau@hotmail.com" TargetMode="External"/><Relationship Id="rId48" Type="http://schemas.openxmlformats.org/officeDocument/2006/relationships/hyperlink" Target="mailto:sabrinabrandt1@gmail.com" TargetMode="External"/><Relationship Id="rId69" Type="http://schemas.openxmlformats.org/officeDocument/2006/relationships/hyperlink" Target="mailto:olegcroitoru@gmail.com" TargetMode="External"/><Relationship Id="rId113" Type="http://schemas.openxmlformats.org/officeDocument/2006/relationships/hyperlink" Target="mailto:thomas8epps@gmail.com" TargetMode="External"/><Relationship Id="rId134" Type="http://schemas.openxmlformats.org/officeDocument/2006/relationships/hyperlink" Target="mailto:afroide@hotmail.fr" TargetMode="External"/><Relationship Id="rId320" Type="http://schemas.openxmlformats.org/officeDocument/2006/relationships/hyperlink" Target="mailto:michele.schilt@zpb.lu" TargetMode="External"/><Relationship Id="rId80" Type="http://schemas.openxmlformats.org/officeDocument/2006/relationships/hyperlink" Target="mailto:ana.ribeiro@education.lu" TargetMode="External"/><Relationship Id="rId155" Type="http://schemas.openxmlformats.org/officeDocument/2006/relationships/hyperlink" Target="mailto:heinztom@pt.lu" TargetMode="External"/><Relationship Id="rId176" Type="http://schemas.openxmlformats.org/officeDocument/2006/relationships/hyperlink" Target="mailto:nopatz@hotmail.com" TargetMode="External"/><Relationship Id="rId197" Type="http://schemas.openxmlformats.org/officeDocument/2006/relationships/hyperlink" Target="mailto:benetim@pt.lu" TargetMode="External"/><Relationship Id="rId341" Type="http://schemas.openxmlformats.org/officeDocument/2006/relationships/hyperlink" Target="mailto:diane.mersch@centermed.lu" TargetMode="External"/><Relationship Id="rId362" Type="http://schemas.openxmlformats.org/officeDocument/2006/relationships/hyperlink" Target="mailto:wagner.olivier84@gmail.com" TargetMode="External"/><Relationship Id="rId383" Type="http://schemas.openxmlformats.org/officeDocument/2006/relationships/hyperlink" Target="mailto:sjzebrowsky@gmail.com" TargetMode="External"/><Relationship Id="rId201" Type="http://schemas.openxmlformats.org/officeDocument/2006/relationships/hyperlink" Target="mailto:jeamed@pt.lu" TargetMode="External"/><Relationship Id="rId222" Type="http://schemas.openxmlformats.org/officeDocument/2006/relationships/hyperlink" Target="mailto:frank_ods@hotmail.com" TargetMode="External"/><Relationship Id="rId243" Type="http://schemas.openxmlformats.org/officeDocument/2006/relationships/hyperlink" Target="mailto:flepp.mayer@gmail.com" TargetMode="External"/><Relationship Id="rId264" Type="http://schemas.openxmlformats.org/officeDocument/2006/relationships/hyperlink" Target="mailto:gaby.altenhoven@gmail.com" TargetMode="External"/><Relationship Id="rId285" Type="http://schemas.openxmlformats.org/officeDocument/2006/relationships/hyperlink" Target="mailto:sjzebrowsky@gmail.com" TargetMode="External"/><Relationship Id="rId17" Type="http://schemas.openxmlformats.org/officeDocument/2006/relationships/hyperlink" Target="mailto:mickael.barbier.ieseg@gmail.com" TargetMode="External"/><Relationship Id="rId38" Type="http://schemas.openxmlformats.org/officeDocument/2006/relationships/hyperlink" Target="mailto:annehj@yahoo.com" TargetMode="External"/><Relationship Id="rId59" Type="http://schemas.openxmlformats.org/officeDocument/2006/relationships/hyperlink" Target="mailto:eliott@busch.lu" TargetMode="External"/><Relationship Id="rId103" Type="http://schemas.openxmlformats.org/officeDocument/2006/relationships/hyperlink" Target="mailto:eeckhaut.radogna@gmail.com" TargetMode="External"/><Relationship Id="rId124" Type="http://schemas.openxmlformats.org/officeDocument/2006/relationships/hyperlink" Target="mailto:celine.gamot02@gmail.com" TargetMode="External"/><Relationship Id="rId310" Type="http://schemas.openxmlformats.org/officeDocument/2006/relationships/hyperlink" Target="mailto:rosca.adi@gmail.com" TargetMode="External"/><Relationship Id="rId70" Type="http://schemas.openxmlformats.org/officeDocument/2006/relationships/hyperlink" Target="mailto:fernandez-samantha@hotmail.com" TargetMode="External"/><Relationship Id="rId91" Type="http://schemas.openxmlformats.org/officeDocument/2006/relationships/hyperlink" Target="mailto:didip@pt.lu" TargetMode="External"/><Relationship Id="rId145" Type="http://schemas.openxmlformats.org/officeDocument/2006/relationships/hyperlink" Target="mailto:philippe.greis@gmail.com" TargetMode="External"/><Relationship Id="rId166" Type="http://schemas.openxmlformats.org/officeDocument/2006/relationships/hyperlink" Target="mailto:aurelien.hollard@gmail.com" TargetMode="External"/><Relationship Id="rId187" Type="http://schemas.openxmlformats.org/officeDocument/2006/relationships/hyperlink" Target="mailto:ricky1387@hotmail.de" TargetMode="External"/><Relationship Id="rId331" Type="http://schemas.openxmlformats.org/officeDocument/2006/relationships/hyperlink" Target="mailto:claude.schulte@education.lu" TargetMode="External"/><Relationship Id="rId352" Type="http://schemas.openxmlformats.org/officeDocument/2006/relationships/hyperlink" Target="mailto:fcmarisca@gmail.com" TargetMode="External"/><Relationship Id="rId373" Type="http://schemas.openxmlformats.org/officeDocument/2006/relationships/hyperlink" Target="mailto:guillaume.patrycja@gmail.com" TargetMode="External"/><Relationship Id="rId1" Type="http://schemas.openxmlformats.org/officeDocument/2006/relationships/hyperlink" Target="mailto:aamodtastrid@gmail.com" TargetMode="External"/><Relationship Id="rId212" Type="http://schemas.openxmlformats.org/officeDocument/2006/relationships/hyperlink" Target="mailto:leisen.j@gmail.com" TargetMode="External"/><Relationship Id="rId233" Type="http://schemas.openxmlformats.org/officeDocument/2006/relationships/hyperlink" Target="mailto:leisen.j@gmail.com" TargetMode="External"/><Relationship Id="rId254" Type="http://schemas.openxmlformats.org/officeDocument/2006/relationships/hyperlink" Target="mailto:lmetzler@pt.lu" TargetMode="External"/><Relationship Id="rId28" Type="http://schemas.openxmlformats.org/officeDocument/2006/relationships/hyperlink" Target="mailto:begicbelma@hotmail.com" TargetMode="External"/><Relationship Id="rId49" Type="http://schemas.openxmlformats.org/officeDocument/2006/relationships/hyperlink" Target="mailto:tomas.eiro@gmail.com" TargetMode="External"/><Relationship Id="rId114" Type="http://schemas.openxmlformats.org/officeDocument/2006/relationships/hyperlink" Target="mailto:marc.ernster@gmail.com" TargetMode="External"/><Relationship Id="rId275" Type="http://schemas.openxmlformats.org/officeDocument/2006/relationships/hyperlink" Target="mailto:mstroerup@hotmail.com" TargetMode="External"/><Relationship Id="rId296" Type="http://schemas.openxmlformats.org/officeDocument/2006/relationships/hyperlink" Target="mailto:marijapetereifer@gmail.com" TargetMode="External"/><Relationship Id="rId300" Type="http://schemas.openxmlformats.org/officeDocument/2006/relationships/hyperlink" Target="mailto:odgil@hotmail.com" TargetMode="External"/><Relationship Id="rId60" Type="http://schemas.openxmlformats.org/officeDocument/2006/relationships/hyperlink" Target="mailto:eric@busch.lu" TargetMode="External"/><Relationship Id="rId81" Type="http://schemas.openxmlformats.org/officeDocument/2006/relationships/hyperlink" Target="mailto:ana.ribeiro@education.lu" TargetMode="External"/><Relationship Id="rId135" Type="http://schemas.openxmlformats.org/officeDocument/2006/relationships/hyperlink" Target="mailto:galassisandra@gmail.com" TargetMode="External"/><Relationship Id="rId156" Type="http://schemas.openxmlformats.org/officeDocument/2006/relationships/hyperlink" Target="mailto:heinztom@pt.lu" TargetMode="External"/><Relationship Id="rId177" Type="http://schemas.openxmlformats.org/officeDocument/2006/relationships/hyperlink" Target="mailto:adoberdolani@gmail.com" TargetMode="External"/><Relationship Id="rId198" Type="http://schemas.openxmlformats.org/officeDocument/2006/relationships/hyperlink" Target="mailto:kevinkusaba@gmail.com" TargetMode="External"/><Relationship Id="rId321" Type="http://schemas.openxmlformats.org/officeDocument/2006/relationships/hyperlink" Target="mailto:mischilt@gmail.com" TargetMode="External"/><Relationship Id="rId342" Type="http://schemas.openxmlformats.org/officeDocument/2006/relationships/hyperlink" Target="mailto:gerardo.simoes@centermed.lu" TargetMode="External"/><Relationship Id="rId363" Type="http://schemas.openxmlformats.org/officeDocument/2006/relationships/hyperlink" Target="mailto:jilleydt@pt.lu" TargetMode="External"/><Relationship Id="rId384" Type="http://schemas.openxmlformats.org/officeDocument/2006/relationships/hyperlink" Target="mailto:adrienjacquelin@gmail.com" TargetMode="External"/><Relationship Id="rId202" Type="http://schemas.openxmlformats.org/officeDocument/2006/relationships/hyperlink" Target="mailto:Tiago.l.g.7@gmail.com" TargetMode="External"/><Relationship Id="rId223" Type="http://schemas.openxmlformats.org/officeDocument/2006/relationships/hyperlink" Target="mailto:laurence.majerus@education.lu" TargetMode="External"/><Relationship Id="rId244" Type="http://schemas.openxmlformats.org/officeDocument/2006/relationships/hyperlink" Target="mailto:bettyrodesch@hotmail.com" TargetMode="External"/><Relationship Id="rId18" Type="http://schemas.openxmlformats.org/officeDocument/2006/relationships/hyperlink" Target="mailto:mickael.barbier.ieseg@gmail.com" TargetMode="External"/><Relationship Id="rId39" Type="http://schemas.openxmlformats.org/officeDocument/2006/relationships/hyperlink" Target="mailto:benbisenius@gmail.com" TargetMode="External"/><Relationship Id="rId265" Type="http://schemas.openxmlformats.org/officeDocument/2006/relationships/hyperlink" Target="mailto:gaby.altenhoven@gmail.com" TargetMode="External"/><Relationship Id="rId286" Type="http://schemas.openxmlformats.org/officeDocument/2006/relationships/hyperlink" Target="mailto:fihl@pt.lu" TargetMode="External"/><Relationship Id="rId50" Type="http://schemas.openxmlformats.org/officeDocument/2006/relationships/hyperlink" Target="mailto:jm.breser@gmail.com" TargetMode="External"/><Relationship Id="rId104" Type="http://schemas.openxmlformats.org/officeDocument/2006/relationships/hyperlink" Target="mailto:efeharif@gmail.com" TargetMode="External"/><Relationship Id="rId125" Type="http://schemas.openxmlformats.org/officeDocument/2006/relationships/hyperlink" Target="mailto:fihl@pt.lu" TargetMode="External"/><Relationship Id="rId146" Type="http://schemas.openxmlformats.org/officeDocument/2006/relationships/hyperlink" Target="mailto:greischer.jeanluc@gmail.com" TargetMode="External"/><Relationship Id="rId167" Type="http://schemas.openxmlformats.org/officeDocument/2006/relationships/hyperlink" Target="mailto:saniye_tipirdamaz@yahoo.fr" TargetMode="External"/><Relationship Id="rId188" Type="http://schemas.openxmlformats.org/officeDocument/2006/relationships/hyperlink" Target="mailto:arkremer@pt.lu" TargetMode="External"/><Relationship Id="rId311" Type="http://schemas.openxmlformats.org/officeDocument/2006/relationships/hyperlink" Target="mailto:rosca.adi@gmail.com" TargetMode="External"/><Relationship Id="rId332" Type="http://schemas.openxmlformats.org/officeDocument/2006/relationships/hyperlink" Target="mailto:claude.schulte@education.lu" TargetMode="External"/><Relationship Id="rId353" Type="http://schemas.openxmlformats.org/officeDocument/2006/relationships/hyperlink" Target="mailto:jilleydt@pt.lu" TargetMode="External"/><Relationship Id="rId374" Type="http://schemas.openxmlformats.org/officeDocument/2006/relationships/hyperlink" Target="mailto:mikewelsch90@gmail.com" TargetMode="External"/><Relationship Id="rId71" Type="http://schemas.openxmlformats.org/officeDocument/2006/relationships/hyperlink" Target="mailto:loca.sandy@hotmail.com" TargetMode="External"/><Relationship Id="rId92" Type="http://schemas.openxmlformats.org/officeDocument/2006/relationships/hyperlink" Target="mailto:didip@pt.lu" TargetMode="External"/><Relationship Id="rId213" Type="http://schemas.openxmlformats.org/officeDocument/2006/relationships/hyperlink" Target="mailto:c.lenglet@mf.me" TargetMode="External"/><Relationship Id="rId234" Type="http://schemas.openxmlformats.org/officeDocument/2006/relationships/hyperlink" Target="mailto:leisen.j@gmail.com" TargetMode="External"/><Relationship Id="rId2" Type="http://schemas.openxmlformats.org/officeDocument/2006/relationships/hyperlink" Target="mailto:agrebimyriam@hotmail.com" TargetMode="External"/><Relationship Id="rId29" Type="http://schemas.openxmlformats.org/officeDocument/2006/relationships/hyperlink" Target="mailto:benetim@pt.lu" TargetMode="External"/><Relationship Id="rId255" Type="http://schemas.openxmlformats.org/officeDocument/2006/relationships/hyperlink" Target="mailto:catalin_mica@yahoo.com" TargetMode="External"/><Relationship Id="rId276" Type="http://schemas.openxmlformats.org/officeDocument/2006/relationships/hyperlink" Target="mailto:nadia.6.petersen@gmail.com" TargetMode="External"/><Relationship Id="rId297" Type="http://schemas.openxmlformats.org/officeDocument/2006/relationships/hyperlink" Target="mailto:jhempb@yahoo.com" TargetMode="External"/><Relationship Id="rId40" Type="http://schemas.openxmlformats.org/officeDocument/2006/relationships/hyperlink" Target="mailto:lindablaise@gmail.com" TargetMode="External"/><Relationship Id="rId115" Type="http://schemas.openxmlformats.org/officeDocument/2006/relationships/hyperlink" Target="mailto:marc.ernster@gmail.com" TargetMode="External"/><Relationship Id="rId136" Type="http://schemas.openxmlformats.org/officeDocument/2006/relationships/hyperlink" Target="mailto:celine.gamot02@gmail.com" TargetMode="External"/><Relationship Id="rId157" Type="http://schemas.openxmlformats.org/officeDocument/2006/relationships/hyperlink" Target="mailto:linktess@pt.lu" TargetMode="External"/><Relationship Id="rId178" Type="http://schemas.openxmlformats.org/officeDocument/2006/relationships/hyperlink" Target="mailto:marcjungels@msn.com" TargetMode="External"/><Relationship Id="rId301" Type="http://schemas.openxmlformats.org/officeDocument/2006/relationships/hyperlink" Target="mailto:odgil@hotmail.com" TargetMode="External"/><Relationship Id="rId322" Type="http://schemas.openxmlformats.org/officeDocument/2006/relationships/hyperlink" Target="mailto:claude.schiltz@education.lu" TargetMode="External"/><Relationship Id="rId343" Type="http://schemas.openxmlformats.org/officeDocument/2006/relationships/hyperlink" Target="mailto:michael@skovgaard.lu" TargetMode="External"/><Relationship Id="rId364" Type="http://schemas.openxmlformats.org/officeDocument/2006/relationships/hyperlink" Target="mailto:simon120414@gmail.com" TargetMode="External"/><Relationship Id="rId61" Type="http://schemas.openxmlformats.org/officeDocument/2006/relationships/hyperlink" Target="mailto:veigacindy@gmail.com" TargetMode="External"/><Relationship Id="rId82" Type="http://schemas.openxmlformats.org/officeDocument/2006/relationships/hyperlink" Target="mailto:dernedenm@gmail.com" TargetMode="External"/><Relationship Id="rId199" Type="http://schemas.openxmlformats.org/officeDocument/2006/relationships/hyperlink" Target="mailto:rosalinelackner@gmail.com" TargetMode="External"/><Relationship Id="rId203" Type="http://schemas.openxmlformats.org/officeDocument/2006/relationships/hyperlink" Target="mailto:audreymangon@gmail.com" TargetMode="External"/><Relationship Id="rId385" Type="http://schemas.openxmlformats.org/officeDocument/2006/relationships/hyperlink" Target="mailto:adrienjacquelin@gmail.com" TargetMode="External"/><Relationship Id="rId19" Type="http://schemas.openxmlformats.org/officeDocument/2006/relationships/hyperlink" Target="mailto:fb27041993@gmail.com" TargetMode="External"/><Relationship Id="rId224" Type="http://schemas.openxmlformats.org/officeDocument/2006/relationships/hyperlink" Target="mailto:corinne_steinbach@yahoo.de" TargetMode="External"/><Relationship Id="rId245" Type="http://schemas.openxmlformats.org/officeDocument/2006/relationships/hyperlink" Target="mailto:bettyrodesch@hotmail.com" TargetMode="External"/><Relationship Id="rId266" Type="http://schemas.openxmlformats.org/officeDocument/2006/relationships/hyperlink" Target="mailto:anne.cloos@yahoo.de" TargetMode="External"/><Relationship Id="rId287" Type="http://schemas.openxmlformats.org/officeDocument/2006/relationships/hyperlink" Target="mailto:gpoulles@gmail.com" TargetMode="External"/><Relationship Id="rId30" Type="http://schemas.openxmlformats.org/officeDocument/2006/relationships/hyperlink" Target="mailto:benetim@pt.lu" TargetMode="External"/><Relationship Id="rId105" Type="http://schemas.openxmlformats.org/officeDocument/2006/relationships/hyperlink" Target="mailto:efeharif@gmail.com" TargetMode="External"/><Relationship Id="rId126" Type="http://schemas.openxmlformats.org/officeDocument/2006/relationships/hyperlink" Target="mailto:sara.floridovila@gmail.com" TargetMode="External"/><Relationship Id="rId147" Type="http://schemas.openxmlformats.org/officeDocument/2006/relationships/hyperlink" Target="mailto:gpoulles@gmail.com" TargetMode="External"/><Relationship Id="rId168" Type="http://schemas.openxmlformats.org/officeDocument/2006/relationships/hyperlink" Target="mailto:bjornevholmberg@gmail.com" TargetMode="External"/><Relationship Id="rId312" Type="http://schemas.openxmlformats.org/officeDocument/2006/relationships/hyperlink" Target="mailto:rosca.ionela.irina@gmail.com" TargetMode="External"/><Relationship Id="rId333" Type="http://schemas.openxmlformats.org/officeDocument/2006/relationships/hyperlink" Target="mailto:steenfamily1@outlook.com" TargetMode="External"/><Relationship Id="rId354" Type="http://schemas.openxmlformats.org/officeDocument/2006/relationships/hyperlink" Target="mailto:steve_toisul@hotmail.com" TargetMode="External"/><Relationship Id="rId51" Type="http://schemas.openxmlformats.org/officeDocument/2006/relationships/hyperlink" Target="mailto:nadine.breser@hotmail.com" TargetMode="External"/><Relationship Id="rId72" Type="http://schemas.openxmlformats.org/officeDocument/2006/relationships/hyperlink" Target="mailto:monia.demuth@gmail.com" TargetMode="External"/><Relationship Id="rId93" Type="http://schemas.openxmlformats.org/officeDocument/2006/relationships/hyperlink" Target="mailto:ginad@pt.lu" TargetMode="External"/><Relationship Id="rId189" Type="http://schemas.openxmlformats.org/officeDocument/2006/relationships/hyperlink" Target="mailto:billy.kremer@secours.etat.lu" TargetMode="External"/><Relationship Id="rId375" Type="http://schemas.openxmlformats.org/officeDocument/2006/relationships/hyperlink" Target="mailto:dirkwezenberg@yahoo.de" TargetMode="External"/><Relationship Id="rId3" Type="http://schemas.openxmlformats.org/officeDocument/2006/relationships/hyperlink" Target="mailto:ka8084a@gmail.com" TargetMode="External"/><Relationship Id="rId214" Type="http://schemas.openxmlformats.org/officeDocument/2006/relationships/hyperlink" Target="mailto:c.lenglet@mf.me" TargetMode="External"/><Relationship Id="rId235" Type="http://schemas.openxmlformats.org/officeDocument/2006/relationships/hyperlink" Target="mailto:petermarck@hotmail.com" TargetMode="External"/><Relationship Id="rId256" Type="http://schemas.openxmlformats.org/officeDocument/2006/relationships/hyperlink" Target="mailto:catalin_mica@yahoo.com" TargetMode="External"/><Relationship Id="rId277" Type="http://schemas.openxmlformats.org/officeDocument/2006/relationships/hyperlink" Target="mailto:xilaflash80@gmail.com" TargetMode="External"/><Relationship Id="rId298" Type="http://schemas.openxmlformats.org/officeDocument/2006/relationships/hyperlink" Target="mailto:marijapetereifer@gmail.com" TargetMode="External"/><Relationship Id="rId116" Type="http://schemas.openxmlformats.org/officeDocument/2006/relationships/hyperlink" Target="mailto:vic.weiler@icloud.com" TargetMode="External"/><Relationship Id="rId137" Type="http://schemas.openxmlformats.org/officeDocument/2006/relationships/hyperlink" Target="mailto:alexandergennari@yahoo.fr" TargetMode="External"/><Relationship Id="rId158" Type="http://schemas.openxmlformats.org/officeDocument/2006/relationships/hyperlink" Target="mailto:linktess@pt.lu" TargetMode="External"/><Relationship Id="rId302" Type="http://schemas.openxmlformats.org/officeDocument/2006/relationships/hyperlink" Target="mailto:stefhanee@gmail.com" TargetMode="External"/><Relationship Id="rId323" Type="http://schemas.openxmlformats.org/officeDocument/2006/relationships/hyperlink" Target="mailto:schiltz.frederic@gmail.com" TargetMode="External"/><Relationship Id="rId344" Type="http://schemas.openxmlformats.org/officeDocument/2006/relationships/hyperlink" Target="mailto:brazuca07@hotmail.com" TargetMode="External"/><Relationship Id="rId20" Type="http://schemas.openxmlformats.org/officeDocument/2006/relationships/hyperlink" Target="mailto:christinabatley@hotmail.com" TargetMode="External"/><Relationship Id="rId41" Type="http://schemas.openxmlformats.org/officeDocument/2006/relationships/hyperlink" Target="mailto:blanc.max18@gmail.com" TargetMode="External"/><Relationship Id="rId62" Type="http://schemas.openxmlformats.org/officeDocument/2006/relationships/hyperlink" Target="mailto:castellano.virginio@gmail.com" TargetMode="External"/><Relationship Id="rId83" Type="http://schemas.openxmlformats.org/officeDocument/2006/relationships/hyperlink" Target="mailto:julia.haslbauer@gmx.at" TargetMode="External"/><Relationship Id="rId179" Type="http://schemas.openxmlformats.org/officeDocument/2006/relationships/hyperlink" Target="mailto:anna.eszter.kalman@gmail.com" TargetMode="External"/><Relationship Id="rId365" Type="http://schemas.openxmlformats.org/officeDocument/2006/relationships/hyperlink" Target="mailto:corinne_steinbach@yahoo.de" TargetMode="External"/><Relationship Id="rId386" Type="http://schemas.openxmlformats.org/officeDocument/2006/relationships/hyperlink" Target="mailto:adrienjacquelin@gmail.com" TargetMode="External"/><Relationship Id="rId190" Type="http://schemas.openxmlformats.org/officeDocument/2006/relationships/hyperlink" Target="mailto:christophe.kremer83@gmail.com" TargetMode="External"/><Relationship Id="rId204" Type="http://schemas.openxmlformats.org/officeDocument/2006/relationships/hyperlink" Target="mailto:ericlamhene@gmail.com" TargetMode="External"/><Relationship Id="rId225" Type="http://schemas.openxmlformats.org/officeDocument/2006/relationships/hyperlink" Target="mailto:joemalget@hotmail.com" TargetMode="External"/><Relationship Id="rId246" Type="http://schemas.openxmlformats.org/officeDocument/2006/relationships/hyperlink" Target="mailto:fihl@pt.lu" TargetMode="External"/><Relationship Id="rId267" Type="http://schemas.openxmlformats.org/officeDocument/2006/relationships/hyperlink" Target="mailto:mirko-moreno@web.de" TargetMode="External"/><Relationship Id="rId288" Type="http://schemas.openxmlformats.org/officeDocument/2006/relationships/hyperlink" Target="mailto:nicoleandzoe@googlemail.com" TargetMode="External"/><Relationship Id="rId106" Type="http://schemas.openxmlformats.org/officeDocument/2006/relationships/hyperlink" Target="mailto:kim88.lang@yahoo.de" TargetMode="External"/><Relationship Id="rId127" Type="http://schemas.openxmlformats.org/officeDocument/2006/relationships/hyperlink" Target="mailto:crisfodor@gmail.com" TargetMode="External"/><Relationship Id="rId313" Type="http://schemas.openxmlformats.org/officeDocument/2006/relationships/hyperlink" Target="mailto:markruef@hotmail.com" TargetMode="External"/><Relationship Id="rId10" Type="http://schemas.openxmlformats.org/officeDocument/2006/relationships/hyperlink" Target="mailto:antunesmarco@outlook.com" TargetMode="External"/><Relationship Id="rId31" Type="http://schemas.openxmlformats.org/officeDocument/2006/relationships/hyperlink" Target="mailto:nathalie_berchem@hotmail.com" TargetMode="External"/><Relationship Id="rId52" Type="http://schemas.openxmlformats.org/officeDocument/2006/relationships/hyperlink" Target="mailto:jtoisul@pt.lu" TargetMode="External"/><Relationship Id="rId73" Type="http://schemas.openxmlformats.org/officeDocument/2006/relationships/hyperlink" Target="mailto:casaleirocarla78@gmail.com" TargetMode="External"/><Relationship Id="rId94" Type="http://schemas.openxmlformats.org/officeDocument/2006/relationships/hyperlink" Target="mailto:adoberdolani@gmail.com" TargetMode="External"/><Relationship Id="rId148" Type="http://schemas.openxmlformats.org/officeDocument/2006/relationships/hyperlink" Target="mailto:tom.haas@gmx.lu" TargetMode="External"/><Relationship Id="rId169" Type="http://schemas.openxmlformats.org/officeDocument/2006/relationships/hyperlink" Target="mailto:bjornevholmberg@gmail.com" TargetMode="External"/><Relationship Id="rId334" Type="http://schemas.openxmlformats.org/officeDocument/2006/relationships/hyperlink" Target="mailto:steenfamily1@outlook.com" TargetMode="External"/><Relationship Id="rId355" Type="http://schemas.openxmlformats.org/officeDocument/2006/relationships/hyperlink" Target="mailto:steve_toisul@hotmail.com" TargetMode="External"/><Relationship Id="rId376" Type="http://schemas.openxmlformats.org/officeDocument/2006/relationships/hyperlink" Target="mailto:dimitriwilklux@gmail.com" TargetMode="External"/><Relationship Id="rId4" Type="http://schemas.openxmlformats.org/officeDocument/2006/relationships/hyperlink" Target="mailto:minao310@gmail.com" TargetMode="External"/><Relationship Id="rId180" Type="http://schemas.openxmlformats.org/officeDocument/2006/relationships/hyperlink" Target="mailto:petermurielle05@gmail.com" TargetMode="External"/><Relationship Id="rId215" Type="http://schemas.openxmlformats.org/officeDocument/2006/relationships/hyperlink" Target="mailto:librizzi.fra@gmail.com" TargetMode="External"/><Relationship Id="rId236" Type="http://schemas.openxmlformats.org/officeDocument/2006/relationships/hyperlink" Target="mailto:domingogomartinez@gmail.com" TargetMode="External"/><Relationship Id="rId257" Type="http://schemas.openxmlformats.org/officeDocument/2006/relationships/hyperlink" Target="mailto:yves.migliosi@gmail.com" TargetMode="External"/><Relationship Id="rId278" Type="http://schemas.openxmlformats.org/officeDocument/2006/relationships/hyperlink" Target="mailto:petouoberthold@yahoo.com" TargetMode="External"/><Relationship Id="rId303" Type="http://schemas.openxmlformats.org/officeDocument/2006/relationships/hyperlink" Target="mailto:begicbelma@hotmail.com" TargetMode="External"/><Relationship Id="rId42" Type="http://schemas.openxmlformats.org/officeDocument/2006/relationships/hyperlink" Target="mailto:fabio.boenigk@outlook.com" TargetMode="External"/><Relationship Id="rId84" Type="http://schemas.openxmlformats.org/officeDocument/2006/relationships/hyperlink" Target="mailto:julia.haslbauer@gmx.at" TargetMode="External"/><Relationship Id="rId138" Type="http://schemas.openxmlformats.org/officeDocument/2006/relationships/hyperlink" Target="mailto:cathy_glo@hotmail.de" TargetMode="External"/><Relationship Id="rId345" Type="http://schemas.openxmlformats.org/officeDocument/2006/relationships/hyperlink" Target="mailto:spiewak.jeff@outlook.com" TargetMode="External"/><Relationship Id="rId387" Type="http://schemas.openxmlformats.org/officeDocument/2006/relationships/hyperlink" Target="mailto:r.lokin-beader@eif.org" TargetMode="External"/><Relationship Id="rId191" Type="http://schemas.openxmlformats.org/officeDocument/2006/relationships/hyperlink" Target="mailto:christophe.kremer83@gmail.com" TargetMode="External"/><Relationship Id="rId205" Type="http://schemas.openxmlformats.org/officeDocument/2006/relationships/hyperlink" Target="mailto:ericlamhene@gmail.com" TargetMode="External"/><Relationship Id="rId247" Type="http://schemas.openxmlformats.org/officeDocument/2006/relationships/hyperlink" Target="mailto:dinaramcilovic@yahoo.com" TargetMode="External"/><Relationship Id="rId107" Type="http://schemas.openxmlformats.org/officeDocument/2006/relationships/hyperlink" Target="mailto:kim88.lang@yahoo.de" TargetMode="External"/><Relationship Id="rId289" Type="http://schemas.openxmlformats.org/officeDocument/2006/relationships/hyperlink" Target="mailto:annick.raths@education.lu" TargetMode="External"/><Relationship Id="rId11" Type="http://schemas.openxmlformats.org/officeDocument/2006/relationships/hyperlink" Target="mailto:branckaert.vanessa@hotmail.fr" TargetMode="External"/><Relationship Id="rId53" Type="http://schemas.openxmlformats.org/officeDocument/2006/relationships/hyperlink" Target="mailto:jtoisul@pt.lu" TargetMode="External"/><Relationship Id="rId149" Type="http://schemas.openxmlformats.org/officeDocument/2006/relationships/hyperlink" Target="mailto:roederj@me.com" TargetMode="External"/><Relationship Id="rId314" Type="http://schemas.openxmlformats.org/officeDocument/2006/relationships/hyperlink" Target="mailto:martina.borges97@hotmail.com" TargetMode="External"/><Relationship Id="rId356" Type="http://schemas.openxmlformats.org/officeDocument/2006/relationships/hyperlink" Target="mailto:ildavalenteesteves@gmail.com" TargetMode="External"/><Relationship Id="rId95" Type="http://schemas.openxmlformats.org/officeDocument/2006/relationships/hyperlink" Target="mailto:adoberdolani@gmail.com" TargetMode="External"/><Relationship Id="rId160" Type="http://schemas.openxmlformats.org/officeDocument/2006/relationships/hyperlink" Target="mailto:jeannettehesser@yahoo.com" TargetMode="External"/><Relationship Id="rId216" Type="http://schemas.openxmlformats.org/officeDocument/2006/relationships/hyperlink" Target="mailto:librizzi.fra@gmail.com" TargetMode="External"/><Relationship Id="rId258" Type="http://schemas.openxmlformats.org/officeDocument/2006/relationships/hyperlink" Target="mailto:yves.migliosi@gmail.com" TargetMode="External"/><Relationship Id="rId22" Type="http://schemas.openxmlformats.org/officeDocument/2006/relationships/hyperlink" Target="mailto:baulerlaurent@gmail.com" TargetMode="External"/><Relationship Id="rId64" Type="http://schemas.openxmlformats.org/officeDocument/2006/relationships/hyperlink" Target="mailto:mchour@hotmail.com" TargetMode="External"/><Relationship Id="rId118" Type="http://schemas.openxmlformats.org/officeDocument/2006/relationships/hyperlink" Target="mailto:fabernastasja@hotmail.com" TargetMode="External"/><Relationship Id="rId325" Type="http://schemas.openxmlformats.org/officeDocument/2006/relationships/hyperlink" Target="mailto:simon120414@gmail.com" TargetMode="External"/><Relationship Id="rId367" Type="http://schemas.openxmlformats.org/officeDocument/2006/relationships/hyperlink" Target="mailto:krishelle@hotmail.com" TargetMode="External"/><Relationship Id="rId171" Type="http://schemas.openxmlformats.org/officeDocument/2006/relationships/hyperlink" Target="mailto:jan321h@gmail.com" TargetMode="External"/><Relationship Id="rId227" Type="http://schemas.openxmlformats.org/officeDocument/2006/relationships/hyperlink" Target="mailto:patrickmalget@gmail.com" TargetMode="External"/><Relationship Id="rId269" Type="http://schemas.openxmlformats.org/officeDocument/2006/relationships/hyperlink" Target="mailto:cameleon.engage@yahoo.de" TargetMode="External"/><Relationship Id="rId33" Type="http://schemas.openxmlformats.org/officeDocument/2006/relationships/hyperlink" Target="mailto:jhempb@yahoo.com" TargetMode="External"/><Relationship Id="rId129" Type="http://schemas.openxmlformats.org/officeDocument/2006/relationships/hyperlink" Target="mailto:crisfodor@gmail.com" TargetMode="External"/><Relationship Id="rId280" Type="http://schemas.openxmlformats.org/officeDocument/2006/relationships/hyperlink" Target="mailto:lajne.thomsen@gmail.com" TargetMode="External"/><Relationship Id="rId336" Type="http://schemas.openxmlformats.org/officeDocument/2006/relationships/hyperlink" Target="mailto:marie-claude.wiltzius@education.lu" TargetMode="External"/><Relationship Id="rId75" Type="http://schemas.openxmlformats.org/officeDocument/2006/relationships/hyperlink" Target="mailto:deisadhb@gmail.com" TargetMode="External"/><Relationship Id="rId140" Type="http://schemas.openxmlformats.org/officeDocument/2006/relationships/hyperlink" Target="mailto:xilaflash80@gmail.com" TargetMode="External"/><Relationship Id="rId182" Type="http://schemas.openxmlformats.org/officeDocument/2006/relationships/hyperlink" Target="mailto:liz.k1999@outlook.com" TargetMode="External"/><Relationship Id="rId378" Type="http://schemas.openxmlformats.org/officeDocument/2006/relationships/hyperlink" Target="mailto:wilkrey@yahoo.fr" TargetMode="External"/><Relationship Id="rId6" Type="http://schemas.openxmlformats.org/officeDocument/2006/relationships/hyperlink" Target="mailto:fabioamador2001@gmail.com" TargetMode="External"/><Relationship Id="rId238" Type="http://schemas.openxmlformats.org/officeDocument/2006/relationships/hyperlink" Target="mailto:marzadorisascha@hotmail.de" TargetMode="External"/><Relationship Id="rId291" Type="http://schemas.openxmlformats.org/officeDocument/2006/relationships/hyperlink" Target="mailto:alain.rauchs@hotmail.com" TargetMode="External"/><Relationship Id="rId305" Type="http://schemas.openxmlformats.org/officeDocument/2006/relationships/hyperlink" Target="mailto:depinatamara@gmail.com" TargetMode="External"/><Relationship Id="rId347" Type="http://schemas.openxmlformats.org/officeDocument/2006/relationships/hyperlink" Target="mailto:steenfamily1@outlook.com" TargetMode="External"/><Relationship Id="rId44" Type="http://schemas.openxmlformats.org/officeDocument/2006/relationships/hyperlink" Target="mailto:schmit.elena@gmail.com" TargetMode="External"/><Relationship Id="rId86" Type="http://schemas.openxmlformats.org/officeDocument/2006/relationships/hyperlink" Target="mailto:steffan_develder@hotmail.com" TargetMode="External"/><Relationship Id="rId151" Type="http://schemas.openxmlformats.org/officeDocument/2006/relationships/hyperlink" Target="mailto:halldor.halldorsson@pt.lu" TargetMode="External"/><Relationship Id="rId193" Type="http://schemas.openxmlformats.org/officeDocument/2006/relationships/hyperlink" Target="mailto:kremerphi@hotmail.com" TargetMode="External"/><Relationship Id="rId207" Type="http://schemas.openxmlformats.org/officeDocument/2006/relationships/hyperlink" Target="mailto:esslerr@hotmail.com" TargetMode="External"/><Relationship Id="rId249" Type="http://schemas.openxmlformats.org/officeDocument/2006/relationships/hyperlink" Target="mailto:jeamed@pt.lu" TargetMode="External"/><Relationship Id="rId13" Type="http://schemas.openxmlformats.org/officeDocument/2006/relationships/hyperlink" Target="mailto:srecko83z@gmail.com" TargetMode="External"/><Relationship Id="rId109" Type="http://schemas.openxmlformats.org/officeDocument/2006/relationships/hyperlink" Target="mailto:sarah.lanners@education.lu" TargetMode="External"/><Relationship Id="rId260" Type="http://schemas.openxmlformats.org/officeDocument/2006/relationships/hyperlink" Target="mailto:jmignot2212@gmail.com" TargetMode="External"/><Relationship Id="rId316" Type="http://schemas.openxmlformats.org/officeDocument/2006/relationships/hyperlink" Target="mailto:serge.schaetzel@education.lu" TargetMode="External"/><Relationship Id="rId55" Type="http://schemas.openxmlformats.org/officeDocument/2006/relationships/hyperlink" Target="mailto:marc.buchler@yahoo.de" TargetMode="External"/><Relationship Id="rId97" Type="http://schemas.openxmlformats.org/officeDocument/2006/relationships/hyperlink" Target="mailto:dossantosrenato07@gmail.com" TargetMode="External"/><Relationship Id="rId120" Type="http://schemas.openxmlformats.org/officeDocument/2006/relationships/hyperlink" Target="mailto:laurent.felten82@gmail.com" TargetMode="External"/><Relationship Id="rId358" Type="http://schemas.openxmlformats.org/officeDocument/2006/relationships/hyperlink" Target="mailto:pwissen@pt.lu" TargetMode="External"/><Relationship Id="rId162" Type="http://schemas.openxmlformats.org/officeDocument/2006/relationships/hyperlink" Target="mailto:jeannettehesser@yahoo.com" TargetMode="External"/><Relationship Id="rId218" Type="http://schemas.openxmlformats.org/officeDocument/2006/relationships/hyperlink" Target="mailto:eugeniamdlucas@gmail.com" TargetMode="External"/><Relationship Id="rId271" Type="http://schemas.openxmlformats.org/officeDocument/2006/relationships/hyperlink" Target="mailto:nunesrafaelfraga@gmail.com" TargetMode="External"/><Relationship Id="rId24" Type="http://schemas.openxmlformats.org/officeDocument/2006/relationships/hyperlink" Target="mailto:camille.fumery@gmail.com" TargetMode="External"/><Relationship Id="rId66" Type="http://schemas.openxmlformats.org/officeDocument/2006/relationships/hyperlink" Target="mailto:anna.eszter.kalman@gmail.com" TargetMode="External"/><Relationship Id="rId131" Type="http://schemas.openxmlformats.org/officeDocument/2006/relationships/hyperlink" Target="mailto:georges.frieden.flh@gmx.com" TargetMode="External"/><Relationship Id="rId327" Type="http://schemas.openxmlformats.org/officeDocument/2006/relationships/hyperlink" Target="mailto:bettikett@hotmail.com" TargetMode="External"/><Relationship Id="rId369" Type="http://schemas.openxmlformats.org/officeDocument/2006/relationships/hyperlink" Target="mailto:vic.weiler@icloud.com" TargetMode="External"/><Relationship Id="rId173" Type="http://schemas.openxmlformats.org/officeDocument/2006/relationships/hyperlink" Target="mailto:joel.jacobsen@outlook.com" TargetMode="External"/><Relationship Id="rId229" Type="http://schemas.openxmlformats.org/officeDocument/2006/relationships/hyperlink" Target="mailto:gaby.altenhoven@gmail.com" TargetMode="External"/><Relationship Id="rId380" Type="http://schemas.openxmlformats.org/officeDocument/2006/relationships/hyperlink" Target="mailto:pipapongo@gmail.com" TargetMode="External"/><Relationship Id="rId240" Type="http://schemas.openxmlformats.org/officeDocument/2006/relationships/hyperlink" Target="mailto:semaurer@yahoo.co.uk" TargetMode="External"/><Relationship Id="rId35" Type="http://schemas.openxmlformats.org/officeDocument/2006/relationships/hyperlink" Target="mailto:bcorinne84@yahoo.com" TargetMode="External"/><Relationship Id="rId77" Type="http://schemas.openxmlformats.org/officeDocument/2006/relationships/hyperlink" Target="mailto:delgadocaremonika@gmail.com" TargetMode="External"/><Relationship Id="rId100" Type="http://schemas.openxmlformats.org/officeDocument/2006/relationships/hyperlink" Target="mailto:lekza2@gmail.com" TargetMode="External"/><Relationship Id="rId282" Type="http://schemas.openxmlformats.org/officeDocument/2006/relationships/hyperlink" Target="mailto:pintomarco_7@msn.com" TargetMode="External"/><Relationship Id="rId338" Type="http://schemas.openxmlformats.org/officeDocument/2006/relationships/hyperlink" Target="mailto:gregory.sebert@gmail.com" TargetMode="External"/><Relationship Id="rId8" Type="http://schemas.openxmlformats.org/officeDocument/2006/relationships/hyperlink" Target="mailto:ansay.luka@gmail.com" TargetMode="External"/><Relationship Id="rId142" Type="http://schemas.openxmlformats.org/officeDocument/2006/relationships/hyperlink" Target="mailto:greis.christophe@gmail.com" TargetMode="External"/><Relationship Id="rId184" Type="http://schemas.openxmlformats.org/officeDocument/2006/relationships/hyperlink" Target="mailto:flament.ma@gmail.com" TargetMode="External"/><Relationship Id="rId251" Type="http://schemas.openxmlformats.org/officeDocument/2006/relationships/hyperlink" Target="mailto:stevenmering31@gmail.com" TargetMode="External"/><Relationship Id="rId46" Type="http://schemas.openxmlformats.org/officeDocument/2006/relationships/hyperlink" Target="mailto:bourgj@pt.lu" TargetMode="External"/><Relationship Id="rId293" Type="http://schemas.openxmlformats.org/officeDocument/2006/relationships/hyperlink" Target="mailto:gregory.redavid@tutanota.com" TargetMode="External"/><Relationship Id="rId307" Type="http://schemas.openxmlformats.org/officeDocument/2006/relationships/hyperlink" Target="mailto:r.bonavia69@gmail.com" TargetMode="External"/><Relationship Id="rId349" Type="http://schemas.openxmlformats.org/officeDocument/2006/relationships/hyperlink" Target="mailto:destinysylvester121@gmail.com" TargetMode="External"/><Relationship Id="rId88" Type="http://schemas.openxmlformats.org/officeDocument/2006/relationships/hyperlink" Target="mailto:jorandidelot@gmail.com" TargetMode="External"/><Relationship Id="rId111" Type="http://schemas.openxmlformats.org/officeDocument/2006/relationships/hyperlink" Target="mailto:sarah.lanners@education.lu" TargetMode="External"/><Relationship Id="rId153" Type="http://schemas.openxmlformats.org/officeDocument/2006/relationships/hyperlink" Target="mailto:robin.hamrodrotz@gmail.com" TargetMode="External"/><Relationship Id="rId195" Type="http://schemas.openxmlformats.org/officeDocument/2006/relationships/hyperlink" Target="mailto:benoit.krier@education.lu" TargetMode="External"/><Relationship Id="rId209" Type="http://schemas.openxmlformats.org/officeDocument/2006/relationships/hyperlink" Target="mailto:adrienjacquelin@gmail.com" TargetMode="External"/><Relationship Id="rId360" Type="http://schemas.openxmlformats.org/officeDocument/2006/relationships/hyperlink" Target="mailto:ewokomopibo@gmail.com" TargetMode="External"/><Relationship Id="rId220" Type="http://schemas.openxmlformats.org/officeDocument/2006/relationships/hyperlink" Target="mailto:j-lindsay@hotmail.de" TargetMode="External"/><Relationship Id="rId15" Type="http://schemas.openxmlformats.org/officeDocument/2006/relationships/hyperlink" Target="mailto:srecko83z@gmail.com" TargetMode="External"/><Relationship Id="rId57" Type="http://schemas.openxmlformats.org/officeDocument/2006/relationships/hyperlink" Target="mailto:marc.buchler@yahoo.de" TargetMode="External"/><Relationship Id="rId262" Type="http://schemas.openxmlformats.org/officeDocument/2006/relationships/hyperlink" Target="mailto:m_miguelez@hotmail.com" TargetMode="External"/><Relationship Id="rId318" Type="http://schemas.openxmlformats.org/officeDocument/2006/relationships/hyperlink" Target="mailto:pschanck@pt.lu" TargetMode="External"/><Relationship Id="rId99" Type="http://schemas.openxmlformats.org/officeDocument/2006/relationships/hyperlink" Target="mailto:marlene_alves_6@hotmail.com" TargetMode="External"/><Relationship Id="rId122" Type="http://schemas.openxmlformats.org/officeDocument/2006/relationships/hyperlink" Target="mailto:ferranti104@gmail.com" TargetMode="External"/><Relationship Id="rId164" Type="http://schemas.openxmlformats.org/officeDocument/2006/relationships/hyperlink" Target="mailto:janika.hochstrasser@t-online.de" TargetMode="External"/><Relationship Id="rId371" Type="http://schemas.openxmlformats.org/officeDocument/2006/relationships/hyperlink" Target="mailto:jostcat@gmail.com" TargetMode="External"/><Relationship Id="rId26" Type="http://schemas.openxmlformats.org/officeDocument/2006/relationships/hyperlink" Target="mailto:carmenbouche@hotmail.com" TargetMode="External"/><Relationship Id="rId231" Type="http://schemas.openxmlformats.org/officeDocument/2006/relationships/hyperlink" Target="mailto:tabueck@hotmail.com" TargetMode="External"/><Relationship Id="rId273" Type="http://schemas.openxmlformats.org/officeDocument/2006/relationships/hyperlink" Target="mailto:anipapado@hotmail.com" TargetMode="External"/><Relationship Id="rId329" Type="http://schemas.openxmlformats.org/officeDocument/2006/relationships/hyperlink" Target="mailto:flament.ma@gmail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monique.felgen@mersch.lu" TargetMode="External"/><Relationship Id="rId1" Type="http://schemas.openxmlformats.org/officeDocument/2006/relationships/hyperlink" Target="mailto:nbemtgen@pt.l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monique.felgen@mersch.lu" TargetMode="External"/><Relationship Id="rId1" Type="http://schemas.openxmlformats.org/officeDocument/2006/relationships/hyperlink" Target="mailto:nbemtgen@pt.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753"/>
  <sheetViews>
    <sheetView tabSelected="1" workbookViewId="0">
      <selection sqref="A1:XFD1"/>
    </sheetView>
  </sheetViews>
  <sheetFormatPr baseColWidth="10" defaultRowHeight="16" x14ac:dyDescent="0.2"/>
  <cols>
    <col min="1" max="1" width="24.6640625" bestFit="1" customWidth="1"/>
    <col min="2" max="2" width="25.83203125" bestFit="1" customWidth="1"/>
    <col min="3" max="3" width="11" bestFit="1" customWidth="1"/>
    <col min="4" max="4" width="7" bestFit="1" customWidth="1"/>
    <col min="5" max="5" width="40.6640625" bestFit="1" customWidth="1"/>
    <col min="6" max="6" width="30.33203125" bestFit="1" customWidth="1"/>
    <col min="7" max="7" width="12.1640625" bestFit="1" customWidth="1"/>
    <col min="8" max="8" width="17" bestFit="1" customWidth="1"/>
    <col min="9" max="10" width="11.83203125" bestFit="1" customWidth="1"/>
    <col min="11" max="11" width="6.33203125" bestFit="1" customWidth="1"/>
    <col min="12" max="12" width="7.6640625" bestFit="1" customWidth="1"/>
    <col min="13" max="13" width="33.83203125" bestFit="1" customWidth="1"/>
    <col min="14" max="14" width="6" bestFit="1" customWidth="1"/>
    <col min="15" max="15" width="7.1640625" bestFit="1" customWidth="1"/>
    <col min="16" max="16" width="28.1640625" bestFit="1" customWidth="1"/>
    <col min="17" max="17" width="8" bestFit="1" customWidth="1"/>
    <col min="18" max="20" width="5.6640625" bestFit="1" customWidth="1"/>
    <col min="21" max="21" width="6.1640625" bestFit="1" customWidth="1"/>
    <col min="22" max="23" width="5.1640625" bestFit="1" customWidth="1"/>
    <col min="24" max="26" width="5.5" bestFit="1" customWidth="1"/>
    <col min="27" max="27" width="38" bestFit="1" customWidth="1"/>
    <col min="28" max="28" width="19.6640625" bestFit="1" customWidth="1"/>
    <col min="29" max="29" width="36.33203125" bestFit="1" customWidth="1"/>
    <col min="30" max="30" width="18.1640625" bestFit="1" customWidth="1"/>
    <col min="31" max="31" width="30" bestFit="1" customWidth="1"/>
    <col min="32" max="32" width="74.1640625" bestFit="1" customWidth="1"/>
    <col min="33" max="33" width="28.1640625" bestFit="1" customWidth="1"/>
    <col min="34" max="34" width="27.1640625" bestFit="1" customWidth="1"/>
    <col min="35" max="35" width="28.1640625" bestFit="1" customWidth="1"/>
    <col min="36" max="36" width="15.33203125" bestFit="1" customWidth="1"/>
    <col min="37" max="37" width="20.1640625" bestFit="1" customWidth="1"/>
    <col min="38" max="38" width="16.83203125" bestFit="1" customWidth="1"/>
    <col min="39" max="39" width="45.1640625" bestFit="1" customWidth="1"/>
    <col min="40" max="40" width="13.1640625" bestFit="1" customWidth="1"/>
    <col min="41" max="41" width="25.33203125" bestFit="1" customWidth="1"/>
    <col min="42" max="42" width="18.33203125" bestFit="1" customWidth="1"/>
    <col min="43" max="43" width="34.33203125" bestFit="1" customWidth="1"/>
    <col min="44" max="44" width="14.1640625" bestFit="1" customWidth="1"/>
    <col min="45" max="45" width="29" bestFit="1" customWidth="1"/>
    <col min="46" max="46" width="41.5" bestFit="1" customWidth="1"/>
    <col min="47" max="47" width="33.33203125" bestFit="1" customWidth="1"/>
    <col min="48" max="48" width="7.1640625" bestFit="1" customWidth="1"/>
    <col min="49" max="49" width="20.6640625" bestFit="1" customWidth="1"/>
    <col min="50" max="50" width="17.1640625" bestFit="1" customWidth="1"/>
    <col min="51" max="51" width="12.6640625" bestFit="1" customWidth="1"/>
    <col min="52" max="52" width="13.83203125" bestFit="1" customWidth="1"/>
    <col min="53" max="54" width="15.1640625" bestFit="1" customWidth="1"/>
    <col min="55" max="55" width="18.1640625" bestFit="1" customWidth="1"/>
    <col min="56" max="56" width="12.6640625" bestFit="1" customWidth="1"/>
    <col min="57" max="57" width="21" bestFit="1" customWidth="1"/>
    <col min="58" max="58" width="33.83203125" bestFit="1" customWidth="1"/>
    <col min="59" max="59" width="12.6640625" bestFit="1" customWidth="1"/>
    <col min="60" max="60" width="21" bestFit="1" customWidth="1"/>
    <col min="61" max="61" width="17.5" bestFit="1" customWidth="1"/>
    <col min="62" max="62" width="14.6640625" bestFit="1" customWidth="1"/>
    <col min="63" max="63" width="21" bestFit="1" customWidth="1"/>
    <col min="64" max="64" width="17.5" bestFit="1" customWidth="1"/>
    <col min="65" max="65" width="13.1640625" bestFit="1" customWidth="1"/>
    <col min="66" max="66" width="14" bestFit="1" customWidth="1"/>
    <col min="67" max="69" width="15.83203125" bestFit="1" customWidth="1"/>
    <col min="70" max="70" width="20.6640625" bestFit="1" customWidth="1"/>
  </cols>
  <sheetData>
    <row r="1" spans="1:70" ht="48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</row>
    <row r="2" spans="1:70" x14ac:dyDescent="0.2">
      <c r="A2" t="s">
        <v>70</v>
      </c>
      <c r="B2" t="s">
        <v>71</v>
      </c>
      <c r="D2" t="s">
        <v>72</v>
      </c>
      <c r="E2" t="s">
        <v>73</v>
      </c>
      <c r="F2" t="s">
        <v>74</v>
      </c>
      <c r="G2" t="s">
        <v>75</v>
      </c>
      <c r="H2" t="s">
        <v>76</v>
      </c>
      <c r="I2" t="s">
        <v>77</v>
      </c>
      <c r="K2">
        <v>212</v>
      </c>
      <c r="L2">
        <f>IFERROR(VLOOKUP(K2,'Tables new'!$A:$C,3,FALSE),"")</f>
        <v>70</v>
      </c>
      <c r="M2" t="str">
        <f>VLOOKUP(K2,CAT_JOUEUR,2,FALSE)</f>
        <v>Contact famille</v>
      </c>
      <c r="N2">
        <v>212</v>
      </c>
      <c r="O2">
        <f>IFERROR(VLOOKUP(N2,'Tables new'!$A:$C,3,FALSE),"")</f>
        <v>70</v>
      </c>
      <c r="P2" t="str">
        <f>VLOOKUP(N2,CAT_JOUEUR,2,FALSE)</f>
        <v>Contact famille</v>
      </c>
      <c r="AH2" t="s">
        <v>78</v>
      </c>
      <c r="AI2" t="s">
        <v>78</v>
      </c>
      <c r="AJ2" t="s">
        <v>78</v>
      </c>
      <c r="AK2" t="s">
        <v>78</v>
      </c>
      <c r="AL2" t="s">
        <v>79</v>
      </c>
      <c r="AP2">
        <v>621217918</v>
      </c>
      <c r="AQ2" t="s">
        <v>80</v>
      </c>
    </row>
    <row r="3" spans="1:70" x14ac:dyDescent="0.2">
      <c r="A3" t="s">
        <v>81</v>
      </c>
      <c r="B3" t="s">
        <v>82</v>
      </c>
      <c r="D3" t="s">
        <v>83</v>
      </c>
      <c r="E3" t="s">
        <v>84</v>
      </c>
      <c r="F3" t="s">
        <v>85</v>
      </c>
      <c r="G3" t="s">
        <v>86</v>
      </c>
      <c r="H3" t="s">
        <v>87</v>
      </c>
      <c r="I3" t="s">
        <v>88</v>
      </c>
      <c r="K3">
        <v>212</v>
      </c>
      <c r="L3">
        <f>IFERROR(VLOOKUP(K3,'Tables new'!$A:$C,3,FALSE),"")</f>
        <v>70</v>
      </c>
      <c r="M3" t="str">
        <f>VLOOKUP(K3,CAT_JOUEUR,2,FALSE)</f>
        <v>Contact famille</v>
      </c>
      <c r="N3">
        <v>212</v>
      </c>
      <c r="O3">
        <f>IFERROR(VLOOKUP(N3,'Tables new'!$A:$C,3,FALSE),"")</f>
        <v>70</v>
      </c>
      <c r="P3" t="str">
        <f>VLOOKUP(N3,CAT_JOUEUR,2,FALSE)</f>
        <v>Contact famille</v>
      </c>
      <c r="X3" t="s">
        <v>89</v>
      </c>
      <c r="AH3" t="s">
        <v>78</v>
      </c>
      <c r="AI3">
        <v>43078</v>
      </c>
      <c r="AJ3" t="s">
        <v>78</v>
      </c>
      <c r="AK3" t="s">
        <v>78</v>
      </c>
      <c r="AL3" t="s">
        <v>79</v>
      </c>
      <c r="AP3" t="s">
        <v>90</v>
      </c>
      <c r="AY3" t="s">
        <v>91</v>
      </c>
      <c r="BA3" t="s">
        <v>92</v>
      </c>
      <c r="BB3" t="s">
        <v>92</v>
      </c>
      <c r="BO3" t="s">
        <v>93</v>
      </c>
    </row>
    <row r="4" spans="1:70" x14ac:dyDescent="0.2">
      <c r="A4" t="s">
        <v>94</v>
      </c>
      <c r="B4" t="s">
        <v>95</v>
      </c>
      <c r="D4" t="s">
        <v>72</v>
      </c>
      <c r="E4" t="s">
        <v>96</v>
      </c>
      <c r="F4" t="s">
        <v>97</v>
      </c>
      <c r="G4" t="s">
        <v>98</v>
      </c>
      <c r="H4" t="s">
        <v>99</v>
      </c>
      <c r="I4" t="s">
        <v>100</v>
      </c>
      <c r="K4">
        <v>212</v>
      </c>
      <c r="L4">
        <f>IFERROR(VLOOKUP(K4,'Tables new'!$A:$C,3,FALSE),"")</f>
        <v>70</v>
      </c>
      <c r="M4" t="str">
        <f>VLOOKUP(K4,CAT_JOUEUR,2,FALSE)</f>
        <v>Contact famille</v>
      </c>
      <c r="N4">
        <v>212</v>
      </c>
      <c r="O4">
        <f>IFERROR(VLOOKUP(N4,'Tables new'!$A:$C,3,FALSE),"")</f>
        <v>70</v>
      </c>
      <c r="P4" t="str">
        <f>VLOOKUP(N4,CAT_JOUEUR,2,FALSE)</f>
        <v>Contact famille</v>
      </c>
      <c r="W4" t="s">
        <v>89</v>
      </c>
      <c r="AH4" t="s">
        <v>78</v>
      </c>
      <c r="AI4" t="s">
        <v>78</v>
      </c>
      <c r="AJ4" t="s">
        <v>78</v>
      </c>
      <c r="AK4" t="s">
        <v>78</v>
      </c>
      <c r="AL4" t="s">
        <v>79</v>
      </c>
      <c r="AQ4" t="s">
        <v>101</v>
      </c>
    </row>
    <row r="5" spans="1:70" x14ac:dyDescent="0.2">
      <c r="A5" t="s">
        <v>102</v>
      </c>
      <c r="B5" t="s">
        <v>103</v>
      </c>
      <c r="D5" t="s">
        <v>104</v>
      </c>
      <c r="E5" t="s">
        <v>105</v>
      </c>
      <c r="F5" t="s">
        <v>106</v>
      </c>
      <c r="G5" t="s">
        <v>107</v>
      </c>
      <c r="H5" t="s">
        <v>108</v>
      </c>
      <c r="I5" t="s">
        <v>109</v>
      </c>
      <c r="K5">
        <v>212</v>
      </c>
      <c r="L5">
        <f>IFERROR(VLOOKUP(K5,'Tables new'!$A:$C,3,FALSE),"")</f>
        <v>70</v>
      </c>
      <c r="M5" t="str">
        <f>VLOOKUP(K5,CAT_JOUEUR,2,FALSE)</f>
        <v>Contact famille</v>
      </c>
      <c r="N5">
        <v>212</v>
      </c>
      <c r="O5">
        <f>IFERROR(VLOOKUP(N5,'Tables new'!$A:$C,3,FALSE),"")</f>
        <v>70</v>
      </c>
      <c r="P5" t="str">
        <f>VLOOKUP(N5,CAT_JOUEUR,2,FALSE)</f>
        <v>Contact famille</v>
      </c>
      <c r="V5" t="s">
        <v>89</v>
      </c>
      <c r="AH5" t="s">
        <v>78</v>
      </c>
      <c r="AI5" t="s">
        <v>78</v>
      </c>
      <c r="AJ5" t="s">
        <v>78</v>
      </c>
      <c r="AK5" t="s">
        <v>78</v>
      </c>
      <c r="AL5" t="s">
        <v>79</v>
      </c>
      <c r="AP5">
        <v>621218818</v>
      </c>
      <c r="AQ5" t="s">
        <v>110</v>
      </c>
    </row>
    <row r="6" spans="1:70" x14ac:dyDescent="0.2">
      <c r="A6" t="s">
        <v>102</v>
      </c>
      <c r="B6" t="s">
        <v>111</v>
      </c>
      <c r="D6" t="s">
        <v>104</v>
      </c>
      <c r="E6" t="s">
        <v>105</v>
      </c>
      <c r="F6" t="s">
        <v>106</v>
      </c>
      <c r="G6" t="s">
        <v>112</v>
      </c>
      <c r="H6" t="s">
        <v>108</v>
      </c>
      <c r="I6" t="s">
        <v>109</v>
      </c>
      <c r="K6">
        <v>18</v>
      </c>
      <c r="L6">
        <f>IFERROR(VLOOKUP(K6,'Tables new'!$A:$C,3,FALSE),"")</f>
        <v>37</v>
      </c>
      <c r="M6" t="str">
        <f>VLOOKUP(K6,CAT_JOUEUR,2,FALSE)</f>
        <v>U 9 F</v>
      </c>
      <c r="N6">
        <v>18</v>
      </c>
      <c r="O6">
        <f>IFERROR(VLOOKUP(N6,'Tables new'!$A:$C,3,FALSE),"")</f>
        <v>37</v>
      </c>
      <c r="P6" t="str">
        <f>VLOOKUP(N6,CAT_JOUEUR,2,FALSE)</f>
        <v>U 9 F</v>
      </c>
      <c r="V6" t="s">
        <v>113</v>
      </c>
      <c r="AA6" t="s">
        <v>114</v>
      </c>
      <c r="AH6">
        <v>44949</v>
      </c>
      <c r="AI6">
        <v>44900</v>
      </c>
      <c r="AJ6">
        <v>2025</v>
      </c>
      <c r="AK6">
        <v>43239</v>
      </c>
      <c r="AL6" t="s">
        <v>115</v>
      </c>
      <c r="AO6" t="s">
        <v>116</v>
      </c>
      <c r="AP6" t="s">
        <v>117</v>
      </c>
      <c r="AQ6" t="s">
        <v>118</v>
      </c>
    </row>
    <row r="7" spans="1:70" x14ac:dyDescent="0.2">
      <c r="A7" t="s">
        <v>102</v>
      </c>
      <c r="B7" t="s">
        <v>119</v>
      </c>
      <c r="D7" t="s">
        <v>104</v>
      </c>
      <c r="E7" t="s">
        <v>105</v>
      </c>
      <c r="F7" t="s">
        <v>106</v>
      </c>
      <c r="G7" t="s">
        <v>120</v>
      </c>
      <c r="H7" t="s">
        <v>108</v>
      </c>
      <c r="I7" t="s">
        <v>109</v>
      </c>
      <c r="K7">
        <v>212</v>
      </c>
      <c r="L7">
        <f>IFERROR(VLOOKUP(K7,'Tables new'!$A:$C,3,FALSE),"")</f>
        <v>70</v>
      </c>
      <c r="M7" t="str">
        <f>VLOOKUP(K7,CAT_JOUEUR,2,FALSE)</f>
        <v>Contact famille</v>
      </c>
      <c r="N7">
        <v>212</v>
      </c>
      <c r="O7">
        <f>IFERROR(VLOOKUP(N7,'Tables new'!$A:$C,3,FALSE),"")</f>
        <v>70</v>
      </c>
      <c r="P7" t="str">
        <f>VLOOKUP(N7,CAT_JOUEUR,2,FALSE)</f>
        <v>Contact famille</v>
      </c>
      <c r="V7" t="s">
        <v>89</v>
      </c>
      <c r="AH7" t="s">
        <v>78</v>
      </c>
      <c r="AI7" t="s">
        <v>78</v>
      </c>
      <c r="AJ7" t="s">
        <v>78</v>
      </c>
      <c r="AK7" t="s">
        <v>78</v>
      </c>
      <c r="AL7" t="s">
        <v>79</v>
      </c>
      <c r="AP7">
        <v>621174806</v>
      </c>
      <c r="AQ7" t="s">
        <v>118</v>
      </c>
    </row>
    <row r="8" spans="1:70" x14ac:dyDescent="0.2">
      <c r="A8" t="s">
        <v>121</v>
      </c>
      <c r="B8" t="s">
        <v>122</v>
      </c>
      <c r="D8" t="s">
        <v>72</v>
      </c>
      <c r="E8" t="s">
        <v>123</v>
      </c>
      <c r="F8" t="s">
        <v>124</v>
      </c>
      <c r="G8" t="s">
        <v>125</v>
      </c>
      <c r="H8" t="s">
        <v>126</v>
      </c>
      <c r="I8" t="s">
        <v>127</v>
      </c>
      <c r="K8">
        <v>212</v>
      </c>
      <c r="L8">
        <f>IFERROR(VLOOKUP(K8,'Tables new'!$A:$C,3,FALSE),"")</f>
        <v>70</v>
      </c>
      <c r="M8" t="str">
        <f>VLOOKUP(K8,CAT_JOUEUR,2,FALSE)</f>
        <v>Contact famille</v>
      </c>
      <c r="N8">
        <v>212</v>
      </c>
      <c r="O8">
        <f>IFERROR(VLOOKUP(N8,'Tables new'!$A:$C,3,FALSE),"")</f>
        <v>70</v>
      </c>
      <c r="P8" t="str">
        <f>VLOOKUP(N8,CAT_JOUEUR,2,FALSE)</f>
        <v>Contact famille</v>
      </c>
      <c r="T8" t="s">
        <v>89</v>
      </c>
      <c r="AH8" t="s">
        <v>78</v>
      </c>
      <c r="AI8" t="s">
        <v>78</v>
      </c>
      <c r="AJ8" t="s">
        <v>78</v>
      </c>
      <c r="AK8" t="s">
        <v>78</v>
      </c>
      <c r="AL8" t="s">
        <v>79</v>
      </c>
      <c r="AP8">
        <v>661813163</v>
      </c>
    </row>
    <row r="9" spans="1:70" x14ac:dyDescent="0.2">
      <c r="A9" t="s">
        <v>128</v>
      </c>
      <c r="B9" t="s">
        <v>129</v>
      </c>
      <c r="D9" t="s">
        <v>72</v>
      </c>
      <c r="E9" t="s">
        <v>96</v>
      </c>
      <c r="F9" t="s">
        <v>130</v>
      </c>
      <c r="G9" t="s">
        <v>131</v>
      </c>
      <c r="H9" t="s">
        <v>132</v>
      </c>
      <c r="I9" t="s">
        <v>133</v>
      </c>
      <c r="K9">
        <v>212</v>
      </c>
      <c r="L9">
        <f>IFERROR(VLOOKUP(K9,'Tables new'!$A:$C,3,FALSE),"")</f>
        <v>70</v>
      </c>
      <c r="M9" t="str">
        <f>VLOOKUP(K9,CAT_JOUEUR,2,FALSE)</f>
        <v>Contact famille</v>
      </c>
      <c r="N9">
        <v>212</v>
      </c>
      <c r="O9">
        <f>IFERROR(VLOOKUP(N9,'Tables new'!$A:$C,3,FALSE),"")</f>
        <v>70</v>
      </c>
      <c r="P9" t="str">
        <f>VLOOKUP(N9,CAT_JOUEUR,2,FALSE)</f>
        <v>Contact famille</v>
      </c>
      <c r="X9" t="s">
        <v>89</v>
      </c>
      <c r="Z9" t="s">
        <v>89</v>
      </c>
      <c r="AH9" t="s">
        <v>78</v>
      </c>
      <c r="AI9">
        <v>43500</v>
      </c>
      <c r="AJ9" t="s">
        <v>78</v>
      </c>
      <c r="AK9" t="s">
        <v>78</v>
      </c>
      <c r="AL9" t="s">
        <v>79</v>
      </c>
      <c r="AP9" t="s">
        <v>134</v>
      </c>
      <c r="AQ9" t="s">
        <v>135</v>
      </c>
      <c r="AY9" t="s">
        <v>91</v>
      </c>
      <c r="BA9" t="s">
        <v>136</v>
      </c>
      <c r="BB9" t="s">
        <v>137</v>
      </c>
      <c r="BC9" t="s">
        <v>138</v>
      </c>
      <c r="BD9" t="s">
        <v>139</v>
      </c>
    </row>
    <row r="10" spans="1:70" x14ac:dyDescent="0.2">
      <c r="A10" t="s">
        <v>140</v>
      </c>
      <c r="B10" t="s">
        <v>141</v>
      </c>
      <c r="D10" t="s">
        <v>72</v>
      </c>
      <c r="E10" t="s">
        <v>123</v>
      </c>
      <c r="F10" t="s">
        <v>142</v>
      </c>
      <c r="G10" t="s">
        <v>143</v>
      </c>
      <c r="H10" t="s">
        <v>144</v>
      </c>
      <c r="I10" t="s">
        <v>145</v>
      </c>
      <c r="K10">
        <v>2</v>
      </c>
      <c r="L10">
        <f>IFERROR(VLOOKUP(K10,'Tables new'!$A:$C,3,FALSE),"")</f>
        <v>11</v>
      </c>
      <c r="M10" t="str">
        <f>VLOOKUP(K10,CAT_JOUEUR,2,FALSE)</f>
        <v>Seniors - HO</v>
      </c>
      <c r="N10">
        <v>2</v>
      </c>
      <c r="O10">
        <f>IFERROR(VLOOKUP(N10,'Tables new'!$A:$C,3,FALSE),"")</f>
        <v>11</v>
      </c>
      <c r="P10" t="str">
        <f>VLOOKUP(N10,CAT_JOUEUR,2,FALSE)</f>
        <v>Seniors - HO</v>
      </c>
      <c r="AA10" t="s">
        <v>146</v>
      </c>
      <c r="AH10">
        <v>45603</v>
      </c>
      <c r="AI10">
        <v>45565</v>
      </c>
      <c r="AJ10">
        <v>2031</v>
      </c>
      <c r="AK10">
        <v>37168</v>
      </c>
      <c r="AL10" t="s">
        <v>147</v>
      </c>
      <c r="AP10">
        <v>351969049144</v>
      </c>
      <c r="AQ10" t="s">
        <v>148</v>
      </c>
    </row>
    <row r="11" spans="1:70" x14ac:dyDescent="0.2">
      <c r="A11" t="s">
        <v>149</v>
      </c>
      <c r="B11" t="s">
        <v>150</v>
      </c>
      <c r="D11" t="s">
        <v>72</v>
      </c>
      <c r="E11" t="s">
        <v>96</v>
      </c>
      <c r="F11" t="s">
        <v>151</v>
      </c>
      <c r="G11" t="s">
        <v>152</v>
      </c>
      <c r="H11" t="s">
        <v>153</v>
      </c>
      <c r="I11" t="s">
        <v>154</v>
      </c>
      <c r="K11">
        <v>21</v>
      </c>
      <c r="L11">
        <f>IFERROR(VLOOKUP(K11,'Tables new'!$A:$C,3,FALSE),"")</f>
        <v>18</v>
      </c>
      <c r="M11" t="str">
        <f>VLOOKUP(K11,CAT_JOUEUR,2,FALSE)</f>
        <v>U7 Mixte</v>
      </c>
      <c r="N11">
        <v>21</v>
      </c>
      <c r="O11">
        <f>IFERROR(VLOOKUP(N11,'Tables new'!$A:$C,3,FALSE),"")</f>
        <v>18</v>
      </c>
      <c r="P11" t="str">
        <f>VLOOKUP(N11,CAT_JOUEUR,2,FALSE)</f>
        <v>U7 Mixte</v>
      </c>
      <c r="W11" t="s">
        <v>113</v>
      </c>
      <c r="AA11" t="s">
        <v>155</v>
      </c>
      <c r="AI11">
        <v>45697</v>
      </c>
      <c r="AJ11">
        <v>2027</v>
      </c>
      <c r="AK11">
        <v>44078</v>
      </c>
      <c r="AL11" t="s">
        <v>156</v>
      </c>
      <c r="AP11" t="s">
        <v>157</v>
      </c>
      <c r="AQ11" t="s">
        <v>158</v>
      </c>
    </row>
    <row r="12" spans="1:70" x14ac:dyDescent="0.2">
      <c r="A12" t="s">
        <v>159</v>
      </c>
      <c r="B12" t="s">
        <v>160</v>
      </c>
      <c r="D12" t="s">
        <v>72</v>
      </c>
      <c r="E12" t="s">
        <v>161</v>
      </c>
      <c r="F12" t="s">
        <v>162</v>
      </c>
      <c r="G12" t="s">
        <v>163</v>
      </c>
      <c r="H12" t="s">
        <v>164</v>
      </c>
      <c r="I12" t="s">
        <v>145</v>
      </c>
      <c r="K12">
        <v>2</v>
      </c>
      <c r="L12">
        <f>IFERROR(VLOOKUP(K12,'Tables new'!$A:$C,3,FALSE),"")</f>
        <v>11</v>
      </c>
      <c r="M12" t="str">
        <f>VLOOKUP(K12,CAT_JOUEUR,2,FALSE)</f>
        <v>Seniors - HO</v>
      </c>
      <c r="N12">
        <v>2</v>
      </c>
      <c r="O12">
        <f>IFERROR(VLOOKUP(N12,'Tables new'!$A:$C,3,FALSE),"")</f>
        <v>11</v>
      </c>
      <c r="P12" t="str">
        <f>VLOOKUP(N12,CAT_JOUEUR,2,FALSE)</f>
        <v>Seniors - HO</v>
      </c>
      <c r="AA12" t="s">
        <v>165</v>
      </c>
      <c r="AH12">
        <v>40645</v>
      </c>
      <c r="AI12">
        <v>42628</v>
      </c>
      <c r="AJ12">
        <v>2031</v>
      </c>
      <c r="AK12">
        <v>37023</v>
      </c>
      <c r="AL12" t="s">
        <v>166</v>
      </c>
      <c r="AO12" t="s">
        <v>167</v>
      </c>
      <c r="AP12" t="s">
        <v>168</v>
      </c>
      <c r="AQ12" t="s">
        <v>169</v>
      </c>
    </row>
    <row r="13" spans="1:70" x14ac:dyDescent="0.2">
      <c r="A13" t="s">
        <v>159</v>
      </c>
      <c r="B13" t="s">
        <v>170</v>
      </c>
      <c r="D13" t="s">
        <v>72</v>
      </c>
      <c r="E13" t="s">
        <v>161</v>
      </c>
      <c r="F13" t="s">
        <v>162</v>
      </c>
      <c r="G13" t="s">
        <v>163</v>
      </c>
      <c r="H13" t="s">
        <v>164</v>
      </c>
      <c r="I13" t="s">
        <v>145</v>
      </c>
      <c r="K13">
        <v>2</v>
      </c>
      <c r="L13">
        <f>IFERROR(VLOOKUP(K13,'Tables new'!$A:$C,3,FALSE),"")</f>
        <v>11</v>
      </c>
      <c r="M13" t="str">
        <f>VLOOKUP(K13,CAT_JOUEUR,2,FALSE)</f>
        <v>Seniors - HO</v>
      </c>
      <c r="N13">
        <v>2</v>
      </c>
      <c r="O13">
        <f>IFERROR(VLOOKUP(N13,'Tables new'!$A:$C,3,FALSE),"")</f>
        <v>11</v>
      </c>
      <c r="P13" t="str">
        <f>VLOOKUP(N13,CAT_JOUEUR,2,FALSE)</f>
        <v>Seniors - HO</v>
      </c>
      <c r="AA13" t="s">
        <v>171</v>
      </c>
      <c r="AH13">
        <v>43027</v>
      </c>
      <c r="AI13">
        <v>42491</v>
      </c>
      <c r="AJ13">
        <v>2035</v>
      </c>
      <c r="AK13">
        <v>38476</v>
      </c>
      <c r="AL13" t="s">
        <v>172</v>
      </c>
      <c r="AN13" t="s">
        <v>167</v>
      </c>
      <c r="AP13" t="s">
        <v>173</v>
      </c>
      <c r="AQ13" t="s">
        <v>174</v>
      </c>
    </row>
    <row r="14" spans="1:70" x14ac:dyDescent="0.2">
      <c r="A14" t="s">
        <v>175</v>
      </c>
      <c r="B14" t="s">
        <v>176</v>
      </c>
      <c r="D14" t="s">
        <v>72</v>
      </c>
      <c r="E14" t="s">
        <v>96</v>
      </c>
      <c r="F14" t="s">
        <v>177</v>
      </c>
      <c r="G14" t="s">
        <v>178</v>
      </c>
      <c r="H14" t="s">
        <v>179</v>
      </c>
      <c r="I14" t="s">
        <v>180</v>
      </c>
      <c r="K14">
        <v>17</v>
      </c>
      <c r="L14">
        <f>IFERROR(VLOOKUP(K14,'Tables new'!$A:$C,3,FALSE),"")</f>
        <v>36</v>
      </c>
      <c r="M14" t="str">
        <f>VLOOKUP(K14,CAT_JOUEUR,2,FALSE)</f>
        <v>U 11 F</v>
      </c>
      <c r="N14">
        <v>17</v>
      </c>
      <c r="O14">
        <f>IFERROR(VLOOKUP(N14,'Tables new'!$A:$C,3,FALSE),"")</f>
        <v>36</v>
      </c>
      <c r="P14" t="str">
        <f>VLOOKUP(N14,CAT_JOUEUR,2,FALSE)</f>
        <v>U 11 F</v>
      </c>
      <c r="U14" t="s">
        <v>113</v>
      </c>
      <c r="AA14" t="s">
        <v>181</v>
      </c>
      <c r="AF14" t="s">
        <v>182</v>
      </c>
      <c r="AH14">
        <v>46201</v>
      </c>
      <c r="AI14">
        <v>46198</v>
      </c>
      <c r="AJ14">
        <v>2028</v>
      </c>
      <c r="AK14">
        <v>42482</v>
      </c>
      <c r="AL14" t="s">
        <v>183</v>
      </c>
      <c r="AO14" t="s">
        <v>184</v>
      </c>
      <c r="AP14" t="s">
        <v>185</v>
      </c>
      <c r="AQ14" t="s">
        <v>186</v>
      </c>
    </row>
    <row r="15" spans="1:70" x14ac:dyDescent="0.2">
      <c r="A15" t="s">
        <v>175</v>
      </c>
      <c r="B15" t="s">
        <v>187</v>
      </c>
      <c r="D15" t="s">
        <v>72</v>
      </c>
      <c r="E15" t="s">
        <v>96</v>
      </c>
      <c r="F15" t="s">
        <v>177</v>
      </c>
      <c r="G15" t="s">
        <v>178</v>
      </c>
      <c r="H15" t="s">
        <v>179</v>
      </c>
      <c r="I15" t="s">
        <v>180</v>
      </c>
      <c r="K15">
        <v>212</v>
      </c>
      <c r="L15">
        <f>IFERROR(VLOOKUP(K15,'Tables new'!$A:$C,3,FALSE),"")</f>
        <v>70</v>
      </c>
      <c r="M15" t="str">
        <f>VLOOKUP(K15,CAT_JOUEUR,2,FALSE)</f>
        <v>Contact famille</v>
      </c>
      <c r="N15">
        <v>212</v>
      </c>
      <c r="O15">
        <f>IFERROR(VLOOKUP(N15,'Tables new'!$A:$C,3,FALSE),"")</f>
        <v>70</v>
      </c>
      <c r="P15" t="str">
        <f>VLOOKUP(N15,CAT_JOUEUR,2,FALSE)</f>
        <v>Contact famille</v>
      </c>
      <c r="U15" t="s">
        <v>89</v>
      </c>
      <c r="AH15" t="s">
        <v>78</v>
      </c>
      <c r="AI15" t="s">
        <v>78</v>
      </c>
      <c r="AJ15" t="s">
        <v>78</v>
      </c>
      <c r="AK15" t="s">
        <v>78</v>
      </c>
      <c r="AL15" t="s">
        <v>79</v>
      </c>
      <c r="AP15">
        <v>691348144</v>
      </c>
      <c r="AQ15" t="s">
        <v>186</v>
      </c>
    </row>
    <row r="16" spans="1:70" x14ac:dyDescent="0.2">
      <c r="A16" t="s">
        <v>188</v>
      </c>
      <c r="B16" t="s">
        <v>189</v>
      </c>
      <c r="D16" t="s">
        <v>72</v>
      </c>
      <c r="E16" t="s">
        <v>96</v>
      </c>
      <c r="F16" t="s">
        <v>190</v>
      </c>
      <c r="G16" t="s">
        <v>191</v>
      </c>
      <c r="H16" t="s">
        <v>192</v>
      </c>
      <c r="I16" t="s">
        <v>193</v>
      </c>
      <c r="K16">
        <v>212</v>
      </c>
      <c r="L16">
        <f>IFERROR(VLOOKUP(K16,'Tables new'!$A:$C,3,FALSE),"")</f>
        <v>70</v>
      </c>
      <c r="M16" t="str">
        <f>VLOOKUP(K16,CAT_JOUEUR,2,FALSE)</f>
        <v>Contact famille</v>
      </c>
      <c r="N16">
        <v>212</v>
      </c>
      <c r="O16">
        <f>IFERROR(VLOOKUP(N16,'Tables new'!$A:$C,3,FALSE),"")</f>
        <v>70</v>
      </c>
      <c r="P16" t="str">
        <f>VLOOKUP(N16,CAT_JOUEUR,2,FALSE)</f>
        <v>Contact famille</v>
      </c>
      <c r="T16" t="s">
        <v>89</v>
      </c>
      <c r="AH16" t="s">
        <v>78</v>
      </c>
      <c r="AI16" t="s">
        <v>78</v>
      </c>
      <c r="AJ16" t="s">
        <v>78</v>
      </c>
      <c r="AK16" t="s">
        <v>78</v>
      </c>
      <c r="AL16" t="s">
        <v>79</v>
      </c>
      <c r="AP16">
        <v>621430204</v>
      </c>
      <c r="AQ16" t="s">
        <v>194</v>
      </c>
    </row>
    <row r="17" spans="1:54" x14ac:dyDescent="0.2">
      <c r="A17" t="s">
        <v>195</v>
      </c>
      <c r="B17" t="s">
        <v>196</v>
      </c>
      <c r="D17" t="s">
        <v>72</v>
      </c>
      <c r="E17" t="s">
        <v>96</v>
      </c>
      <c r="F17" t="s">
        <v>190</v>
      </c>
      <c r="G17" t="s">
        <v>191</v>
      </c>
      <c r="H17" t="s">
        <v>192</v>
      </c>
      <c r="I17" t="s">
        <v>193</v>
      </c>
      <c r="K17">
        <v>6</v>
      </c>
      <c r="L17">
        <f>IFERROR(VLOOKUP(K17,'Tables new'!$A:$C,3,FALSE),"")</f>
        <v>15</v>
      </c>
      <c r="M17" t="str">
        <f>VLOOKUP(K17,CAT_JOUEUR,2,FALSE)</f>
        <v>U 13 H</v>
      </c>
      <c r="N17">
        <v>6</v>
      </c>
      <c r="O17">
        <f>IFERROR(VLOOKUP(N17,'Tables new'!$A:$C,3,FALSE),"")</f>
        <v>15</v>
      </c>
      <c r="P17" t="str">
        <f>VLOOKUP(N17,CAT_JOUEUR,2,FALSE)</f>
        <v>U 13 H</v>
      </c>
      <c r="T17" t="s">
        <v>113</v>
      </c>
      <c r="AA17" t="s">
        <v>197</v>
      </c>
      <c r="AH17">
        <v>45678</v>
      </c>
      <c r="AI17">
        <v>45601</v>
      </c>
      <c r="AJ17">
        <v>2029</v>
      </c>
      <c r="AK17">
        <v>41863</v>
      </c>
      <c r="AL17" t="s">
        <v>198</v>
      </c>
      <c r="AO17" t="s">
        <v>199</v>
      </c>
      <c r="AP17" t="s">
        <v>200</v>
      </c>
      <c r="AQ17" t="s">
        <v>201</v>
      </c>
    </row>
    <row r="18" spans="1:54" x14ac:dyDescent="0.2">
      <c r="A18" t="s">
        <v>202</v>
      </c>
      <c r="B18" t="s">
        <v>203</v>
      </c>
      <c r="D18" t="s">
        <v>72</v>
      </c>
      <c r="E18" t="s">
        <v>96</v>
      </c>
      <c r="F18" t="s">
        <v>204</v>
      </c>
      <c r="G18" t="s">
        <v>205</v>
      </c>
      <c r="H18" t="s">
        <v>108</v>
      </c>
      <c r="I18" t="s">
        <v>206</v>
      </c>
      <c r="K18">
        <v>17</v>
      </c>
      <c r="L18">
        <f>IFERROR(VLOOKUP(K18,'Tables new'!$A:$C,3,FALSE),"")</f>
        <v>36</v>
      </c>
      <c r="M18" t="str">
        <f>VLOOKUP(K18,CAT_JOUEUR,2,FALSE)</f>
        <v>U 11 F</v>
      </c>
      <c r="N18">
        <v>17</v>
      </c>
      <c r="O18">
        <f>IFERROR(VLOOKUP(N18,'Tables new'!$A:$C,3,FALSE),"")</f>
        <v>36</v>
      </c>
      <c r="P18" t="str">
        <f>VLOOKUP(N18,CAT_JOUEUR,2,FALSE)</f>
        <v>U 11 F</v>
      </c>
      <c r="U18" t="s">
        <v>113</v>
      </c>
      <c r="AA18" t="s">
        <v>207</v>
      </c>
      <c r="AC18" t="s">
        <v>208</v>
      </c>
      <c r="AH18">
        <v>45210</v>
      </c>
      <c r="AI18">
        <v>45191</v>
      </c>
      <c r="AJ18">
        <v>2027</v>
      </c>
      <c r="AK18">
        <v>42282</v>
      </c>
      <c r="AL18" t="s">
        <v>209</v>
      </c>
      <c r="AP18">
        <v>621371615</v>
      </c>
      <c r="AQ18" t="s">
        <v>210</v>
      </c>
    </row>
    <row r="19" spans="1:54" x14ac:dyDescent="0.2">
      <c r="A19" t="s">
        <v>202</v>
      </c>
      <c r="B19" t="s">
        <v>211</v>
      </c>
      <c r="D19" t="s">
        <v>72</v>
      </c>
      <c r="E19" t="s">
        <v>96</v>
      </c>
      <c r="F19" t="s">
        <v>204</v>
      </c>
      <c r="G19" t="s">
        <v>205</v>
      </c>
      <c r="H19" t="s">
        <v>108</v>
      </c>
      <c r="I19" t="s">
        <v>206</v>
      </c>
      <c r="K19">
        <v>212</v>
      </c>
      <c r="L19">
        <f>IFERROR(VLOOKUP(K19,'Tables new'!$A:$C,3,FALSE),"")</f>
        <v>70</v>
      </c>
      <c r="M19" t="str">
        <f>VLOOKUP(K19,CAT_JOUEUR,2,FALSE)</f>
        <v>Contact famille</v>
      </c>
      <c r="N19">
        <v>212</v>
      </c>
      <c r="O19">
        <f>IFERROR(VLOOKUP(N19,'Tables new'!$A:$C,3,FALSE),"")</f>
        <v>70</v>
      </c>
      <c r="P19" t="str">
        <f>VLOOKUP(N19,CAT_JOUEUR,2,FALSE)</f>
        <v>Contact famille</v>
      </c>
      <c r="U19" t="s">
        <v>89</v>
      </c>
      <c r="V19" t="s">
        <v>89</v>
      </c>
      <c r="AH19" t="s">
        <v>78</v>
      </c>
      <c r="AI19" t="s">
        <v>78</v>
      </c>
      <c r="AJ19" t="s">
        <v>78</v>
      </c>
      <c r="AK19" t="s">
        <v>78</v>
      </c>
      <c r="AL19" t="s">
        <v>79</v>
      </c>
    </row>
    <row r="20" spans="1:54" x14ac:dyDescent="0.2">
      <c r="A20" t="s">
        <v>202</v>
      </c>
      <c r="B20" t="s">
        <v>212</v>
      </c>
      <c r="D20" t="s">
        <v>72</v>
      </c>
      <c r="E20" t="s">
        <v>96</v>
      </c>
      <c r="F20" t="s">
        <v>204</v>
      </c>
      <c r="G20" t="s">
        <v>205</v>
      </c>
      <c r="H20" t="s">
        <v>108</v>
      </c>
      <c r="I20" t="s">
        <v>206</v>
      </c>
      <c r="K20">
        <v>8</v>
      </c>
      <c r="L20">
        <f>IFERROR(VLOOKUP(K20,'Tables new'!$A:$C,3,FALSE),"")</f>
        <v>17</v>
      </c>
      <c r="M20" t="str">
        <f>VLOOKUP(K20,CAT_JOUEUR,2,FALSE)</f>
        <v>U 9 H</v>
      </c>
      <c r="N20">
        <v>8</v>
      </c>
      <c r="O20">
        <f>IFERROR(VLOOKUP(N20,'Tables new'!$A:$C,3,FALSE),"")</f>
        <v>17</v>
      </c>
      <c r="P20" t="str">
        <f>VLOOKUP(N20,CAT_JOUEUR,2,FALSE)</f>
        <v>U 9 H</v>
      </c>
      <c r="V20" t="s">
        <v>113</v>
      </c>
      <c r="AA20" t="s">
        <v>213</v>
      </c>
      <c r="AH20">
        <v>45225</v>
      </c>
      <c r="AI20">
        <v>45191</v>
      </c>
      <c r="AJ20">
        <v>2024</v>
      </c>
      <c r="AK20">
        <v>42851</v>
      </c>
      <c r="AL20" t="s">
        <v>214</v>
      </c>
      <c r="AP20">
        <v>621371615</v>
      </c>
      <c r="AQ20" t="s">
        <v>210</v>
      </c>
    </row>
    <row r="21" spans="1:54" x14ac:dyDescent="0.2">
      <c r="A21" t="s">
        <v>215</v>
      </c>
      <c r="B21" t="s">
        <v>216</v>
      </c>
      <c r="D21" t="s">
        <v>72</v>
      </c>
      <c r="E21" t="s">
        <v>217</v>
      </c>
      <c r="F21" t="s">
        <v>218</v>
      </c>
      <c r="G21" t="s">
        <v>219</v>
      </c>
      <c r="H21" t="s">
        <v>132</v>
      </c>
      <c r="I21" t="s">
        <v>220</v>
      </c>
      <c r="K21">
        <v>212</v>
      </c>
      <c r="L21">
        <f>IFERROR(VLOOKUP(K21,'Tables new'!$A:$C,3,FALSE),"")</f>
        <v>70</v>
      </c>
      <c r="M21" t="str">
        <f>VLOOKUP(K21,CAT_JOUEUR,2,FALSE)</f>
        <v>Contact famille</v>
      </c>
      <c r="N21">
        <v>212</v>
      </c>
      <c r="O21">
        <f>IFERROR(VLOOKUP(N21,'Tables new'!$A:$C,3,FALSE),"")</f>
        <v>70</v>
      </c>
      <c r="P21" t="str">
        <f>VLOOKUP(N21,CAT_JOUEUR,2,FALSE)</f>
        <v>Contact famille</v>
      </c>
      <c r="U21" t="s">
        <v>89</v>
      </c>
      <c r="Z21" t="s">
        <v>89</v>
      </c>
      <c r="AH21" t="s">
        <v>78</v>
      </c>
      <c r="AI21" t="s">
        <v>78</v>
      </c>
      <c r="AJ21" t="s">
        <v>78</v>
      </c>
      <c r="AK21" t="s">
        <v>78</v>
      </c>
      <c r="AL21" t="s">
        <v>79</v>
      </c>
    </row>
    <row r="22" spans="1:54" x14ac:dyDescent="0.2">
      <c r="A22" t="s">
        <v>215</v>
      </c>
      <c r="B22" t="s">
        <v>221</v>
      </c>
      <c r="D22" t="s">
        <v>72</v>
      </c>
      <c r="E22" t="s">
        <v>217</v>
      </c>
      <c r="F22" t="s">
        <v>218</v>
      </c>
      <c r="G22" t="s">
        <v>219</v>
      </c>
      <c r="H22" t="s">
        <v>132</v>
      </c>
      <c r="I22" t="s">
        <v>220</v>
      </c>
      <c r="K22">
        <v>15</v>
      </c>
      <c r="L22">
        <f>IFERROR(VLOOKUP(K22,'Tables new'!$A:$C,3,FALSE),"")</f>
        <v>35</v>
      </c>
      <c r="M22" t="str">
        <f>VLOOKUP(K22,CAT_JOUEUR,2,FALSE)</f>
        <v>U 13 F</v>
      </c>
      <c r="N22">
        <v>15</v>
      </c>
      <c r="O22">
        <f>IFERROR(VLOOKUP(N22,'Tables new'!$A:$C,3,FALSE),"")</f>
        <v>35</v>
      </c>
      <c r="P22" t="str">
        <f>VLOOKUP(N22,CAT_JOUEUR,2,FALSE)</f>
        <v>U 13 F</v>
      </c>
      <c r="Z22" t="s">
        <v>113</v>
      </c>
      <c r="AA22" t="s">
        <v>222</v>
      </c>
      <c r="AF22" t="s">
        <v>223</v>
      </c>
      <c r="AH22">
        <v>45916</v>
      </c>
      <c r="AI22">
        <v>45840</v>
      </c>
      <c r="AJ22">
        <v>2029</v>
      </c>
      <c r="AK22">
        <v>41848</v>
      </c>
      <c r="AL22" t="s">
        <v>224</v>
      </c>
      <c r="AO22" t="s">
        <v>208</v>
      </c>
      <c r="AP22">
        <v>691736062</v>
      </c>
      <c r="AQ22" t="s">
        <v>225</v>
      </c>
    </row>
    <row r="23" spans="1:54" x14ac:dyDescent="0.2">
      <c r="A23" t="s">
        <v>215</v>
      </c>
      <c r="B23" t="s">
        <v>226</v>
      </c>
      <c r="D23" t="s">
        <v>72</v>
      </c>
      <c r="E23" t="s">
        <v>217</v>
      </c>
      <c r="F23" t="s">
        <v>218</v>
      </c>
      <c r="G23" t="s">
        <v>227</v>
      </c>
      <c r="H23" t="s">
        <v>132</v>
      </c>
      <c r="I23" t="s">
        <v>220</v>
      </c>
      <c r="K23">
        <v>17</v>
      </c>
      <c r="L23">
        <f>IFERROR(VLOOKUP(K23,'Tables new'!$A:$C,3,FALSE),"")</f>
        <v>36</v>
      </c>
      <c r="M23" t="str">
        <f>VLOOKUP(K23,CAT_JOUEUR,2,FALSE)</f>
        <v>U 11 F</v>
      </c>
      <c r="N23">
        <v>17</v>
      </c>
      <c r="O23">
        <f>IFERROR(VLOOKUP(N23,'Tables new'!$A:$C,3,FALSE),"")</f>
        <v>36</v>
      </c>
      <c r="P23" t="str">
        <f>VLOOKUP(N23,CAT_JOUEUR,2,FALSE)</f>
        <v>U 11 F</v>
      </c>
      <c r="U23" t="s">
        <v>113</v>
      </c>
      <c r="AA23" t="s">
        <v>228</v>
      </c>
      <c r="AF23" t="s">
        <v>223</v>
      </c>
      <c r="AH23">
        <v>45996</v>
      </c>
      <c r="AI23">
        <v>45950</v>
      </c>
      <c r="AJ23">
        <v>2028</v>
      </c>
      <c r="AK23">
        <v>42692</v>
      </c>
      <c r="AL23" t="s">
        <v>229</v>
      </c>
      <c r="AP23">
        <v>691736062</v>
      </c>
      <c r="AQ23" t="s">
        <v>225</v>
      </c>
    </row>
    <row r="24" spans="1:54" x14ac:dyDescent="0.2">
      <c r="A24" t="s">
        <v>215</v>
      </c>
      <c r="B24" t="s">
        <v>230</v>
      </c>
      <c r="D24" t="s">
        <v>72</v>
      </c>
      <c r="E24" t="s">
        <v>217</v>
      </c>
      <c r="F24" t="s">
        <v>218</v>
      </c>
      <c r="G24" t="s">
        <v>219</v>
      </c>
      <c r="H24" t="s">
        <v>132</v>
      </c>
      <c r="I24" t="s">
        <v>220</v>
      </c>
      <c r="K24">
        <v>212</v>
      </c>
      <c r="L24">
        <f>IFERROR(VLOOKUP(K24,'Tables new'!$A:$C,3,FALSE),"")</f>
        <v>70</v>
      </c>
      <c r="M24" t="str">
        <f>VLOOKUP(K24,CAT_JOUEUR,2,FALSE)</f>
        <v>Contact famille</v>
      </c>
      <c r="N24">
        <v>212</v>
      </c>
      <c r="O24">
        <f>IFERROR(VLOOKUP(N24,'Tables new'!$A:$C,3,FALSE),"")</f>
        <v>70</v>
      </c>
      <c r="P24" t="str">
        <f>VLOOKUP(N24,CAT_JOUEUR,2,FALSE)</f>
        <v>Contact famille</v>
      </c>
      <c r="U24" t="s">
        <v>89</v>
      </c>
      <c r="Z24" t="s">
        <v>89</v>
      </c>
      <c r="AH24" t="s">
        <v>78</v>
      </c>
      <c r="AI24" t="s">
        <v>78</v>
      </c>
      <c r="AJ24" t="s">
        <v>78</v>
      </c>
      <c r="AK24" t="s">
        <v>78</v>
      </c>
      <c r="AL24" t="s">
        <v>79</v>
      </c>
      <c r="AP24">
        <v>691736062</v>
      </c>
      <c r="AQ24" t="s">
        <v>225</v>
      </c>
    </row>
    <row r="25" spans="1:54" x14ac:dyDescent="0.2">
      <c r="A25" t="s">
        <v>231</v>
      </c>
      <c r="B25" t="s">
        <v>232</v>
      </c>
      <c r="D25" t="s">
        <v>72</v>
      </c>
      <c r="E25" t="s">
        <v>96</v>
      </c>
      <c r="F25" t="s">
        <v>233</v>
      </c>
      <c r="G25" t="s">
        <v>234</v>
      </c>
      <c r="H25" t="s">
        <v>235</v>
      </c>
      <c r="I25" t="s">
        <v>236</v>
      </c>
      <c r="J25" t="s">
        <v>237</v>
      </c>
      <c r="K25">
        <v>252</v>
      </c>
      <c r="L25">
        <f>IFERROR(VLOOKUP(K25,'Tables new'!$A:$C,3,FALSE),"")</f>
        <v>85</v>
      </c>
      <c r="M25" t="str">
        <f>VLOOKUP(K25,CAT_JOUEUR,2,FALSE)</f>
        <v>Arrêt jeune (garder licence)</v>
      </c>
      <c r="N25">
        <v>7</v>
      </c>
      <c r="O25">
        <f>IFERROR(VLOOKUP(N25,'Tables new'!$A:$C,3,FALSE),"")</f>
        <v>16</v>
      </c>
      <c r="P25" t="str">
        <f>VLOOKUP(N25,CAT_JOUEUR,2,FALSE)</f>
        <v>U 11 H</v>
      </c>
      <c r="U25" t="s">
        <v>113</v>
      </c>
      <c r="AA25" t="s">
        <v>238</v>
      </c>
      <c r="AF25" t="s">
        <v>239</v>
      </c>
      <c r="AH25">
        <v>45205</v>
      </c>
      <c r="AI25">
        <v>45147</v>
      </c>
      <c r="AJ25">
        <v>2028</v>
      </c>
      <c r="AK25">
        <v>42443</v>
      </c>
      <c r="AL25" t="s">
        <v>240</v>
      </c>
      <c r="AP25" t="s">
        <v>241</v>
      </c>
      <c r="AQ25" t="s">
        <v>242</v>
      </c>
    </row>
    <row r="26" spans="1:54" x14ac:dyDescent="0.2">
      <c r="A26" t="s">
        <v>243</v>
      </c>
      <c r="B26" t="s">
        <v>244</v>
      </c>
      <c r="D26" t="s">
        <v>72</v>
      </c>
      <c r="E26" t="s">
        <v>245</v>
      </c>
      <c r="F26" t="s">
        <v>246</v>
      </c>
      <c r="G26" t="s">
        <v>247</v>
      </c>
      <c r="H26" t="s">
        <v>108</v>
      </c>
      <c r="I26" t="s">
        <v>248</v>
      </c>
      <c r="K26">
        <v>212</v>
      </c>
      <c r="L26">
        <f>IFERROR(VLOOKUP(K26,'Tables new'!$A:$C,3,FALSE),"")</f>
        <v>70</v>
      </c>
      <c r="M26" t="str">
        <f>VLOOKUP(K26,CAT_JOUEUR,2,FALSE)</f>
        <v>Contact famille</v>
      </c>
      <c r="N26">
        <v>212</v>
      </c>
      <c r="O26">
        <f>IFERROR(VLOOKUP(N26,'Tables new'!$A:$C,3,FALSE),"")</f>
        <v>70</v>
      </c>
      <c r="P26" t="str">
        <f>VLOOKUP(N26,CAT_JOUEUR,2,FALSE)</f>
        <v>Contact famille</v>
      </c>
      <c r="W26" t="s">
        <v>89</v>
      </c>
      <c r="AH26" t="s">
        <v>78</v>
      </c>
      <c r="AI26" t="s">
        <v>78</v>
      </c>
      <c r="AJ26" t="s">
        <v>78</v>
      </c>
      <c r="AK26" t="s">
        <v>78</v>
      </c>
      <c r="AL26" t="s">
        <v>249</v>
      </c>
      <c r="AP26">
        <v>691577634</v>
      </c>
      <c r="AQ26" t="s">
        <v>250</v>
      </c>
    </row>
    <row r="27" spans="1:54" x14ac:dyDescent="0.2">
      <c r="A27" t="s">
        <v>251</v>
      </c>
      <c r="B27" t="s">
        <v>252</v>
      </c>
      <c r="D27" t="s">
        <v>72</v>
      </c>
      <c r="E27" t="s">
        <v>253</v>
      </c>
      <c r="F27" t="s">
        <v>246</v>
      </c>
      <c r="G27" t="s">
        <v>254</v>
      </c>
      <c r="H27" t="s">
        <v>108</v>
      </c>
      <c r="I27" t="s">
        <v>248</v>
      </c>
      <c r="K27">
        <v>21</v>
      </c>
      <c r="L27">
        <f>IFERROR(VLOOKUP(K27,'Tables new'!$A:$C,3,FALSE),"")</f>
        <v>18</v>
      </c>
      <c r="M27" t="str">
        <f>VLOOKUP(K27,CAT_JOUEUR,2,FALSE)</f>
        <v>U7 Mixte</v>
      </c>
      <c r="N27">
        <v>21</v>
      </c>
      <c r="O27">
        <f>IFERROR(VLOOKUP(N27,'Tables new'!$A:$C,3,FALSE),"")</f>
        <v>18</v>
      </c>
      <c r="P27" t="str">
        <f>VLOOKUP(N27,CAT_JOUEUR,2,FALSE)</f>
        <v>U7 Mixte</v>
      </c>
      <c r="W27" t="s">
        <v>113</v>
      </c>
      <c r="AA27" t="s">
        <v>255</v>
      </c>
      <c r="AH27">
        <v>45194</v>
      </c>
      <c r="AI27">
        <v>45157</v>
      </c>
      <c r="AJ27">
        <v>2027</v>
      </c>
      <c r="AK27">
        <v>44181</v>
      </c>
      <c r="AL27" t="s">
        <v>256</v>
      </c>
      <c r="AO27" t="s">
        <v>257</v>
      </c>
      <c r="AP27" t="s">
        <v>258</v>
      </c>
      <c r="AQ27" t="s">
        <v>250</v>
      </c>
    </row>
    <row r="28" spans="1:54" x14ac:dyDescent="0.2">
      <c r="A28" t="s">
        <v>259</v>
      </c>
      <c r="B28" t="s">
        <v>260</v>
      </c>
      <c r="D28" t="s">
        <v>72</v>
      </c>
      <c r="E28" t="s">
        <v>261</v>
      </c>
      <c r="F28" t="s">
        <v>262</v>
      </c>
      <c r="G28" t="s">
        <v>263</v>
      </c>
      <c r="H28" t="s">
        <v>264</v>
      </c>
      <c r="I28" t="s">
        <v>145</v>
      </c>
      <c r="K28">
        <v>12</v>
      </c>
      <c r="L28">
        <v>31</v>
      </c>
      <c r="M28" t="s">
        <v>265</v>
      </c>
      <c r="N28">
        <v>12</v>
      </c>
      <c r="O28">
        <f>IFERROR(VLOOKUP(N28,'Tables new'!$A:$C,3,FALSE),"")</f>
        <v>31</v>
      </c>
      <c r="P28" t="str">
        <f>VLOOKUP(N28,CAT_JOUEUR,2,FALSE)</f>
        <v>Femmes</v>
      </c>
      <c r="AA28" t="s">
        <v>266</v>
      </c>
      <c r="AH28">
        <v>43374</v>
      </c>
      <c r="AI28">
        <v>43344</v>
      </c>
      <c r="AJ28">
        <v>2033</v>
      </c>
      <c r="AK28">
        <v>34086</v>
      </c>
      <c r="AL28" t="s">
        <v>267</v>
      </c>
      <c r="AP28" t="s">
        <v>268</v>
      </c>
      <c r="AQ28" t="s">
        <v>269</v>
      </c>
      <c r="AY28" t="s">
        <v>270</v>
      </c>
      <c r="BA28" t="s">
        <v>136</v>
      </c>
      <c r="BB28" t="s">
        <v>271</v>
      </c>
    </row>
    <row r="29" spans="1:54" x14ac:dyDescent="0.2">
      <c r="A29" t="s">
        <v>272</v>
      </c>
      <c r="B29" t="s">
        <v>273</v>
      </c>
      <c r="D29" t="s">
        <v>72</v>
      </c>
      <c r="E29" t="s">
        <v>274</v>
      </c>
      <c r="F29" t="s">
        <v>275</v>
      </c>
      <c r="G29" t="s">
        <v>276</v>
      </c>
      <c r="H29" t="s">
        <v>277</v>
      </c>
      <c r="I29" t="s">
        <v>236</v>
      </c>
      <c r="J29" t="s">
        <v>237</v>
      </c>
      <c r="K29">
        <v>252</v>
      </c>
      <c r="L29">
        <f>IFERROR(VLOOKUP(K29,'Tables new'!$A:$C,3,FALSE),"")</f>
        <v>85</v>
      </c>
      <c r="M29" t="str">
        <f>VLOOKUP(K29,CAT_JOUEUR,2,FALSE)</f>
        <v>Arrêt jeune (garder licence)</v>
      </c>
      <c r="N29">
        <v>5</v>
      </c>
      <c r="O29">
        <f>IFERROR(VLOOKUP(N29,'Tables new'!$A:$C,3,FALSE),"")</f>
        <v>14</v>
      </c>
      <c r="P29" t="str">
        <f>VLOOKUP(N29,CAT_JOUEUR,2,FALSE)</f>
        <v>U 15 H</v>
      </c>
      <c r="S29" t="s">
        <v>113</v>
      </c>
      <c r="AA29" t="s">
        <v>278</v>
      </c>
      <c r="AE29" t="s">
        <v>208</v>
      </c>
      <c r="AH29">
        <v>45222</v>
      </c>
      <c r="AI29">
        <v>45204</v>
      </c>
      <c r="AJ29">
        <v>2025</v>
      </c>
      <c r="AK29">
        <v>41285</v>
      </c>
      <c r="AL29" t="s">
        <v>279</v>
      </c>
      <c r="AP29" t="s">
        <v>280</v>
      </c>
      <c r="AQ29" t="s">
        <v>281</v>
      </c>
    </row>
    <row r="30" spans="1:54" x14ac:dyDescent="0.2">
      <c r="A30" t="s">
        <v>282</v>
      </c>
      <c r="B30" t="s">
        <v>283</v>
      </c>
      <c r="D30" t="s">
        <v>72</v>
      </c>
      <c r="E30" t="s">
        <v>96</v>
      </c>
      <c r="F30" t="s">
        <v>284</v>
      </c>
      <c r="G30" t="s">
        <v>285</v>
      </c>
      <c r="H30" t="s">
        <v>286</v>
      </c>
      <c r="I30" t="s">
        <v>236</v>
      </c>
      <c r="J30" t="s">
        <v>237</v>
      </c>
      <c r="K30">
        <v>252</v>
      </c>
      <c r="L30">
        <f>IFERROR(VLOOKUP(K30,'Tables new'!$A:$C,3,FALSE),"")</f>
        <v>85</v>
      </c>
      <c r="M30" t="str">
        <f>VLOOKUP(K30,CAT_JOUEUR,2,FALSE)</f>
        <v>Arrêt jeune (garder licence)</v>
      </c>
      <c r="N30">
        <v>21</v>
      </c>
      <c r="O30">
        <f>IFERROR(VLOOKUP(N30,'Tables new'!$A:$C,3,FALSE),"")</f>
        <v>18</v>
      </c>
      <c r="P30" t="str">
        <f>VLOOKUP(N30,CAT_JOUEUR,2,FALSE)</f>
        <v>U7 Mixte</v>
      </c>
      <c r="W30" t="s">
        <v>113</v>
      </c>
      <c r="AA30" t="s">
        <v>287</v>
      </c>
      <c r="AH30">
        <v>45643</v>
      </c>
      <c r="AI30">
        <v>45530</v>
      </c>
      <c r="AJ30">
        <v>2029</v>
      </c>
      <c r="AK30">
        <v>44727</v>
      </c>
      <c r="AL30" t="s">
        <v>288</v>
      </c>
      <c r="AO30" t="s">
        <v>289</v>
      </c>
      <c r="AP30" t="s">
        <v>290</v>
      </c>
      <c r="AQ30" t="s">
        <v>291</v>
      </c>
    </row>
    <row r="31" spans="1:54" x14ac:dyDescent="0.2">
      <c r="A31" t="s">
        <v>282</v>
      </c>
      <c r="B31" t="s">
        <v>292</v>
      </c>
      <c r="D31" t="s">
        <v>72</v>
      </c>
      <c r="E31" t="s">
        <v>96</v>
      </c>
      <c r="F31" t="s">
        <v>284</v>
      </c>
      <c r="G31" t="s">
        <v>285</v>
      </c>
      <c r="H31" t="s">
        <v>286</v>
      </c>
      <c r="I31" t="s">
        <v>236</v>
      </c>
      <c r="J31" t="s">
        <v>237</v>
      </c>
      <c r="K31">
        <v>252</v>
      </c>
      <c r="L31">
        <f>IFERROR(VLOOKUP(K31,'Tables new'!$A:$C,3,FALSE),"")</f>
        <v>85</v>
      </c>
      <c r="M31" t="str">
        <f>VLOOKUP(K31,CAT_JOUEUR,2,FALSE)</f>
        <v>Arrêt jeune (garder licence)</v>
      </c>
      <c r="N31">
        <v>21</v>
      </c>
      <c r="O31">
        <f>IFERROR(VLOOKUP(N31,'Tables new'!$A:$C,3,FALSE),"")</f>
        <v>18</v>
      </c>
      <c r="P31" t="str">
        <f>VLOOKUP(N31,CAT_JOUEUR,2,FALSE)</f>
        <v>U7 Mixte</v>
      </c>
      <c r="W31" t="s">
        <v>113</v>
      </c>
      <c r="AA31" t="s">
        <v>293</v>
      </c>
      <c r="AF31" t="s">
        <v>294</v>
      </c>
      <c r="AH31">
        <v>45643</v>
      </c>
      <c r="AI31">
        <v>45530</v>
      </c>
      <c r="AJ31">
        <v>2027</v>
      </c>
      <c r="AK31">
        <v>43885</v>
      </c>
      <c r="AL31" t="s">
        <v>295</v>
      </c>
      <c r="AO31" t="s">
        <v>289</v>
      </c>
      <c r="AP31" t="s">
        <v>290</v>
      </c>
      <c r="AQ31" t="s">
        <v>291</v>
      </c>
    </row>
    <row r="32" spans="1:54" x14ac:dyDescent="0.2">
      <c r="A32" t="s">
        <v>296</v>
      </c>
      <c r="B32" t="s">
        <v>297</v>
      </c>
      <c r="D32" t="s">
        <v>72</v>
      </c>
      <c r="E32" t="s">
        <v>96</v>
      </c>
      <c r="F32" t="s">
        <v>298</v>
      </c>
      <c r="G32" t="s">
        <v>299</v>
      </c>
      <c r="H32" t="s">
        <v>300</v>
      </c>
      <c r="I32" t="s">
        <v>236</v>
      </c>
      <c r="J32" t="s">
        <v>237</v>
      </c>
      <c r="K32">
        <v>252</v>
      </c>
      <c r="L32">
        <f>IFERROR(VLOOKUP(K32,'Tables new'!$A:$C,3,FALSE),"")</f>
        <v>85</v>
      </c>
      <c r="M32" t="str">
        <f>VLOOKUP(K32,CAT_JOUEUR,2,FALSE)</f>
        <v>Arrêt jeune (garder licence)</v>
      </c>
      <c r="N32">
        <v>15</v>
      </c>
      <c r="O32">
        <f>IFERROR(VLOOKUP(N32,'Tables new'!$A:$C,3,FALSE),"")</f>
        <v>35</v>
      </c>
      <c r="P32" t="str">
        <f>VLOOKUP(N32,CAT_JOUEUR,2,FALSE)</f>
        <v>U 13 F</v>
      </c>
      <c r="Z32" t="s">
        <v>113</v>
      </c>
      <c r="AA32" t="s">
        <v>301</v>
      </c>
      <c r="AH32">
        <v>44943</v>
      </c>
      <c r="AI32">
        <v>44883</v>
      </c>
      <c r="AJ32">
        <v>2027</v>
      </c>
      <c r="AK32">
        <v>42342</v>
      </c>
      <c r="AL32" t="s">
        <v>302</v>
      </c>
      <c r="AO32" t="s">
        <v>303</v>
      </c>
      <c r="AP32" t="s">
        <v>304</v>
      </c>
      <c r="AQ32" t="s">
        <v>305</v>
      </c>
    </row>
    <row r="33" spans="1:67" x14ac:dyDescent="0.2">
      <c r="A33" t="s">
        <v>306</v>
      </c>
      <c r="B33" t="s">
        <v>307</v>
      </c>
      <c r="D33" t="s">
        <v>72</v>
      </c>
      <c r="E33" t="s">
        <v>308</v>
      </c>
      <c r="F33" t="s">
        <v>309</v>
      </c>
      <c r="G33" t="s">
        <v>310</v>
      </c>
      <c r="H33" t="s">
        <v>108</v>
      </c>
      <c r="I33" t="s">
        <v>311</v>
      </c>
      <c r="K33">
        <v>21</v>
      </c>
      <c r="L33">
        <f>IFERROR(VLOOKUP(K33,'Tables new'!$A:$C,3,FALSE),"")</f>
        <v>18</v>
      </c>
      <c r="M33" t="str">
        <f>VLOOKUP(K33,CAT_JOUEUR,2,FALSE)</f>
        <v>U7 Mixte</v>
      </c>
      <c r="N33">
        <v>21</v>
      </c>
      <c r="O33">
        <f>IFERROR(VLOOKUP(N33,'Tables new'!$A:$C,3,FALSE),"")</f>
        <v>18</v>
      </c>
      <c r="P33" t="str">
        <f>VLOOKUP(N33,CAT_JOUEUR,2,FALSE)</f>
        <v>U7 Mixte</v>
      </c>
      <c r="W33" t="s">
        <v>113</v>
      </c>
      <c r="AA33" t="s">
        <v>312</v>
      </c>
      <c r="AH33">
        <v>45201</v>
      </c>
      <c r="AI33">
        <v>45155</v>
      </c>
      <c r="AJ33">
        <v>2027</v>
      </c>
      <c r="AK33">
        <v>43933</v>
      </c>
      <c r="AL33" t="s">
        <v>313</v>
      </c>
      <c r="AO33" t="s">
        <v>314</v>
      </c>
      <c r="AP33" t="s">
        <v>315</v>
      </c>
      <c r="AQ33" t="s">
        <v>316</v>
      </c>
    </row>
    <row r="34" spans="1:67" x14ac:dyDescent="0.2">
      <c r="A34" t="s">
        <v>306</v>
      </c>
      <c r="B34" t="s">
        <v>203</v>
      </c>
      <c r="D34" t="s">
        <v>72</v>
      </c>
      <c r="E34" t="s">
        <v>308</v>
      </c>
      <c r="F34" t="s">
        <v>309</v>
      </c>
      <c r="G34" t="s">
        <v>310</v>
      </c>
      <c r="H34" t="s">
        <v>108</v>
      </c>
      <c r="I34" t="s">
        <v>311</v>
      </c>
      <c r="K34">
        <v>212</v>
      </c>
      <c r="L34">
        <f>IFERROR(VLOOKUP(K34,'Tables new'!$A:$C,3,FALSE),"")</f>
        <v>70</v>
      </c>
      <c r="M34" t="str">
        <f>VLOOKUP(K34,CAT_JOUEUR,2,FALSE)</f>
        <v>Contact famille</v>
      </c>
      <c r="N34">
        <v>212</v>
      </c>
      <c r="O34">
        <f>IFERROR(VLOOKUP(N34,'Tables new'!$A:$C,3,FALSE),"")</f>
        <v>70</v>
      </c>
      <c r="P34" t="str">
        <f>VLOOKUP(N34,CAT_JOUEUR,2,FALSE)</f>
        <v>Contact famille</v>
      </c>
      <c r="W34" t="s">
        <v>89</v>
      </c>
      <c r="AH34" t="s">
        <v>78</v>
      </c>
      <c r="AI34" t="s">
        <v>78</v>
      </c>
      <c r="AJ34" t="s">
        <v>78</v>
      </c>
      <c r="AK34">
        <v>32560</v>
      </c>
      <c r="AL34" t="s">
        <v>317</v>
      </c>
      <c r="AP34">
        <v>691992270</v>
      </c>
      <c r="AQ34" t="s">
        <v>318</v>
      </c>
    </row>
    <row r="35" spans="1:67" x14ac:dyDescent="0.2">
      <c r="A35" t="s">
        <v>306</v>
      </c>
      <c r="B35" t="s">
        <v>319</v>
      </c>
      <c r="D35" t="s">
        <v>72</v>
      </c>
      <c r="E35" t="s">
        <v>308</v>
      </c>
      <c r="F35" t="s">
        <v>309</v>
      </c>
      <c r="G35" t="s">
        <v>310</v>
      </c>
      <c r="H35" t="s">
        <v>108</v>
      </c>
      <c r="I35" t="s">
        <v>311</v>
      </c>
      <c r="K35">
        <v>212</v>
      </c>
      <c r="L35">
        <f>IFERROR(VLOOKUP(K35,'Tables new'!$A:$C,3,FALSE),"")</f>
        <v>70</v>
      </c>
      <c r="M35" t="str">
        <f>VLOOKUP(K35,CAT_JOUEUR,2,FALSE)</f>
        <v>Contact famille</v>
      </c>
      <c r="N35">
        <v>212</v>
      </c>
      <c r="O35">
        <f>IFERROR(VLOOKUP(N35,'Tables new'!$A:$C,3,FALSE),"")</f>
        <v>70</v>
      </c>
      <c r="P35" t="str">
        <f>VLOOKUP(N35,CAT_JOUEUR,2,FALSE)</f>
        <v>Contact famille</v>
      </c>
      <c r="W35" t="s">
        <v>89</v>
      </c>
      <c r="AH35" t="s">
        <v>78</v>
      </c>
      <c r="AI35" t="s">
        <v>78</v>
      </c>
      <c r="AJ35" t="s">
        <v>78</v>
      </c>
      <c r="AK35">
        <v>31439</v>
      </c>
      <c r="AL35" t="s">
        <v>320</v>
      </c>
      <c r="AP35">
        <v>621730690</v>
      </c>
      <c r="AQ35" t="s">
        <v>316</v>
      </c>
    </row>
    <row r="36" spans="1:67" x14ac:dyDescent="0.2">
      <c r="A36" t="s">
        <v>3951</v>
      </c>
      <c r="B36" t="s">
        <v>3952</v>
      </c>
      <c r="D36" t="s">
        <v>72</v>
      </c>
      <c r="E36" t="s">
        <v>96</v>
      </c>
      <c r="F36" t="s">
        <v>3953</v>
      </c>
      <c r="G36" t="s">
        <v>1222</v>
      </c>
      <c r="H36" t="s">
        <v>132</v>
      </c>
      <c r="I36" t="s">
        <v>2953</v>
      </c>
      <c r="K36">
        <v>18</v>
      </c>
      <c r="L36">
        <v>37</v>
      </c>
      <c r="M36" t="str">
        <f>VLOOKUP(K36,CAT_JOUEUR,2,FALSE)</f>
        <v>U 9 F</v>
      </c>
      <c r="N36">
        <v>18</v>
      </c>
      <c r="O36">
        <v>37</v>
      </c>
      <c r="P36" t="str">
        <f>VLOOKUP(N36,CAT_JOUEUR,2,FALSE)</f>
        <v>U 9 F</v>
      </c>
      <c r="V36" t="s">
        <v>113</v>
      </c>
      <c r="AA36" s="3" t="s">
        <v>155</v>
      </c>
      <c r="AF36" t="s">
        <v>3961</v>
      </c>
      <c r="AH36" s="4"/>
      <c r="AI36" s="1">
        <v>46219</v>
      </c>
      <c r="AJ36" s="4"/>
      <c r="AK36" s="1"/>
      <c r="AL36" t="s">
        <v>3957</v>
      </c>
      <c r="AO36" t="s">
        <v>3960</v>
      </c>
      <c r="AQ36" s="2" t="s">
        <v>3958</v>
      </c>
    </row>
    <row r="37" spans="1:67" x14ac:dyDescent="0.2">
      <c r="A37" t="s">
        <v>3951</v>
      </c>
      <c r="B37" t="s">
        <v>3954</v>
      </c>
      <c r="D37" t="s">
        <v>72</v>
      </c>
      <c r="E37" t="s">
        <v>96</v>
      </c>
      <c r="F37" t="s">
        <v>3953</v>
      </c>
      <c r="G37" t="s">
        <v>1222</v>
      </c>
      <c r="H37" t="s">
        <v>132</v>
      </c>
      <c r="I37" t="s">
        <v>2953</v>
      </c>
      <c r="K37">
        <v>212</v>
      </c>
      <c r="L37">
        <v>70</v>
      </c>
      <c r="M37" t="str">
        <f>VLOOKUP(K37,CAT_JOUEUR,2,FALSE)</f>
        <v>Contact famille</v>
      </c>
      <c r="N37">
        <v>212</v>
      </c>
      <c r="O37">
        <v>70</v>
      </c>
      <c r="P37" t="str">
        <f>VLOOKUP(N37,CAT_JOUEUR,2,FALSE)</f>
        <v>Contact famille</v>
      </c>
      <c r="V37" t="s">
        <v>89</v>
      </c>
      <c r="AO37" t="s">
        <v>3959</v>
      </c>
      <c r="AQ37" s="2" t="s">
        <v>3958</v>
      </c>
    </row>
    <row r="38" spans="1:67" x14ac:dyDescent="0.2">
      <c r="A38" t="s">
        <v>321</v>
      </c>
      <c r="B38" t="s">
        <v>322</v>
      </c>
      <c r="D38" t="s">
        <v>72</v>
      </c>
      <c r="E38" t="s">
        <v>96</v>
      </c>
      <c r="F38" t="s">
        <v>323</v>
      </c>
      <c r="G38" t="s">
        <v>324</v>
      </c>
      <c r="H38" t="s">
        <v>300</v>
      </c>
      <c r="I38" t="s">
        <v>236</v>
      </c>
      <c r="J38" t="s">
        <v>237</v>
      </c>
      <c r="K38">
        <v>252</v>
      </c>
      <c r="L38">
        <f>IFERROR(VLOOKUP(K38,'Tables new'!$A:$C,3,FALSE),"")</f>
        <v>85</v>
      </c>
      <c r="M38" t="str">
        <f>VLOOKUP(K38,CAT_JOUEUR,2,FALSE)</f>
        <v>Arrêt jeune (garder licence)</v>
      </c>
      <c r="N38">
        <v>4</v>
      </c>
      <c r="O38">
        <f>IFERROR(VLOOKUP(N38,'Tables new'!$A:$C,3,FALSE),"")</f>
        <v>13</v>
      </c>
      <c r="P38" t="str">
        <f>VLOOKUP(N38,CAT_JOUEUR,2,FALSE)</f>
        <v>U 17 H</v>
      </c>
      <c r="R38" t="s">
        <v>113</v>
      </c>
      <c r="AA38" t="s">
        <v>325</v>
      </c>
      <c r="AH38">
        <v>43614</v>
      </c>
      <c r="AI38">
        <v>43606</v>
      </c>
      <c r="AJ38">
        <v>2022</v>
      </c>
      <c r="AK38">
        <v>40520</v>
      </c>
      <c r="AL38" t="s">
        <v>326</v>
      </c>
      <c r="AN38" t="s">
        <v>327</v>
      </c>
      <c r="AO38" t="s">
        <v>328</v>
      </c>
      <c r="AP38" t="s">
        <v>329</v>
      </c>
      <c r="AQ38" t="s">
        <v>330</v>
      </c>
      <c r="AY38" t="s">
        <v>91</v>
      </c>
      <c r="BA38" t="s">
        <v>136</v>
      </c>
      <c r="BB38" t="s">
        <v>271</v>
      </c>
      <c r="BD38" t="s">
        <v>331</v>
      </c>
    </row>
    <row r="39" spans="1:67" x14ac:dyDescent="0.2">
      <c r="A39" t="s">
        <v>332</v>
      </c>
      <c r="B39" t="s">
        <v>333</v>
      </c>
      <c r="D39" t="s">
        <v>72</v>
      </c>
      <c r="E39" t="s">
        <v>96</v>
      </c>
      <c r="F39" t="s">
        <v>334</v>
      </c>
      <c r="G39" t="s">
        <v>335</v>
      </c>
      <c r="H39" t="s">
        <v>336</v>
      </c>
      <c r="I39" t="s">
        <v>337</v>
      </c>
      <c r="K39">
        <v>213</v>
      </c>
      <c r="L39">
        <f>IFERROR(VLOOKUP(K39,'Tables new'!$A:$C,3,FALSE),"")</f>
        <v>71</v>
      </c>
      <c r="M39" t="str">
        <f>VLOOKUP(K39,CAT_JOUEUR,2,FALSE)</f>
        <v>Mère d'acceuil</v>
      </c>
      <c r="N39">
        <v>212</v>
      </c>
      <c r="O39">
        <f>IFERROR(VLOOKUP(N39,'Tables new'!$A:$C,3,FALSE),"")</f>
        <v>70</v>
      </c>
      <c r="P39" t="str">
        <f>VLOOKUP(N39,CAT_JOUEUR,2,FALSE)</f>
        <v>Contact famille</v>
      </c>
      <c r="AH39" t="s">
        <v>78</v>
      </c>
      <c r="AI39" t="s">
        <v>78</v>
      </c>
      <c r="AJ39" t="s">
        <v>78</v>
      </c>
      <c r="AK39" t="s">
        <v>78</v>
      </c>
      <c r="AL39" t="s">
        <v>79</v>
      </c>
      <c r="AN39" t="s">
        <v>338</v>
      </c>
      <c r="AP39" t="s">
        <v>339</v>
      </c>
      <c r="AQ39" t="s">
        <v>340</v>
      </c>
      <c r="AY39" t="s">
        <v>91</v>
      </c>
      <c r="BA39" t="s">
        <v>136</v>
      </c>
      <c r="BB39" t="s">
        <v>137</v>
      </c>
      <c r="BC39" t="s">
        <v>138</v>
      </c>
      <c r="BD39" t="s">
        <v>139</v>
      </c>
      <c r="BO39" t="s">
        <v>93</v>
      </c>
    </row>
    <row r="40" spans="1:67" x14ac:dyDescent="0.2">
      <c r="A40" t="s">
        <v>341</v>
      </c>
      <c r="B40" t="s">
        <v>342</v>
      </c>
      <c r="D40" t="s">
        <v>72</v>
      </c>
      <c r="E40" t="s">
        <v>96</v>
      </c>
      <c r="F40" t="s">
        <v>343</v>
      </c>
      <c r="G40" t="s">
        <v>344</v>
      </c>
      <c r="H40" t="s">
        <v>132</v>
      </c>
      <c r="I40" t="s">
        <v>345</v>
      </c>
      <c r="K40">
        <v>212</v>
      </c>
      <c r="L40">
        <f>IFERROR(VLOOKUP(K40,'Tables new'!$A:$C,3,FALSE),"")</f>
        <v>70</v>
      </c>
      <c r="M40" t="str">
        <f>VLOOKUP(K40,CAT_JOUEUR,2,FALSE)</f>
        <v>Contact famille</v>
      </c>
      <c r="N40">
        <v>212</v>
      </c>
      <c r="O40">
        <f>IFERROR(VLOOKUP(N40,'Tables new'!$A:$C,3,FALSE),"")</f>
        <v>70</v>
      </c>
      <c r="P40" t="str">
        <f>VLOOKUP(N40,CAT_JOUEUR,2,FALSE)</f>
        <v>Contact famille</v>
      </c>
      <c r="U40" t="s">
        <v>89</v>
      </c>
      <c r="AH40" t="s">
        <v>78</v>
      </c>
      <c r="AI40" t="s">
        <v>78</v>
      </c>
      <c r="AJ40" t="s">
        <v>78</v>
      </c>
      <c r="AK40" t="s">
        <v>78</v>
      </c>
      <c r="AL40" t="s">
        <v>79</v>
      </c>
      <c r="AP40">
        <v>621367930</v>
      </c>
      <c r="AQ40" t="s">
        <v>346</v>
      </c>
    </row>
    <row r="41" spans="1:67" x14ac:dyDescent="0.2">
      <c r="A41" t="s">
        <v>341</v>
      </c>
      <c r="B41" t="s">
        <v>347</v>
      </c>
      <c r="D41" t="s">
        <v>72</v>
      </c>
      <c r="E41" t="s">
        <v>96</v>
      </c>
      <c r="F41" t="s">
        <v>343</v>
      </c>
      <c r="G41" t="s">
        <v>344</v>
      </c>
      <c r="H41" t="s">
        <v>132</v>
      </c>
      <c r="I41" t="s">
        <v>345</v>
      </c>
      <c r="K41">
        <v>212</v>
      </c>
      <c r="L41">
        <f>IFERROR(VLOOKUP(K41,'Tables new'!$A:$C,3,FALSE),"")</f>
        <v>70</v>
      </c>
      <c r="M41" t="str">
        <f>VLOOKUP(K41,CAT_JOUEUR,2,FALSE)</f>
        <v>Contact famille</v>
      </c>
      <c r="N41">
        <v>212</v>
      </c>
      <c r="O41">
        <f>IFERROR(VLOOKUP(N41,'Tables new'!$A:$C,3,FALSE),"")</f>
        <v>70</v>
      </c>
      <c r="P41" t="str">
        <f>VLOOKUP(N41,CAT_JOUEUR,2,FALSE)</f>
        <v>Contact famille</v>
      </c>
      <c r="U41" t="s">
        <v>89</v>
      </c>
      <c r="AH41" t="s">
        <v>78</v>
      </c>
      <c r="AI41" t="s">
        <v>78</v>
      </c>
      <c r="AJ41" t="s">
        <v>78</v>
      </c>
      <c r="AK41" t="s">
        <v>78</v>
      </c>
      <c r="AL41" t="s">
        <v>79</v>
      </c>
      <c r="AP41">
        <v>661798179</v>
      </c>
      <c r="AQ41" t="s">
        <v>346</v>
      </c>
    </row>
    <row r="42" spans="1:67" x14ac:dyDescent="0.2">
      <c r="A42" t="s">
        <v>341</v>
      </c>
      <c r="B42" t="s">
        <v>348</v>
      </c>
      <c r="D42" t="s">
        <v>72</v>
      </c>
      <c r="E42" t="s">
        <v>96</v>
      </c>
      <c r="F42" t="s">
        <v>343</v>
      </c>
      <c r="G42" t="s">
        <v>344</v>
      </c>
      <c r="H42" t="s">
        <v>132</v>
      </c>
      <c r="I42" t="s">
        <v>345</v>
      </c>
      <c r="K42">
        <v>17</v>
      </c>
      <c r="L42">
        <f>IFERROR(VLOOKUP(K42,'Tables new'!$A:$C,3,FALSE),"")</f>
        <v>36</v>
      </c>
      <c r="M42" t="str">
        <f>VLOOKUP(K42,CAT_JOUEUR,2,FALSE)</f>
        <v>U 11 F</v>
      </c>
      <c r="N42">
        <v>17</v>
      </c>
      <c r="O42">
        <f>IFERROR(VLOOKUP(N42,'Tables new'!$A:$C,3,FALSE),"")</f>
        <v>36</v>
      </c>
      <c r="P42" t="str">
        <f>VLOOKUP(N42,CAT_JOUEUR,2,FALSE)</f>
        <v>U 11 F</v>
      </c>
      <c r="U42" t="s">
        <v>113</v>
      </c>
      <c r="AA42" t="s">
        <v>349</v>
      </c>
      <c r="AF42" t="s">
        <v>223</v>
      </c>
      <c r="AH42">
        <v>45911</v>
      </c>
      <c r="AI42">
        <v>45840</v>
      </c>
      <c r="AJ42">
        <v>2029</v>
      </c>
      <c r="AK42">
        <v>42884</v>
      </c>
      <c r="AL42" t="s">
        <v>350</v>
      </c>
      <c r="AO42" t="s">
        <v>351</v>
      </c>
      <c r="AP42" t="s">
        <v>352</v>
      </c>
      <c r="AQ42" t="s">
        <v>346</v>
      </c>
    </row>
    <row r="43" spans="1:67" x14ac:dyDescent="0.2">
      <c r="A43" t="s">
        <v>353</v>
      </c>
      <c r="B43" t="s">
        <v>354</v>
      </c>
      <c r="D43" t="s">
        <v>72</v>
      </c>
      <c r="E43" t="s">
        <v>96</v>
      </c>
      <c r="F43" t="s">
        <v>355</v>
      </c>
      <c r="G43" t="s">
        <v>356</v>
      </c>
      <c r="H43" t="s">
        <v>357</v>
      </c>
      <c r="I43" t="s">
        <v>358</v>
      </c>
      <c r="K43">
        <v>5</v>
      </c>
      <c r="L43">
        <f>IFERROR(VLOOKUP(K43,'Tables new'!$A:$C,3,FALSE),"")</f>
        <v>14</v>
      </c>
      <c r="M43" t="str">
        <f>VLOOKUP(K43,CAT_JOUEUR,2,FALSE)</f>
        <v>U 15 H</v>
      </c>
      <c r="N43">
        <v>5</v>
      </c>
      <c r="O43">
        <f>IFERROR(VLOOKUP(N43,'Tables new'!$A:$C,3,FALSE),"")</f>
        <v>14</v>
      </c>
      <c r="P43" t="str">
        <f>VLOOKUP(N43,CAT_JOUEUR,2,FALSE)</f>
        <v>U 15 H</v>
      </c>
      <c r="S43" t="s">
        <v>113</v>
      </c>
      <c r="AA43" t="s">
        <v>359</v>
      </c>
      <c r="AF43" t="s">
        <v>360</v>
      </c>
      <c r="AH43">
        <v>45965</v>
      </c>
      <c r="AI43">
        <v>45945</v>
      </c>
      <c r="AJ43">
        <v>2027</v>
      </c>
      <c r="AK43">
        <v>40981</v>
      </c>
      <c r="AL43" t="s">
        <v>361</v>
      </c>
      <c r="AP43">
        <v>621182362</v>
      </c>
      <c r="AQ43" t="s">
        <v>362</v>
      </c>
    </row>
    <row r="44" spans="1:67" x14ac:dyDescent="0.2">
      <c r="A44" t="s">
        <v>353</v>
      </c>
      <c r="B44" t="s">
        <v>363</v>
      </c>
      <c r="D44" t="s">
        <v>72</v>
      </c>
      <c r="E44" t="s">
        <v>96</v>
      </c>
      <c r="F44" t="s">
        <v>355</v>
      </c>
      <c r="G44" t="s">
        <v>356</v>
      </c>
      <c r="H44" t="s">
        <v>357</v>
      </c>
      <c r="I44" t="s">
        <v>358</v>
      </c>
      <c r="K44">
        <v>212</v>
      </c>
      <c r="L44">
        <f>IFERROR(VLOOKUP(K44,'Tables new'!$A:$C,3,FALSE),"")</f>
        <v>70</v>
      </c>
      <c r="M44" t="str">
        <f>VLOOKUP(K44,CAT_JOUEUR,2,FALSE)</f>
        <v>Contact famille</v>
      </c>
      <c r="N44">
        <v>212</v>
      </c>
      <c r="O44">
        <f>IFERROR(VLOOKUP(N44,'Tables new'!$A:$C,3,FALSE),"")</f>
        <v>70</v>
      </c>
      <c r="P44" t="str">
        <f>VLOOKUP(N44,CAT_JOUEUR,2,FALSE)</f>
        <v>Contact famille</v>
      </c>
      <c r="S44" t="s">
        <v>89</v>
      </c>
      <c r="AH44" t="s">
        <v>78</v>
      </c>
      <c r="AI44" t="s">
        <v>78</v>
      </c>
      <c r="AJ44" t="s">
        <v>78</v>
      </c>
      <c r="AK44" t="s">
        <v>78</v>
      </c>
      <c r="AL44" t="s">
        <v>79</v>
      </c>
      <c r="AP44">
        <v>621182362</v>
      </c>
      <c r="AQ44" t="s">
        <v>362</v>
      </c>
    </row>
    <row r="45" spans="1:67" x14ac:dyDescent="0.2">
      <c r="A45" t="s">
        <v>364</v>
      </c>
      <c r="B45" t="s">
        <v>365</v>
      </c>
      <c r="D45" t="s">
        <v>72</v>
      </c>
      <c r="E45" t="s">
        <v>96</v>
      </c>
      <c r="F45" t="s">
        <v>366</v>
      </c>
      <c r="G45" t="s">
        <v>367</v>
      </c>
      <c r="H45" t="s">
        <v>108</v>
      </c>
      <c r="I45" t="s">
        <v>236</v>
      </c>
      <c r="J45" t="s">
        <v>237</v>
      </c>
      <c r="K45">
        <v>252</v>
      </c>
      <c r="L45">
        <f>IFERROR(VLOOKUP(K45,'Tables new'!$A:$C,3,FALSE),"")</f>
        <v>85</v>
      </c>
      <c r="M45" t="str">
        <f>VLOOKUP(K45,CAT_JOUEUR,2,FALSE)</f>
        <v>Arrêt jeune (garder licence)</v>
      </c>
      <c r="N45">
        <v>7</v>
      </c>
      <c r="O45">
        <f>IFERROR(VLOOKUP(N45,'Tables new'!$A:$C,3,FALSE),"")</f>
        <v>16</v>
      </c>
      <c r="P45" t="str">
        <f>VLOOKUP(N45,CAT_JOUEUR,2,FALSE)</f>
        <v>U 11 H</v>
      </c>
      <c r="W45" t="s">
        <v>113</v>
      </c>
      <c r="AA45" t="s">
        <v>368</v>
      </c>
      <c r="AF45" t="s">
        <v>208</v>
      </c>
      <c r="AH45">
        <v>44124</v>
      </c>
      <c r="AI45">
        <v>44120</v>
      </c>
      <c r="AJ45">
        <v>2023</v>
      </c>
      <c r="AK45">
        <v>42457</v>
      </c>
      <c r="AL45" t="s">
        <v>369</v>
      </c>
      <c r="AP45" t="s">
        <v>370</v>
      </c>
      <c r="AQ45" t="s">
        <v>371</v>
      </c>
    </row>
    <row r="46" spans="1:67" x14ac:dyDescent="0.2">
      <c r="A46" t="s">
        <v>372</v>
      </c>
      <c r="B46" t="s">
        <v>373</v>
      </c>
      <c r="D46" t="s">
        <v>72</v>
      </c>
      <c r="E46" t="s">
        <v>96</v>
      </c>
      <c r="F46" t="s">
        <v>374</v>
      </c>
      <c r="G46" t="s">
        <v>375</v>
      </c>
      <c r="H46" t="s">
        <v>376</v>
      </c>
      <c r="I46" t="s">
        <v>377</v>
      </c>
      <c r="K46">
        <v>212</v>
      </c>
      <c r="L46">
        <f>IFERROR(VLOOKUP(K46,'Tables new'!$A:$C,3,FALSE),"")</f>
        <v>70</v>
      </c>
      <c r="M46" t="str">
        <f>VLOOKUP(K46,CAT_JOUEUR,2,FALSE)</f>
        <v>Contact famille</v>
      </c>
      <c r="N46">
        <v>212</v>
      </c>
      <c r="O46">
        <f>IFERROR(VLOOKUP(N46,'Tables new'!$A:$C,3,FALSE),"")</f>
        <v>70</v>
      </c>
      <c r="P46" t="str">
        <f>VLOOKUP(N46,CAT_JOUEUR,2,FALSE)</f>
        <v>Contact famille</v>
      </c>
      <c r="S46" t="s">
        <v>89</v>
      </c>
      <c r="AH46" t="s">
        <v>78</v>
      </c>
      <c r="AI46" t="s">
        <v>78</v>
      </c>
      <c r="AJ46" t="s">
        <v>78</v>
      </c>
      <c r="AK46" t="s">
        <v>78</v>
      </c>
      <c r="AL46" t="s">
        <v>79</v>
      </c>
      <c r="AP46">
        <v>621488080</v>
      </c>
      <c r="AQ46" t="s">
        <v>378</v>
      </c>
    </row>
    <row r="47" spans="1:67" x14ac:dyDescent="0.2">
      <c r="A47" t="s">
        <v>372</v>
      </c>
      <c r="B47" t="s">
        <v>379</v>
      </c>
      <c r="D47" t="s">
        <v>72</v>
      </c>
      <c r="E47" t="s">
        <v>96</v>
      </c>
      <c r="F47" t="s">
        <v>374</v>
      </c>
      <c r="G47" t="s">
        <v>375</v>
      </c>
      <c r="H47" t="s">
        <v>376</v>
      </c>
      <c r="I47" t="s">
        <v>377</v>
      </c>
      <c r="K47">
        <v>5</v>
      </c>
      <c r="L47">
        <f>IFERROR(VLOOKUP(K47,'Tables new'!$A:$C,3,FALSE),"")</f>
        <v>14</v>
      </c>
      <c r="M47" t="str">
        <f>VLOOKUP(K47,CAT_JOUEUR,2,FALSE)</f>
        <v>U 15 H</v>
      </c>
      <c r="N47">
        <v>5</v>
      </c>
      <c r="O47">
        <f>IFERROR(VLOOKUP(N47,'Tables new'!$A:$C,3,FALSE),"")</f>
        <v>14</v>
      </c>
      <c r="P47" t="str">
        <f>VLOOKUP(N47,CAT_JOUEUR,2,FALSE)</f>
        <v>U 15 H</v>
      </c>
      <c r="S47" t="s">
        <v>113</v>
      </c>
      <c r="AA47" t="s">
        <v>380</v>
      </c>
      <c r="AH47">
        <v>44615</v>
      </c>
      <c r="AI47">
        <v>44575</v>
      </c>
      <c r="AJ47">
        <v>2025</v>
      </c>
      <c r="AK47">
        <v>41484</v>
      </c>
      <c r="AL47" t="s">
        <v>381</v>
      </c>
      <c r="AO47" t="s">
        <v>382</v>
      </c>
      <c r="AP47" t="s">
        <v>383</v>
      </c>
      <c r="AQ47" t="s">
        <v>378</v>
      </c>
    </row>
    <row r="48" spans="1:67" x14ac:dyDescent="0.2">
      <c r="A48" t="s">
        <v>384</v>
      </c>
      <c r="B48" t="s">
        <v>385</v>
      </c>
      <c r="D48" t="s">
        <v>72</v>
      </c>
      <c r="E48" t="s">
        <v>96</v>
      </c>
      <c r="F48" t="s">
        <v>386</v>
      </c>
      <c r="G48" t="s">
        <v>387</v>
      </c>
      <c r="H48" t="s">
        <v>388</v>
      </c>
      <c r="I48" t="s">
        <v>389</v>
      </c>
      <c r="K48">
        <v>212</v>
      </c>
      <c r="L48">
        <f>IFERROR(VLOOKUP(K48,'Tables new'!$A:$C,3,FALSE),"")</f>
        <v>70</v>
      </c>
      <c r="M48" t="str">
        <f>VLOOKUP(K48,CAT_JOUEUR,2,FALSE)</f>
        <v>Contact famille</v>
      </c>
      <c r="N48">
        <v>212</v>
      </c>
      <c r="O48">
        <f>IFERROR(VLOOKUP(N48,'Tables new'!$A:$C,3,FALSE),"")</f>
        <v>70</v>
      </c>
      <c r="P48" t="str">
        <f>VLOOKUP(N48,CAT_JOUEUR,2,FALSE)</f>
        <v>Contact famille</v>
      </c>
      <c r="T48" t="s">
        <v>89</v>
      </c>
      <c r="AH48" t="s">
        <v>78</v>
      </c>
      <c r="AI48" t="s">
        <v>78</v>
      </c>
      <c r="AJ48" t="s">
        <v>78</v>
      </c>
      <c r="AK48" t="s">
        <v>78</v>
      </c>
      <c r="AL48" t="s">
        <v>79</v>
      </c>
      <c r="AP48">
        <v>691687347</v>
      </c>
      <c r="AQ48" t="s">
        <v>390</v>
      </c>
    </row>
    <row r="49" spans="1:67" x14ac:dyDescent="0.2">
      <c r="A49" t="s">
        <v>384</v>
      </c>
      <c r="B49" t="s">
        <v>391</v>
      </c>
      <c r="D49" t="s">
        <v>72</v>
      </c>
      <c r="E49" t="s">
        <v>96</v>
      </c>
      <c r="F49" t="s">
        <v>386</v>
      </c>
      <c r="G49" t="s">
        <v>387</v>
      </c>
      <c r="H49" t="s">
        <v>388</v>
      </c>
      <c r="I49" t="s">
        <v>389</v>
      </c>
      <c r="K49">
        <v>6</v>
      </c>
      <c r="L49">
        <f>IFERROR(VLOOKUP(K49,'Tables new'!$A:$C,3,FALSE),"")</f>
        <v>15</v>
      </c>
      <c r="M49" t="str">
        <f>VLOOKUP(K49,CAT_JOUEUR,2,FALSE)</f>
        <v>U 13 H</v>
      </c>
      <c r="N49">
        <v>6</v>
      </c>
      <c r="O49">
        <f>IFERROR(VLOOKUP(N49,'Tables new'!$A:$C,3,FALSE),"")</f>
        <v>15</v>
      </c>
      <c r="P49" t="str">
        <f>VLOOKUP(N49,CAT_JOUEUR,2,FALSE)</f>
        <v>U 13 H</v>
      </c>
      <c r="T49" t="s">
        <v>113</v>
      </c>
      <c r="AA49" t="s">
        <v>392</v>
      </c>
      <c r="AH49">
        <v>45798</v>
      </c>
      <c r="AI49">
        <v>45748</v>
      </c>
      <c r="AJ49">
        <v>2027</v>
      </c>
      <c r="AK49">
        <v>42229</v>
      </c>
      <c r="AL49" t="s">
        <v>393</v>
      </c>
      <c r="AO49" t="s">
        <v>394</v>
      </c>
      <c r="AP49" t="s">
        <v>395</v>
      </c>
      <c r="AQ49" t="s">
        <v>390</v>
      </c>
    </row>
    <row r="50" spans="1:67" x14ac:dyDescent="0.2">
      <c r="A50" t="s">
        <v>396</v>
      </c>
      <c r="B50" t="s">
        <v>397</v>
      </c>
      <c r="D50" t="s">
        <v>72</v>
      </c>
      <c r="E50" t="s">
        <v>398</v>
      </c>
      <c r="F50" t="s">
        <v>399</v>
      </c>
      <c r="G50" t="s">
        <v>400</v>
      </c>
      <c r="H50" t="s">
        <v>401</v>
      </c>
      <c r="I50" t="s">
        <v>145</v>
      </c>
      <c r="K50">
        <v>2</v>
      </c>
      <c r="L50">
        <f>IFERROR(VLOOKUP(K50,'Tables new'!$A:$C,3,FALSE),"")</f>
        <v>11</v>
      </c>
      <c r="M50" t="str">
        <f>VLOOKUP(K50,CAT_JOUEUR,2,FALSE)</f>
        <v>Seniors - HO</v>
      </c>
      <c r="N50">
        <v>2</v>
      </c>
      <c r="O50">
        <f>IFERROR(VLOOKUP(N50,'Tables new'!$A:$C,3,FALSE),"")</f>
        <v>11</v>
      </c>
      <c r="P50" t="str">
        <f>VLOOKUP(N50,CAT_JOUEUR,2,FALSE)</f>
        <v>Seniors - HO</v>
      </c>
      <c r="AA50" t="s">
        <v>402</v>
      </c>
      <c r="AH50">
        <v>45603</v>
      </c>
      <c r="AI50">
        <v>45585</v>
      </c>
      <c r="AJ50">
        <v>2030</v>
      </c>
      <c r="AK50">
        <v>36579</v>
      </c>
      <c r="AL50" t="s">
        <v>403</v>
      </c>
      <c r="AP50" t="s">
        <v>404</v>
      </c>
      <c r="AQ50" t="s">
        <v>405</v>
      </c>
    </row>
    <row r="51" spans="1:67" x14ac:dyDescent="0.2">
      <c r="A51" t="s">
        <v>406</v>
      </c>
      <c r="B51" t="s">
        <v>407</v>
      </c>
      <c r="D51" t="s">
        <v>72</v>
      </c>
      <c r="E51" t="s">
        <v>96</v>
      </c>
      <c r="F51" t="s">
        <v>408</v>
      </c>
      <c r="G51" t="s">
        <v>409</v>
      </c>
      <c r="H51" t="s">
        <v>235</v>
      </c>
      <c r="I51" t="s">
        <v>145</v>
      </c>
      <c r="K51">
        <v>19</v>
      </c>
      <c r="L51">
        <f>IFERROR(VLOOKUP(K51,'Tables new'!$A:$C,3,FALSE),"")</f>
        <v>38</v>
      </c>
      <c r="M51" t="str">
        <f>VLOOKUP(K51,CAT_JOUEUR,2,FALSE)</f>
        <v>Vétérans - FE</v>
      </c>
      <c r="N51">
        <v>19</v>
      </c>
      <c r="O51">
        <f>IFERROR(VLOOKUP(N51,'Tables new'!$A:$C,3,FALSE),"")</f>
        <v>38</v>
      </c>
      <c r="P51" t="str">
        <f>VLOOKUP(N51,CAT_JOUEUR,2,FALSE)</f>
        <v>Vétérans - FE</v>
      </c>
      <c r="AA51" t="s">
        <v>410</v>
      </c>
      <c r="AH51">
        <v>44846</v>
      </c>
      <c r="AI51">
        <v>44818</v>
      </c>
      <c r="AJ51">
        <v>2029</v>
      </c>
      <c r="AK51">
        <v>30860</v>
      </c>
      <c r="AL51" t="s">
        <v>411</v>
      </c>
      <c r="AP51" t="s">
        <v>412</v>
      </c>
      <c r="AQ51" t="s">
        <v>413</v>
      </c>
    </row>
    <row r="52" spans="1:67" x14ac:dyDescent="0.2">
      <c r="A52" t="s">
        <v>406</v>
      </c>
      <c r="B52" t="s">
        <v>414</v>
      </c>
      <c r="D52" t="s">
        <v>72</v>
      </c>
      <c r="E52" t="s">
        <v>96</v>
      </c>
      <c r="F52" t="s">
        <v>415</v>
      </c>
      <c r="G52" t="s">
        <v>416</v>
      </c>
      <c r="H52" t="s">
        <v>417</v>
      </c>
      <c r="I52" t="s">
        <v>145</v>
      </c>
      <c r="K52">
        <v>19</v>
      </c>
      <c r="L52">
        <f>IFERROR(VLOOKUP(K52,'Tables new'!$A:$C,3,FALSE),"")</f>
        <v>38</v>
      </c>
      <c r="M52" t="str">
        <f>VLOOKUP(K52,CAT_JOUEUR,2,FALSE)</f>
        <v>Vétérans - FE</v>
      </c>
      <c r="N52">
        <v>19</v>
      </c>
      <c r="O52">
        <f>IFERROR(VLOOKUP(N52,'Tables new'!$A:$C,3,FALSE),"")</f>
        <v>38</v>
      </c>
      <c r="P52" t="str">
        <f>VLOOKUP(N52,CAT_JOUEUR,2,FALSE)</f>
        <v>Vétérans - FE</v>
      </c>
      <c r="AA52" t="s">
        <v>418</v>
      </c>
      <c r="AH52">
        <v>44818</v>
      </c>
      <c r="AI52">
        <v>44795</v>
      </c>
      <c r="AJ52">
        <v>2027</v>
      </c>
      <c r="AK52">
        <v>31249</v>
      </c>
      <c r="AL52" t="s">
        <v>419</v>
      </c>
      <c r="AP52" t="s">
        <v>420</v>
      </c>
      <c r="AQ52" t="str">
        <f>HYPERLINK("mailto:bettikett@hotmail.com","bettikett@hotmail.com")</f>
        <v>bettikett@hotmail.com</v>
      </c>
    </row>
    <row r="53" spans="1:67" x14ac:dyDescent="0.2">
      <c r="A53" t="s">
        <v>421</v>
      </c>
      <c r="B53" t="s">
        <v>422</v>
      </c>
      <c r="D53" t="s">
        <v>72</v>
      </c>
      <c r="E53" t="s">
        <v>96</v>
      </c>
      <c r="F53" t="s">
        <v>423</v>
      </c>
      <c r="G53" t="s">
        <v>424</v>
      </c>
      <c r="H53" t="s">
        <v>425</v>
      </c>
      <c r="I53" t="s">
        <v>426</v>
      </c>
      <c r="K53">
        <v>212</v>
      </c>
      <c r="L53">
        <f>IFERROR(VLOOKUP(K53,'Tables new'!$A:$C,3,FALSE),"")</f>
        <v>70</v>
      </c>
      <c r="M53" t="str">
        <f>VLOOKUP(K53,CAT_JOUEUR,2,FALSE)</f>
        <v>Contact famille</v>
      </c>
      <c r="N53">
        <v>212</v>
      </c>
      <c r="O53">
        <f>IFERROR(VLOOKUP(N53,'Tables new'!$A:$C,3,FALSE),"")</f>
        <v>70</v>
      </c>
      <c r="P53" t="str">
        <f>VLOOKUP(N53,CAT_JOUEUR,2,FALSE)</f>
        <v>Contact famille</v>
      </c>
      <c r="V53" t="s">
        <v>89</v>
      </c>
      <c r="AH53" t="s">
        <v>78</v>
      </c>
      <c r="AI53" t="s">
        <v>78</v>
      </c>
      <c r="AJ53" t="s">
        <v>78</v>
      </c>
      <c r="AK53" t="s">
        <v>78</v>
      </c>
      <c r="AL53" t="s">
        <v>79</v>
      </c>
      <c r="AP53">
        <v>621571149</v>
      </c>
      <c r="AQ53" t="s">
        <v>427</v>
      </c>
    </row>
    <row r="54" spans="1:67" x14ac:dyDescent="0.2">
      <c r="A54" t="s">
        <v>428</v>
      </c>
      <c r="B54" t="s">
        <v>429</v>
      </c>
      <c r="D54" t="s">
        <v>72</v>
      </c>
      <c r="E54" t="s">
        <v>96</v>
      </c>
      <c r="F54" t="s">
        <v>430</v>
      </c>
      <c r="G54" t="s">
        <v>431</v>
      </c>
      <c r="H54" t="s">
        <v>432</v>
      </c>
      <c r="I54" t="s">
        <v>433</v>
      </c>
      <c r="K54">
        <v>7</v>
      </c>
      <c r="L54">
        <f>IFERROR(VLOOKUP(K54,'Tables new'!$A:$C,3,FALSE),"")</f>
        <v>16</v>
      </c>
      <c r="M54" t="str">
        <f>VLOOKUP(K54,CAT_JOUEUR,2,FALSE)</f>
        <v>U 11 H</v>
      </c>
      <c r="N54">
        <v>7</v>
      </c>
      <c r="O54">
        <f>IFERROR(VLOOKUP(N54,'Tables new'!$A:$C,3,FALSE),"")</f>
        <v>16</v>
      </c>
      <c r="P54" t="str">
        <f>VLOOKUP(N54,CAT_JOUEUR,2,FALSE)</f>
        <v>U 11 H</v>
      </c>
      <c r="U54" t="s">
        <v>113</v>
      </c>
      <c r="AA54" t="s">
        <v>434</v>
      </c>
      <c r="AH54">
        <v>45210</v>
      </c>
      <c r="AI54">
        <v>45101</v>
      </c>
      <c r="AJ54">
        <v>2029</v>
      </c>
      <c r="AK54">
        <v>42869</v>
      </c>
      <c r="AL54" t="s">
        <v>435</v>
      </c>
      <c r="AP54" t="s">
        <v>436</v>
      </c>
      <c r="AQ54" t="s">
        <v>437</v>
      </c>
    </row>
    <row r="55" spans="1:67" x14ac:dyDescent="0.2">
      <c r="A55" t="s">
        <v>428</v>
      </c>
      <c r="B55" t="s">
        <v>438</v>
      </c>
      <c r="D55" t="s">
        <v>72</v>
      </c>
      <c r="E55" t="s">
        <v>96</v>
      </c>
      <c r="F55" t="s">
        <v>430</v>
      </c>
      <c r="G55" t="s">
        <v>431</v>
      </c>
      <c r="H55" t="s">
        <v>432</v>
      </c>
      <c r="I55" t="s">
        <v>433</v>
      </c>
      <c r="K55">
        <v>9</v>
      </c>
      <c r="L55">
        <f>IFERROR(VLOOKUP(K55,'Tables new'!$A:$C,3,FALSE),"")</f>
        <v>20</v>
      </c>
      <c r="M55" t="str">
        <f>VLOOKUP(K55,CAT_JOUEUR,2,FALSE)</f>
        <v>Vétérans - HO</v>
      </c>
      <c r="N55">
        <v>9</v>
      </c>
      <c r="O55">
        <f>IFERROR(VLOOKUP(N55,'Tables new'!$A:$C,3,FALSE),"")</f>
        <v>20</v>
      </c>
      <c r="P55" t="str">
        <f>VLOOKUP(N55,CAT_JOUEUR,2,FALSE)</f>
        <v>Vétérans - HO</v>
      </c>
      <c r="U55" t="s">
        <v>89</v>
      </c>
      <c r="AA55" t="s">
        <v>439</v>
      </c>
      <c r="AF55" t="s">
        <v>440</v>
      </c>
      <c r="AH55">
        <v>34915</v>
      </c>
      <c r="AI55">
        <v>34915</v>
      </c>
      <c r="AJ55">
        <v>2024</v>
      </c>
      <c r="AK55">
        <v>30538</v>
      </c>
      <c r="AL55" t="s">
        <v>441</v>
      </c>
      <c r="AP55" t="s">
        <v>436</v>
      </c>
      <c r="AQ55" t="s">
        <v>437</v>
      </c>
      <c r="AY55" t="s">
        <v>442</v>
      </c>
      <c r="BA55" t="s">
        <v>136</v>
      </c>
      <c r="BB55" t="s">
        <v>271</v>
      </c>
      <c r="BD55">
        <v>200</v>
      </c>
      <c r="BO55" t="s">
        <v>443</v>
      </c>
    </row>
    <row r="56" spans="1:67" x14ac:dyDescent="0.2">
      <c r="A56" t="s">
        <v>444</v>
      </c>
      <c r="B56" t="s">
        <v>445</v>
      </c>
      <c r="D56" t="s">
        <v>104</v>
      </c>
      <c r="E56" t="s">
        <v>446</v>
      </c>
      <c r="F56" t="s">
        <v>447</v>
      </c>
      <c r="G56" t="s">
        <v>448</v>
      </c>
      <c r="H56" t="s">
        <v>300</v>
      </c>
      <c r="I56" t="s">
        <v>449</v>
      </c>
      <c r="K56">
        <v>212</v>
      </c>
      <c r="L56">
        <f>IFERROR(VLOOKUP(K56,'Tables new'!$A:$C,3,FALSE),"")</f>
        <v>70</v>
      </c>
      <c r="M56" t="str">
        <f>VLOOKUP(K56,CAT_JOUEUR,2,FALSE)</f>
        <v>Contact famille</v>
      </c>
      <c r="N56">
        <v>212</v>
      </c>
      <c r="O56">
        <f>IFERROR(VLOOKUP(N56,'Tables new'!$A:$C,3,FALSE),"")</f>
        <v>70</v>
      </c>
      <c r="P56" t="str">
        <f>VLOOKUP(N56,CAT_JOUEUR,2,FALSE)</f>
        <v>Contact famille</v>
      </c>
      <c r="T56" t="s">
        <v>89</v>
      </c>
      <c r="AH56" t="s">
        <v>78</v>
      </c>
      <c r="AI56" t="s">
        <v>78</v>
      </c>
      <c r="AJ56" t="s">
        <v>78</v>
      </c>
      <c r="AK56" t="s">
        <v>78</v>
      </c>
      <c r="AL56" t="s">
        <v>450</v>
      </c>
      <c r="AP56">
        <v>661664266</v>
      </c>
      <c r="AQ56" t="s">
        <v>451</v>
      </c>
    </row>
    <row r="57" spans="1:67" x14ac:dyDescent="0.2">
      <c r="A57" t="s">
        <v>452</v>
      </c>
      <c r="B57" t="s">
        <v>453</v>
      </c>
      <c r="D57" t="s">
        <v>83</v>
      </c>
      <c r="E57" t="s">
        <v>96</v>
      </c>
      <c r="F57" t="s">
        <v>454</v>
      </c>
      <c r="G57" t="s">
        <v>455</v>
      </c>
      <c r="H57" t="s">
        <v>456</v>
      </c>
      <c r="I57" t="s">
        <v>457</v>
      </c>
      <c r="K57">
        <v>18</v>
      </c>
      <c r="L57">
        <f>IFERROR(VLOOKUP(K57,'Tables new'!$A:$C,3,FALSE),"")</f>
        <v>37</v>
      </c>
      <c r="M57" t="str">
        <f>VLOOKUP(K57,CAT_JOUEUR,2,FALSE)</f>
        <v>U 9 F</v>
      </c>
      <c r="N57">
        <v>18</v>
      </c>
      <c r="O57">
        <f>IFERROR(VLOOKUP(N57,'Tables new'!$A:$C,3,FALSE),"")</f>
        <v>37</v>
      </c>
      <c r="P57" t="str">
        <f>VLOOKUP(N57,CAT_JOUEUR,2,FALSE)</f>
        <v>U 9 F</v>
      </c>
      <c r="V57" t="s">
        <v>113</v>
      </c>
      <c r="AA57" t="s">
        <v>458</v>
      </c>
      <c r="AH57">
        <v>44704</v>
      </c>
      <c r="AI57">
        <v>44459</v>
      </c>
      <c r="AJ57">
        <v>2028</v>
      </c>
      <c r="AK57">
        <v>42452</v>
      </c>
      <c r="AL57" t="s">
        <v>459</v>
      </c>
      <c r="AO57" t="s">
        <v>460</v>
      </c>
      <c r="AP57" t="s">
        <v>461</v>
      </c>
      <c r="AQ57" t="s">
        <v>462</v>
      </c>
    </row>
    <row r="58" spans="1:67" x14ac:dyDescent="0.2">
      <c r="A58" t="s">
        <v>452</v>
      </c>
      <c r="B58" t="s">
        <v>463</v>
      </c>
      <c r="D58" t="s">
        <v>83</v>
      </c>
      <c r="E58" t="s">
        <v>464</v>
      </c>
      <c r="F58" t="s">
        <v>454</v>
      </c>
      <c r="G58" t="s">
        <v>455</v>
      </c>
      <c r="H58" t="s">
        <v>456</v>
      </c>
      <c r="I58" t="s">
        <v>457</v>
      </c>
      <c r="K58">
        <v>19</v>
      </c>
      <c r="L58">
        <f>IFERROR(VLOOKUP(K58,'Tables new'!$A:$C,3,FALSE),"")</f>
        <v>38</v>
      </c>
      <c r="M58" t="str">
        <f>VLOOKUP(K58,CAT_JOUEUR,2,FALSE)</f>
        <v>Vétérans - FE</v>
      </c>
      <c r="N58">
        <v>19</v>
      </c>
      <c r="O58">
        <f>IFERROR(VLOOKUP(N58,'Tables new'!$A:$C,3,FALSE),"")</f>
        <v>38</v>
      </c>
      <c r="P58" t="str">
        <f>VLOOKUP(N58,CAT_JOUEUR,2,FALSE)</f>
        <v>Vétérans - FE</v>
      </c>
      <c r="S58" t="s">
        <v>89</v>
      </c>
      <c r="V58" t="s">
        <v>89</v>
      </c>
      <c r="AA58" t="s">
        <v>465</v>
      </c>
      <c r="AC58" t="s">
        <v>465</v>
      </c>
      <c r="AH58">
        <v>44511</v>
      </c>
      <c r="AI58">
        <v>44510</v>
      </c>
      <c r="AJ58">
        <v>2029</v>
      </c>
      <c r="AK58">
        <v>31000</v>
      </c>
      <c r="AL58" t="s">
        <v>466</v>
      </c>
      <c r="AP58">
        <v>621665197</v>
      </c>
      <c r="AQ58" t="s">
        <v>467</v>
      </c>
      <c r="AS58" t="s">
        <v>468</v>
      </c>
      <c r="AX58" t="s">
        <v>469</v>
      </c>
    </row>
    <row r="59" spans="1:67" x14ac:dyDescent="0.2">
      <c r="A59" t="s">
        <v>452</v>
      </c>
      <c r="B59" t="s">
        <v>470</v>
      </c>
      <c r="D59" t="s">
        <v>72</v>
      </c>
      <c r="E59" t="s">
        <v>96</v>
      </c>
      <c r="F59" t="s">
        <v>454</v>
      </c>
      <c r="G59" t="s">
        <v>455</v>
      </c>
      <c r="H59" t="s">
        <v>456</v>
      </c>
      <c r="I59" t="s">
        <v>457</v>
      </c>
      <c r="K59">
        <v>150</v>
      </c>
      <c r="L59">
        <f>IFERROR(VLOOKUP(K59,'Tables new'!$A:$C,3,FALSE),"")</f>
        <v>1</v>
      </c>
      <c r="M59" t="str">
        <f>VLOOKUP(K59,CAT_JOUEUR,2,FALSE)</f>
        <v>comité</v>
      </c>
      <c r="N59">
        <v>1</v>
      </c>
      <c r="O59">
        <f>IFERROR(VLOOKUP(N59,'Tables new'!$A:$C,3,FALSE),"")</f>
        <v>2</v>
      </c>
      <c r="P59" t="str">
        <f>VLOOKUP(N59,CAT_JOUEUR,2,FALSE)</f>
        <v>Officiel H</v>
      </c>
      <c r="S59" t="s">
        <v>89</v>
      </c>
      <c r="V59" t="s">
        <v>89</v>
      </c>
      <c r="AA59" t="s">
        <v>471</v>
      </c>
      <c r="AB59" t="s">
        <v>471</v>
      </c>
      <c r="AC59" t="s">
        <v>471</v>
      </c>
      <c r="AH59">
        <v>44061</v>
      </c>
      <c r="AI59">
        <v>44027</v>
      </c>
      <c r="AJ59">
        <v>2029</v>
      </c>
      <c r="AK59">
        <v>30832</v>
      </c>
      <c r="AL59" t="s">
        <v>472</v>
      </c>
      <c r="AM59" t="s">
        <v>473</v>
      </c>
      <c r="AP59" t="s">
        <v>474</v>
      </c>
      <c r="AQ59" t="s">
        <v>462</v>
      </c>
      <c r="AU59" t="s">
        <v>475</v>
      </c>
      <c r="BD59">
        <f>SUBTOTAL(9,BD43:BD55)</f>
        <v>200</v>
      </c>
    </row>
    <row r="60" spans="1:67" x14ac:dyDescent="0.2">
      <c r="A60" t="s">
        <v>452</v>
      </c>
      <c r="B60" t="s">
        <v>476</v>
      </c>
      <c r="D60" t="s">
        <v>83</v>
      </c>
      <c r="E60" t="s">
        <v>96</v>
      </c>
      <c r="F60" t="s">
        <v>454</v>
      </c>
      <c r="G60" t="s">
        <v>455</v>
      </c>
      <c r="H60" t="s">
        <v>456</v>
      </c>
      <c r="I60" t="s">
        <v>457</v>
      </c>
      <c r="K60">
        <v>18</v>
      </c>
      <c r="L60">
        <f>IFERROR(VLOOKUP(K60,'Tables new'!$A:$C,3,FALSE),"")</f>
        <v>37</v>
      </c>
      <c r="M60" t="str">
        <f>VLOOKUP(K60,CAT_JOUEUR,2,FALSE)</f>
        <v>U 9 F</v>
      </c>
      <c r="N60">
        <v>18</v>
      </c>
      <c r="O60">
        <f>IFERROR(VLOOKUP(N60,'Tables new'!$A:$C,3,FALSE),"")</f>
        <v>37</v>
      </c>
      <c r="P60" t="str">
        <f>VLOOKUP(N60,CAT_JOUEUR,2,FALSE)</f>
        <v>U 9 F</v>
      </c>
      <c r="V60" t="s">
        <v>113</v>
      </c>
      <c r="AA60" t="s">
        <v>477</v>
      </c>
      <c r="AH60">
        <v>44704</v>
      </c>
      <c r="AI60">
        <v>44459</v>
      </c>
      <c r="AJ60">
        <v>2028</v>
      </c>
      <c r="AK60">
        <v>42452</v>
      </c>
      <c r="AL60" t="s">
        <v>478</v>
      </c>
      <c r="AO60" t="s">
        <v>460</v>
      </c>
      <c r="AP60" t="s">
        <v>461</v>
      </c>
      <c r="AQ60" t="s">
        <v>462</v>
      </c>
    </row>
    <row r="61" spans="1:67" x14ac:dyDescent="0.2">
      <c r="A61" t="s">
        <v>452</v>
      </c>
      <c r="B61" t="s">
        <v>479</v>
      </c>
      <c r="D61" t="s">
        <v>83</v>
      </c>
      <c r="E61" t="s">
        <v>96</v>
      </c>
      <c r="F61" t="s">
        <v>454</v>
      </c>
      <c r="G61" t="s">
        <v>455</v>
      </c>
      <c r="H61" t="s">
        <v>456</v>
      </c>
      <c r="I61" t="s">
        <v>457</v>
      </c>
      <c r="K61">
        <v>5</v>
      </c>
      <c r="L61">
        <f>IFERROR(VLOOKUP(K61,'Tables new'!$A:$C,3,FALSE),"")</f>
        <v>14</v>
      </c>
      <c r="M61" t="str">
        <f>VLOOKUP(K61,CAT_JOUEUR,2,FALSE)</f>
        <v>U 15 H</v>
      </c>
      <c r="N61">
        <v>5</v>
      </c>
      <c r="O61">
        <f>IFERROR(VLOOKUP(N61,'Tables new'!$A:$C,3,FALSE),"")</f>
        <v>14</v>
      </c>
      <c r="P61" t="str">
        <f>VLOOKUP(N61,CAT_JOUEUR,2,FALSE)</f>
        <v>U 15 H</v>
      </c>
      <c r="S61" t="s">
        <v>113</v>
      </c>
      <c r="AA61" t="s">
        <v>480</v>
      </c>
      <c r="AH61">
        <v>44537</v>
      </c>
      <c r="AI61">
        <v>44459</v>
      </c>
      <c r="AJ61">
        <v>2028</v>
      </c>
      <c r="AK61">
        <v>41451</v>
      </c>
      <c r="AL61" t="s">
        <v>481</v>
      </c>
      <c r="AO61" t="s">
        <v>460</v>
      </c>
      <c r="AP61" t="s">
        <v>461</v>
      </c>
      <c r="AQ61" t="s">
        <v>462</v>
      </c>
    </row>
    <row r="62" spans="1:67" x14ac:dyDescent="0.2">
      <c r="A62" t="s">
        <v>482</v>
      </c>
      <c r="B62" t="s">
        <v>483</v>
      </c>
      <c r="D62" t="s">
        <v>72</v>
      </c>
      <c r="E62" t="s">
        <v>96</v>
      </c>
      <c r="F62" t="s">
        <v>484</v>
      </c>
      <c r="G62" t="s">
        <v>485</v>
      </c>
      <c r="H62" t="s">
        <v>486</v>
      </c>
      <c r="I62" t="s">
        <v>487</v>
      </c>
      <c r="K62">
        <v>212</v>
      </c>
      <c r="L62">
        <f>IFERROR(VLOOKUP(K62,'Tables new'!$A:$C,3,FALSE),"")</f>
        <v>70</v>
      </c>
      <c r="M62" t="str">
        <f>VLOOKUP(K62,CAT_JOUEUR,2,FALSE)</f>
        <v>Contact famille</v>
      </c>
      <c r="N62">
        <v>212</v>
      </c>
      <c r="O62">
        <f>IFERROR(VLOOKUP(N62,'Tables new'!$A:$C,3,FALSE),"")</f>
        <v>70</v>
      </c>
      <c r="P62" t="str">
        <f>VLOOKUP(N62,CAT_JOUEUR,2,FALSE)</f>
        <v>Contact famille</v>
      </c>
      <c r="S62" t="s">
        <v>89</v>
      </c>
      <c r="U62" t="s">
        <v>89</v>
      </c>
      <c r="AH62" t="s">
        <v>78</v>
      </c>
      <c r="AI62" t="s">
        <v>78</v>
      </c>
      <c r="AJ62" t="s">
        <v>78</v>
      </c>
      <c r="AK62" t="s">
        <v>78</v>
      </c>
      <c r="AL62" t="s">
        <v>78</v>
      </c>
      <c r="AP62" t="s">
        <v>488</v>
      </c>
      <c r="AQ62" t="s">
        <v>489</v>
      </c>
    </row>
    <row r="63" spans="1:67" x14ac:dyDescent="0.2">
      <c r="A63" t="s">
        <v>490</v>
      </c>
      <c r="B63" t="s">
        <v>491</v>
      </c>
      <c r="D63" t="s">
        <v>83</v>
      </c>
      <c r="E63" t="s">
        <v>84</v>
      </c>
      <c r="F63" t="s">
        <v>492</v>
      </c>
      <c r="G63" t="s">
        <v>493</v>
      </c>
      <c r="H63" t="s">
        <v>494</v>
      </c>
      <c r="I63" t="s">
        <v>145</v>
      </c>
      <c r="K63">
        <v>1</v>
      </c>
      <c r="L63">
        <f>IFERROR(VLOOKUP(K63,'Tables new'!$A:$C,3,FALSE),"")</f>
        <v>2</v>
      </c>
      <c r="M63" t="str">
        <f>VLOOKUP(K63,CAT_JOUEUR,2,FALSE)</f>
        <v>Officiel H</v>
      </c>
      <c r="N63">
        <v>1</v>
      </c>
      <c r="O63">
        <f>IFERROR(VLOOKUP(N63,'Tables new'!$A:$C,3,FALSE),"")</f>
        <v>2</v>
      </c>
      <c r="P63" t="str">
        <f>VLOOKUP(N63,CAT_JOUEUR,2,FALSE)</f>
        <v>Officiel H</v>
      </c>
      <c r="AB63" t="s">
        <v>495</v>
      </c>
      <c r="AH63">
        <v>45826</v>
      </c>
      <c r="AI63" t="s">
        <v>496</v>
      </c>
      <c r="AJ63">
        <v>2029</v>
      </c>
      <c r="AK63">
        <v>32552</v>
      </c>
      <c r="AL63" t="s">
        <v>497</v>
      </c>
      <c r="AP63" t="s">
        <v>498</v>
      </c>
      <c r="AQ63" t="s">
        <v>499</v>
      </c>
    </row>
    <row r="64" spans="1:67" x14ac:dyDescent="0.2">
      <c r="A64" t="s">
        <v>500</v>
      </c>
      <c r="B64" t="s">
        <v>501</v>
      </c>
      <c r="D64" t="s">
        <v>83</v>
      </c>
      <c r="E64" t="s">
        <v>84</v>
      </c>
      <c r="F64" t="s">
        <v>502</v>
      </c>
      <c r="G64" t="s">
        <v>503</v>
      </c>
      <c r="H64" t="s">
        <v>108</v>
      </c>
      <c r="I64" t="s">
        <v>504</v>
      </c>
      <c r="K64">
        <v>212</v>
      </c>
      <c r="L64">
        <f>IFERROR(VLOOKUP(K64,'Tables new'!$A:$C,3,FALSE),"")</f>
        <v>70</v>
      </c>
      <c r="M64" t="str">
        <f>VLOOKUP(K64,CAT_JOUEUR,2,FALSE)</f>
        <v>Contact famille</v>
      </c>
      <c r="N64">
        <v>212</v>
      </c>
      <c r="O64">
        <f>IFERROR(VLOOKUP(N64,'Tables new'!$A:$C,3,FALSE),"")</f>
        <v>70</v>
      </c>
      <c r="P64" t="str">
        <f>VLOOKUP(N64,CAT_JOUEUR,2,FALSE)</f>
        <v>Contact famille</v>
      </c>
      <c r="W64" t="s">
        <v>89</v>
      </c>
      <c r="AH64" t="s">
        <v>78</v>
      </c>
      <c r="AI64" t="s">
        <v>78</v>
      </c>
      <c r="AJ64" t="s">
        <v>78</v>
      </c>
      <c r="AK64" t="s">
        <v>78</v>
      </c>
      <c r="AL64" t="s">
        <v>79</v>
      </c>
      <c r="AQ64" t="s">
        <v>505</v>
      </c>
    </row>
    <row r="65" spans="1:67" x14ac:dyDescent="0.2">
      <c r="A65" t="s">
        <v>506</v>
      </c>
      <c r="B65" t="s">
        <v>507</v>
      </c>
      <c r="D65" t="s">
        <v>72</v>
      </c>
      <c r="E65" t="s">
        <v>508</v>
      </c>
      <c r="F65" t="s">
        <v>502</v>
      </c>
      <c r="G65" t="s">
        <v>503</v>
      </c>
      <c r="H65" t="s">
        <v>108</v>
      </c>
      <c r="I65" t="s">
        <v>504</v>
      </c>
      <c r="K65">
        <v>21</v>
      </c>
      <c r="L65">
        <f>IFERROR(VLOOKUP(K65,'Tables new'!$A:$C,3,FALSE),"")</f>
        <v>18</v>
      </c>
      <c r="M65" t="str">
        <f>VLOOKUP(K65,CAT_JOUEUR,2,FALSE)</f>
        <v>U7 Mixte</v>
      </c>
      <c r="N65">
        <v>21</v>
      </c>
      <c r="O65">
        <f>IFERROR(VLOOKUP(N65,'Tables new'!$A:$C,3,FALSE),"")</f>
        <v>18</v>
      </c>
      <c r="P65" t="str">
        <f>VLOOKUP(N65,CAT_JOUEUR,2,FALSE)</f>
        <v>U7 Mixte</v>
      </c>
      <c r="W65" t="s">
        <v>113</v>
      </c>
      <c r="AA65" t="s">
        <v>509</v>
      </c>
      <c r="AH65">
        <v>45474</v>
      </c>
      <c r="AI65">
        <v>45324</v>
      </c>
      <c r="AJ65">
        <v>2028</v>
      </c>
      <c r="AK65">
        <v>44538</v>
      </c>
      <c r="AL65" t="s">
        <v>510</v>
      </c>
      <c r="AP65" t="s">
        <v>511</v>
      </c>
      <c r="AQ65" t="s">
        <v>505</v>
      </c>
    </row>
    <row r="66" spans="1:67" x14ac:dyDescent="0.2">
      <c r="A66" t="s">
        <v>512</v>
      </c>
      <c r="B66" t="s">
        <v>513</v>
      </c>
      <c r="D66" t="s">
        <v>72</v>
      </c>
      <c r="E66" t="s">
        <v>96</v>
      </c>
      <c r="F66" t="s">
        <v>514</v>
      </c>
      <c r="G66" t="s">
        <v>515</v>
      </c>
      <c r="H66" t="s">
        <v>516</v>
      </c>
      <c r="I66" t="s">
        <v>517</v>
      </c>
      <c r="K66">
        <v>21</v>
      </c>
      <c r="L66">
        <f>IFERROR(VLOOKUP(K66,'Tables new'!$A:$C,3,FALSE),"")</f>
        <v>18</v>
      </c>
      <c r="M66" t="str">
        <f>VLOOKUP(K66,CAT_JOUEUR,2,FALSE)</f>
        <v>U7 Mixte</v>
      </c>
      <c r="N66">
        <v>21</v>
      </c>
      <c r="O66">
        <f>IFERROR(VLOOKUP(N66,'Tables new'!$A:$C,3,FALSE),"")</f>
        <v>18</v>
      </c>
      <c r="P66" t="str">
        <f>VLOOKUP(N66,CAT_JOUEUR,2,FALSE)</f>
        <v>U7 Mixte</v>
      </c>
      <c r="W66" t="s">
        <v>113</v>
      </c>
      <c r="AA66" t="s">
        <v>155</v>
      </c>
      <c r="AI66">
        <v>45247</v>
      </c>
      <c r="AJ66">
        <v>2028</v>
      </c>
      <c r="AK66">
        <v>44259</v>
      </c>
      <c r="AL66" t="s">
        <v>518</v>
      </c>
      <c r="AP66" t="s">
        <v>519</v>
      </c>
      <c r="AQ66" t="s">
        <v>520</v>
      </c>
    </row>
    <row r="67" spans="1:67" x14ac:dyDescent="0.2">
      <c r="A67" t="s">
        <v>521</v>
      </c>
      <c r="B67" t="s">
        <v>211</v>
      </c>
      <c r="D67" t="s">
        <v>72</v>
      </c>
      <c r="E67" t="s">
        <v>96</v>
      </c>
      <c r="F67" t="s">
        <v>423</v>
      </c>
      <c r="G67" t="s">
        <v>424</v>
      </c>
      <c r="H67" t="s">
        <v>425</v>
      </c>
      <c r="I67" t="s">
        <v>426</v>
      </c>
      <c r="K67">
        <v>212</v>
      </c>
      <c r="L67">
        <f>IFERROR(VLOOKUP(K67,'Tables new'!$A:$C,3,FALSE),"")</f>
        <v>70</v>
      </c>
      <c r="M67" t="str">
        <f>VLOOKUP(K67,CAT_JOUEUR,2,FALSE)</f>
        <v>Contact famille</v>
      </c>
      <c r="N67">
        <v>212</v>
      </c>
      <c r="O67">
        <f>IFERROR(VLOOKUP(N67,'Tables new'!$A:$C,3,FALSE),"")</f>
        <v>70</v>
      </c>
      <c r="P67" t="str">
        <f>VLOOKUP(N67,CAT_JOUEUR,2,FALSE)</f>
        <v>Contact famille</v>
      </c>
      <c r="V67" t="s">
        <v>89</v>
      </c>
      <c r="AH67" t="s">
        <v>78</v>
      </c>
      <c r="AI67" t="s">
        <v>78</v>
      </c>
      <c r="AJ67" t="s">
        <v>78</v>
      </c>
      <c r="AK67" t="s">
        <v>78</v>
      </c>
      <c r="AL67" t="s">
        <v>79</v>
      </c>
      <c r="AP67">
        <v>661618531</v>
      </c>
      <c r="AQ67" t="s">
        <v>522</v>
      </c>
    </row>
    <row r="68" spans="1:67" x14ac:dyDescent="0.2">
      <c r="A68" t="s">
        <v>521</v>
      </c>
      <c r="B68" t="s">
        <v>523</v>
      </c>
      <c r="D68" t="s">
        <v>72</v>
      </c>
      <c r="E68" t="s">
        <v>96</v>
      </c>
      <c r="F68" t="s">
        <v>423</v>
      </c>
      <c r="G68" t="s">
        <v>424</v>
      </c>
      <c r="H68" t="s">
        <v>425</v>
      </c>
      <c r="I68" t="s">
        <v>426</v>
      </c>
      <c r="K68">
        <v>18</v>
      </c>
      <c r="L68">
        <f>IFERROR(VLOOKUP(K68,'Tables new'!$A:$C,3,FALSE),"")</f>
        <v>37</v>
      </c>
      <c r="M68" t="str">
        <f>VLOOKUP(K68,CAT_JOUEUR,2,FALSE)</f>
        <v>U 9 F</v>
      </c>
      <c r="N68">
        <v>18</v>
      </c>
      <c r="O68">
        <f>IFERROR(VLOOKUP(N68,'Tables new'!$A:$C,3,FALSE),"")</f>
        <v>37</v>
      </c>
      <c r="P68" t="str">
        <f>VLOOKUP(N68,CAT_JOUEUR,2,FALSE)</f>
        <v>U 9 F</v>
      </c>
      <c r="V68" t="s">
        <v>113</v>
      </c>
      <c r="AA68" t="s">
        <v>155</v>
      </c>
      <c r="AF68" t="s">
        <v>223</v>
      </c>
      <c r="AI68">
        <v>45863</v>
      </c>
      <c r="AJ68">
        <v>2030</v>
      </c>
      <c r="AK68">
        <v>43335</v>
      </c>
      <c r="AL68" t="s">
        <v>524</v>
      </c>
      <c r="AO68" t="s">
        <v>525</v>
      </c>
      <c r="AP68" t="s">
        <v>526</v>
      </c>
      <c r="AQ68" t="s">
        <v>427</v>
      </c>
    </row>
    <row r="69" spans="1:67" x14ac:dyDescent="0.2">
      <c r="A69" t="s">
        <v>527</v>
      </c>
      <c r="B69" t="s">
        <v>528</v>
      </c>
      <c r="D69" t="s">
        <v>72</v>
      </c>
      <c r="E69" t="s">
        <v>96</v>
      </c>
      <c r="F69" t="s">
        <v>529</v>
      </c>
      <c r="G69" t="s">
        <v>530</v>
      </c>
      <c r="H69" t="s">
        <v>531</v>
      </c>
      <c r="I69" t="s">
        <v>532</v>
      </c>
      <c r="K69">
        <v>980</v>
      </c>
      <c r="L69">
        <f>IFERROR(VLOOKUP(K69,'Tables new'!$A:$C,3,FALSE),"")</f>
        <v>63</v>
      </c>
      <c r="M69" t="str">
        <f>VLOOKUP(K69,CAT_JOUEUR,2,FALSE)</f>
        <v>sponsor, veut garder licence</v>
      </c>
      <c r="N69">
        <v>1</v>
      </c>
      <c r="O69">
        <f>IFERROR(VLOOKUP(N69,'Tables new'!$A:$C,3,FALSE),"")</f>
        <v>2</v>
      </c>
      <c r="P69" t="str">
        <f>VLOOKUP(N69,CAT_JOUEUR,2,FALSE)</f>
        <v>Officiel H</v>
      </c>
      <c r="AB69" t="s">
        <v>533</v>
      </c>
      <c r="AH69">
        <v>28430</v>
      </c>
      <c r="AI69">
        <v>28430</v>
      </c>
      <c r="AJ69" t="s">
        <v>534</v>
      </c>
      <c r="AK69">
        <v>22841</v>
      </c>
      <c r="AL69" t="s">
        <v>79</v>
      </c>
      <c r="AN69" t="s">
        <v>535</v>
      </c>
      <c r="AP69" t="s">
        <v>536</v>
      </c>
      <c r="AQ69" t="s">
        <v>537</v>
      </c>
      <c r="AY69" t="s">
        <v>538</v>
      </c>
      <c r="BA69" t="s">
        <v>137</v>
      </c>
      <c r="BB69" t="s">
        <v>137</v>
      </c>
      <c r="BC69" t="s">
        <v>138</v>
      </c>
      <c r="BD69" t="s">
        <v>538</v>
      </c>
      <c r="BO69" t="s">
        <v>539</v>
      </c>
    </row>
    <row r="70" spans="1:67" x14ac:dyDescent="0.2">
      <c r="A70" t="s">
        <v>540</v>
      </c>
      <c r="B70" t="s">
        <v>541</v>
      </c>
      <c r="D70" t="s">
        <v>72</v>
      </c>
      <c r="E70" t="s">
        <v>96</v>
      </c>
      <c r="F70" t="s">
        <v>529</v>
      </c>
      <c r="G70" t="s">
        <v>530</v>
      </c>
      <c r="H70" t="s">
        <v>531</v>
      </c>
      <c r="I70" t="s">
        <v>532</v>
      </c>
      <c r="K70">
        <v>980</v>
      </c>
      <c r="L70">
        <f>IFERROR(VLOOKUP(K70,'Tables new'!$A:$C,3,FALSE),"")</f>
        <v>63</v>
      </c>
      <c r="M70" t="str">
        <f>VLOOKUP(K70,CAT_JOUEUR,2,FALSE)</f>
        <v>sponsor, veut garder licence</v>
      </c>
      <c r="N70">
        <v>19</v>
      </c>
      <c r="O70">
        <f>IFERROR(VLOOKUP(N70,'Tables new'!$A:$C,3,FALSE),"")</f>
        <v>38</v>
      </c>
      <c r="P70" t="str">
        <f>VLOOKUP(N70,CAT_JOUEUR,2,FALSE)</f>
        <v>Vétérans - FE</v>
      </c>
      <c r="AA70" t="s">
        <v>542</v>
      </c>
      <c r="AB70" t="s">
        <v>543</v>
      </c>
      <c r="AH70">
        <v>34895</v>
      </c>
      <c r="AI70">
        <v>31017</v>
      </c>
      <c r="AJ70" t="s">
        <v>534</v>
      </c>
      <c r="AK70">
        <v>23869</v>
      </c>
      <c r="AL70" t="s">
        <v>79</v>
      </c>
      <c r="AN70" t="s">
        <v>544</v>
      </c>
      <c r="AP70" t="s">
        <v>545</v>
      </c>
      <c r="AQ70" t="s">
        <v>546</v>
      </c>
      <c r="AY70" t="s">
        <v>538</v>
      </c>
      <c r="BA70" t="s">
        <v>137</v>
      </c>
      <c r="BB70" t="s">
        <v>137</v>
      </c>
      <c r="BC70" t="s">
        <v>138</v>
      </c>
      <c r="BD70" t="s">
        <v>538</v>
      </c>
      <c r="BO70" t="s">
        <v>547</v>
      </c>
    </row>
    <row r="71" spans="1:67" x14ac:dyDescent="0.2">
      <c r="A71" t="s">
        <v>548</v>
      </c>
      <c r="B71" t="s">
        <v>549</v>
      </c>
      <c r="D71" t="s">
        <v>72</v>
      </c>
      <c r="E71" t="s">
        <v>96</v>
      </c>
      <c r="F71" t="s">
        <v>550</v>
      </c>
      <c r="G71" t="s">
        <v>551</v>
      </c>
      <c r="H71" t="s">
        <v>108</v>
      </c>
      <c r="I71" t="s">
        <v>552</v>
      </c>
      <c r="K71">
        <v>212</v>
      </c>
      <c r="L71">
        <f>IFERROR(VLOOKUP(K71,'Tables new'!$A:$C,3,FALSE),"")</f>
        <v>70</v>
      </c>
      <c r="M71" t="str">
        <f>VLOOKUP(K71,CAT_JOUEUR,2,FALSE)</f>
        <v>Contact famille</v>
      </c>
      <c r="N71">
        <v>212</v>
      </c>
      <c r="O71">
        <f>IFERROR(VLOOKUP(N71,'Tables new'!$A:$C,3,FALSE),"")</f>
        <v>70</v>
      </c>
      <c r="P71" t="str">
        <f>VLOOKUP(N71,CAT_JOUEUR,2,FALSE)</f>
        <v>Contact famille</v>
      </c>
      <c r="U71" t="s">
        <v>89</v>
      </c>
      <c r="W71" t="s">
        <v>89</v>
      </c>
      <c r="AH71" t="s">
        <v>78</v>
      </c>
      <c r="AI71" t="s">
        <v>78</v>
      </c>
      <c r="AJ71" t="s">
        <v>78</v>
      </c>
      <c r="AK71" t="s">
        <v>78</v>
      </c>
      <c r="AL71" t="s">
        <v>79</v>
      </c>
      <c r="AP71">
        <v>691474110</v>
      </c>
      <c r="AQ71" t="s">
        <v>553</v>
      </c>
    </row>
    <row r="72" spans="1:67" x14ac:dyDescent="0.2">
      <c r="A72" t="s">
        <v>554</v>
      </c>
      <c r="B72" t="s">
        <v>555</v>
      </c>
      <c r="D72" t="s">
        <v>72</v>
      </c>
      <c r="E72" t="s">
        <v>556</v>
      </c>
      <c r="F72" t="s">
        <v>557</v>
      </c>
      <c r="G72" t="s">
        <v>558</v>
      </c>
      <c r="H72" t="s">
        <v>559</v>
      </c>
      <c r="I72" t="s">
        <v>560</v>
      </c>
      <c r="K72">
        <v>212</v>
      </c>
      <c r="L72">
        <f>IFERROR(VLOOKUP(K72,'Tables new'!$A:$C,3,FALSE),"")</f>
        <v>70</v>
      </c>
      <c r="M72" t="str">
        <f>VLOOKUP(K72,CAT_JOUEUR,2,FALSE)</f>
        <v>Contact famille</v>
      </c>
      <c r="N72">
        <v>212</v>
      </c>
      <c r="O72">
        <f>IFERROR(VLOOKUP(N72,'Tables new'!$A:$C,3,FALSE),"")</f>
        <v>70</v>
      </c>
      <c r="P72" t="str">
        <f>VLOOKUP(N72,CAT_JOUEUR,2,FALSE)</f>
        <v>Contact famille</v>
      </c>
      <c r="V72" t="s">
        <v>89</v>
      </c>
      <c r="AH72" t="s">
        <v>78</v>
      </c>
      <c r="AI72" t="s">
        <v>78</v>
      </c>
      <c r="AJ72" t="s">
        <v>78</v>
      </c>
      <c r="AL72" t="s">
        <v>79</v>
      </c>
      <c r="AN72" t="s">
        <v>208</v>
      </c>
      <c r="AP72">
        <v>621546945</v>
      </c>
      <c r="AQ72" t="s">
        <v>561</v>
      </c>
    </row>
    <row r="73" spans="1:67" x14ac:dyDescent="0.2">
      <c r="A73" t="s">
        <v>562</v>
      </c>
      <c r="B73" t="s">
        <v>563</v>
      </c>
      <c r="D73" t="s">
        <v>72</v>
      </c>
      <c r="E73" t="s">
        <v>96</v>
      </c>
      <c r="F73" t="s">
        <v>190</v>
      </c>
      <c r="G73" t="s">
        <v>191</v>
      </c>
      <c r="H73" t="s">
        <v>192</v>
      </c>
      <c r="I73" t="s">
        <v>193</v>
      </c>
      <c r="K73">
        <v>212</v>
      </c>
      <c r="L73">
        <f>IFERROR(VLOOKUP(K73,'Tables new'!$A:$C,3,FALSE),"")</f>
        <v>70</v>
      </c>
      <c r="M73" t="str">
        <f>VLOOKUP(K73,CAT_JOUEUR,2,FALSE)</f>
        <v>Contact famille</v>
      </c>
      <c r="N73">
        <v>212</v>
      </c>
      <c r="O73">
        <f>IFERROR(VLOOKUP(N73,'Tables new'!$A:$C,3,FALSE),"")</f>
        <v>70</v>
      </c>
      <c r="P73" t="str">
        <f>VLOOKUP(N73,CAT_JOUEUR,2,FALSE)</f>
        <v>Contact famille</v>
      </c>
      <c r="T73" t="s">
        <v>89</v>
      </c>
      <c r="AH73" t="s">
        <v>78</v>
      </c>
      <c r="AI73" t="s">
        <v>78</v>
      </c>
      <c r="AJ73" t="s">
        <v>78</v>
      </c>
      <c r="AK73" t="s">
        <v>78</v>
      </c>
      <c r="AL73" t="s">
        <v>79</v>
      </c>
      <c r="AP73">
        <v>661699000</v>
      </c>
      <c r="AQ73" t="s">
        <v>201</v>
      </c>
    </row>
    <row r="74" spans="1:67" x14ac:dyDescent="0.2">
      <c r="A74" t="s">
        <v>564</v>
      </c>
      <c r="B74" t="s">
        <v>565</v>
      </c>
      <c r="D74" t="s">
        <v>72</v>
      </c>
      <c r="E74" t="s">
        <v>566</v>
      </c>
      <c r="F74" t="s">
        <v>567</v>
      </c>
      <c r="G74" t="s">
        <v>568</v>
      </c>
      <c r="H74" t="s">
        <v>559</v>
      </c>
      <c r="I74" t="s">
        <v>569</v>
      </c>
      <c r="K74">
        <v>212</v>
      </c>
      <c r="L74">
        <f>IFERROR(VLOOKUP(K74,'Tables new'!$A:$C,3,FALSE),"")</f>
        <v>70</v>
      </c>
      <c r="M74" t="str">
        <f>VLOOKUP(K74,CAT_JOUEUR,2,FALSE)</f>
        <v>Contact famille</v>
      </c>
      <c r="N74">
        <v>212</v>
      </c>
      <c r="O74">
        <f>IFERROR(VLOOKUP(N74,'Tables new'!$A:$C,3,FALSE),"")</f>
        <v>70</v>
      </c>
      <c r="P74" t="str">
        <f>VLOOKUP(N74,CAT_JOUEUR,2,FALSE)</f>
        <v>Contact famille</v>
      </c>
      <c r="W74" t="s">
        <v>89</v>
      </c>
      <c r="AH74" t="s">
        <v>78</v>
      </c>
      <c r="AI74" t="s">
        <v>78</v>
      </c>
      <c r="AJ74" t="s">
        <v>78</v>
      </c>
      <c r="AK74">
        <v>31067</v>
      </c>
      <c r="AL74" t="s">
        <v>570</v>
      </c>
      <c r="AP74">
        <v>621488144</v>
      </c>
      <c r="AQ74" t="s">
        <v>571</v>
      </c>
    </row>
    <row r="75" spans="1:67" x14ac:dyDescent="0.2">
      <c r="A75" t="s">
        <v>572</v>
      </c>
      <c r="B75" t="s">
        <v>573</v>
      </c>
      <c r="D75" t="s">
        <v>72</v>
      </c>
      <c r="E75" t="s">
        <v>123</v>
      </c>
      <c r="F75" t="s">
        <v>567</v>
      </c>
      <c r="G75" t="s">
        <v>574</v>
      </c>
      <c r="H75" t="s">
        <v>559</v>
      </c>
      <c r="I75" t="s">
        <v>569</v>
      </c>
      <c r="K75">
        <v>21</v>
      </c>
      <c r="L75">
        <f>IFERROR(VLOOKUP(K75,'Tables new'!$A:$C,3,FALSE),"")</f>
        <v>18</v>
      </c>
      <c r="M75" t="str">
        <f>VLOOKUP(K75,CAT_JOUEUR,2,FALSE)</f>
        <v>U7 Mixte</v>
      </c>
      <c r="N75">
        <v>21</v>
      </c>
      <c r="O75">
        <f>IFERROR(VLOOKUP(N75,'Tables new'!$A:$C,3,FALSE),"")</f>
        <v>18</v>
      </c>
      <c r="P75" t="str">
        <f>VLOOKUP(N75,CAT_JOUEUR,2,FALSE)</f>
        <v>U7 Mixte</v>
      </c>
      <c r="W75" t="s">
        <v>113</v>
      </c>
      <c r="AA75" t="s">
        <v>575</v>
      </c>
      <c r="AH75">
        <v>45359</v>
      </c>
      <c r="AI75">
        <v>45308</v>
      </c>
      <c r="AJ75">
        <v>2029</v>
      </c>
      <c r="AK75">
        <v>44569</v>
      </c>
      <c r="AL75" t="s">
        <v>576</v>
      </c>
      <c r="AO75" t="s">
        <v>577</v>
      </c>
      <c r="AP75" t="s">
        <v>578</v>
      </c>
      <c r="AQ75" t="s">
        <v>579</v>
      </c>
    </row>
    <row r="76" spans="1:67" x14ac:dyDescent="0.2">
      <c r="A76" t="s">
        <v>580</v>
      </c>
      <c r="B76" t="s">
        <v>581</v>
      </c>
      <c r="D76" t="s">
        <v>72</v>
      </c>
      <c r="E76" t="s">
        <v>96</v>
      </c>
      <c r="F76" t="s">
        <v>582</v>
      </c>
      <c r="G76" t="s">
        <v>583</v>
      </c>
      <c r="H76" t="s">
        <v>584</v>
      </c>
      <c r="I76" t="s">
        <v>145</v>
      </c>
      <c r="K76">
        <v>9</v>
      </c>
      <c r="L76">
        <f>IFERROR(VLOOKUP(K76,'Tables new'!$A:$C,3,FALSE),"")</f>
        <v>20</v>
      </c>
      <c r="M76" t="str">
        <f>VLOOKUP(K76,CAT_JOUEUR,2,FALSE)</f>
        <v>Vétérans - HO</v>
      </c>
      <c r="N76">
        <v>9</v>
      </c>
      <c r="O76">
        <f>IFERROR(VLOOKUP(N76,'Tables new'!$A:$C,3,FALSE),"")</f>
        <v>20</v>
      </c>
      <c r="P76" t="str">
        <f>VLOOKUP(N76,CAT_JOUEUR,2,FALSE)</f>
        <v>Vétérans - HO</v>
      </c>
      <c r="AA76" t="s">
        <v>585</v>
      </c>
      <c r="AH76">
        <v>45629</v>
      </c>
      <c r="AI76">
        <v>45556</v>
      </c>
      <c r="AJ76" t="s">
        <v>586</v>
      </c>
      <c r="AK76">
        <v>21705</v>
      </c>
      <c r="AL76" t="s">
        <v>587</v>
      </c>
      <c r="AP76">
        <v>621707761</v>
      </c>
      <c r="AQ76" t="s">
        <v>588</v>
      </c>
    </row>
    <row r="77" spans="1:67" x14ac:dyDescent="0.2">
      <c r="A77" t="s">
        <v>580</v>
      </c>
      <c r="B77" t="s">
        <v>589</v>
      </c>
      <c r="D77" t="s">
        <v>72</v>
      </c>
      <c r="E77" t="s">
        <v>96</v>
      </c>
      <c r="F77" t="s">
        <v>590</v>
      </c>
      <c r="G77" t="s">
        <v>591</v>
      </c>
      <c r="H77" t="s">
        <v>592</v>
      </c>
      <c r="I77" t="s">
        <v>145</v>
      </c>
      <c r="K77">
        <v>12</v>
      </c>
      <c r="L77">
        <v>31</v>
      </c>
      <c r="M77" t="s">
        <v>265</v>
      </c>
      <c r="N77">
        <v>12</v>
      </c>
      <c r="O77">
        <f>IFERROR(VLOOKUP(N77,'Tables new'!$A:$C,3,FALSE),"")</f>
        <v>31</v>
      </c>
      <c r="P77" t="str">
        <f>VLOOKUP(N77,CAT_JOUEUR,2,FALSE)</f>
        <v>Femmes</v>
      </c>
      <c r="AA77" t="s">
        <v>593</v>
      </c>
      <c r="AH77">
        <v>44575</v>
      </c>
      <c r="AI77">
        <v>44873</v>
      </c>
      <c r="AJ77">
        <v>2023</v>
      </c>
      <c r="AK77">
        <v>34013</v>
      </c>
      <c r="AL77" t="s">
        <v>594</v>
      </c>
      <c r="AP77">
        <v>691746426</v>
      </c>
      <c r="AQ77" t="s">
        <v>595</v>
      </c>
    </row>
    <row r="78" spans="1:67" x14ac:dyDescent="0.2">
      <c r="A78" t="s">
        <v>596</v>
      </c>
      <c r="B78" t="s">
        <v>597</v>
      </c>
      <c r="D78" t="s">
        <v>72</v>
      </c>
      <c r="E78" t="s">
        <v>96</v>
      </c>
      <c r="F78" t="s">
        <v>598</v>
      </c>
      <c r="G78" t="s">
        <v>599</v>
      </c>
      <c r="H78" t="s">
        <v>132</v>
      </c>
      <c r="I78" t="s">
        <v>600</v>
      </c>
      <c r="K78">
        <v>212</v>
      </c>
      <c r="L78">
        <f>IFERROR(VLOOKUP(K78,'Tables new'!$A:$C,3,FALSE),"")</f>
        <v>70</v>
      </c>
      <c r="M78" t="str">
        <f>VLOOKUP(K78,CAT_JOUEUR,2,FALSE)</f>
        <v>Contact famille</v>
      </c>
      <c r="N78">
        <v>212</v>
      </c>
      <c r="O78">
        <f>IFERROR(VLOOKUP(N78,'Tables new'!$A:$C,3,FALSE),"")</f>
        <v>70</v>
      </c>
      <c r="P78" t="str">
        <f>VLOOKUP(N78,CAT_JOUEUR,2,FALSE)</f>
        <v>Contact famille</v>
      </c>
      <c r="W78" t="s">
        <v>89</v>
      </c>
      <c r="AH78" t="s">
        <v>78</v>
      </c>
      <c r="AI78" t="s">
        <v>78</v>
      </c>
      <c r="AJ78" t="s">
        <v>78</v>
      </c>
      <c r="AK78" t="s">
        <v>78</v>
      </c>
      <c r="AL78" t="s">
        <v>79</v>
      </c>
    </row>
    <row r="79" spans="1:67" x14ac:dyDescent="0.2">
      <c r="A79" t="s">
        <v>601</v>
      </c>
      <c r="B79" t="s">
        <v>602</v>
      </c>
      <c r="D79" t="s">
        <v>72</v>
      </c>
      <c r="E79" t="s">
        <v>96</v>
      </c>
      <c r="F79" t="s">
        <v>603</v>
      </c>
      <c r="G79" t="s">
        <v>455</v>
      </c>
      <c r="H79" t="s">
        <v>456</v>
      </c>
      <c r="I79" t="s">
        <v>604</v>
      </c>
      <c r="K79">
        <v>5</v>
      </c>
      <c r="L79">
        <f>IFERROR(VLOOKUP(K79,'Tables new'!$A:$C,3,FALSE),"")</f>
        <v>14</v>
      </c>
      <c r="M79" t="str">
        <f>VLOOKUP(K79,CAT_JOUEUR,2,FALSE)</f>
        <v>U 15 H</v>
      </c>
      <c r="N79">
        <v>5</v>
      </c>
      <c r="O79">
        <f>IFERROR(VLOOKUP(N79,'Tables new'!$A:$C,3,FALSE),"")</f>
        <v>14</v>
      </c>
      <c r="P79" t="str">
        <f>VLOOKUP(N79,CAT_JOUEUR,2,FALSE)</f>
        <v>U 15 H</v>
      </c>
      <c r="S79" t="s">
        <v>113</v>
      </c>
      <c r="AA79" t="s">
        <v>605</v>
      </c>
      <c r="AH79">
        <v>44622</v>
      </c>
      <c r="AI79">
        <v>44584</v>
      </c>
      <c r="AJ79">
        <v>2028</v>
      </c>
      <c r="AK79">
        <v>41499</v>
      </c>
      <c r="AL79" t="s">
        <v>606</v>
      </c>
      <c r="AN79" t="s">
        <v>607</v>
      </c>
      <c r="AO79" t="s">
        <v>608</v>
      </c>
      <c r="AP79" t="s">
        <v>609</v>
      </c>
      <c r="AQ79" t="s">
        <v>610</v>
      </c>
    </row>
    <row r="80" spans="1:67" x14ac:dyDescent="0.2">
      <c r="A80" t="s">
        <v>601</v>
      </c>
      <c r="B80" t="s">
        <v>611</v>
      </c>
      <c r="D80" t="s">
        <v>72</v>
      </c>
      <c r="E80" t="s">
        <v>96</v>
      </c>
      <c r="F80" t="s">
        <v>603</v>
      </c>
      <c r="G80" t="s">
        <v>455</v>
      </c>
      <c r="H80" t="s">
        <v>456</v>
      </c>
      <c r="I80" t="s">
        <v>604</v>
      </c>
      <c r="K80">
        <v>6</v>
      </c>
      <c r="L80">
        <f>IFERROR(VLOOKUP(K80,'Tables new'!$A:$C,3,FALSE),"")</f>
        <v>15</v>
      </c>
      <c r="M80" t="str">
        <f>VLOOKUP(K80,CAT_JOUEUR,2,FALSE)</f>
        <v>U 13 H</v>
      </c>
      <c r="N80">
        <v>6</v>
      </c>
      <c r="O80">
        <f>IFERROR(VLOOKUP(N80,'Tables new'!$A:$C,3,FALSE),"")</f>
        <v>15</v>
      </c>
      <c r="P80" t="str">
        <f>VLOOKUP(N80,CAT_JOUEUR,2,FALSE)</f>
        <v>U 13 H</v>
      </c>
      <c r="T80" t="s">
        <v>113</v>
      </c>
      <c r="AA80" t="s">
        <v>612</v>
      </c>
      <c r="AH80">
        <v>44587</v>
      </c>
      <c r="AI80">
        <v>44584</v>
      </c>
      <c r="AJ80">
        <v>2027</v>
      </c>
      <c r="AK80">
        <v>42187</v>
      </c>
      <c r="AL80" t="s">
        <v>613</v>
      </c>
      <c r="AN80" t="s">
        <v>607</v>
      </c>
      <c r="AO80" t="s">
        <v>608</v>
      </c>
      <c r="AP80" t="s">
        <v>609</v>
      </c>
      <c r="AQ80" t="s">
        <v>610</v>
      </c>
    </row>
    <row r="81" spans="1:67" x14ac:dyDescent="0.2">
      <c r="A81" t="s">
        <v>601</v>
      </c>
      <c r="B81" t="s">
        <v>614</v>
      </c>
      <c r="D81" t="s">
        <v>72</v>
      </c>
      <c r="E81" t="s">
        <v>96</v>
      </c>
      <c r="F81" t="s">
        <v>603</v>
      </c>
      <c r="G81" t="s">
        <v>455</v>
      </c>
      <c r="H81" t="s">
        <v>456</v>
      </c>
      <c r="I81" t="s">
        <v>604</v>
      </c>
      <c r="K81">
        <v>212</v>
      </c>
      <c r="L81">
        <f>IFERROR(VLOOKUP(K81,'Tables new'!$A:$C,3,FALSE),"")</f>
        <v>70</v>
      </c>
      <c r="M81" t="str">
        <f>VLOOKUP(K81,CAT_JOUEUR,2,FALSE)</f>
        <v>Contact famille</v>
      </c>
      <c r="N81">
        <v>212</v>
      </c>
      <c r="O81">
        <f>IFERROR(VLOOKUP(N81,'Tables new'!$A:$C,3,FALSE),"")</f>
        <v>70</v>
      </c>
      <c r="P81" t="str">
        <f>VLOOKUP(N81,CAT_JOUEUR,2,FALSE)</f>
        <v>Contact famille</v>
      </c>
      <c r="S81" t="s">
        <v>89</v>
      </c>
      <c r="T81" t="s">
        <v>89</v>
      </c>
      <c r="AH81" t="s">
        <v>78</v>
      </c>
      <c r="AI81" t="s">
        <v>78</v>
      </c>
      <c r="AJ81" t="s">
        <v>78</v>
      </c>
      <c r="AK81" t="s">
        <v>78</v>
      </c>
      <c r="AL81" t="s">
        <v>79</v>
      </c>
      <c r="AN81" t="s">
        <v>607</v>
      </c>
      <c r="AP81">
        <v>621753140</v>
      </c>
      <c r="AQ81" t="s">
        <v>615</v>
      </c>
    </row>
    <row r="82" spans="1:67" x14ac:dyDescent="0.2">
      <c r="A82" t="s">
        <v>616</v>
      </c>
      <c r="B82" t="s">
        <v>617</v>
      </c>
      <c r="D82" t="s">
        <v>72</v>
      </c>
      <c r="E82" t="s">
        <v>96</v>
      </c>
      <c r="F82" t="s">
        <v>618</v>
      </c>
      <c r="G82" t="s">
        <v>619</v>
      </c>
      <c r="H82" t="s">
        <v>620</v>
      </c>
      <c r="I82" t="s">
        <v>621</v>
      </c>
      <c r="K82">
        <v>212</v>
      </c>
      <c r="L82">
        <f>IFERROR(VLOOKUP(K82,'Tables new'!$A:$C,3,FALSE),"")</f>
        <v>70</v>
      </c>
      <c r="M82" t="str">
        <f>VLOOKUP(K82,CAT_JOUEUR,2,FALSE)</f>
        <v>Contact famille</v>
      </c>
      <c r="N82">
        <v>212</v>
      </c>
      <c r="O82">
        <f>IFERROR(VLOOKUP(N82,'Tables new'!$A:$C,3,FALSE),"")</f>
        <v>70</v>
      </c>
      <c r="P82" t="str">
        <f>VLOOKUP(N82,CAT_JOUEUR,2,FALSE)</f>
        <v>Contact famille</v>
      </c>
      <c r="T82" t="s">
        <v>89</v>
      </c>
      <c r="V82" t="s">
        <v>89</v>
      </c>
      <c r="AH82" t="s">
        <v>78</v>
      </c>
      <c r="AI82" t="s">
        <v>78</v>
      </c>
      <c r="AJ82" t="s">
        <v>78</v>
      </c>
      <c r="AK82" t="s">
        <v>78</v>
      </c>
      <c r="AL82" t="s">
        <v>79</v>
      </c>
      <c r="AP82">
        <v>621683434</v>
      </c>
      <c r="AQ82" t="s">
        <v>622</v>
      </c>
    </row>
    <row r="83" spans="1:67" x14ac:dyDescent="0.2">
      <c r="A83" t="s">
        <v>616</v>
      </c>
      <c r="B83" t="s">
        <v>319</v>
      </c>
      <c r="D83" t="s">
        <v>72</v>
      </c>
      <c r="E83" t="s">
        <v>96</v>
      </c>
      <c r="F83" t="s">
        <v>618</v>
      </c>
      <c r="G83" t="s">
        <v>619</v>
      </c>
      <c r="H83" t="s">
        <v>620</v>
      </c>
      <c r="I83" t="s">
        <v>621</v>
      </c>
      <c r="K83">
        <v>6</v>
      </c>
      <c r="L83">
        <f>IFERROR(VLOOKUP(K83,'Tables new'!$A:$C,3,FALSE),"")</f>
        <v>15</v>
      </c>
      <c r="M83" t="str">
        <f>VLOOKUP(K83,CAT_JOUEUR,2,FALSE)</f>
        <v>U 13 H</v>
      </c>
      <c r="N83">
        <v>6</v>
      </c>
      <c r="O83">
        <f>IFERROR(VLOOKUP(N83,'Tables new'!$A:$C,3,FALSE),"")</f>
        <v>15</v>
      </c>
      <c r="P83" t="str">
        <f>VLOOKUP(N83,CAT_JOUEUR,2,FALSE)</f>
        <v>U 13 H</v>
      </c>
      <c r="T83" t="s">
        <v>113</v>
      </c>
      <c r="AA83" t="s">
        <v>623</v>
      </c>
      <c r="AH83">
        <v>45776</v>
      </c>
      <c r="AI83">
        <v>45684</v>
      </c>
      <c r="AJ83">
        <v>2027</v>
      </c>
      <c r="AK83">
        <v>42298</v>
      </c>
      <c r="AL83" t="s">
        <v>624</v>
      </c>
      <c r="AO83" t="s">
        <v>625</v>
      </c>
      <c r="AP83" t="s">
        <v>626</v>
      </c>
      <c r="AQ83" t="s">
        <v>627</v>
      </c>
    </row>
    <row r="84" spans="1:67" x14ac:dyDescent="0.2">
      <c r="A84" t="s">
        <v>616</v>
      </c>
      <c r="B84" t="s">
        <v>322</v>
      </c>
      <c r="D84" t="s">
        <v>72</v>
      </c>
      <c r="E84" t="s">
        <v>96</v>
      </c>
      <c r="F84" t="s">
        <v>618</v>
      </c>
      <c r="G84" t="s">
        <v>619</v>
      </c>
      <c r="H84" t="s">
        <v>620</v>
      </c>
      <c r="I84" t="s">
        <v>621</v>
      </c>
      <c r="K84">
        <v>8</v>
      </c>
      <c r="L84">
        <f>IFERROR(VLOOKUP(K84,'Tables new'!$A:$C,3,FALSE),"")</f>
        <v>17</v>
      </c>
      <c r="M84" t="str">
        <f>VLOOKUP(K84,CAT_JOUEUR,2,FALSE)</f>
        <v>U 9 H</v>
      </c>
      <c r="N84">
        <v>8</v>
      </c>
      <c r="O84">
        <f>IFERROR(VLOOKUP(N84,'Tables new'!$A:$C,3,FALSE),"")</f>
        <v>17</v>
      </c>
      <c r="P84" t="str">
        <f>VLOOKUP(N84,CAT_JOUEUR,2,FALSE)</f>
        <v>U 9 H</v>
      </c>
      <c r="V84" t="s">
        <v>113</v>
      </c>
      <c r="AA84" t="s">
        <v>628</v>
      </c>
      <c r="AH84">
        <v>45278</v>
      </c>
      <c r="AI84">
        <v>45213</v>
      </c>
      <c r="AJ84">
        <v>2025</v>
      </c>
      <c r="AK84">
        <v>43286</v>
      </c>
      <c r="AL84" t="s">
        <v>629</v>
      </c>
      <c r="AO84" t="s">
        <v>625</v>
      </c>
      <c r="AP84" t="s">
        <v>626</v>
      </c>
      <c r="AQ84" t="s">
        <v>622</v>
      </c>
    </row>
    <row r="85" spans="1:67" x14ac:dyDescent="0.2">
      <c r="A85" t="s">
        <v>630</v>
      </c>
      <c r="B85" t="s">
        <v>631</v>
      </c>
      <c r="D85" t="s">
        <v>72</v>
      </c>
      <c r="E85" t="s">
        <v>96</v>
      </c>
      <c r="F85" t="s">
        <v>632</v>
      </c>
      <c r="G85" t="s">
        <v>633</v>
      </c>
      <c r="H85" t="s">
        <v>300</v>
      </c>
      <c r="I85" t="s">
        <v>634</v>
      </c>
      <c r="K85">
        <v>212</v>
      </c>
      <c r="L85">
        <f>IFERROR(VLOOKUP(K85,'Tables new'!$A:$C,3,FALSE),"")</f>
        <v>70</v>
      </c>
      <c r="M85" t="str">
        <f>VLOOKUP(K85,CAT_JOUEUR,2,FALSE)</f>
        <v>Contact famille</v>
      </c>
      <c r="N85">
        <v>212</v>
      </c>
      <c r="O85">
        <f>IFERROR(VLOOKUP(N85,'Tables new'!$A:$C,3,FALSE),"")</f>
        <v>70</v>
      </c>
      <c r="P85" t="str">
        <f>VLOOKUP(N85,CAT_JOUEUR,2,FALSE)</f>
        <v>Contact famille</v>
      </c>
      <c r="S85" t="s">
        <v>89</v>
      </c>
      <c r="T85" t="s">
        <v>89</v>
      </c>
      <c r="AB85" t="s">
        <v>155</v>
      </c>
      <c r="AC85" t="s">
        <v>155</v>
      </c>
      <c r="AF85" t="s">
        <v>223</v>
      </c>
      <c r="AH85" t="s">
        <v>78</v>
      </c>
      <c r="AI85" t="s">
        <v>78</v>
      </c>
      <c r="AJ85" t="s">
        <v>78</v>
      </c>
      <c r="AK85" t="s">
        <v>78</v>
      </c>
      <c r="AP85" t="s">
        <v>635</v>
      </c>
      <c r="AQ85" t="s">
        <v>636</v>
      </c>
      <c r="AY85" t="s">
        <v>637</v>
      </c>
      <c r="BA85" t="s">
        <v>136</v>
      </c>
      <c r="BB85" t="s">
        <v>271</v>
      </c>
      <c r="BD85" t="s">
        <v>638</v>
      </c>
    </row>
    <row r="86" spans="1:67" x14ac:dyDescent="0.2">
      <c r="A86" t="s">
        <v>639</v>
      </c>
      <c r="B86" t="s">
        <v>640</v>
      </c>
      <c r="D86" t="s">
        <v>72</v>
      </c>
      <c r="E86" t="s">
        <v>73</v>
      </c>
      <c r="F86" t="s">
        <v>74</v>
      </c>
      <c r="G86" t="s">
        <v>75</v>
      </c>
      <c r="H86" t="s">
        <v>76</v>
      </c>
      <c r="I86" t="s">
        <v>77</v>
      </c>
      <c r="K86">
        <v>3</v>
      </c>
      <c r="L86">
        <f>IFERROR(VLOOKUP(K86,'Tables new'!$A:$C,3,FALSE),"")</f>
        <v>12</v>
      </c>
      <c r="M86" t="str">
        <f>VLOOKUP(K86,CAT_JOUEUR,2,FALSE)</f>
        <v>U 21 HO</v>
      </c>
      <c r="N86">
        <v>3</v>
      </c>
      <c r="O86">
        <f>IFERROR(VLOOKUP(N86,'Tables new'!$A:$C,3,FALSE),"")</f>
        <v>12</v>
      </c>
      <c r="P86" t="str">
        <f>VLOOKUP(N86,CAT_JOUEUR,2,FALSE)</f>
        <v>U 21 HO</v>
      </c>
      <c r="AA86" t="s">
        <v>641</v>
      </c>
      <c r="AH86">
        <v>44984</v>
      </c>
      <c r="AI86">
        <v>44965</v>
      </c>
      <c r="AJ86">
        <v>2024</v>
      </c>
      <c r="AK86">
        <v>39914</v>
      </c>
      <c r="AL86" t="s">
        <v>642</v>
      </c>
      <c r="AP86">
        <v>661600600</v>
      </c>
      <c r="AQ86" t="s">
        <v>643</v>
      </c>
    </row>
    <row r="87" spans="1:67" x14ac:dyDescent="0.2">
      <c r="A87" t="s">
        <v>639</v>
      </c>
      <c r="B87" t="s">
        <v>644</v>
      </c>
      <c r="D87" t="s">
        <v>72</v>
      </c>
      <c r="E87" t="s">
        <v>96</v>
      </c>
      <c r="F87" t="s">
        <v>645</v>
      </c>
      <c r="G87" t="s">
        <v>646</v>
      </c>
      <c r="H87" t="s">
        <v>647</v>
      </c>
      <c r="I87" t="s">
        <v>77</v>
      </c>
      <c r="K87">
        <v>212</v>
      </c>
      <c r="L87">
        <f>IFERROR(VLOOKUP(K87,'Tables new'!$A:$C,3,FALSE),"")</f>
        <v>70</v>
      </c>
      <c r="M87" t="str">
        <f>VLOOKUP(K87,CAT_JOUEUR,2,FALSE)</f>
        <v>Contact famille</v>
      </c>
      <c r="N87">
        <v>212</v>
      </c>
      <c r="O87">
        <f>IFERROR(VLOOKUP(N87,'Tables new'!$A:$C,3,FALSE),"")</f>
        <v>70</v>
      </c>
      <c r="P87" t="str">
        <f>VLOOKUP(N87,CAT_JOUEUR,2,FALSE)</f>
        <v>Contact famille</v>
      </c>
      <c r="AH87" t="s">
        <v>78</v>
      </c>
      <c r="AI87" t="s">
        <v>78</v>
      </c>
      <c r="AJ87" t="s">
        <v>78</v>
      </c>
      <c r="AK87" t="s">
        <v>78</v>
      </c>
      <c r="AL87" t="s">
        <v>79</v>
      </c>
      <c r="AP87">
        <v>691434545</v>
      </c>
      <c r="AQ87" t="s">
        <v>648</v>
      </c>
    </row>
    <row r="88" spans="1:67" x14ac:dyDescent="0.2">
      <c r="A88" t="s">
        <v>649</v>
      </c>
      <c r="B88" t="s">
        <v>650</v>
      </c>
      <c r="D88" t="s">
        <v>72</v>
      </c>
      <c r="E88" t="s">
        <v>96</v>
      </c>
      <c r="F88" t="s">
        <v>651</v>
      </c>
      <c r="G88" t="s">
        <v>652</v>
      </c>
      <c r="H88" t="s">
        <v>264</v>
      </c>
      <c r="I88" t="s">
        <v>653</v>
      </c>
      <c r="K88">
        <v>212</v>
      </c>
      <c r="L88">
        <f>IFERROR(VLOOKUP(K88,'Tables new'!$A:$C,3,FALSE),"")</f>
        <v>70</v>
      </c>
      <c r="M88" t="str">
        <f>VLOOKUP(K88,CAT_JOUEUR,2,FALSE)</f>
        <v>Contact famille</v>
      </c>
      <c r="N88">
        <v>212</v>
      </c>
      <c r="O88">
        <f>IFERROR(VLOOKUP(N88,'Tables new'!$A:$C,3,FALSE),"")</f>
        <v>70</v>
      </c>
      <c r="P88" t="str">
        <f>VLOOKUP(N88,CAT_JOUEUR,2,FALSE)</f>
        <v>Contact famille</v>
      </c>
      <c r="U88" t="s">
        <v>89</v>
      </c>
      <c r="AH88" t="s">
        <v>78</v>
      </c>
      <c r="AI88" t="s">
        <v>78</v>
      </c>
      <c r="AJ88" t="s">
        <v>78</v>
      </c>
      <c r="AK88" t="s">
        <v>78</v>
      </c>
      <c r="AL88" t="s">
        <v>79</v>
      </c>
      <c r="AP88" t="s">
        <v>654</v>
      </c>
      <c r="AQ88" t="s">
        <v>655</v>
      </c>
    </row>
    <row r="89" spans="1:67" x14ac:dyDescent="0.2">
      <c r="A89" t="s">
        <v>649</v>
      </c>
      <c r="B89" t="s">
        <v>656</v>
      </c>
      <c r="D89" t="s">
        <v>72</v>
      </c>
      <c r="E89" t="s">
        <v>96</v>
      </c>
      <c r="F89" t="s">
        <v>651</v>
      </c>
      <c r="G89" t="s">
        <v>263</v>
      </c>
      <c r="H89" t="s">
        <v>264</v>
      </c>
      <c r="I89" t="s">
        <v>653</v>
      </c>
      <c r="K89">
        <v>7</v>
      </c>
      <c r="L89">
        <f>IFERROR(VLOOKUP(K89,'Tables new'!$A:$C,3,FALSE),"")</f>
        <v>16</v>
      </c>
      <c r="M89" t="str">
        <f>VLOOKUP(K89,CAT_JOUEUR,2,FALSE)</f>
        <v>U 11 H</v>
      </c>
      <c r="N89">
        <v>7</v>
      </c>
      <c r="O89">
        <f>IFERROR(VLOOKUP(N89,'Tables new'!$A:$C,3,FALSE),"")</f>
        <v>16</v>
      </c>
      <c r="P89" t="str">
        <f>VLOOKUP(N89,CAT_JOUEUR,2,FALSE)</f>
        <v>U 11 H</v>
      </c>
      <c r="U89" t="s">
        <v>113</v>
      </c>
      <c r="AA89" t="s">
        <v>657</v>
      </c>
      <c r="AH89">
        <v>44344</v>
      </c>
      <c r="AI89">
        <v>44275</v>
      </c>
      <c r="AJ89">
        <v>2024</v>
      </c>
      <c r="AK89">
        <v>42792</v>
      </c>
      <c r="AL89" t="s">
        <v>658</v>
      </c>
      <c r="AO89" t="s">
        <v>659</v>
      </c>
      <c r="AP89" t="s">
        <v>660</v>
      </c>
      <c r="AQ89" t="s">
        <v>655</v>
      </c>
    </row>
    <row r="90" spans="1:67" x14ac:dyDescent="0.2">
      <c r="A90" t="s">
        <v>661</v>
      </c>
      <c r="B90" t="s">
        <v>662</v>
      </c>
      <c r="D90" t="s">
        <v>72</v>
      </c>
      <c r="E90" t="s">
        <v>96</v>
      </c>
      <c r="F90" t="s">
        <v>663</v>
      </c>
      <c r="G90" t="s">
        <v>448</v>
      </c>
      <c r="H90" t="s">
        <v>300</v>
      </c>
      <c r="I90" t="s">
        <v>145</v>
      </c>
      <c r="K90">
        <v>150</v>
      </c>
      <c r="L90">
        <f>IFERROR(VLOOKUP(K90,'Tables new'!$A:$C,3,FALSE),"")</f>
        <v>1</v>
      </c>
      <c r="M90" t="str">
        <f>VLOOKUP(K90,CAT_JOUEUR,2,FALSE)</f>
        <v>comité</v>
      </c>
      <c r="N90">
        <v>1</v>
      </c>
      <c r="O90">
        <f>IFERROR(VLOOKUP(N90,'Tables new'!$A:$C,3,FALSE),"")</f>
        <v>2</v>
      </c>
      <c r="P90" t="str">
        <f>VLOOKUP(N90,CAT_JOUEUR,2,FALSE)</f>
        <v>Officiel H</v>
      </c>
      <c r="AB90" t="s">
        <v>664</v>
      </c>
      <c r="AC90" t="s">
        <v>664</v>
      </c>
      <c r="AH90">
        <v>37172</v>
      </c>
      <c r="AI90">
        <v>37172</v>
      </c>
      <c r="AJ90" t="s">
        <v>534</v>
      </c>
      <c r="AK90">
        <v>22077</v>
      </c>
      <c r="AL90" t="s">
        <v>665</v>
      </c>
      <c r="AM90" t="s">
        <v>666</v>
      </c>
      <c r="AN90" t="s">
        <v>667</v>
      </c>
      <c r="AO90" t="s">
        <v>668</v>
      </c>
      <c r="AP90" t="s">
        <v>669</v>
      </c>
      <c r="AQ90" t="s">
        <v>670</v>
      </c>
      <c r="AU90" t="s">
        <v>671</v>
      </c>
      <c r="AW90" t="s">
        <v>672</v>
      </c>
      <c r="AX90" t="s">
        <v>673</v>
      </c>
      <c r="AY90" t="s">
        <v>674</v>
      </c>
      <c r="BA90" t="s">
        <v>136</v>
      </c>
      <c r="BB90" t="s">
        <v>137</v>
      </c>
      <c r="BC90" t="s">
        <v>138</v>
      </c>
      <c r="BD90">
        <v>50</v>
      </c>
      <c r="BO90" t="s">
        <v>675</v>
      </c>
    </row>
    <row r="91" spans="1:67" x14ac:dyDescent="0.2">
      <c r="A91" t="s">
        <v>676</v>
      </c>
      <c r="B91" t="s">
        <v>677</v>
      </c>
      <c r="D91" t="s">
        <v>104</v>
      </c>
      <c r="E91" t="s">
        <v>446</v>
      </c>
      <c r="F91" t="s">
        <v>447</v>
      </c>
      <c r="G91" t="s">
        <v>448</v>
      </c>
      <c r="H91" t="s">
        <v>300</v>
      </c>
      <c r="I91" t="s">
        <v>449</v>
      </c>
      <c r="K91">
        <v>6</v>
      </c>
      <c r="L91">
        <f>IFERROR(VLOOKUP(K91,'Tables new'!$A:$C,3,FALSE),"")</f>
        <v>15</v>
      </c>
      <c r="M91" t="str">
        <f>VLOOKUP(K91,CAT_JOUEUR,2,FALSE)</f>
        <v>U 13 H</v>
      </c>
      <c r="N91">
        <v>6</v>
      </c>
      <c r="O91">
        <f>IFERROR(VLOOKUP(N91,'Tables new'!$A:$C,3,FALSE),"")</f>
        <v>15</v>
      </c>
      <c r="P91" t="str">
        <f>VLOOKUP(N91,CAT_JOUEUR,2,FALSE)</f>
        <v>U 13 H</v>
      </c>
      <c r="T91" t="s">
        <v>113</v>
      </c>
      <c r="AA91" t="s">
        <v>678</v>
      </c>
      <c r="AH91">
        <v>44939</v>
      </c>
      <c r="AI91">
        <v>44936</v>
      </c>
      <c r="AJ91">
        <v>2026</v>
      </c>
      <c r="AK91">
        <v>41826</v>
      </c>
      <c r="AL91" t="s">
        <v>679</v>
      </c>
      <c r="AO91" t="s">
        <v>680</v>
      </c>
      <c r="AP91" t="s">
        <v>681</v>
      </c>
      <c r="AQ91" t="s">
        <v>451</v>
      </c>
    </row>
    <row r="92" spans="1:67" x14ac:dyDescent="0.2">
      <c r="A92" t="s">
        <v>676</v>
      </c>
      <c r="B92" t="s">
        <v>682</v>
      </c>
      <c r="D92" t="s">
        <v>104</v>
      </c>
      <c r="E92" t="s">
        <v>446</v>
      </c>
      <c r="F92" t="s">
        <v>683</v>
      </c>
      <c r="G92" t="s">
        <v>684</v>
      </c>
      <c r="H92" t="s">
        <v>132</v>
      </c>
      <c r="I92" t="s">
        <v>449</v>
      </c>
      <c r="K92">
        <v>212</v>
      </c>
      <c r="L92">
        <f>IFERROR(VLOOKUP(K92,'Tables new'!$A:$C,3,FALSE),"")</f>
        <v>70</v>
      </c>
      <c r="M92" t="str">
        <f>VLOOKUP(K92,CAT_JOUEUR,2,FALSE)</f>
        <v>Contact famille</v>
      </c>
      <c r="N92">
        <v>212</v>
      </c>
      <c r="O92">
        <f>IFERROR(VLOOKUP(N92,'Tables new'!$A:$C,3,FALSE),"")</f>
        <v>70</v>
      </c>
      <c r="P92" t="str">
        <f>VLOOKUP(N92,CAT_JOUEUR,2,FALSE)</f>
        <v>Contact famille</v>
      </c>
      <c r="T92" t="s">
        <v>89</v>
      </c>
      <c r="AH92" t="s">
        <v>78</v>
      </c>
      <c r="AI92" t="s">
        <v>78</v>
      </c>
      <c r="AJ92" t="s">
        <v>78</v>
      </c>
      <c r="AK92" t="s">
        <v>78</v>
      </c>
      <c r="AL92" t="s">
        <v>685</v>
      </c>
      <c r="AP92">
        <v>661664066</v>
      </c>
      <c r="AQ92" t="s">
        <v>686</v>
      </c>
    </row>
    <row r="93" spans="1:67" x14ac:dyDescent="0.2">
      <c r="A93" t="s">
        <v>687</v>
      </c>
      <c r="B93" t="s">
        <v>688</v>
      </c>
      <c r="D93" t="s">
        <v>72</v>
      </c>
      <c r="E93" t="s">
        <v>96</v>
      </c>
      <c r="F93" t="s">
        <v>689</v>
      </c>
      <c r="G93" t="s">
        <v>690</v>
      </c>
      <c r="H93" t="s">
        <v>559</v>
      </c>
      <c r="I93" t="s">
        <v>691</v>
      </c>
      <c r="K93">
        <v>11</v>
      </c>
      <c r="L93">
        <f>IFERROR(VLOOKUP(K93,'Tables new'!$A:$C,3,FALSE),"")</f>
        <v>4</v>
      </c>
      <c r="M93" t="str">
        <f>VLOOKUP(K93,CAT_JOUEUR,2,FALSE)</f>
        <v>Officiel FE</v>
      </c>
      <c r="N93">
        <v>11</v>
      </c>
      <c r="O93">
        <f>IFERROR(VLOOKUP(N93,'Tables new'!$A:$C,3,FALSE),"")</f>
        <v>4</v>
      </c>
      <c r="P93" t="str">
        <f>VLOOKUP(N93,CAT_JOUEUR,2,FALSE)</f>
        <v>Officiel FE</v>
      </c>
      <c r="AB93" t="s">
        <v>692</v>
      </c>
      <c r="AH93">
        <v>41456</v>
      </c>
      <c r="AI93">
        <v>41456</v>
      </c>
      <c r="AJ93" t="s">
        <v>534</v>
      </c>
      <c r="AK93">
        <v>19084</v>
      </c>
      <c r="AL93" t="s">
        <v>79</v>
      </c>
      <c r="AQ93" t="s">
        <v>693</v>
      </c>
      <c r="AV93" t="s">
        <v>468</v>
      </c>
      <c r="AY93" t="s">
        <v>637</v>
      </c>
      <c r="BA93" t="s">
        <v>92</v>
      </c>
      <c r="BB93" t="s">
        <v>137</v>
      </c>
      <c r="BC93" t="s">
        <v>694</v>
      </c>
      <c r="BD93" t="s">
        <v>638</v>
      </c>
      <c r="BO93" t="s">
        <v>695</v>
      </c>
    </row>
    <row r="94" spans="1:67" x14ac:dyDescent="0.2">
      <c r="A94" t="s">
        <v>696</v>
      </c>
      <c r="B94" t="s">
        <v>697</v>
      </c>
      <c r="D94" t="s">
        <v>72</v>
      </c>
      <c r="E94" t="s">
        <v>96</v>
      </c>
      <c r="F94" t="s">
        <v>698</v>
      </c>
      <c r="G94" t="s">
        <v>299</v>
      </c>
      <c r="H94" t="s">
        <v>300</v>
      </c>
      <c r="I94" t="s">
        <v>699</v>
      </c>
      <c r="K94">
        <v>212</v>
      </c>
      <c r="L94">
        <f>IFERROR(VLOOKUP(K94,'Tables new'!$A:$C,3,FALSE),"")</f>
        <v>70</v>
      </c>
      <c r="M94" t="str">
        <f>VLOOKUP(K94,CAT_JOUEUR,2,FALSE)</f>
        <v>Contact famille</v>
      </c>
      <c r="N94">
        <v>212</v>
      </c>
      <c r="O94">
        <f>IFERROR(VLOOKUP(N94,'Tables new'!$A:$C,3,FALSE),"")</f>
        <v>70</v>
      </c>
      <c r="P94" t="str">
        <f>VLOOKUP(N94,CAT_JOUEUR,2,FALSE)</f>
        <v>Contact famille</v>
      </c>
      <c r="S94" t="s">
        <v>89</v>
      </c>
      <c r="U94" t="s">
        <v>89</v>
      </c>
      <c r="AH94" t="s">
        <v>78</v>
      </c>
      <c r="AI94" t="s">
        <v>78</v>
      </c>
      <c r="AJ94" t="s">
        <v>78</v>
      </c>
      <c r="AK94" t="s">
        <v>78</v>
      </c>
      <c r="AL94" t="s">
        <v>79</v>
      </c>
      <c r="AP94">
        <v>661723316</v>
      </c>
      <c r="AQ94" t="s">
        <v>700</v>
      </c>
    </row>
    <row r="95" spans="1:67" x14ac:dyDescent="0.2">
      <c r="A95" t="s">
        <v>701</v>
      </c>
      <c r="B95" t="s">
        <v>702</v>
      </c>
      <c r="D95" t="s">
        <v>703</v>
      </c>
      <c r="E95" t="s">
        <v>96</v>
      </c>
      <c r="F95" t="s">
        <v>704</v>
      </c>
      <c r="G95" t="s">
        <v>705</v>
      </c>
      <c r="H95" t="s">
        <v>108</v>
      </c>
      <c r="I95" t="s">
        <v>706</v>
      </c>
      <c r="K95">
        <v>8</v>
      </c>
      <c r="L95">
        <f>IFERROR(VLOOKUP(K95,'Tables new'!$A:$C,3,FALSE),"")</f>
        <v>17</v>
      </c>
      <c r="M95" t="str">
        <f>VLOOKUP(K95,CAT_JOUEUR,2,FALSE)</f>
        <v>U 9 H</v>
      </c>
      <c r="N95">
        <v>8</v>
      </c>
      <c r="O95">
        <f>IFERROR(VLOOKUP(N95,'Tables new'!$A:$C,3,FALSE),"")</f>
        <v>17</v>
      </c>
      <c r="P95" t="str">
        <f>VLOOKUP(N95,CAT_JOUEUR,2,FALSE)</f>
        <v>U 9 H</v>
      </c>
      <c r="V95" t="s">
        <v>113</v>
      </c>
      <c r="AA95" t="s">
        <v>707</v>
      </c>
      <c r="AH95">
        <v>45036</v>
      </c>
      <c r="AI95">
        <v>44994</v>
      </c>
      <c r="AJ95">
        <v>2030</v>
      </c>
      <c r="AK95">
        <v>43143</v>
      </c>
      <c r="AL95" t="s">
        <v>708</v>
      </c>
      <c r="AO95" t="s">
        <v>709</v>
      </c>
      <c r="AP95" t="s">
        <v>710</v>
      </c>
      <c r="AQ95" t="s">
        <v>711</v>
      </c>
    </row>
    <row r="96" spans="1:67" x14ac:dyDescent="0.2">
      <c r="A96" t="s">
        <v>701</v>
      </c>
      <c r="B96" t="s">
        <v>712</v>
      </c>
      <c r="D96" t="s">
        <v>703</v>
      </c>
      <c r="E96" t="s">
        <v>96</v>
      </c>
      <c r="F96" t="s">
        <v>704</v>
      </c>
      <c r="G96" t="s">
        <v>705</v>
      </c>
      <c r="H96" t="s">
        <v>108</v>
      </c>
      <c r="I96" t="s">
        <v>706</v>
      </c>
      <c r="K96">
        <v>21</v>
      </c>
      <c r="L96">
        <f>IFERROR(VLOOKUP(K96,'Tables new'!$A:$C,3,FALSE),"")</f>
        <v>18</v>
      </c>
      <c r="M96" t="str">
        <f>VLOOKUP(K96,CAT_JOUEUR,2,FALSE)</f>
        <v>U7 Mixte</v>
      </c>
      <c r="N96">
        <v>21</v>
      </c>
      <c r="O96">
        <f>IFERROR(VLOOKUP(N96,'Tables new'!$A:$C,3,FALSE),"")</f>
        <v>18</v>
      </c>
      <c r="P96" t="str">
        <f>VLOOKUP(N96,CAT_JOUEUR,2,FALSE)</f>
        <v>U7 Mixte</v>
      </c>
      <c r="W96" t="s">
        <v>113</v>
      </c>
      <c r="AA96" t="s">
        <v>713</v>
      </c>
      <c r="AH96">
        <v>45036</v>
      </c>
      <c r="AI96">
        <v>44994</v>
      </c>
      <c r="AJ96">
        <v>2028</v>
      </c>
      <c r="AK96">
        <v>44206</v>
      </c>
      <c r="AL96" t="s">
        <v>714</v>
      </c>
      <c r="AO96" t="s">
        <v>709</v>
      </c>
      <c r="AP96" t="s">
        <v>710</v>
      </c>
      <c r="AQ96" t="s">
        <v>711</v>
      </c>
    </row>
    <row r="97" spans="1:67" x14ac:dyDescent="0.2">
      <c r="A97" t="s">
        <v>701</v>
      </c>
      <c r="B97" t="s">
        <v>715</v>
      </c>
      <c r="D97" t="s">
        <v>716</v>
      </c>
      <c r="E97" t="s">
        <v>717</v>
      </c>
      <c r="F97" t="s">
        <v>704</v>
      </c>
      <c r="G97" t="s">
        <v>705</v>
      </c>
      <c r="H97" t="s">
        <v>108</v>
      </c>
      <c r="I97" t="s">
        <v>706</v>
      </c>
      <c r="K97">
        <v>212</v>
      </c>
      <c r="L97">
        <f>IFERROR(VLOOKUP(K97,'Tables new'!$A:$C,3,FALSE),"")</f>
        <v>70</v>
      </c>
      <c r="M97" t="str">
        <f>VLOOKUP(K97,CAT_JOUEUR,2,FALSE)</f>
        <v>Contact famille</v>
      </c>
      <c r="N97">
        <v>212</v>
      </c>
      <c r="O97">
        <f>IFERROR(VLOOKUP(N97,'Tables new'!$A:$C,3,FALSE),"")</f>
        <v>70</v>
      </c>
      <c r="P97" t="str">
        <f>VLOOKUP(N97,CAT_JOUEUR,2,FALSE)</f>
        <v>Contact famille</v>
      </c>
      <c r="V97" t="s">
        <v>89</v>
      </c>
      <c r="W97" t="s">
        <v>89</v>
      </c>
      <c r="AH97" t="s">
        <v>78</v>
      </c>
      <c r="AI97" t="s">
        <v>78</v>
      </c>
      <c r="AJ97" t="s">
        <v>78</v>
      </c>
      <c r="AK97" t="s">
        <v>78</v>
      </c>
      <c r="AL97" t="s">
        <v>79</v>
      </c>
      <c r="AP97">
        <v>691673898</v>
      </c>
      <c r="AQ97" t="s">
        <v>718</v>
      </c>
    </row>
    <row r="98" spans="1:67" x14ac:dyDescent="0.2">
      <c r="A98" t="s">
        <v>719</v>
      </c>
      <c r="B98" t="s">
        <v>720</v>
      </c>
      <c r="D98" t="s">
        <v>72</v>
      </c>
      <c r="E98" t="s">
        <v>96</v>
      </c>
      <c r="F98" t="s">
        <v>721</v>
      </c>
      <c r="G98" t="s">
        <v>722</v>
      </c>
      <c r="H98" t="s">
        <v>108</v>
      </c>
      <c r="I98" t="s">
        <v>723</v>
      </c>
      <c r="K98">
        <v>15</v>
      </c>
      <c r="L98">
        <f>IFERROR(VLOOKUP(K98,'Tables new'!$A:$C,3,FALSE),"")</f>
        <v>35</v>
      </c>
      <c r="M98" t="str">
        <f>VLOOKUP(K98,CAT_JOUEUR,2,FALSE)</f>
        <v>U 13 F</v>
      </c>
      <c r="N98">
        <v>15</v>
      </c>
      <c r="O98">
        <f>IFERROR(VLOOKUP(N98,'Tables new'!$A:$C,3,FALSE),"")</f>
        <v>35</v>
      </c>
      <c r="P98" t="str">
        <f>VLOOKUP(N98,CAT_JOUEUR,2,FALSE)</f>
        <v>U 13 F</v>
      </c>
      <c r="Z98" t="s">
        <v>113</v>
      </c>
      <c r="AA98" t="s">
        <v>724</v>
      </c>
      <c r="AF98" t="s">
        <v>223</v>
      </c>
      <c r="AH98">
        <v>45916</v>
      </c>
      <c r="AI98">
        <v>45840</v>
      </c>
      <c r="AJ98">
        <v>2029</v>
      </c>
      <c r="AK98">
        <v>41750</v>
      </c>
      <c r="AL98" t="s">
        <v>725</v>
      </c>
      <c r="AP98">
        <v>661501100</v>
      </c>
      <c r="AQ98" t="s">
        <v>726</v>
      </c>
    </row>
    <row r="99" spans="1:67" x14ac:dyDescent="0.2">
      <c r="A99" t="s">
        <v>719</v>
      </c>
      <c r="B99" t="s">
        <v>727</v>
      </c>
      <c r="D99" t="s">
        <v>72</v>
      </c>
      <c r="E99" t="s">
        <v>96</v>
      </c>
      <c r="F99" t="s">
        <v>721</v>
      </c>
      <c r="G99" t="s">
        <v>722</v>
      </c>
      <c r="H99" t="s">
        <v>108</v>
      </c>
      <c r="I99" t="s">
        <v>723</v>
      </c>
      <c r="K99">
        <v>212</v>
      </c>
      <c r="L99">
        <f>IFERROR(VLOOKUP(K99,'Tables new'!$A:$C,3,FALSE),"")</f>
        <v>70</v>
      </c>
      <c r="M99" t="str">
        <f>VLOOKUP(K99,CAT_JOUEUR,2,FALSE)</f>
        <v>Contact famille</v>
      </c>
      <c r="N99">
        <v>212</v>
      </c>
      <c r="O99">
        <f>IFERROR(VLOOKUP(N99,'Tables new'!$A:$C,3,FALSE),"")</f>
        <v>70</v>
      </c>
      <c r="P99" t="str">
        <f>VLOOKUP(N99,CAT_JOUEUR,2,FALSE)</f>
        <v>Contact famille</v>
      </c>
      <c r="Z99" t="s">
        <v>89</v>
      </c>
      <c r="AH99" t="s">
        <v>78</v>
      </c>
      <c r="AI99" t="s">
        <v>78</v>
      </c>
      <c r="AJ99" t="s">
        <v>78</v>
      </c>
      <c r="AK99" t="s">
        <v>78</v>
      </c>
      <c r="AL99" t="s">
        <v>79</v>
      </c>
      <c r="AP99">
        <v>661501101</v>
      </c>
      <c r="AQ99" t="s">
        <v>726</v>
      </c>
    </row>
    <row r="100" spans="1:67" x14ac:dyDescent="0.2">
      <c r="A100" t="s">
        <v>719</v>
      </c>
      <c r="D100" t="s">
        <v>72</v>
      </c>
      <c r="E100" t="s">
        <v>96</v>
      </c>
      <c r="F100" t="s">
        <v>721</v>
      </c>
      <c r="G100" t="s">
        <v>722</v>
      </c>
      <c r="H100" t="s">
        <v>108</v>
      </c>
      <c r="I100" t="s">
        <v>723</v>
      </c>
      <c r="K100">
        <v>212</v>
      </c>
      <c r="L100">
        <f>IFERROR(VLOOKUP(K100,'Tables new'!$A:$C,3,FALSE),"")</f>
        <v>70</v>
      </c>
      <c r="M100" t="str">
        <f>VLOOKUP(K100,CAT_JOUEUR,2,FALSE)</f>
        <v>Contact famille</v>
      </c>
      <c r="N100">
        <v>212</v>
      </c>
      <c r="O100">
        <f>IFERROR(VLOOKUP(N100,'Tables new'!$A:$C,3,FALSE),"")</f>
        <v>70</v>
      </c>
      <c r="P100" t="str">
        <f>VLOOKUP(N100,CAT_JOUEUR,2,FALSE)</f>
        <v>Contact famille</v>
      </c>
      <c r="Z100" t="s">
        <v>89</v>
      </c>
      <c r="AH100" t="s">
        <v>78</v>
      </c>
      <c r="AI100" t="s">
        <v>78</v>
      </c>
      <c r="AJ100" t="s">
        <v>78</v>
      </c>
      <c r="AK100" t="s">
        <v>78</v>
      </c>
      <c r="AL100" t="s">
        <v>79</v>
      </c>
    </row>
    <row r="101" spans="1:67" x14ac:dyDescent="0.2">
      <c r="A101" t="s">
        <v>728</v>
      </c>
      <c r="B101" t="s">
        <v>729</v>
      </c>
      <c r="D101" t="s">
        <v>72</v>
      </c>
      <c r="E101" t="s">
        <v>123</v>
      </c>
      <c r="F101" t="s">
        <v>730</v>
      </c>
      <c r="G101" t="s">
        <v>731</v>
      </c>
      <c r="H101" t="s">
        <v>732</v>
      </c>
      <c r="I101" t="s">
        <v>733</v>
      </c>
      <c r="K101">
        <v>150</v>
      </c>
      <c r="L101">
        <f>IFERROR(VLOOKUP(K101,'Tables new'!$A:$C,3,FALSE),"")</f>
        <v>1</v>
      </c>
      <c r="M101" t="str">
        <f>VLOOKUP(K101,CAT_JOUEUR,2,FALSE)</f>
        <v>comité</v>
      </c>
      <c r="N101">
        <v>12</v>
      </c>
      <c r="O101">
        <f>IFERROR(VLOOKUP(N101,'Tables new'!$A:$C,3,FALSE),"")</f>
        <v>31</v>
      </c>
      <c r="P101" t="str">
        <f>VLOOKUP(N101,CAT_JOUEUR,2,FALSE)</f>
        <v>Femmes</v>
      </c>
      <c r="AA101" t="s">
        <v>734</v>
      </c>
      <c r="AC101" t="s">
        <v>734</v>
      </c>
      <c r="AH101">
        <v>38259</v>
      </c>
      <c r="AI101">
        <v>38259</v>
      </c>
      <c r="AJ101">
        <v>2030</v>
      </c>
      <c r="AK101">
        <v>36634</v>
      </c>
      <c r="AL101" t="s">
        <v>735</v>
      </c>
      <c r="AN101" t="s">
        <v>736</v>
      </c>
      <c r="AO101" t="s">
        <v>208</v>
      </c>
      <c r="AP101" t="s">
        <v>737</v>
      </c>
      <c r="AQ101" t="s">
        <v>738</v>
      </c>
      <c r="AU101" t="s">
        <v>739</v>
      </c>
      <c r="AY101" t="s">
        <v>91</v>
      </c>
      <c r="BA101" t="s">
        <v>136</v>
      </c>
      <c r="BB101" t="s">
        <v>271</v>
      </c>
      <c r="BO101" t="s">
        <v>740</v>
      </c>
    </row>
    <row r="102" spans="1:67" x14ac:dyDescent="0.2">
      <c r="A102" t="s">
        <v>728</v>
      </c>
      <c r="B102" t="s">
        <v>741</v>
      </c>
      <c r="D102" t="s">
        <v>72</v>
      </c>
      <c r="E102" t="s">
        <v>123</v>
      </c>
      <c r="F102" t="s">
        <v>742</v>
      </c>
      <c r="G102" t="s">
        <v>731</v>
      </c>
      <c r="H102" t="s">
        <v>732</v>
      </c>
      <c r="I102" t="s">
        <v>733</v>
      </c>
      <c r="K102">
        <v>12</v>
      </c>
      <c r="L102">
        <v>31</v>
      </c>
      <c r="M102" t="s">
        <v>265</v>
      </c>
      <c r="N102">
        <v>12</v>
      </c>
      <c r="O102">
        <f>IFERROR(VLOOKUP(N102,'Tables new'!$A:$C,3,FALSE),"")</f>
        <v>31</v>
      </c>
      <c r="P102" t="str">
        <f>VLOOKUP(N102,CAT_JOUEUR,2,FALSE)</f>
        <v>Femmes</v>
      </c>
      <c r="AA102" t="s">
        <v>743</v>
      </c>
      <c r="AB102" t="s">
        <v>743</v>
      </c>
      <c r="AC102" t="s">
        <v>743</v>
      </c>
      <c r="AH102">
        <v>36986</v>
      </c>
      <c r="AI102">
        <v>36986</v>
      </c>
      <c r="AJ102">
        <v>2029</v>
      </c>
      <c r="AK102">
        <v>32547</v>
      </c>
      <c r="AL102" t="s">
        <v>744</v>
      </c>
      <c r="AN102" t="s">
        <v>736</v>
      </c>
      <c r="AP102" t="s">
        <v>745</v>
      </c>
      <c r="AQ102" t="s">
        <v>746</v>
      </c>
      <c r="AY102" t="s">
        <v>91</v>
      </c>
      <c r="BA102" t="s">
        <v>136</v>
      </c>
      <c r="BB102" t="s">
        <v>271</v>
      </c>
      <c r="BD102">
        <v>50</v>
      </c>
      <c r="BO102" t="s">
        <v>740</v>
      </c>
    </row>
    <row r="103" spans="1:67" x14ac:dyDescent="0.2">
      <c r="A103" t="s">
        <v>747</v>
      </c>
      <c r="B103" t="s">
        <v>748</v>
      </c>
      <c r="D103" t="s">
        <v>72</v>
      </c>
      <c r="E103" t="s">
        <v>96</v>
      </c>
      <c r="F103" t="s">
        <v>749</v>
      </c>
      <c r="G103" t="s">
        <v>750</v>
      </c>
      <c r="H103" t="s">
        <v>751</v>
      </c>
      <c r="I103" t="s">
        <v>752</v>
      </c>
      <c r="K103">
        <v>212</v>
      </c>
      <c r="L103">
        <f>IFERROR(VLOOKUP(K103,'Tables new'!$A:$C,3,FALSE),"")</f>
        <v>70</v>
      </c>
      <c r="M103" t="str">
        <f>VLOOKUP(K103,CAT_JOUEUR,2,FALSE)</f>
        <v>Contact famille</v>
      </c>
      <c r="N103">
        <v>212</v>
      </c>
      <c r="O103">
        <f>IFERROR(VLOOKUP(N103,'Tables new'!$A:$C,3,FALSE),"")</f>
        <v>70</v>
      </c>
      <c r="P103" t="str">
        <f>VLOOKUP(N103,CAT_JOUEUR,2,FALSE)</f>
        <v>Contact famille</v>
      </c>
      <c r="V103" t="s">
        <v>89</v>
      </c>
      <c r="AH103" t="s">
        <v>78</v>
      </c>
      <c r="AI103" t="s">
        <v>78</v>
      </c>
      <c r="AJ103" t="s">
        <v>78</v>
      </c>
      <c r="AK103" t="s">
        <v>78</v>
      </c>
      <c r="AL103" t="s">
        <v>79</v>
      </c>
      <c r="AP103" t="s">
        <v>753</v>
      </c>
      <c r="AQ103" t="s">
        <v>754</v>
      </c>
    </row>
    <row r="104" spans="1:67" x14ac:dyDescent="0.2">
      <c r="A104" t="s">
        <v>755</v>
      </c>
      <c r="B104" t="s">
        <v>756</v>
      </c>
      <c r="D104" t="s">
        <v>83</v>
      </c>
      <c r="E104" t="s">
        <v>757</v>
      </c>
      <c r="F104" t="s">
        <v>502</v>
      </c>
      <c r="G104" t="s">
        <v>503</v>
      </c>
      <c r="H104" t="s">
        <v>108</v>
      </c>
      <c r="I104" t="s">
        <v>504</v>
      </c>
      <c r="K104">
        <v>212</v>
      </c>
      <c r="L104">
        <f>IFERROR(VLOOKUP(K104,'Tables new'!$A:$C,3,FALSE),"")</f>
        <v>70</v>
      </c>
      <c r="M104" t="str">
        <f>VLOOKUP(K104,CAT_JOUEUR,2,FALSE)</f>
        <v>Contact famille</v>
      </c>
      <c r="N104">
        <v>212</v>
      </c>
      <c r="O104">
        <f>IFERROR(VLOOKUP(N104,'Tables new'!$A:$C,3,FALSE),"")</f>
        <v>70</v>
      </c>
      <c r="P104" t="str">
        <f>VLOOKUP(N104,CAT_JOUEUR,2,FALSE)</f>
        <v>Contact famille</v>
      </c>
      <c r="W104" t="s">
        <v>89</v>
      </c>
      <c r="AH104" t="s">
        <v>78</v>
      </c>
      <c r="AI104" t="s">
        <v>78</v>
      </c>
      <c r="AJ104" t="s">
        <v>78</v>
      </c>
      <c r="AK104" t="s">
        <v>78</v>
      </c>
      <c r="AL104" t="s">
        <v>79</v>
      </c>
      <c r="AP104">
        <v>671156198</v>
      </c>
    </row>
    <row r="105" spans="1:67" x14ac:dyDescent="0.2">
      <c r="A105" t="s">
        <v>758</v>
      </c>
      <c r="B105" t="s">
        <v>759</v>
      </c>
      <c r="D105" t="s">
        <v>72</v>
      </c>
      <c r="E105" t="s">
        <v>96</v>
      </c>
      <c r="F105" t="s">
        <v>760</v>
      </c>
      <c r="G105" t="s">
        <v>761</v>
      </c>
      <c r="H105" t="s">
        <v>153</v>
      </c>
      <c r="I105" t="s">
        <v>762</v>
      </c>
      <c r="K105">
        <v>212</v>
      </c>
      <c r="L105">
        <f>IFERROR(VLOOKUP(K105,'Tables new'!$A:$C,3,FALSE),"")</f>
        <v>70</v>
      </c>
      <c r="M105" t="str">
        <f>VLOOKUP(K105,CAT_JOUEUR,2,FALSE)</f>
        <v>Contact famille</v>
      </c>
      <c r="N105">
        <v>212</v>
      </c>
      <c r="O105">
        <f>IFERROR(VLOOKUP(N105,'Tables new'!$A:$C,3,FALSE),"")</f>
        <v>70</v>
      </c>
      <c r="P105" t="str">
        <f>VLOOKUP(N105,CAT_JOUEUR,2,FALSE)</f>
        <v>Contact famille</v>
      </c>
      <c r="U105" t="s">
        <v>89</v>
      </c>
      <c r="AH105" t="s">
        <v>78</v>
      </c>
      <c r="AI105" t="s">
        <v>78</v>
      </c>
      <c r="AJ105" t="s">
        <v>78</v>
      </c>
      <c r="AK105" t="s">
        <v>78</v>
      </c>
      <c r="AL105" t="s">
        <v>79</v>
      </c>
    </row>
    <row r="106" spans="1:67" x14ac:dyDescent="0.2">
      <c r="A106" t="s">
        <v>758</v>
      </c>
      <c r="B106" t="s">
        <v>176</v>
      </c>
      <c r="D106" t="s">
        <v>72</v>
      </c>
      <c r="E106" t="s">
        <v>96</v>
      </c>
      <c r="F106" t="s">
        <v>760</v>
      </c>
      <c r="G106" t="s">
        <v>761</v>
      </c>
      <c r="H106" t="s">
        <v>153</v>
      </c>
      <c r="I106" t="s">
        <v>762</v>
      </c>
      <c r="K106">
        <v>17</v>
      </c>
      <c r="L106">
        <f>IFERROR(VLOOKUP(K106,'Tables new'!$A:$C,3,FALSE),"")</f>
        <v>36</v>
      </c>
      <c r="M106" t="str">
        <f>VLOOKUP(K106,CAT_JOUEUR,2,FALSE)</f>
        <v>U 11 F</v>
      </c>
      <c r="N106">
        <v>17</v>
      </c>
      <c r="O106">
        <f>IFERROR(VLOOKUP(N106,'Tables new'!$A:$C,3,FALSE),"")</f>
        <v>36</v>
      </c>
      <c r="P106" t="str">
        <f>VLOOKUP(N106,CAT_JOUEUR,2,FALSE)</f>
        <v>U 11 F</v>
      </c>
      <c r="U106" t="s">
        <v>113</v>
      </c>
      <c r="AA106" t="s">
        <v>155</v>
      </c>
      <c r="AI106">
        <v>45614</v>
      </c>
      <c r="AJ106">
        <v>2026</v>
      </c>
      <c r="AK106">
        <v>42965</v>
      </c>
      <c r="AL106" t="s">
        <v>763</v>
      </c>
      <c r="AP106" t="s">
        <v>764</v>
      </c>
      <c r="AQ106" t="s">
        <v>765</v>
      </c>
    </row>
    <row r="107" spans="1:67" x14ac:dyDescent="0.2">
      <c r="A107" t="s">
        <v>766</v>
      </c>
      <c r="B107" t="s">
        <v>767</v>
      </c>
      <c r="D107" t="s">
        <v>72</v>
      </c>
      <c r="E107" t="s">
        <v>96</v>
      </c>
      <c r="F107" t="s">
        <v>768</v>
      </c>
      <c r="G107" t="s">
        <v>769</v>
      </c>
      <c r="H107" t="s">
        <v>132</v>
      </c>
      <c r="I107" t="s">
        <v>770</v>
      </c>
      <c r="K107">
        <v>212</v>
      </c>
      <c r="L107">
        <f>IFERROR(VLOOKUP(K107,'Tables new'!$A:$C,3,FALSE),"")</f>
        <v>70</v>
      </c>
      <c r="M107" t="str">
        <f>VLOOKUP(K107,CAT_JOUEUR,2,FALSE)</f>
        <v>Contact famille</v>
      </c>
      <c r="N107">
        <v>212</v>
      </c>
      <c r="O107">
        <f>IFERROR(VLOOKUP(N107,'Tables new'!$A:$C,3,FALSE),"")</f>
        <v>70</v>
      </c>
      <c r="P107" t="str">
        <f>VLOOKUP(N107,CAT_JOUEUR,2,FALSE)</f>
        <v>Contact famille</v>
      </c>
      <c r="V107" t="s">
        <v>89</v>
      </c>
      <c r="AB107" t="s">
        <v>208</v>
      </c>
      <c r="AH107" t="s">
        <v>78</v>
      </c>
      <c r="AI107" t="s">
        <v>78</v>
      </c>
      <c r="AJ107" t="s">
        <v>78</v>
      </c>
      <c r="AK107" t="s">
        <v>78</v>
      </c>
      <c r="AL107" t="s">
        <v>79</v>
      </c>
      <c r="AP107">
        <v>691207199</v>
      </c>
      <c r="AQ107" t="s">
        <v>771</v>
      </c>
    </row>
    <row r="108" spans="1:67" x14ac:dyDescent="0.2">
      <c r="A108" t="s">
        <v>772</v>
      </c>
      <c r="B108" t="s">
        <v>773</v>
      </c>
      <c r="D108" t="s">
        <v>72</v>
      </c>
      <c r="E108" t="s">
        <v>261</v>
      </c>
      <c r="F108" t="s">
        <v>774</v>
      </c>
      <c r="G108" t="s">
        <v>775</v>
      </c>
      <c r="H108" t="s">
        <v>132</v>
      </c>
      <c r="I108" t="s">
        <v>776</v>
      </c>
      <c r="K108">
        <v>3</v>
      </c>
      <c r="L108">
        <f>IFERROR(VLOOKUP(K108,'Tables new'!$A:$C,3,FALSE),"")</f>
        <v>12</v>
      </c>
      <c r="M108" t="str">
        <f>VLOOKUP(K108,CAT_JOUEUR,2,FALSE)</f>
        <v>U 21 HO</v>
      </c>
      <c r="N108">
        <v>3</v>
      </c>
      <c r="O108">
        <f>IFERROR(VLOOKUP(N108,'Tables new'!$A:$C,3,FALSE),"")</f>
        <v>12</v>
      </c>
      <c r="P108" t="str">
        <f>VLOOKUP(N108,CAT_JOUEUR,2,FALSE)</f>
        <v>U 21 HO</v>
      </c>
      <c r="AA108" t="s">
        <v>777</v>
      </c>
      <c r="AC108" t="s">
        <v>208</v>
      </c>
      <c r="AH108">
        <v>43822</v>
      </c>
      <c r="AI108">
        <v>43758</v>
      </c>
      <c r="AJ108">
        <v>2022</v>
      </c>
      <c r="AK108">
        <v>39207</v>
      </c>
      <c r="AL108" t="s">
        <v>778</v>
      </c>
      <c r="AO108" t="s">
        <v>208</v>
      </c>
      <c r="AP108" t="s">
        <v>779</v>
      </c>
      <c r="AQ108" t="s">
        <v>780</v>
      </c>
      <c r="AY108" t="s">
        <v>781</v>
      </c>
      <c r="BA108" t="s">
        <v>782</v>
      </c>
      <c r="BD108" t="s">
        <v>783</v>
      </c>
    </row>
    <row r="109" spans="1:67" x14ac:dyDescent="0.2">
      <c r="A109" t="s">
        <v>784</v>
      </c>
      <c r="B109" t="s">
        <v>785</v>
      </c>
      <c r="D109" t="s">
        <v>72</v>
      </c>
      <c r="E109" t="s">
        <v>261</v>
      </c>
      <c r="F109" t="s">
        <v>774</v>
      </c>
      <c r="G109" t="s">
        <v>775</v>
      </c>
      <c r="H109" t="s">
        <v>132</v>
      </c>
      <c r="I109" t="s">
        <v>776</v>
      </c>
      <c r="K109">
        <v>212</v>
      </c>
      <c r="L109">
        <f>IFERROR(VLOOKUP(K109,'Tables new'!$A:$C,3,FALSE),"")</f>
        <v>70</v>
      </c>
      <c r="M109" t="str">
        <f>VLOOKUP(K109,CAT_JOUEUR,2,FALSE)</f>
        <v>Contact famille</v>
      </c>
      <c r="N109">
        <v>212</v>
      </c>
      <c r="O109">
        <f>IFERROR(VLOOKUP(N109,'Tables new'!$A:$C,3,FALSE),"")</f>
        <v>70</v>
      </c>
      <c r="P109" t="str">
        <f>VLOOKUP(N109,CAT_JOUEUR,2,FALSE)</f>
        <v>Contact famille</v>
      </c>
      <c r="AH109" t="s">
        <v>78</v>
      </c>
      <c r="AI109" t="s">
        <v>78</v>
      </c>
      <c r="AJ109" t="s">
        <v>78</v>
      </c>
      <c r="AK109" t="s">
        <v>78</v>
      </c>
      <c r="AL109" t="s">
        <v>79</v>
      </c>
      <c r="AP109" t="s">
        <v>786</v>
      </c>
      <c r="AQ109" t="s">
        <v>780</v>
      </c>
      <c r="AY109" t="s">
        <v>781</v>
      </c>
      <c r="BA109" t="s">
        <v>782</v>
      </c>
    </row>
    <row r="110" spans="1:67" x14ac:dyDescent="0.2">
      <c r="A110" t="s">
        <v>787</v>
      </c>
      <c r="B110" t="s">
        <v>788</v>
      </c>
      <c r="D110" t="s">
        <v>72</v>
      </c>
      <c r="E110" t="s">
        <v>789</v>
      </c>
      <c r="F110" t="s">
        <v>790</v>
      </c>
      <c r="G110" t="s">
        <v>791</v>
      </c>
      <c r="H110" t="s">
        <v>792</v>
      </c>
      <c r="I110" t="s">
        <v>793</v>
      </c>
      <c r="K110">
        <v>212</v>
      </c>
      <c r="L110">
        <f>IFERROR(VLOOKUP(K110,'Tables new'!$A:$C,3,FALSE),"")</f>
        <v>70</v>
      </c>
      <c r="M110" t="str">
        <f>VLOOKUP(K110,CAT_JOUEUR,2,FALSE)</f>
        <v>Contact famille</v>
      </c>
      <c r="N110">
        <v>212</v>
      </c>
      <c r="O110">
        <f>IFERROR(VLOOKUP(N110,'Tables new'!$A:$C,3,FALSE),"")</f>
        <v>70</v>
      </c>
      <c r="P110" t="str">
        <f>VLOOKUP(N110,CAT_JOUEUR,2,FALSE)</f>
        <v>Contact famille</v>
      </c>
      <c r="AH110" t="s">
        <v>78</v>
      </c>
      <c r="AI110" t="s">
        <v>78</v>
      </c>
      <c r="AJ110" t="s">
        <v>78</v>
      </c>
      <c r="AK110" t="s">
        <v>78</v>
      </c>
      <c r="AL110" t="s">
        <v>79</v>
      </c>
      <c r="AP110">
        <v>621618604</v>
      </c>
    </row>
    <row r="111" spans="1:67" x14ac:dyDescent="0.2">
      <c r="A111" t="s">
        <v>787</v>
      </c>
      <c r="B111" t="s">
        <v>794</v>
      </c>
      <c r="D111" t="s">
        <v>72</v>
      </c>
      <c r="E111" t="s">
        <v>795</v>
      </c>
      <c r="F111" t="s">
        <v>790</v>
      </c>
      <c r="G111" t="s">
        <v>791</v>
      </c>
      <c r="H111" t="s">
        <v>792</v>
      </c>
      <c r="I111" t="s">
        <v>793</v>
      </c>
      <c r="K111">
        <v>12</v>
      </c>
      <c r="L111">
        <v>31</v>
      </c>
      <c r="M111" t="s">
        <v>265</v>
      </c>
      <c r="N111">
        <v>12</v>
      </c>
      <c r="O111">
        <f>IFERROR(VLOOKUP(N111,'Tables new'!$A:$C,3,FALSE),"")</f>
        <v>31</v>
      </c>
      <c r="P111" t="str">
        <f>VLOOKUP(N111,CAT_JOUEUR,2,FALSE)</f>
        <v>Femmes</v>
      </c>
      <c r="AA111" t="s">
        <v>796</v>
      </c>
      <c r="AH111">
        <v>44833</v>
      </c>
      <c r="AI111">
        <v>44816</v>
      </c>
      <c r="AJ111">
        <v>2024</v>
      </c>
      <c r="AK111">
        <v>40030</v>
      </c>
      <c r="AL111" t="s">
        <v>797</v>
      </c>
      <c r="AP111">
        <v>691369017</v>
      </c>
      <c r="AQ111" t="s">
        <v>798</v>
      </c>
    </row>
    <row r="112" spans="1:67" x14ac:dyDescent="0.2">
      <c r="A112" t="s">
        <v>799</v>
      </c>
      <c r="B112" t="s">
        <v>800</v>
      </c>
      <c r="D112" t="s">
        <v>72</v>
      </c>
      <c r="E112" t="s">
        <v>96</v>
      </c>
      <c r="F112" t="s">
        <v>801</v>
      </c>
      <c r="G112" t="s">
        <v>802</v>
      </c>
      <c r="H112" t="s">
        <v>803</v>
      </c>
      <c r="I112" t="s">
        <v>145</v>
      </c>
      <c r="K112">
        <v>150</v>
      </c>
      <c r="L112">
        <f>IFERROR(VLOOKUP(K112,'Tables new'!$A:$C,3,FALSE),"")</f>
        <v>1</v>
      </c>
      <c r="M112" t="str">
        <f>VLOOKUP(K112,CAT_JOUEUR,2,FALSE)</f>
        <v>comité</v>
      </c>
      <c r="N112">
        <v>9</v>
      </c>
      <c r="O112">
        <f>IFERROR(VLOOKUP(N112,'Tables new'!$A:$C,3,FALSE),"")</f>
        <v>20</v>
      </c>
      <c r="P112" t="str">
        <f>VLOOKUP(N112,CAT_JOUEUR,2,FALSE)</f>
        <v>Vétérans - HO</v>
      </c>
      <c r="AA112" t="s">
        <v>804</v>
      </c>
      <c r="AB112" t="s">
        <v>804</v>
      </c>
      <c r="AC112" t="s">
        <v>804</v>
      </c>
      <c r="AH112">
        <v>38966</v>
      </c>
      <c r="AI112">
        <v>38966</v>
      </c>
      <c r="AJ112" t="s">
        <v>534</v>
      </c>
      <c r="AK112">
        <v>21435</v>
      </c>
      <c r="AL112" t="s">
        <v>805</v>
      </c>
      <c r="AM112" t="s">
        <v>806</v>
      </c>
      <c r="AO112" t="s">
        <v>807</v>
      </c>
      <c r="AP112" t="s">
        <v>808</v>
      </c>
      <c r="AQ112" t="s">
        <v>809</v>
      </c>
      <c r="AT112" t="s">
        <v>810</v>
      </c>
      <c r="AU112" t="s">
        <v>739</v>
      </c>
      <c r="AX112" t="s">
        <v>811</v>
      </c>
      <c r="AY112" t="s">
        <v>674</v>
      </c>
      <c r="BA112" t="s">
        <v>136</v>
      </c>
      <c r="BB112" t="s">
        <v>137</v>
      </c>
      <c r="BC112" t="s">
        <v>138</v>
      </c>
      <c r="BD112">
        <v>50</v>
      </c>
      <c r="BO112" t="s">
        <v>812</v>
      </c>
    </row>
    <row r="113" spans="1:65" x14ac:dyDescent="0.2">
      <c r="A113" t="s">
        <v>813</v>
      </c>
      <c r="B113" t="s">
        <v>814</v>
      </c>
      <c r="D113" t="s">
        <v>72</v>
      </c>
      <c r="E113" t="s">
        <v>96</v>
      </c>
      <c r="F113" t="s">
        <v>815</v>
      </c>
      <c r="G113" t="s">
        <v>816</v>
      </c>
      <c r="H113" t="s">
        <v>76</v>
      </c>
      <c r="I113" t="s">
        <v>817</v>
      </c>
      <c r="K113">
        <v>5</v>
      </c>
      <c r="L113">
        <f>IFERROR(VLOOKUP(K113,'Tables new'!$A:$C,3,FALSE),"")</f>
        <v>14</v>
      </c>
      <c r="M113" t="str">
        <f>VLOOKUP(K113,CAT_JOUEUR,2,FALSE)</f>
        <v>U 15 H</v>
      </c>
      <c r="N113">
        <v>5</v>
      </c>
      <c r="O113">
        <f>IFERROR(VLOOKUP(N113,'Tables new'!$A:$C,3,FALSE),"")</f>
        <v>14</v>
      </c>
      <c r="P113" t="str">
        <f>VLOOKUP(N113,CAT_JOUEUR,2,FALSE)</f>
        <v>U 15 H</v>
      </c>
      <c r="S113" t="s">
        <v>113</v>
      </c>
      <c r="AA113" t="s">
        <v>818</v>
      </c>
      <c r="AH113">
        <v>44557</v>
      </c>
      <c r="AI113">
        <v>44494</v>
      </c>
      <c r="AJ113">
        <v>2024</v>
      </c>
      <c r="AK113">
        <v>41140</v>
      </c>
      <c r="AL113" t="s">
        <v>819</v>
      </c>
      <c r="AN113" t="s">
        <v>820</v>
      </c>
      <c r="AP113">
        <v>621196555</v>
      </c>
      <c r="AQ113" t="s">
        <v>821</v>
      </c>
      <c r="BM113" t="s">
        <v>822</v>
      </c>
    </row>
    <row r="114" spans="1:65" x14ac:dyDescent="0.2">
      <c r="A114" t="s">
        <v>823</v>
      </c>
      <c r="B114" t="s">
        <v>824</v>
      </c>
      <c r="D114" t="s">
        <v>72</v>
      </c>
      <c r="E114" t="s">
        <v>96</v>
      </c>
      <c r="F114" t="s">
        <v>815</v>
      </c>
      <c r="G114" t="s">
        <v>816</v>
      </c>
      <c r="H114" t="s">
        <v>76</v>
      </c>
      <c r="I114" t="s">
        <v>817</v>
      </c>
      <c r="K114">
        <v>212</v>
      </c>
      <c r="L114">
        <f>IFERROR(VLOOKUP(K114,'Tables new'!$A:$C,3,FALSE),"")</f>
        <v>70</v>
      </c>
      <c r="M114" t="str">
        <f>VLOOKUP(K114,CAT_JOUEUR,2,FALSE)</f>
        <v>Contact famille</v>
      </c>
      <c r="N114">
        <v>212</v>
      </c>
      <c r="O114">
        <f>IFERROR(VLOOKUP(N114,'Tables new'!$A:$C,3,FALSE),"")</f>
        <v>70</v>
      </c>
      <c r="P114" t="str">
        <f>VLOOKUP(N114,CAT_JOUEUR,2,FALSE)</f>
        <v>Contact famille</v>
      </c>
      <c r="S114" t="s">
        <v>89</v>
      </c>
      <c r="AH114" t="s">
        <v>78</v>
      </c>
      <c r="AI114" t="s">
        <v>78</v>
      </c>
      <c r="AJ114" t="s">
        <v>78</v>
      </c>
      <c r="AK114" t="s">
        <v>78</v>
      </c>
      <c r="AL114" t="s">
        <v>79</v>
      </c>
      <c r="AN114" t="s">
        <v>820</v>
      </c>
      <c r="AP114">
        <v>621196555</v>
      </c>
      <c r="AQ114" t="s">
        <v>821</v>
      </c>
    </row>
    <row r="115" spans="1:65" x14ac:dyDescent="0.2">
      <c r="A115" t="s">
        <v>825</v>
      </c>
      <c r="B115" t="s">
        <v>513</v>
      </c>
      <c r="D115" t="s">
        <v>72</v>
      </c>
      <c r="E115" t="s">
        <v>96</v>
      </c>
      <c r="F115" t="s">
        <v>826</v>
      </c>
      <c r="G115" t="s">
        <v>827</v>
      </c>
      <c r="H115" t="s">
        <v>828</v>
      </c>
      <c r="I115" t="s">
        <v>829</v>
      </c>
      <c r="K115">
        <v>212</v>
      </c>
      <c r="L115">
        <f>IFERROR(VLOOKUP(K115,'Tables new'!$A:$C,3,FALSE),"")</f>
        <v>70</v>
      </c>
      <c r="M115" t="str">
        <f>VLOOKUP(K115,CAT_JOUEUR,2,FALSE)</f>
        <v>Contact famille</v>
      </c>
      <c r="N115">
        <v>212</v>
      </c>
      <c r="O115">
        <f>IFERROR(VLOOKUP(N115,'Tables new'!$A:$C,3,FALSE),"")</f>
        <v>70</v>
      </c>
      <c r="P115" t="str">
        <f>VLOOKUP(N115,CAT_JOUEUR,2,FALSE)</f>
        <v>Contact famille</v>
      </c>
      <c r="W115" t="s">
        <v>89</v>
      </c>
      <c r="AH115" t="s">
        <v>78</v>
      </c>
      <c r="AI115" t="s">
        <v>78</v>
      </c>
      <c r="AJ115" t="s">
        <v>78</v>
      </c>
      <c r="AK115" t="s">
        <v>78</v>
      </c>
      <c r="AL115" t="s">
        <v>79</v>
      </c>
    </row>
    <row r="116" spans="1:65" x14ac:dyDescent="0.2">
      <c r="A116" t="s">
        <v>830</v>
      </c>
      <c r="B116" t="s">
        <v>831</v>
      </c>
      <c r="D116" t="s">
        <v>832</v>
      </c>
      <c r="E116" t="s">
        <v>833</v>
      </c>
      <c r="F116" t="s">
        <v>834</v>
      </c>
      <c r="G116" t="s">
        <v>835</v>
      </c>
      <c r="H116" t="s">
        <v>836</v>
      </c>
      <c r="I116" t="s">
        <v>837</v>
      </c>
      <c r="K116">
        <v>18</v>
      </c>
      <c r="L116">
        <f>IFERROR(VLOOKUP(K116,'Tables new'!$A:$C,3,FALSE),"")</f>
        <v>37</v>
      </c>
      <c r="M116" t="str">
        <f>VLOOKUP(K116,CAT_JOUEUR,2,FALSE)</f>
        <v>U 9 F</v>
      </c>
      <c r="N116">
        <v>18</v>
      </c>
      <c r="O116">
        <f>IFERROR(VLOOKUP(N116,'Tables new'!$A:$C,3,FALSE),"")</f>
        <v>37</v>
      </c>
      <c r="P116" t="str">
        <f>VLOOKUP(N116,CAT_JOUEUR,2,FALSE)</f>
        <v>U 9 F</v>
      </c>
      <c r="V116" t="s">
        <v>113</v>
      </c>
      <c r="AA116" t="s">
        <v>838</v>
      </c>
      <c r="AH116">
        <v>44649</v>
      </c>
      <c r="AI116">
        <v>44568</v>
      </c>
      <c r="AJ116">
        <v>2025</v>
      </c>
      <c r="AK116">
        <v>43301</v>
      </c>
      <c r="AL116" t="s">
        <v>839</v>
      </c>
      <c r="AO116" t="s">
        <v>840</v>
      </c>
      <c r="AP116" t="s">
        <v>841</v>
      </c>
      <c r="AQ116" t="s">
        <v>842</v>
      </c>
    </row>
    <row r="117" spans="1:65" x14ac:dyDescent="0.2">
      <c r="A117" t="s">
        <v>830</v>
      </c>
      <c r="B117" t="s">
        <v>843</v>
      </c>
      <c r="D117" t="s">
        <v>832</v>
      </c>
      <c r="E117" t="s">
        <v>833</v>
      </c>
      <c r="F117" t="s">
        <v>834</v>
      </c>
      <c r="G117" t="s">
        <v>835</v>
      </c>
      <c r="H117" t="s">
        <v>836</v>
      </c>
      <c r="I117" t="s">
        <v>837</v>
      </c>
      <c r="K117">
        <v>212</v>
      </c>
      <c r="L117">
        <f>IFERROR(VLOOKUP(K117,'Tables new'!$A:$C,3,FALSE),"")</f>
        <v>70</v>
      </c>
      <c r="M117" t="str">
        <f>VLOOKUP(K117,CAT_JOUEUR,2,FALSE)</f>
        <v>Contact famille</v>
      </c>
      <c r="N117">
        <v>212</v>
      </c>
      <c r="O117">
        <f>IFERROR(VLOOKUP(N117,'Tables new'!$A:$C,3,FALSE),"")</f>
        <v>70</v>
      </c>
      <c r="P117" t="str">
        <f>VLOOKUP(N117,CAT_JOUEUR,2,FALSE)</f>
        <v>Contact famille</v>
      </c>
      <c r="V117" t="s">
        <v>89</v>
      </c>
      <c r="AH117" t="s">
        <v>78</v>
      </c>
      <c r="AI117" t="s">
        <v>78</v>
      </c>
      <c r="AJ117" t="s">
        <v>78</v>
      </c>
      <c r="AK117" t="s">
        <v>78</v>
      </c>
      <c r="AL117" t="s">
        <v>78</v>
      </c>
      <c r="AP117">
        <v>691281557</v>
      </c>
      <c r="AQ117" t="s">
        <v>842</v>
      </c>
    </row>
    <row r="118" spans="1:65" x14ac:dyDescent="0.2">
      <c r="A118" t="s">
        <v>844</v>
      </c>
      <c r="B118" t="s">
        <v>845</v>
      </c>
      <c r="D118" t="s">
        <v>72</v>
      </c>
      <c r="E118" t="s">
        <v>96</v>
      </c>
      <c r="F118" t="s">
        <v>760</v>
      </c>
      <c r="G118" t="s">
        <v>761</v>
      </c>
      <c r="H118" t="s">
        <v>153</v>
      </c>
      <c r="I118" t="s">
        <v>762</v>
      </c>
      <c r="K118">
        <v>210</v>
      </c>
      <c r="L118">
        <f>IFERROR(VLOOKUP(K118,'Tables new'!$A:$C,3,FALSE),"")</f>
        <v>70</v>
      </c>
      <c r="M118" t="str">
        <f>VLOOKUP(K118,CAT_JOUEUR,2,FALSE)</f>
        <v>Contact famille M</v>
      </c>
      <c r="N118">
        <v>212</v>
      </c>
      <c r="O118">
        <f>IFERROR(VLOOKUP(N118,'Tables new'!$A:$C,3,FALSE),"")</f>
        <v>70</v>
      </c>
      <c r="P118" t="str">
        <f>VLOOKUP(N118,CAT_JOUEUR,2,FALSE)</f>
        <v>Contact famille</v>
      </c>
      <c r="U118" t="s">
        <v>89</v>
      </c>
      <c r="AH118" t="s">
        <v>78</v>
      </c>
      <c r="AI118" t="s">
        <v>78</v>
      </c>
      <c r="AJ118" t="s">
        <v>78</v>
      </c>
      <c r="AK118" t="s">
        <v>78</v>
      </c>
      <c r="AL118" t="s">
        <v>79</v>
      </c>
      <c r="AP118">
        <v>691311820</v>
      </c>
      <c r="AQ118" t="s">
        <v>765</v>
      </c>
    </row>
    <row r="119" spans="1:65" x14ac:dyDescent="0.2">
      <c r="A119" t="s">
        <v>846</v>
      </c>
      <c r="B119" t="s">
        <v>483</v>
      </c>
      <c r="D119" t="s">
        <v>72</v>
      </c>
      <c r="E119" t="s">
        <v>96</v>
      </c>
      <c r="F119" t="s">
        <v>847</v>
      </c>
      <c r="G119" t="s">
        <v>848</v>
      </c>
      <c r="H119" t="s">
        <v>849</v>
      </c>
      <c r="I119" t="s">
        <v>145</v>
      </c>
      <c r="K119">
        <v>300</v>
      </c>
      <c r="L119">
        <f>IFERROR(VLOOKUP(K119,'Tables new'!$A:$C,3,FALSE),"")</f>
        <v>90</v>
      </c>
      <c r="M119" t="str">
        <f>VLOOKUP(K119,CAT_JOUEUR,2,FALSE)</f>
        <v>Prêt, sortie Mersch75</v>
      </c>
      <c r="N119">
        <v>12</v>
      </c>
      <c r="O119">
        <f>IFERROR(VLOOKUP(N119,'Tables new'!$A:$C,3,FALSE),"")</f>
        <v>31</v>
      </c>
      <c r="P119" t="str">
        <f>VLOOKUP(N119,CAT_JOUEUR,2,FALSE)</f>
        <v>Femmes</v>
      </c>
      <c r="AA119" t="s">
        <v>850</v>
      </c>
      <c r="AH119">
        <v>43542</v>
      </c>
      <c r="AI119">
        <v>43536</v>
      </c>
      <c r="AJ119">
        <v>2024</v>
      </c>
      <c r="AK119">
        <v>34451</v>
      </c>
      <c r="AL119" t="s">
        <v>851</v>
      </c>
      <c r="AP119" t="s">
        <v>852</v>
      </c>
      <c r="AQ119" t="s">
        <v>853</v>
      </c>
      <c r="AY119" t="s">
        <v>270</v>
      </c>
      <c r="BA119" t="s">
        <v>136</v>
      </c>
      <c r="BB119" t="s">
        <v>271</v>
      </c>
      <c r="BD119">
        <v>50</v>
      </c>
      <c r="BF119" t="s">
        <v>854</v>
      </c>
    </row>
    <row r="120" spans="1:65" x14ac:dyDescent="0.2">
      <c r="A120" t="s">
        <v>855</v>
      </c>
      <c r="B120" t="s">
        <v>856</v>
      </c>
      <c r="D120" t="s">
        <v>72</v>
      </c>
      <c r="E120" t="s">
        <v>96</v>
      </c>
      <c r="F120" t="s">
        <v>857</v>
      </c>
      <c r="G120" t="s">
        <v>107</v>
      </c>
      <c r="H120" t="s">
        <v>108</v>
      </c>
      <c r="I120" t="s">
        <v>858</v>
      </c>
      <c r="K120">
        <v>212</v>
      </c>
      <c r="L120">
        <f>IFERROR(VLOOKUP(K120,'Tables new'!$A:$C,3,FALSE),"")</f>
        <v>70</v>
      </c>
      <c r="M120" t="str">
        <f>VLOOKUP(K120,CAT_JOUEUR,2,FALSE)</f>
        <v>Contact famille</v>
      </c>
      <c r="N120">
        <v>212</v>
      </c>
      <c r="O120">
        <f>IFERROR(VLOOKUP(N120,'Tables new'!$A:$C,3,FALSE),"")</f>
        <v>70</v>
      </c>
      <c r="P120" t="str">
        <f>VLOOKUP(N120,CAT_JOUEUR,2,FALSE)</f>
        <v>Contact famille</v>
      </c>
      <c r="W120" t="s">
        <v>89</v>
      </c>
      <c r="AH120" t="s">
        <v>78</v>
      </c>
      <c r="AI120" t="s">
        <v>78</v>
      </c>
      <c r="AJ120" t="s">
        <v>78</v>
      </c>
      <c r="AK120" t="s">
        <v>78</v>
      </c>
      <c r="AL120" t="s">
        <v>79</v>
      </c>
      <c r="AP120">
        <v>621466175</v>
      </c>
    </row>
    <row r="121" spans="1:65" x14ac:dyDescent="0.2">
      <c r="A121" t="s">
        <v>859</v>
      </c>
      <c r="B121" t="s">
        <v>170</v>
      </c>
      <c r="D121" t="s">
        <v>72</v>
      </c>
      <c r="E121" t="s">
        <v>96</v>
      </c>
      <c r="F121" t="s">
        <v>860</v>
      </c>
      <c r="G121" t="s">
        <v>861</v>
      </c>
      <c r="H121" t="s">
        <v>862</v>
      </c>
      <c r="I121" t="s">
        <v>145</v>
      </c>
      <c r="K121">
        <v>3</v>
      </c>
      <c r="L121">
        <f>IFERROR(VLOOKUP(K121,'Tables new'!$A:$C,3,FALSE),"")</f>
        <v>12</v>
      </c>
      <c r="M121" t="str">
        <f>VLOOKUP(K121,CAT_JOUEUR,2,FALSE)</f>
        <v>U 21 HO</v>
      </c>
      <c r="N121">
        <v>3</v>
      </c>
      <c r="O121">
        <f>IFERROR(VLOOKUP(N121,'Tables new'!$A:$C,3,FALSE),"")</f>
        <v>12</v>
      </c>
      <c r="P121" t="str">
        <f>VLOOKUP(N121,CAT_JOUEUR,2,FALSE)</f>
        <v>U 21 HO</v>
      </c>
      <c r="AA121" t="s">
        <v>863</v>
      </c>
      <c r="AH121">
        <v>43032</v>
      </c>
      <c r="AI121">
        <v>45505</v>
      </c>
      <c r="AJ121">
        <v>2026</v>
      </c>
      <c r="AK121">
        <v>39054</v>
      </c>
      <c r="AL121" t="s">
        <v>864</v>
      </c>
      <c r="AP121">
        <v>621489964</v>
      </c>
      <c r="AQ121" t="s">
        <v>865</v>
      </c>
    </row>
    <row r="122" spans="1:65" x14ac:dyDescent="0.2">
      <c r="A122" t="s">
        <v>866</v>
      </c>
      <c r="B122" t="s">
        <v>867</v>
      </c>
      <c r="D122" t="s">
        <v>72</v>
      </c>
      <c r="E122" t="s">
        <v>868</v>
      </c>
      <c r="F122" t="s">
        <v>869</v>
      </c>
      <c r="G122" t="s">
        <v>870</v>
      </c>
      <c r="H122" t="s">
        <v>286</v>
      </c>
      <c r="I122" t="s">
        <v>871</v>
      </c>
      <c r="K122">
        <v>17</v>
      </c>
      <c r="L122">
        <f>IFERROR(VLOOKUP(K122,'Tables new'!$A:$C,3,FALSE),"")</f>
        <v>36</v>
      </c>
      <c r="M122" t="str">
        <f>VLOOKUP(K122,CAT_JOUEUR,2,FALSE)</f>
        <v>U 11 F</v>
      </c>
      <c r="N122">
        <v>17</v>
      </c>
      <c r="O122">
        <f>IFERROR(VLOOKUP(N122,'Tables new'!$A:$C,3,FALSE),"")</f>
        <v>36</v>
      </c>
      <c r="P122" t="str">
        <f>VLOOKUP(N122,CAT_JOUEUR,2,FALSE)</f>
        <v>U 11 F</v>
      </c>
      <c r="U122" t="s">
        <v>113</v>
      </c>
      <c r="AA122" t="s">
        <v>872</v>
      </c>
      <c r="AH122">
        <v>44992</v>
      </c>
      <c r="AI122">
        <v>44964</v>
      </c>
      <c r="AJ122">
        <v>2028</v>
      </c>
      <c r="AK122">
        <v>42538</v>
      </c>
      <c r="AL122" t="s">
        <v>873</v>
      </c>
      <c r="AO122" t="s">
        <v>874</v>
      </c>
      <c r="AP122" t="s">
        <v>875</v>
      </c>
      <c r="AQ122" t="s">
        <v>876</v>
      </c>
    </row>
    <row r="123" spans="1:65" x14ac:dyDescent="0.2">
      <c r="A123" t="s">
        <v>866</v>
      </c>
      <c r="B123" t="s">
        <v>877</v>
      </c>
      <c r="D123" t="s">
        <v>72</v>
      </c>
      <c r="E123" t="s">
        <v>96</v>
      </c>
      <c r="F123" t="s">
        <v>869</v>
      </c>
      <c r="G123" t="s">
        <v>870</v>
      </c>
      <c r="H123" t="s">
        <v>286</v>
      </c>
      <c r="I123" t="s">
        <v>871</v>
      </c>
      <c r="K123">
        <v>8</v>
      </c>
      <c r="L123">
        <f>IFERROR(VLOOKUP(K123,'Tables new'!$A:$C,3,FALSE),"")</f>
        <v>17</v>
      </c>
      <c r="M123" t="str">
        <f>VLOOKUP(K123,CAT_JOUEUR,2,FALSE)</f>
        <v>U 9 H</v>
      </c>
      <c r="N123">
        <v>8</v>
      </c>
      <c r="O123">
        <f>IFERROR(VLOOKUP(N123,'Tables new'!$A:$C,3,FALSE),"")</f>
        <v>17</v>
      </c>
      <c r="P123" t="str">
        <f>VLOOKUP(N123,CAT_JOUEUR,2,FALSE)</f>
        <v>U 9 H</v>
      </c>
      <c r="V123" t="s">
        <v>113</v>
      </c>
      <c r="AA123" t="s">
        <v>878</v>
      </c>
      <c r="AH123">
        <v>44557</v>
      </c>
      <c r="AI123">
        <v>44515</v>
      </c>
      <c r="AJ123">
        <v>2026</v>
      </c>
      <c r="AK123">
        <v>43588</v>
      </c>
      <c r="AL123" t="s">
        <v>879</v>
      </c>
      <c r="AO123" t="s">
        <v>874</v>
      </c>
      <c r="AP123" t="s">
        <v>875</v>
      </c>
      <c r="AQ123" t="s">
        <v>876</v>
      </c>
    </row>
    <row r="124" spans="1:65" x14ac:dyDescent="0.2">
      <c r="A124" t="s">
        <v>866</v>
      </c>
      <c r="B124" t="s">
        <v>614</v>
      </c>
      <c r="D124" t="s">
        <v>72</v>
      </c>
      <c r="E124" t="s">
        <v>96</v>
      </c>
      <c r="F124" t="s">
        <v>869</v>
      </c>
      <c r="G124" t="s">
        <v>870</v>
      </c>
      <c r="H124" t="s">
        <v>286</v>
      </c>
      <c r="I124" t="s">
        <v>871</v>
      </c>
      <c r="K124">
        <v>212</v>
      </c>
      <c r="L124">
        <f>IFERROR(VLOOKUP(K124,'Tables new'!$A:$C,3,FALSE),"")</f>
        <v>70</v>
      </c>
      <c r="M124" t="str">
        <f>VLOOKUP(K124,CAT_JOUEUR,2,FALSE)</f>
        <v>Contact famille</v>
      </c>
      <c r="N124">
        <v>212</v>
      </c>
      <c r="O124">
        <f>IFERROR(VLOOKUP(N124,'Tables new'!$A:$C,3,FALSE),"")</f>
        <v>70</v>
      </c>
      <c r="P124" t="str">
        <f>VLOOKUP(N124,CAT_JOUEUR,2,FALSE)</f>
        <v>Contact famille</v>
      </c>
      <c r="U124" t="s">
        <v>89</v>
      </c>
      <c r="V124" t="s">
        <v>89</v>
      </c>
      <c r="AH124" t="s">
        <v>78</v>
      </c>
      <c r="AI124" t="s">
        <v>78</v>
      </c>
      <c r="AJ124" t="s">
        <v>78</v>
      </c>
      <c r="AK124" t="s">
        <v>78</v>
      </c>
      <c r="AL124" t="s">
        <v>79</v>
      </c>
      <c r="AP124">
        <v>691525137</v>
      </c>
      <c r="AQ124" t="s">
        <v>880</v>
      </c>
    </row>
    <row r="125" spans="1:65" x14ac:dyDescent="0.2">
      <c r="A125" t="s">
        <v>881</v>
      </c>
      <c r="B125" t="s">
        <v>882</v>
      </c>
      <c r="D125" t="s">
        <v>72</v>
      </c>
      <c r="E125" t="s">
        <v>556</v>
      </c>
      <c r="F125" t="s">
        <v>883</v>
      </c>
      <c r="G125" t="s">
        <v>884</v>
      </c>
      <c r="H125" t="s">
        <v>885</v>
      </c>
      <c r="I125" t="s">
        <v>886</v>
      </c>
      <c r="K125">
        <v>18</v>
      </c>
      <c r="L125">
        <f>IFERROR(VLOOKUP(K125,'Tables new'!$A:$C,3,FALSE),"")</f>
        <v>37</v>
      </c>
      <c r="M125" t="str">
        <f>VLOOKUP(K125,CAT_JOUEUR,2,FALSE)</f>
        <v>U 9 F</v>
      </c>
      <c r="N125">
        <v>18</v>
      </c>
      <c r="O125">
        <f>IFERROR(VLOOKUP(N125,'Tables new'!$A:$C,3,FALSE),"")</f>
        <v>37</v>
      </c>
      <c r="P125" t="str">
        <f>VLOOKUP(N125,CAT_JOUEUR,2,FALSE)</f>
        <v>U 9 F</v>
      </c>
      <c r="V125" t="s">
        <v>113</v>
      </c>
      <c r="AA125" t="s">
        <v>887</v>
      </c>
      <c r="AH125">
        <v>45782</v>
      </c>
      <c r="AI125">
        <v>45742</v>
      </c>
      <c r="AJ125">
        <v>2028</v>
      </c>
      <c r="AK125">
        <v>44213</v>
      </c>
      <c r="AL125" t="s">
        <v>888</v>
      </c>
      <c r="AO125" t="s">
        <v>889</v>
      </c>
      <c r="AP125" t="s">
        <v>890</v>
      </c>
      <c r="AQ125" t="s">
        <v>891</v>
      </c>
    </row>
    <row r="126" spans="1:65" x14ac:dyDescent="0.2">
      <c r="A126" t="s">
        <v>881</v>
      </c>
      <c r="B126" t="s">
        <v>892</v>
      </c>
      <c r="D126" t="s">
        <v>72</v>
      </c>
      <c r="E126" t="s">
        <v>556</v>
      </c>
      <c r="F126" t="s">
        <v>883</v>
      </c>
      <c r="G126" t="s">
        <v>884</v>
      </c>
      <c r="H126" t="s">
        <v>885</v>
      </c>
      <c r="I126" t="s">
        <v>886</v>
      </c>
      <c r="K126">
        <v>212</v>
      </c>
      <c r="L126">
        <f>IFERROR(VLOOKUP(K126,'Tables new'!$A:$C,3,FALSE),"")</f>
        <v>70</v>
      </c>
      <c r="M126" t="str">
        <f>VLOOKUP(K126,CAT_JOUEUR,2,FALSE)</f>
        <v>Contact famille</v>
      </c>
      <c r="N126">
        <v>212</v>
      </c>
      <c r="O126">
        <f>IFERROR(VLOOKUP(N126,'Tables new'!$A:$C,3,FALSE),"")</f>
        <v>70</v>
      </c>
      <c r="P126" t="str">
        <f>VLOOKUP(N126,CAT_JOUEUR,2,FALSE)</f>
        <v>Contact famille</v>
      </c>
      <c r="V126" t="s">
        <v>89</v>
      </c>
      <c r="AH126" t="s">
        <v>78</v>
      </c>
      <c r="AI126" t="s">
        <v>78</v>
      </c>
      <c r="AJ126" t="s">
        <v>78</v>
      </c>
      <c r="AK126" t="s">
        <v>78</v>
      </c>
      <c r="AL126" t="s">
        <v>79</v>
      </c>
      <c r="AP126">
        <v>621599686</v>
      </c>
      <c r="AQ126" t="s">
        <v>891</v>
      </c>
    </row>
    <row r="127" spans="1:65" x14ac:dyDescent="0.2">
      <c r="A127" t="s">
        <v>893</v>
      </c>
      <c r="B127" t="s">
        <v>894</v>
      </c>
      <c r="D127" t="s">
        <v>72</v>
      </c>
      <c r="E127" t="s">
        <v>96</v>
      </c>
      <c r="F127" t="s">
        <v>895</v>
      </c>
      <c r="G127" t="s">
        <v>247</v>
      </c>
      <c r="H127" t="s">
        <v>108</v>
      </c>
      <c r="I127" t="s">
        <v>145</v>
      </c>
      <c r="K127">
        <v>9</v>
      </c>
      <c r="L127">
        <f>IFERROR(VLOOKUP(K127,'Tables new'!$A:$C,3,FALSE),"")</f>
        <v>20</v>
      </c>
      <c r="M127" t="str">
        <f>VLOOKUP(K127,CAT_JOUEUR,2,FALSE)</f>
        <v>Vétérans - HO</v>
      </c>
      <c r="N127">
        <v>9</v>
      </c>
      <c r="O127">
        <f>IFERROR(VLOOKUP(N127,'Tables new'!$A:$C,3,FALSE),"")</f>
        <v>20</v>
      </c>
      <c r="P127" t="str">
        <f>VLOOKUP(N127,CAT_JOUEUR,2,FALSE)</f>
        <v>Vétérans - HO</v>
      </c>
      <c r="AA127" t="s">
        <v>896</v>
      </c>
      <c r="AH127">
        <v>44543</v>
      </c>
      <c r="AI127">
        <v>44389</v>
      </c>
      <c r="AJ127">
        <v>2028</v>
      </c>
      <c r="AK127">
        <v>30636</v>
      </c>
      <c r="AL127" t="s">
        <v>897</v>
      </c>
      <c r="AP127">
        <v>691531253</v>
      </c>
      <c r="AQ127" t="s">
        <v>898</v>
      </c>
    </row>
    <row r="128" spans="1:65" x14ac:dyDescent="0.2">
      <c r="A128" t="s">
        <v>893</v>
      </c>
      <c r="B128" t="s">
        <v>899</v>
      </c>
      <c r="D128" t="s">
        <v>72</v>
      </c>
      <c r="E128" t="s">
        <v>96</v>
      </c>
      <c r="F128" t="s">
        <v>900</v>
      </c>
      <c r="G128" t="s">
        <v>247</v>
      </c>
      <c r="H128" t="s">
        <v>108</v>
      </c>
      <c r="I128" t="s">
        <v>145</v>
      </c>
      <c r="K128">
        <v>12</v>
      </c>
      <c r="L128">
        <v>31</v>
      </c>
      <c r="M128" t="s">
        <v>265</v>
      </c>
      <c r="N128">
        <v>12</v>
      </c>
      <c r="O128">
        <f>IFERROR(VLOOKUP(N128,'Tables new'!$A:$C,3,FALSE),"")</f>
        <v>31</v>
      </c>
      <c r="P128" t="str">
        <f>VLOOKUP(N128,CAT_JOUEUR,2,FALSE)</f>
        <v>Femmes</v>
      </c>
      <c r="AA128" t="s">
        <v>901</v>
      </c>
      <c r="AF128" t="s">
        <v>223</v>
      </c>
      <c r="AH128">
        <v>45912</v>
      </c>
      <c r="AI128">
        <v>45895</v>
      </c>
      <c r="AJ128">
        <v>2032</v>
      </c>
      <c r="AK128">
        <v>33701</v>
      </c>
      <c r="AL128" t="s">
        <v>902</v>
      </c>
      <c r="AP128">
        <v>691226319</v>
      </c>
      <c r="AQ128" t="s">
        <v>903</v>
      </c>
    </row>
    <row r="129" spans="1:67" x14ac:dyDescent="0.2">
      <c r="A129" t="s">
        <v>893</v>
      </c>
      <c r="B129" t="s">
        <v>904</v>
      </c>
      <c r="D129" t="s">
        <v>72</v>
      </c>
      <c r="E129" t="s">
        <v>96</v>
      </c>
      <c r="F129" t="s">
        <v>905</v>
      </c>
      <c r="G129" t="s">
        <v>324</v>
      </c>
      <c r="H129" t="s">
        <v>906</v>
      </c>
      <c r="I129" t="s">
        <v>145</v>
      </c>
      <c r="K129">
        <v>150</v>
      </c>
      <c r="L129">
        <f>IFERROR(VLOOKUP(K129,'Tables new'!$A:$C,3,FALSE),"")</f>
        <v>1</v>
      </c>
      <c r="M129" t="str">
        <f>VLOOKUP(K129,CAT_JOUEUR,2,FALSE)</f>
        <v>comité</v>
      </c>
      <c r="N129">
        <v>9</v>
      </c>
      <c r="O129">
        <f>IFERROR(VLOOKUP(N129,'Tables new'!$A:$C,3,FALSE),"")</f>
        <v>20</v>
      </c>
      <c r="P129" t="str">
        <f>VLOOKUP(N129,CAT_JOUEUR,2,FALSE)</f>
        <v>Vétérans - HO</v>
      </c>
      <c r="AA129" t="s">
        <v>907</v>
      </c>
      <c r="AH129">
        <v>40739</v>
      </c>
      <c r="AI129">
        <v>40795</v>
      </c>
      <c r="AJ129">
        <v>2027</v>
      </c>
      <c r="AK129">
        <v>29993</v>
      </c>
      <c r="AL129" t="s">
        <v>908</v>
      </c>
      <c r="AM129" t="s">
        <v>473</v>
      </c>
      <c r="AO129" t="s">
        <v>909</v>
      </c>
      <c r="AP129" t="s">
        <v>910</v>
      </c>
      <c r="AQ129" t="s">
        <v>911</v>
      </c>
      <c r="AU129" t="s">
        <v>912</v>
      </c>
      <c r="AY129" t="s">
        <v>538</v>
      </c>
      <c r="BA129" t="s">
        <v>137</v>
      </c>
      <c r="BB129" t="s">
        <v>137</v>
      </c>
      <c r="BC129" t="s">
        <v>138</v>
      </c>
      <c r="BD129" t="s">
        <v>538</v>
      </c>
      <c r="BO129" t="s">
        <v>443</v>
      </c>
    </row>
    <row r="130" spans="1:67" x14ac:dyDescent="0.2">
      <c r="A130" t="s">
        <v>913</v>
      </c>
      <c r="B130" t="s">
        <v>914</v>
      </c>
      <c r="D130" t="s">
        <v>72</v>
      </c>
      <c r="E130" t="s">
        <v>96</v>
      </c>
      <c r="F130" t="s">
        <v>895</v>
      </c>
      <c r="G130" t="s">
        <v>915</v>
      </c>
      <c r="H130" t="s">
        <v>108</v>
      </c>
      <c r="I130" t="s">
        <v>145</v>
      </c>
      <c r="K130">
        <v>202</v>
      </c>
      <c r="L130">
        <f>IFERROR(VLOOKUP(K130,'Tables new'!$A:$C,3,FALSE),"")</f>
        <v>62</v>
      </c>
      <c r="M130" t="str">
        <f>VLOOKUP(K130,CAT_JOUEUR,2,FALSE)</f>
        <v>Membre honoraire</v>
      </c>
      <c r="N130">
        <v>202</v>
      </c>
      <c r="O130">
        <f>IFERROR(VLOOKUP(N130,'Tables new'!$A:$C,3,FALSE),"")</f>
        <v>62</v>
      </c>
      <c r="P130" t="str">
        <f>VLOOKUP(N130,CAT_JOUEUR,2,FALSE)</f>
        <v>Membre honoraire</v>
      </c>
      <c r="AF130" t="s">
        <v>916</v>
      </c>
      <c r="AH130">
        <v>38177</v>
      </c>
      <c r="AI130">
        <v>38177</v>
      </c>
      <c r="AJ130" t="s">
        <v>534</v>
      </c>
      <c r="AK130">
        <v>18857</v>
      </c>
      <c r="AL130" t="s">
        <v>917</v>
      </c>
      <c r="AM130" t="s">
        <v>473</v>
      </c>
      <c r="AN130" t="s">
        <v>918</v>
      </c>
      <c r="AO130">
        <v>42424390</v>
      </c>
      <c r="AP130" t="s">
        <v>919</v>
      </c>
      <c r="AQ130" t="s">
        <v>920</v>
      </c>
      <c r="AV130" t="s">
        <v>468</v>
      </c>
      <c r="AY130" t="s">
        <v>674</v>
      </c>
      <c r="BA130" t="s">
        <v>136</v>
      </c>
      <c r="BB130" t="s">
        <v>137</v>
      </c>
      <c r="BC130" t="s">
        <v>138</v>
      </c>
      <c r="BD130" t="s">
        <v>783</v>
      </c>
      <c r="BO130" t="s">
        <v>921</v>
      </c>
    </row>
    <row r="131" spans="1:67" x14ac:dyDescent="0.2">
      <c r="A131" t="s">
        <v>922</v>
      </c>
      <c r="B131" t="s">
        <v>365</v>
      </c>
      <c r="D131" t="s">
        <v>72</v>
      </c>
      <c r="E131" t="s">
        <v>96</v>
      </c>
      <c r="F131" t="s">
        <v>923</v>
      </c>
      <c r="G131" t="s">
        <v>247</v>
      </c>
      <c r="H131" t="s">
        <v>108</v>
      </c>
      <c r="I131" t="s">
        <v>924</v>
      </c>
      <c r="K131">
        <v>2</v>
      </c>
      <c r="L131">
        <f>IFERROR(VLOOKUP(K131,'Tables new'!$A:$C,3,FALSE),"")</f>
        <v>11</v>
      </c>
      <c r="M131" t="str">
        <f>VLOOKUP(K131,CAT_JOUEUR,2,FALSE)</f>
        <v>Seniors - HO</v>
      </c>
      <c r="N131">
        <v>2</v>
      </c>
      <c r="O131">
        <f>IFERROR(VLOOKUP(N131,'Tables new'!$A:$C,3,FALSE),"")</f>
        <v>11</v>
      </c>
      <c r="P131" t="str">
        <f>VLOOKUP(N131,CAT_JOUEUR,2,FALSE)</f>
        <v>Seniors - HO</v>
      </c>
      <c r="AA131" t="s">
        <v>925</v>
      </c>
      <c r="AH131">
        <v>39525</v>
      </c>
      <c r="AI131">
        <v>39525</v>
      </c>
      <c r="AJ131">
        <v>2032</v>
      </c>
      <c r="AK131">
        <v>37321</v>
      </c>
      <c r="AL131" t="s">
        <v>926</v>
      </c>
      <c r="AN131" t="s">
        <v>927</v>
      </c>
      <c r="AP131" t="s">
        <v>928</v>
      </c>
      <c r="AQ131" t="s">
        <v>929</v>
      </c>
      <c r="AY131" t="s">
        <v>637</v>
      </c>
      <c r="BA131" t="s">
        <v>136</v>
      </c>
      <c r="BB131" t="s">
        <v>137</v>
      </c>
      <c r="BC131" t="s">
        <v>138</v>
      </c>
      <c r="BD131">
        <v>150</v>
      </c>
      <c r="BN131" t="s">
        <v>930</v>
      </c>
      <c r="BO131">
        <v>1</v>
      </c>
    </row>
    <row r="132" spans="1:67" x14ac:dyDescent="0.2">
      <c r="A132" t="s">
        <v>922</v>
      </c>
      <c r="B132" t="s">
        <v>931</v>
      </c>
      <c r="D132" t="s">
        <v>72</v>
      </c>
      <c r="E132" t="s">
        <v>96</v>
      </c>
      <c r="F132" t="s">
        <v>923</v>
      </c>
      <c r="G132" t="s">
        <v>247</v>
      </c>
      <c r="H132" t="s">
        <v>108</v>
      </c>
      <c r="I132" t="s">
        <v>924</v>
      </c>
      <c r="K132">
        <v>1</v>
      </c>
      <c r="L132">
        <f>IFERROR(VLOOKUP(K132,'Tables new'!$A:$C,3,FALSE),"")</f>
        <v>2</v>
      </c>
      <c r="M132" t="str">
        <f>VLOOKUP(K132,CAT_JOUEUR,2,FALSE)</f>
        <v>Officiel H</v>
      </c>
      <c r="N132">
        <v>1</v>
      </c>
      <c r="O132">
        <f>IFERROR(VLOOKUP(N132,'Tables new'!$A:$C,3,FALSE),"")</f>
        <v>2</v>
      </c>
      <c r="P132" t="str">
        <f>VLOOKUP(N132,CAT_JOUEUR,2,FALSE)</f>
        <v>Officiel H</v>
      </c>
      <c r="AB132" t="s">
        <v>932</v>
      </c>
      <c r="AC132" t="s">
        <v>932</v>
      </c>
      <c r="AH132">
        <v>33263</v>
      </c>
      <c r="AI132">
        <v>33263</v>
      </c>
      <c r="AJ132" t="s">
        <v>534</v>
      </c>
      <c r="AK132">
        <v>24945</v>
      </c>
      <c r="AL132" t="s">
        <v>79</v>
      </c>
      <c r="AN132" t="s">
        <v>927</v>
      </c>
      <c r="AO132" t="s">
        <v>933</v>
      </c>
      <c r="AP132" t="s">
        <v>934</v>
      </c>
      <c r="AQ132" t="s">
        <v>929</v>
      </c>
      <c r="AV132" t="s">
        <v>468</v>
      </c>
      <c r="AY132" t="s">
        <v>637</v>
      </c>
      <c r="BA132" t="s">
        <v>136</v>
      </c>
      <c r="BB132" t="s">
        <v>137</v>
      </c>
      <c r="BC132" t="s">
        <v>138</v>
      </c>
      <c r="BD132">
        <v>50</v>
      </c>
      <c r="BO132" t="s">
        <v>539</v>
      </c>
    </row>
    <row r="133" spans="1:67" x14ac:dyDescent="0.2">
      <c r="A133" t="s">
        <v>935</v>
      </c>
      <c r="B133" t="s">
        <v>936</v>
      </c>
      <c r="D133" t="s">
        <v>72</v>
      </c>
      <c r="E133" t="s">
        <v>96</v>
      </c>
      <c r="F133" t="s">
        <v>937</v>
      </c>
      <c r="G133" t="s">
        <v>247</v>
      </c>
      <c r="H133" t="s">
        <v>108</v>
      </c>
      <c r="I133" t="s">
        <v>145</v>
      </c>
      <c r="K133">
        <v>12</v>
      </c>
      <c r="L133">
        <v>31</v>
      </c>
      <c r="M133" t="s">
        <v>265</v>
      </c>
      <c r="N133">
        <v>12</v>
      </c>
      <c r="O133">
        <f>IFERROR(VLOOKUP(N133,'Tables new'!$A:$C,3,FALSE),"")</f>
        <v>31</v>
      </c>
      <c r="P133" t="str">
        <f>VLOOKUP(N133,CAT_JOUEUR,2,FALSE)</f>
        <v>Femmes</v>
      </c>
      <c r="AA133" t="s">
        <v>938</v>
      </c>
      <c r="AH133">
        <v>44851</v>
      </c>
      <c r="AI133">
        <v>44829</v>
      </c>
      <c r="AJ133">
        <v>2036</v>
      </c>
      <c r="AK133">
        <v>35294</v>
      </c>
      <c r="AL133" t="s">
        <v>939</v>
      </c>
      <c r="AN133" t="s">
        <v>208</v>
      </c>
      <c r="AP133">
        <v>621508500</v>
      </c>
      <c r="AQ133" t="s">
        <v>940</v>
      </c>
    </row>
    <row r="134" spans="1:67" x14ac:dyDescent="0.2">
      <c r="A134" t="s">
        <v>941</v>
      </c>
      <c r="B134" t="s">
        <v>942</v>
      </c>
      <c r="D134" t="s">
        <v>72</v>
      </c>
      <c r="E134" t="s">
        <v>943</v>
      </c>
      <c r="F134" t="s">
        <v>944</v>
      </c>
      <c r="G134" t="s">
        <v>299</v>
      </c>
      <c r="H134" t="s">
        <v>300</v>
      </c>
      <c r="I134" t="s">
        <v>945</v>
      </c>
      <c r="K134">
        <v>212</v>
      </c>
      <c r="L134">
        <f>IFERROR(VLOOKUP(K134,'Tables new'!$A:$C,3,FALSE),"")</f>
        <v>70</v>
      </c>
      <c r="M134" t="str">
        <f>VLOOKUP(K134,CAT_JOUEUR,2,FALSE)</f>
        <v>Contact famille</v>
      </c>
      <c r="N134">
        <v>212</v>
      </c>
      <c r="O134">
        <f>IFERROR(VLOOKUP(N134,'Tables new'!$A:$C,3,FALSE),"")</f>
        <v>70</v>
      </c>
      <c r="P134" t="str">
        <f>VLOOKUP(N134,CAT_JOUEUR,2,FALSE)</f>
        <v>Contact famille</v>
      </c>
      <c r="V134" t="s">
        <v>89</v>
      </c>
      <c r="W134" t="s">
        <v>89</v>
      </c>
      <c r="AB134" t="s">
        <v>208</v>
      </c>
      <c r="AH134" t="s">
        <v>78</v>
      </c>
      <c r="AI134" t="s">
        <v>78</v>
      </c>
      <c r="AJ134" t="s">
        <v>78</v>
      </c>
      <c r="AK134" t="s">
        <v>78</v>
      </c>
      <c r="AL134" t="s">
        <v>79</v>
      </c>
      <c r="AP134">
        <v>621482493</v>
      </c>
      <c r="AQ134" t="s">
        <v>946</v>
      </c>
    </row>
    <row r="135" spans="1:67" x14ac:dyDescent="0.2">
      <c r="A135" t="s">
        <v>941</v>
      </c>
      <c r="B135" t="s">
        <v>947</v>
      </c>
      <c r="D135" t="s">
        <v>72</v>
      </c>
      <c r="E135" t="s">
        <v>943</v>
      </c>
      <c r="F135" t="s">
        <v>944</v>
      </c>
      <c r="G135" t="s">
        <v>299</v>
      </c>
      <c r="H135" t="s">
        <v>300</v>
      </c>
      <c r="I135" t="s">
        <v>945</v>
      </c>
      <c r="K135">
        <v>21</v>
      </c>
      <c r="L135">
        <f>IFERROR(VLOOKUP(K135,'Tables new'!$A:$C,3,FALSE),"")</f>
        <v>18</v>
      </c>
      <c r="M135" t="str">
        <f>VLOOKUP(K135,CAT_JOUEUR,2,FALSE)</f>
        <v>U7 Mixte</v>
      </c>
      <c r="N135">
        <v>21</v>
      </c>
      <c r="O135">
        <f>IFERROR(VLOOKUP(N135,'Tables new'!$A:$C,3,FALSE),"")</f>
        <v>18</v>
      </c>
      <c r="P135" t="str">
        <f>VLOOKUP(N135,CAT_JOUEUR,2,FALSE)</f>
        <v>U7 Mixte</v>
      </c>
      <c r="W135" t="s">
        <v>113</v>
      </c>
      <c r="AA135" t="s">
        <v>948</v>
      </c>
      <c r="AH135">
        <v>45343</v>
      </c>
      <c r="AI135">
        <v>45250</v>
      </c>
      <c r="AJ135">
        <v>2028</v>
      </c>
      <c r="AK135">
        <v>44345</v>
      </c>
      <c r="AL135" t="s">
        <v>949</v>
      </c>
      <c r="AP135">
        <v>621482493</v>
      </c>
      <c r="AQ135" t="s">
        <v>946</v>
      </c>
    </row>
    <row r="136" spans="1:67" x14ac:dyDescent="0.2">
      <c r="A136" t="s">
        <v>941</v>
      </c>
      <c r="B136" t="s">
        <v>950</v>
      </c>
      <c r="D136" t="s">
        <v>72</v>
      </c>
      <c r="E136" t="s">
        <v>943</v>
      </c>
      <c r="F136" t="s">
        <v>944</v>
      </c>
      <c r="G136" t="s">
        <v>299</v>
      </c>
      <c r="H136" t="s">
        <v>300</v>
      </c>
      <c r="I136" t="s">
        <v>945</v>
      </c>
      <c r="K136">
        <v>8</v>
      </c>
      <c r="L136">
        <f>IFERROR(VLOOKUP(K136,'Tables new'!$A:$C,3,FALSE),"")</f>
        <v>17</v>
      </c>
      <c r="M136" t="str">
        <f>VLOOKUP(K136,CAT_JOUEUR,2,FALSE)</f>
        <v>U 9 H</v>
      </c>
      <c r="N136">
        <v>8</v>
      </c>
      <c r="O136">
        <f>IFERROR(VLOOKUP(N136,'Tables new'!$A:$C,3,FALSE),"")</f>
        <v>17</v>
      </c>
      <c r="P136" t="str">
        <f>VLOOKUP(N136,CAT_JOUEUR,2,FALSE)</f>
        <v>U 9 H</v>
      </c>
      <c r="V136" t="s">
        <v>113</v>
      </c>
      <c r="AA136" t="s">
        <v>951</v>
      </c>
      <c r="AH136">
        <v>44957</v>
      </c>
      <c r="AI136">
        <v>44877</v>
      </c>
      <c r="AJ136">
        <v>2026</v>
      </c>
      <c r="AK136">
        <v>43810</v>
      </c>
      <c r="AL136" t="s">
        <v>952</v>
      </c>
      <c r="AP136">
        <v>621482493</v>
      </c>
      <c r="AQ136" t="s">
        <v>946</v>
      </c>
    </row>
    <row r="137" spans="1:67" x14ac:dyDescent="0.2">
      <c r="A137" t="s">
        <v>941</v>
      </c>
      <c r="B137" t="s">
        <v>953</v>
      </c>
      <c r="D137" t="s">
        <v>72</v>
      </c>
      <c r="E137" t="s">
        <v>943</v>
      </c>
      <c r="F137" t="s">
        <v>944</v>
      </c>
      <c r="G137" t="s">
        <v>299</v>
      </c>
      <c r="H137" t="s">
        <v>300</v>
      </c>
      <c r="I137" t="s">
        <v>945</v>
      </c>
      <c r="K137">
        <v>7</v>
      </c>
      <c r="L137">
        <f>IFERROR(VLOOKUP(K137,'Tables new'!$A:$C,3,FALSE),"")</f>
        <v>16</v>
      </c>
      <c r="M137" t="str">
        <f>VLOOKUP(K137,CAT_JOUEUR,2,FALSE)</f>
        <v>U 11 H</v>
      </c>
      <c r="N137">
        <v>7</v>
      </c>
      <c r="O137">
        <f>IFERROR(VLOOKUP(N137,'Tables new'!$A:$C,3,FALSE),"")</f>
        <v>16</v>
      </c>
      <c r="P137" t="str">
        <f>VLOOKUP(N137,CAT_JOUEUR,2,FALSE)</f>
        <v>U 11 H</v>
      </c>
      <c r="W137" t="s">
        <v>113</v>
      </c>
      <c r="AA137" t="s">
        <v>954</v>
      </c>
      <c r="AH137">
        <v>44957</v>
      </c>
      <c r="AI137">
        <v>44877</v>
      </c>
      <c r="AJ137">
        <v>2029</v>
      </c>
      <c r="AK137">
        <v>43094</v>
      </c>
      <c r="AL137" t="s">
        <v>955</v>
      </c>
      <c r="AO137" t="s">
        <v>208</v>
      </c>
      <c r="AP137">
        <v>621482493</v>
      </c>
      <c r="AQ137" t="s">
        <v>946</v>
      </c>
    </row>
    <row r="138" spans="1:67" x14ac:dyDescent="0.2">
      <c r="A138" t="s">
        <v>956</v>
      </c>
      <c r="B138" t="s">
        <v>957</v>
      </c>
      <c r="D138" t="s">
        <v>72</v>
      </c>
      <c r="E138" t="s">
        <v>789</v>
      </c>
      <c r="F138" t="s">
        <v>958</v>
      </c>
      <c r="G138" t="s">
        <v>247</v>
      </c>
      <c r="H138" t="s">
        <v>108</v>
      </c>
      <c r="I138" t="s">
        <v>959</v>
      </c>
      <c r="K138">
        <v>212</v>
      </c>
      <c r="L138">
        <f>IFERROR(VLOOKUP(K138,'Tables new'!$A:$C,3,FALSE),"")</f>
        <v>70</v>
      </c>
      <c r="M138" t="str">
        <f>VLOOKUP(K138,CAT_JOUEUR,2,FALSE)</f>
        <v>Contact famille</v>
      </c>
      <c r="N138">
        <v>212</v>
      </c>
      <c r="O138">
        <f>IFERROR(VLOOKUP(N138,'Tables new'!$A:$C,3,FALSE),"")</f>
        <v>70</v>
      </c>
      <c r="P138" t="str">
        <f>VLOOKUP(N138,CAT_JOUEUR,2,FALSE)</f>
        <v>Contact famille</v>
      </c>
      <c r="V138" t="s">
        <v>89</v>
      </c>
      <c r="AH138" t="s">
        <v>78</v>
      </c>
      <c r="AI138" t="s">
        <v>78</v>
      </c>
      <c r="AJ138" t="s">
        <v>78</v>
      </c>
      <c r="AK138" t="s">
        <v>78</v>
      </c>
      <c r="AL138" t="s">
        <v>79</v>
      </c>
      <c r="AP138">
        <v>691243337</v>
      </c>
      <c r="AQ138" t="s">
        <v>960</v>
      </c>
    </row>
    <row r="139" spans="1:67" x14ac:dyDescent="0.2">
      <c r="A139" t="s">
        <v>961</v>
      </c>
      <c r="B139" t="s">
        <v>962</v>
      </c>
      <c r="D139" t="s">
        <v>72</v>
      </c>
      <c r="E139" t="s">
        <v>96</v>
      </c>
      <c r="F139" t="s">
        <v>963</v>
      </c>
      <c r="G139" t="s">
        <v>964</v>
      </c>
      <c r="H139" t="s">
        <v>965</v>
      </c>
      <c r="I139" t="s">
        <v>145</v>
      </c>
      <c r="K139">
        <v>2</v>
      </c>
      <c r="L139">
        <f>IFERROR(VLOOKUP(K139,'Tables new'!$A:$C,3,FALSE),"")</f>
        <v>11</v>
      </c>
      <c r="M139" t="str">
        <f>VLOOKUP(K139,CAT_JOUEUR,2,FALSE)</f>
        <v>Seniors - HO</v>
      </c>
      <c r="N139">
        <v>2</v>
      </c>
      <c r="O139">
        <f>IFERROR(VLOOKUP(N139,'Tables new'!$A:$C,3,FALSE),"")</f>
        <v>11</v>
      </c>
      <c r="P139" t="str">
        <f>VLOOKUP(N139,CAT_JOUEUR,2,FALSE)</f>
        <v>Seniors - HO</v>
      </c>
      <c r="AA139" t="s">
        <v>966</v>
      </c>
      <c r="AF139" t="s">
        <v>223</v>
      </c>
      <c r="AH139">
        <v>46036</v>
      </c>
      <c r="AI139">
        <v>46028</v>
      </c>
      <c r="AJ139">
        <v>2032</v>
      </c>
      <c r="AK139">
        <v>33659</v>
      </c>
      <c r="AL139" t="s">
        <v>967</v>
      </c>
      <c r="AP139">
        <v>691251992</v>
      </c>
      <c r="AQ139" t="s">
        <v>968</v>
      </c>
    </row>
    <row r="140" spans="1:67" x14ac:dyDescent="0.2">
      <c r="A140" t="s">
        <v>969</v>
      </c>
      <c r="B140" t="s">
        <v>970</v>
      </c>
      <c r="D140" t="s">
        <v>72</v>
      </c>
      <c r="E140" t="s">
        <v>96</v>
      </c>
      <c r="F140" t="s">
        <v>130</v>
      </c>
      <c r="G140" t="s">
        <v>131</v>
      </c>
      <c r="H140" t="s">
        <v>132</v>
      </c>
      <c r="I140" t="s">
        <v>133</v>
      </c>
      <c r="K140">
        <v>14</v>
      </c>
      <c r="L140">
        <f>IFERROR(VLOOKUP(K140,'Tables new'!$A:$C,3,FALSE),"")</f>
        <v>33</v>
      </c>
      <c r="M140" t="str">
        <f>VLOOKUP(K140,CAT_JOUEUR,2,FALSE)</f>
        <v>U 17 FE</v>
      </c>
      <c r="N140">
        <v>14</v>
      </c>
      <c r="O140">
        <f>IFERROR(VLOOKUP(N140,'Tables new'!$A:$C,3,FALSE),"")</f>
        <v>33</v>
      </c>
      <c r="P140" t="str">
        <f>VLOOKUP(N140,CAT_JOUEUR,2,FALSE)</f>
        <v>U 17 FE</v>
      </c>
      <c r="X140" t="s">
        <v>113</v>
      </c>
      <c r="AA140" t="s">
        <v>971</v>
      </c>
      <c r="AH140">
        <v>43507</v>
      </c>
      <c r="AI140">
        <v>43500</v>
      </c>
      <c r="AJ140">
        <v>2023</v>
      </c>
      <c r="AK140">
        <v>40775</v>
      </c>
      <c r="AL140" t="s">
        <v>972</v>
      </c>
      <c r="AO140" t="s">
        <v>973</v>
      </c>
      <c r="AP140" t="s">
        <v>974</v>
      </c>
      <c r="AQ140" t="s">
        <v>975</v>
      </c>
      <c r="AY140" t="s">
        <v>91</v>
      </c>
      <c r="BA140" t="s">
        <v>136</v>
      </c>
      <c r="BB140" t="s">
        <v>137</v>
      </c>
      <c r="BD140">
        <v>100</v>
      </c>
    </row>
    <row r="141" spans="1:67" x14ac:dyDescent="0.2">
      <c r="A141" t="s">
        <v>969</v>
      </c>
      <c r="B141" t="s">
        <v>976</v>
      </c>
      <c r="D141" t="s">
        <v>72</v>
      </c>
      <c r="E141" t="s">
        <v>96</v>
      </c>
      <c r="F141" t="s">
        <v>130</v>
      </c>
      <c r="G141" t="s">
        <v>131</v>
      </c>
      <c r="H141" t="s">
        <v>132</v>
      </c>
      <c r="I141" t="s">
        <v>133</v>
      </c>
      <c r="K141">
        <v>15</v>
      </c>
      <c r="L141">
        <f>IFERROR(VLOOKUP(K141,'Tables new'!$A:$C,3,FALSE),"")</f>
        <v>35</v>
      </c>
      <c r="M141" t="str">
        <f>VLOOKUP(K141,CAT_JOUEUR,2,FALSE)</f>
        <v>U 13 F</v>
      </c>
      <c r="N141">
        <v>15</v>
      </c>
      <c r="O141">
        <f>IFERROR(VLOOKUP(N141,'Tables new'!$A:$C,3,FALSE),"")</f>
        <v>35</v>
      </c>
      <c r="P141" t="str">
        <f>VLOOKUP(N141,CAT_JOUEUR,2,FALSE)</f>
        <v>U 13 F</v>
      </c>
      <c r="Z141" t="s">
        <v>113</v>
      </c>
      <c r="AA141" t="s">
        <v>977</v>
      </c>
      <c r="AH141">
        <v>44622</v>
      </c>
      <c r="AI141">
        <v>44584</v>
      </c>
      <c r="AJ141">
        <v>2027</v>
      </c>
      <c r="AK141">
        <v>42326</v>
      </c>
      <c r="AL141" t="s">
        <v>978</v>
      </c>
      <c r="AO141" t="s">
        <v>973</v>
      </c>
      <c r="AP141" t="s">
        <v>974</v>
      </c>
      <c r="AQ141" t="s">
        <v>975</v>
      </c>
    </row>
    <row r="142" spans="1:67" x14ac:dyDescent="0.2">
      <c r="A142" t="s">
        <v>979</v>
      </c>
      <c r="B142" t="s">
        <v>980</v>
      </c>
      <c r="D142" t="s">
        <v>72</v>
      </c>
      <c r="E142" t="s">
        <v>981</v>
      </c>
      <c r="F142" t="s">
        <v>982</v>
      </c>
      <c r="G142" t="s">
        <v>568</v>
      </c>
      <c r="H142" t="s">
        <v>885</v>
      </c>
      <c r="I142" t="s">
        <v>983</v>
      </c>
      <c r="K142">
        <v>212</v>
      </c>
      <c r="L142">
        <f>IFERROR(VLOOKUP(K142,'Tables new'!$A:$C,3,FALSE),"")</f>
        <v>70</v>
      </c>
      <c r="M142" t="str">
        <f>VLOOKUP(K142,CAT_JOUEUR,2,FALSE)</f>
        <v>Contact famille</v>
      </c>
      <c r="N142">
        <v>212</v>
      </c>
      <c r="O142">
        <f>IFERROR(VLOOKUP(N142,'Tables new'!$A:$C,3,FALSE),"")</f>
        <v>70</v>
      </c>
      <c r="P142" t="str">
        <f>VLOOKUP(N142,CAT_JOUEUR,2,FALSE)</f>
        <v>Contact famille</v>
      </c>
      <c r="W142" t="s">
        <v>89</v>
      </c>
      <c r="AH142" t="s">
        <v>78</v>
      </c>
      <c r="AI142" t="s">
        <v>78</v>
      </c>
      <c r="AJ142" t="s">
        <v>78</v>
      </c>
      <c r="AK142" t="s">
        <v>78</v>
      </c>
      <c r="AL142" t="s">
        <v>79</v>
      </c>
      <c r="AP142">
        <v>691394449</v>
      </c>
      <c r="AQ142" t="s">
        <v>984</v>
      </c>
    </row>
    <row r="143" spans="1:67" x14ac:dyDescent="0.2">
      <c r="A143" t="s">
        <v>985</v>
      </c>
      <c r="B143" t="s">
        <v>986</v>
      </c>
      <c r="D143" t="s">
        <v>72</v>
      </c>
      <c r="E143" t="s">
        <v>308</v>
      </c>
      <c r="F143" t="s">
        <v>987</v>
      </c>
      <c r="G143" t="s">
        <v>988</v>
      </c>
      <c r="H143" t="s">
        <v>989</v>
      </c>
      <c r="I143" t="s">
        <v>990</v>
      </c>
      <c r="K143">
        <v>212</v>
      </c>
      <c r="L143">
        <f>IFERROR(VLOOKUP(K143,'Tables new'!$A:$C,3,FALSE),"")</f>
        <v>70</v>
      </c>
      <c r="M143" t="str">
        <f>VLOOKUP(K143,CAT_JOUEUR,2,FALSE)</f>
        <v>Contact famille</v>
      </c>
      <c r="N143">
        <v>212</v>
      </c>
      <c r="O143">
        <f>IFERROR(VLOOKUP(N143,'Tables new'!$A:$C,3,FALSE),"")</f>
        <v>70</v>
      </c>
      <c r="P143" t="str">
        <f>VLOOKUP(N143,CAT_JOUEUR,2,FALSE)</f>
        <v>Contact famille</v>
      </c>
      <c r="AH143" t="s">
        <v>78</v>
      </c>
      <c r="AI143" t="s">
        <v>78</v>
      </c>
      <c r="AJ143" t="s">
        <v>78</v>
      </c>
      <c r="AK143" t="s">
        <v>78</v>
      </c>
      <c r="AL143" t="s">
        <v>79</v>
      </c>
      <c r="AP143" t="s">
        <v>991</v>
      </c>
      <c r="AQ143" t="s">
        <v>992</v>
      </c>
      <c r="AY143" t="s">
        <v>781</v>
      </c>
      <c r="BB143" t="s">
        <v>137</v>
      </c>
      <c r="BD143" t="s">
        <v>139</v>
      </c>
    </row>
    <row r="144" spans="1:67" x14ac:dyDescent="0.2">
      <c r="A144" t="s">
        <v>985</v>
      </c>
      <c r="B144" t="s">
        <v>993</v>
      </c>
      <c r="D144" t="s">
        <v>72</v>
      </c>
      <c r="E144" t="s">
        <v>96</v>
      </c>
      <c r="F144" t="s">
        <v>987</v>
      </c>
      <c r="G144" t="s">
        <v>988</v>
      </c>
      <c r="H144" t="s">
        <v>989</v>
      </c>
      <c r="I144" t="s">
        <v>990</v>
      </c>
      <c r="K144">
        <v>3</v>
      </c>
      <c r="L144">
        <f>IFERROR(VLOOKUP(K144,'Tables new'!$A:$C,3,FALSE),"")</f>
        <v>12</v>
      </c>
      <c r="M144" t="str">
        <f>VLOOKUP(K144,CAT_JOUEUR,2,FALSE)</f>
        <v>U 21 HO</v>
      </c>
      <c r="N144">
        <v>3</v>
      </c>
      <c r="O144">
        <f>IFERROR(VLOOKUP(N144,'Tables new'!$A:$C,3,FALSE),"")</f>
        <v>12</v>
      </c>
      <c r="P144" t="str">
        <f>VLOOKUP(N144,CAT_JOUEUR,2,FALSE)</f>
        <v>U 21 HO</v>
      </c>
      <c r="AA144" t="s">
        <v>994</v>
      </c>
      <c r="AH144">
        <v>43741</v>
      </c>
      <c r="AI144">
        <v>43737</v>
      </c>
      <c r="AJ144">
        <v>2024</v>
      </c>
      <c r="AK144">
        <v>39855</v>
      </c>
      <c r="AL144" t="s">
        <v>995</v>
      </c>
      <c r="AP144" t="s">
        <v>996</v>
      </c>
      <c r="AQ144" t="s">
        <v>997</v>
      </c>
      <c r="AY144" t="s">
        <v>781</v>
      </c>
      <c r="BB144" t="s">
        <v>137</v>
      </c>
      <c r="BC144" t="s">
        <v>138</v>
      </c>
      <c r="BD144">
        <v>50</v>
      </c>
    </row>
    <row r="145" spans="1:67" x14ac:dyDescent="0.2">
      <c r="A145" t="s">
        <v>998</v>
      </c>
      <c r="B145" t="s">
        <v>999</v>
      </c>
      <c r="D145" t="s">
        <v>72</v>
      </c>
      <c r="E145" t="s">
        <v>96</v>
      </c>
      <c r="F145" t="s">
        <v>1000</v>
      </c>
      <c r="G145" t="s">
        <v>1001</v>
      </c>
      <c r="H145" t="s">
        <v>144</v>
      </c>
      <c r="I145" t="s">
        <v>1002</v>
      </c>
      <c r="K145">
        <v>212</v>
      </c>
      <c r="L145">
        <f>IFERROR(VLOOKUP(K145,'Tables new'!$A:$C,3,FALSE),"")</f>
        <v>70</v>
      </c>
      <c r="M145" t="str">
        <f>VLOOKUP(K145,CAT_JOUEUR,2,FALSE)</f>
        <v>Contact famille</v>
      </c>
      <c r="N145">
        <v>212</v>
      </c>
      <c r="O145">
        <f>IFERROR(VLOOKUP(N145,'Tables new'!$A:$C,3,FALSE),"")</f>
        <v>70</v>
      </c>
      <c r="P145" t="str">
        <f>VLOOKUP(N145,CAT_JOUEUR,2,FALSE)</f>
        <v>Contact famille</v>
      </c>
      <c r="AH145" t="s">
        <v>78</v>
      </c>
      <c r="AI145" t="s">
        <v>78</v>
      </c>
      <c r="AJ145" t="s">
        <v>78</v>
      </c>
      <c r="AK145" t="s">
        <v>78</v>
      </c>
      <c r="AL145" t="s">
        <v>79</v>
      </c>
      <c r="AP145">
        <v>691150969</v>
      </c>
      <c r="AQ145" t="s">
        <v>1003</v>
      </c>
    </row>
    <row r="146" spans="1:67" x14ac:dyDescent="0.2">
      <c r="A146" t="s">
        <v>1004</v>
      </c>
      <c r="B146" t="s">
        <v>773</v>
      </c>
      <c r="D146" t="s">
        <v>72</v>
      </c>
      <c r="E146" t="s">
        <v>96</v>
      </c>
      <c r="F146" t="s">
        <v>1005</v>
      </c>
      <c r="G146" t="s">
        <v>1006</v>
      </c>
      <c r="H146" t="s">
        <v>300</v>
      </c>
      <c r="I146" t="s">
        <v>1007</v>
      </c>
      <c r="K146">
        <v>212</v>
      </c>
      <c r="L146">
        <f>IFERROR(VLOOKUP(K146,'Tables new'!$A:$C,3,FALSE),"")</f>
        <v>70</v>
      </c>
      <c r="M146" t="str">
        <f>VLOOKUP(K146,CAT_JOUEUR,2,FALSE)</f>
        <v>Contact famille</v>
      </c>
      <c r="N146">
        <v>212</v>
      </c>
      <c r="O146">
        <f>IFERROR(VLOOKUP(N146,'Tables new'!$A:$C,3,FALSE),"")</f>
        <v>70</v>
      </c>
      <c r="P146" t="str">
        <f>VLOOKUP(N146,CAT_JOUEUR,2,FALSE)</f>
        <v>Contact famille</v>
      </c>
      <c r="S146" t="s">
        <v>89</v>
      </c>
      <c r="AH146" t="s">
        <v>78</v>
      </c>
      <c r="AI146" t="s">
        <v>78</v>
      </c>
      <c r="AJ146" t="s">
        <v>78</v>
      </c>
      <c r="AK146" t="s">
        <v>78</v>
      </c>
      <c r="AL146" t="s">
        <v>79</v>
      </c>
      <c r="AP146">
        <v>691903263</v>
      </c>
      <c r="AQ146" t="s">
        <v>1008</v>
      </c>
    </row>
    <row r="147" spans="1:67" x14ac:dyDescent="0.2">
      <c r="A147" t="s">
        <v>1004</v>
      </c>
      <c r="B147" t="s">
        <v>814</v>
      </c>
      <c r="D147" t="s">
        <v>72</v>
      </c>
      <c r="E147" t="s">
        <v>96</v>
      </c>
      <c r="F147" t="s">
        <v>1005</v>
      </c>
      <c r="G147" t="s">
        <v>1006</v>
      </c>
      <c r="H147" t="s">
        <v>300</v>
      </c>
      <c r="I147" t="s">
        <v>1007</v>
      </c>
      <c r="K147">
        <v>5</v>
      </c>
      <c r="L147">
        <f>IFERROR(VLOOKUP(K147,'Tables new'!$A:$C,3,FALSE),"")</f>
        <v>14</v>
      </c>
      <c r="M147" t="str">
        <f>VLOOKUP(K147,CAT_JOUEUR,2,FALSE)</f>
        <v>U 15 H</v>
      </c>
      <c r="N147">
        <v>5</v>
      </c>
      <c r="O147">
        <f>IFERROR(VLOOKUP(N147,'Tables new'!$A:$C,3,FALSE),"")</f>
        <v>14</v>
      </c>
      <c r="P147" t="str">
        <f>VLOOKUP(N147,CAT_JOUEUR,2,FALSE)</f>
        <v>U 15 H</v>
      </c>
      <c r="S147" t="s">
        <v>113</v>
      </c>
      <c r="AA147" t="s">
        <v>1009</v>
      </c>
      <c r="AH147">
        <v>45544</v>
      </c>
      <c r="AI147">
        <v>45505</v>
      </c>
      <c r="AJ147">
        <v>2028</v>
      </c>
      <c r="AK147">
        <v>41338</v>
      </c>
      <c r="AL147" t="s">
        <v>1010</v>
      </c>
      <c r="AP147" t="s">
        <v>1011</v>
      </c>
      <c r="AQ147" t="s">
        <v>1008</v>
      </c>
    </row>
    <row r="148" spans="1:67" x14ac:dyDescent="0.2">
      <c r="A148" t="s">
        <v>1012</v>
      </c>
      <c r="B148" t="s">
        <v>1013</v>
      </c>
      <c r="D148" t="s">
        <v>72</v>
      </c>
      <c r="E148" t="s">
        <v>398</v>
      </c>
      <c r="F148" t="s">
        <v>1014</v>
      </c>
      <c r="G148" t="s">
        <v>455</v>
      </c>
      <c r="H148" t="s">
        <v>456</v>
      </c>
      <c r="I148" t="s">
        <v>1015</v>
      </c>
      <c r="K148">
        <v>212</v>
      </c>
      <c r="L148">
        <f>IFERROR(VLOOKUP(K148,'Tables new'!$A:$C,3,FALSE),"")</f>
        <v>70</v>
      </c>
      <c r="M148" t="str">
        <f>VLOOKUP(K148,CAT_JOUEUR,2,FALSE)</f>
        <v>Contact famille</v>
      </c>
      <c r="N148">
        <v>212</v>
      </c>
      <c r="O148">
        <f>IFERROR(VLOOKUP(N148,'Tables new'!$A:$C,3,FALSE),"")</f>
        <v>70</v>
      </c>
      <c r="P148" t="str">
        <f>VLOOKUP(N148,CAT_JOUEUR,2,FALSE)</f>
        <v>Contact famille</v>
      </c>
      <c r="V148" t="s">
        <v>89</v>
      </c>
      <c r="AH148" t="s">
        <v>78</v>
      </c>
      <c r="AI148" t="s">
        <v>78</v>
      </c>
      <c r="AJ148" t="s">
        <v>78</v>
      </c>
      <c r="AK148" t="s">
        <v>78</v>
      </c>
      <c r="AL148" t="s">
        <v>79</v>
      </c>
      <c r="AP148">
        <v>661451382</v>
      </c>
      <c r="AQ148" t="s">
        <v>1016</v>
      </c>
    </row>
    <row r="149" spans="1:67" x14ac:dyDescent="0.2">
      <c r="A149" t="s">
        <v>1012</v>
      </c>
      <c r="B149" t="s">
        <v>1017</v>
      </c>
      <c r="D149" t="s">
        <v>72</v>
      </c>
      <c r="E149" t="s">
        <v>398</v>
      </c>
      <c r="F149" t="s">
        <v>1014</v>
      </c>
      <c r="G149" t="s">
        <v>455</v>
      </c>
      <c r="H149" t="s">
        <v>456</v>
      </c>
      <c r="I149" t="s">
        <v>1015</v>
      </c>
      <c r="K149">
        <v>18</v>
      </c>
      <c r="L149">
        <f>IFERROR(VLOOKUP(K149,'Tables new'!$A:$C,3,FALSE),"")</f>
        <v>37</v>
      </c>
      <c r="M149" t="str">
        <f>VLOOKUP(K149,CAT_JOUEUR,2,FALSE)</f>
        <v>U 9 F</v>
      </c>
      <c r="N149">
        <v>18</v>
      </c>
      <c r="O149">
        <f>IFERROR(VLOOKUP(N149,'Tables new'!$A:$C,3,FALSE),"")</f>
        <v>37</v>
      </c>
      <c r="P149" t="str">
        <f>VLOOKUP(N149,CAT_JOUEUR,2,FALSE)</f>
        <v>U 9 F</v>
      </c>
      <c r="V149" t="s">
        <v>113</v>
      </c>
      <c r="AA149" t="s">
        <v>1018</v>
      </c>
      <c r="AH149">
        <v>45008</v>
      </c>
      <c r="AI149">
        <v>44981</v>
      </c>
      <c r="AJ149">
        <v>2026</v>
      </c>
      <c r="AK149">
        <v>43704</v>
      </c>
      <c r="AL149" t="s">
        <v>1019</v>
      </c>
      <c r="AO149" t="s">
        <v>1020</v>
      </c>
      <c r="AP149" t="s">
        <v>1021</v>
      </c>
      <c r="AQ149" t="s">
        <v>1016</v>
      </c>
    </row>
    <row r="150" spans="1:67" x14ac:dyDescent="0.2">
      <c r="A150" t="s">
        <v>1022</v>
      </c>
      <c r="B150" t="s">
        <v>602</v>
      </c>
      <c r="D150" t="s">
        <v>72</v>
      </c>
      <c r="E150" t="s">
        <v>96</v>
      </c>
      <c r="F150" t="s">
        <v>1023</v>
      </c>
      <c r="G150" t="s">
        <v>1024</v>
      </c>
      <c r="H150" t="s">
        <v>1025</v>
      </c>
      <c r="I150" t="s">
        <v>1026</v>
      </c>
      <c r="K150">
        <v>7</v>
      </c>
      <c r="L150">
        <f>IFERROR(VLOOKUP(K150,'Tables new'!$A:$C,3,FALSE),"")</f>
        <v>16</v>
      </c>
      <c r="M150" t="str">
        <f>VLOOKUP(K150,CAT_JOUEUR,2,FALSE)</f>
        <v>U 11 H</v>
      </c>
      <c r="N150">
        <v>7</v>
      </c>
      <c r="O150">
        <f>IFERROR(VLOOKUP(N150,'Tables new'!$A:$C,3,FALSE),"")</f>
        <v>16</v>
      </c>
      <c r="P150" t="str">
        <f>VLOOKUP(N150,CAT_JOUEUR,2,FALSE)</f>
        <v>U 11 H</v>
      </c>
      <c r="U150" t="s">
        <v>113</v>
      </c>
      <c r="AA150" t="s">
        <v>1027</v>
      </c>
      <c r="AF150" t="s">
        <v>360</v>
      </c>
      <c r="AH150">
        <v>45908</v>
      </c>
      <c r="AI150">
        <v>45889</v>
      </c>
      <c r="AJ150">
        <v>2029</v>
      </c>
      <c r="AK150">
        <v>43046</v>
      </c>
      <c r="AL150" t="s">
        <v>1028</v>
      </c>
      <c r="AO150" t="s">
        <v>1029</v>
      </c>
      <c r="AP150" t="s">
        <v>1030</v>
      </c>
      <c r="AQ150" t="s">
        <v>1031</v>
      </c>
    </row>
    <row r="151" spans="1:67" x14ac:dyDescent="0.2">
      <c r="A151" t="s">
        <v>1022</v>
      </c>
      <c r="B151" t="s">
        <v>211</v>
      </c>
      <c r="D151" t="s">
        <v>72</v>
      </c>
      <c r="E151" t="s">
        <v>96</v>
      </c>
      <c r="F151" t="s">
        <v>1023</v>
      </c>
      <c r="G151" t="s">
        <v>1024</v>
      </c>
      <c r="H151" t="s">
        <v>1025</v>
      </c>
      <c r="I151" t="s">
        <v>1026</v>
      </c>
      <c r="K151">
        <v>212</v>
      </c>
      <c r="L151">
        <f>IFERROR(VLOOKUP(K151,'Tables new'!$A:$C,3,FALSE),"")</f>
        <v>70</v>
      </c>
      <c r="M151" t="str">
        <f>VLOOKUP(K151,CAT_JOUEUR,2,FALSE)</f>
        <v>Contact famille</v>
      </c>
      <c r="N151">
        <v>212</v>
      </c>
      <c r="O151">
        <f>IFERROR(VLOOKUP(N151,'Tables new'!$A:$C,3,FALSE),"")</f>
        <v>70</v>
      </c>
      <c r="P151" t="str">
        <f>VLOOKUP(N151,CAT_JOUEUR,2,FALSE)</f>
        <v>Contact famille</v>
      </c>
      <c r="U151" t="s">
        <v>89</v>
      </c>
      <c r="V151" t="s">
        <v>89</v>
      </c>
      <c r="AH151" t="s">
        <v>78</v>
      </c>
      <c r="AI151" t="s">
        <v>78</v>
      </c>
      <c r="AJ151" t="s">
        <v>78</v>
      </c>
      <c r="AK151" t="s">
        <v>78</v>
      </c>
      <c r="AL151" t="s">
        <v>79</v>
      </c>
      <c r="AP151">
        <v>621255430</v>
      </c>
    </row>
    <row r="152" spans="1:67" x14ac:dyDescent="0.2">
      <c r="A152" t="s">
        <v>1022</v>
      </c>
      <c r="B152" t="s">
        <v>1032</v>
      </c>
      <c r="D152" t="s">
        <v>72</v>
      </c>
      <c r="E152" t="s">
        <v>96</v>
      </c>
      <c r="F152" t="s">
        <v>1023</v>
      </c>
      <c r="G152" t="s">
        <v>1024</v>
      </c>
      <c r="H152" t="s">
        <v>1025</v>
      </c>
      <c r="I152" t="s">
        <v>1026</v>
      </c>
      <c r="K152">
        <v>8</v>
      </c>
      <c r="L152">
        <f>IFERROR(VLOOKUP(K152,'Tables new'!$A:$C,3,FALSE),"")</f>
        <v>17</v>
      </c>
      <c r="M152" t="str">
        <f>VLOOKUP(K152,CAT_JOUEUR,2,FALSE)</f>
        <v>U 9 H</v>
      </c>
      <c r="N152">
        <v>8</v>
      </c>
      <c r="O152">
        <f>IFERROR(VLOOKUP(N152,'Tables new'!$A:$C,3,FALSE),"")</f>
        <v>17</v>
      </c>
      <c r="P152" t="str">
        <f>VLOOKUP(N152,CAT_JOUEUR,2,FALSE)</f>
        <v>U 9 H</v>
      </c>
      <c r="V152" t="s">
        <v>113</v>
      </c>
      <c r="AA152" t="s">
        <v>155</v>
      </c>
      <c r="AF152" t="s">
        <v>223</v>
      </c>
      <c r="AI152">
        <v>45902</v>
      </c>
      <c r="AK152">
        <v>43735</v>
      </c>
      <c r="AL152" t="s">
        <v>1033</v>
      </c>
      <c r="AO152" t="s">
        <v>1029</v>
      </c>
      <c r="AP152" t="s">
        <v>1030</v>
      </c>
      <c r="AQ152" t="s">
        <v>1031</v>
      </c>
    </row>
    <row r="153" spans="1:67" x14ac:dyDescent="0.2">
      <c r="A153" t="s">
        <v>1034</v>
      </c>
      <c r="B153" t="s">
        <v>1035</v>
      </c>
      <c r="D153" t="s">
        <v>72</v>
      </c>
      <c r="E153" t="s">
        <v>96</v>
      </c>
      <c r="F153" t="s">
        <v>1023</v>
      </c>
      <c r="G153" t="s">
        <v>1024</v>
      </c>
      <c r="H153" t="s">
        <v>1025</v>
      </c>
      <c r="I153" t="s">
        <v>1026</v>
      </c>
      <c r="K153">
        <v>212</v>
      </c>
      <c r="L153">
        <f>IFERROR(VLOOKUP(K153,'Tables new'!$A:$C,3,FALSE),"")</f>
        <v>70</v>
      </c>
      <c r="M153" t="str">
        <f>VLOOKUP(K153,CAT_JOUEUR,2,FALSE)</f>
        <v>Contact famille</v>
      </c>
      <c r="N153">
        <v>212</v>
      </c>
      <c r="O153">
        <f>IFERROR(VLOOKUP(N153,'Tables new'!$A:$C,3,FALSE),"")</f>
        <v>70</v>
      </c>
      <c r="P153" t="str">
        <f>VLOOKUP(N153,CAT_JOUEUR,2,FALSE)</f>
        <v>Contact famille</v>
      </c>
      <c r="U153" t="s">
        <v>89</v>
      </c>
      <c r="V153" t="s">
        <v>89</v>
      </c>
      <c r="AH153" t="s">
        <v>78</v>
      </c>
      <c r="AI153" t="s">
        <v>78</v>
      </c>
      <c r="AJ153" t="s">
        <v>78</v>
      </c>
      <c r="AK153" t="s">
        <v>78</v>
      </c>
      <c r="AL153" t="s">
        <v>79</v>
      </c>
      <c r="AP153">
        <v>621785490</v>
      </c>
      <c r="AQ153" t="s">
        <v>1031</v>
      </c>
    </row>
    <row r="154" spans="1:67" x14ac:dyDescent="0.2">
      <c r="A154" t="s">
        <v>1036</v>
      </c>
      <c r="B154" t="s">
        <v>1037</v>
      </c>
      <c r="D154" t="s">
        <v>72</v>
      </c>
      <c r="E154" t="s">
        <v>123</v>
      </c>
      <c r="F154" t="s">
        <v>567</v>
      </c>
      <c r="G154" t="s">
        <v>1038</v>
      </c>
      <c r="H154" t="s">
        <v>559</v>
      </c>
      <c r="I154" t="s">
        <v>569</v>
      </c>
      <c r="K154">
        <v>212</v>
      </c>
      <c r="L154">
        <f>IFERROR(VLOOKUP(K154,'Tables new'!$A:$C,3,FALSE),"")</f>
        <v>70</v>
      </c>
      <c r="M154" t="str">
        <f>VLOOKUP(K154,CAT_JOUEUR,2,FALSE)</f>
        <v>Contact famille</v>
      </c>
      <c r="N154">
        <v>212</v>
      </c>
      <c r="O154">
        <f>IFERROR(VLOOKUP(N154,'Tables new'!$A:$C,3,FALSE),"")</f>
        <v>70</v>
      </c>
      <c r="P154" t="str">
        <f>VLOOKUP(N154,CAT_JOUEUR,2,FALSE)</f>
        <v>Contact famille</v>
      </c>
      <c r="W154" t="s">
        <v>89</v>
      </c>
      <c r="AH154" t="s">
        <v>78</v>
      </c>
      <c r="AI154" t="s">
        <v>78</v>
      </c>
      <c r="AJ154" t="s">
        <v>78</v>
      </c>
      <c r="AK154">
        <v>31114</v>
      </c>
      <c r="AL154" t="s">
        <v>1039</v>
      </c>
      <c r="AN154" t="s">
        <v>208</v>
      </c>
      <c r="AP154">
        <v>621523369</v>
      </c>
      <c r="AQ154" t="s">
        <v>579</v>
      </c>
    </row>
    <row r="155" spans="1:67" x14ac:dyDescent="0.2">
      <c r="A155" t="s">
        <v>1040</v>
      </c>
      <c r="B155" t="s">
        <v>1041</v>
      </c>
      <c r="D155" t="s">
        <v>72</v>
      </c>
      <c r="E155" t="s">
        <v>96</v>
      </c>
      <c r="F155" t="s">
        <v>1042</v>
      </c>
      <c r="G155" t="s">
        <v>1043</v>
      </c>
      <c r="H155" t="s">
        <v>1044</v>
      </c>
      <c r="I155" t="s">
        <v>1045</v>
      </c>
      <c r="K155">
        <v>18</v>
      </c>
      <c r="L155">
        <f>IFERROR(VLOOKUP(K155,'Tables new'!$A:$C,3,FALSE),"")</f>
        <v>37</v>
      </c>
      <c r="M155" t="str">
        <f>VLOOKUP(K155,CAT_JOUEUR,2,FALSE)</f>
        <v>U 9 F</v>
      </c>
      <c r="N155">
        <v>18</v>
      </c>
      <c r="O155">
        <f>IFERROR(VLOOKUP(N155,'Tables new'!$A:$C,3,FALSE),"")</f>
        <v>37</v>
      </c>
      <c r="P155" t="str">
        <f>VLOOKUP(N155,CAT_JOUEUR,2,FALSE)</f>
        <v>U 9 F</v>
      </c>
      <c r="V155" t="s">
        <v>113</v>
      </c>
      <c r="AA155" t="s">
        <v>1046</v>
      </c>
      <c r="AH155">
        <v>44649</v>
      </c>
      <c r="AI155">
        <v>44553</v>
      </c>
      <c r="AJ155">
        <v>2025</v>
      </c>
      <c r="AK155">
        <v>43259</v>
      </c>
      <c r="AL155" t="s">
        <v>1047</v>
      </c>
      <c r="AO155" t="s">
        <v>1048</v>
      </c>
      <c r="AP155" t="s">
        <v>1049</v>
      </c>
      <c r="AQ155" t="s">
        <v>1050</v>
      </c>
    </row>
    <row r="156" spans="1:67" x14ac:dyDescent="0.2">
      <c r="A156" t="s">
        <v>1040</v>
      </c>
      <c r="B156" t="s">
        <v>1051</v>
      </c>
      <c r="D156" t="s">
        <v>72</v>
      </c>
      <c r="E156" t="s">
        <v>96</v>
      </c>
      <c r="F156" t="s">
        <v>1042</v>
      </c>
      <c r="G156" t="s">
        <v>1052</v>
      </c>
      <c r="H156" t="s">
        <v>1044</v>
      </c>
      <c r="I156" t="s">
        <v>1045</v>
      </c>
      <c r="K156">
        <v>212</v>
      </c>
      <c r="L156">
        <f>IFERROR(VLOOKUP(K156,'Tables new'!$A:$C,3,FALSE),"")</f>
        <v>70</v>
      </c>
      <c r="M156" t="str">
        <f>VLOOKUP(K156,CAT_JOUEUR,2,FALSE)</f>
        <v>Contact famille</v>
      </c>
      <c r="N156">
        <v>212</v>
      </c>
      <c r="O156">
        <f>IFERROR(VLOOKUP(N156,'Tables new'!$A:$C,3,FALSE),"")</f>
        <v>70</v>
      </c>
      <c r="P156" t="str">
        <f>VLOOKUP(N156,CAT_JOUEUR,2,FALSE)</f>
        <v>Contact famille</v>
      </c>
      <c r="V156" t="s">
        <v>89</v>
      </c>
      <c r="W156" t="s">
        <v>89</v>
      </c>
      <c r="AH156" t="s">
        <v>78</v>
      </c>
      <c r="AI156" t="s">
        <v>78</v>
      </c>
      <c r="AJ156" t="s">
        <v>78</v>
      </c>
      <c r="AK156" t="s">
        <v>78</v>
      </c>
      <c r="AL156" t="s">
        <v>79</v>
      </c>
      <c r="AP156">
        <v>621624521</v>
      </c>
      <c r="AQ156" t="s">
        <v>1053</v>
      </c>
    </row>
    <row r="157" spans="1:67" x14ac:dyDescent="0.2">
      <c r="A157" t="s">
        <v>1040</v>
      </c>
      <c r="B157" t="s">
        <v>1054</v>
      </c>
      <c r="D157" t="s">
        <v>72</v>
      </c>
      <c r="E157" t="s">
        <v>96</v>
      </c>
      <c r="F157" t="s">
        <v>1042</v>
      </c>
      <c r="G157" t="s">
        <v>1043</v>
      </c>
      <c r="H157" t="s">
        <v>1044</v>
      </c>
      <c r="I157" t="s">
        <v>1045</v>
      </c>
      <c r="K157">
        <v>21</v>
      </c>
      <c r="L157">
        <f>IFERROR(VLOOKUP(K157,'Tables new'!$A:$C,3,FALSE),"")</f>
        <v>18</v>
      </c>
      <c r="M157" t="str">
        <f>VLOOKUP(K157,CAT_JOUEUR,2,FALSE)</f>
        <v>U7 Mixte</v>
      </c>
      <c r="N157">
        <v>21</v>
      </c>
      <c r="O157">
        <f>IFERROR(VLOOKUP(N157,'Tables new'!$A:$C,3,FALSE),"")</f>
        <v>18</v>
      </c>
      <c r="P157" t="str">
        <f>VLOOKUP(N157,CAT_JOUEUR,2,FALSE)</f>
        <v>U7 Mixte</v>
      </c>
      <c r="W157" t="s">
        <v>113</v>
      </c>
      <c r="AA157" t="s">
        <v>1055</v>
      </c>
      <c r="AH157">
        <v>44964</v>
      </c>
      <c r="AI157">
        <v>44953</v>
      </c>
      <c r="AJ157">
        <v>2027</v>
      </c>
      <c r="AK157">
        <v>44040</v>
      </c>
      <c r="AL157" t="s">
        <v>1056</v>
      </c>
      <c r="AO157" t="s">
        <v>1057</v>
      </c>
      <c r="AP157" t="s">
        <v>1049</v>
      </c>
      <c r="AQ157" t="s">
        <v>1050</v>
      </c>
    </row>
    <row r="158" spans="1:67" x14ac:dyDescent="0.2">
      <c r="A158" t="s">
        <v>1058</v>
      </c>
      <c r="B158" t="s">
        <v>1059</v>
      </c>
      <c r="D158" t="s">
        <v>72</v>
      </c>
      <c r="E158" t="s">
        <v>96</v>
      </c>
      <c r="F158" t="s">
        <v>1060</v>
      </c>
      <c r="G158" t="s">
        <v>1061</v>
      </c>
      <c r="H158" t="s">
        <v>1062</v>
      </c>
      <c r="I158" t="s">
        <v>1063</v>
      </c>
      <c r="K158">
        <v>212</v>
      </c>
      <c r="L158">
        <f>IFERROR(VLOOKUP(K158,'Tables new'!$A:$C,3,FALSE),"")</f>
        <v>70</v>
      </c>
      <c r="M158" t="str">
        <f>VLOOKUP(K158,CAT_JOUEUR,2,FALSE)</f>
        <v>Contact famille</v>
      </c>
      <c r="N158">
        <v>212</v>
      </c>
      <c r="O158">
        <f>IFERROR(VLOOKUP(N158,'Tables new'!$A:$C,3,FALSE),"")</f>
        <v>70</v>
      </c>
      <c r="P158" t="str">
        <f>VLOOKUP(N158,CAT_JOUEUR,2,FALSE)</f>
        <v>Contact famille</v>
      </c>
      <c r="Z158" t="s">
        <v>89</v>
      </c>
      <c r="AH158" t="s">
        <v>78</v>
      </c>
      <c r="AI158" t="s">
        <v>78</v>
      </c>
      <c r="AJ158" t="s">
        <v>78</v>
      </c>
      <c r="AK158" t="s">
        <v>78</v>
      </c>
      <c r="AL158" t="s">
        <v>79</v>
      </c>
      <c r="AP158">
        <v>691901172</v>
      </c>
      <c r="AQ158" t="s">
        <v>1064</v>
      </c>
    </row>
    <row r="159" spans="1:67" x14ac:dyDescent="0.2">
      <c r="A159" t="s">
        <v>1065</v>
      </c>
      <c r="B159" t="s">
        <v>1066</v>
      </c>
      <c r="D159" t="s">
        <v>72</v>
      </c>
      <c r="E159" t="s">
        <v>96</v>
      </c>
      <c r="F159" t="s">
        <v>1067</v>
      </c>
      <c r="G159" t="s">
        <v>1068</v>
      </c>
      <c r="H159" t="s">
        <v>1069</v>
      </c>
      <c r="I159" t="s">
        <v>1070</v>
      </c>
      <c r="K159">
        <v>150</v>
      </c>
      <c r="L159">
        <f>IFERROR(VLOOKUP(K159,'Tables new'!$A:$C,3,FALSE),"")</f>
        <v>1</v>
      </c>
      <c r="M159" t="str">
        <f>VLOOKUP(K159,CAT_JOUEUR,2,FALSE)</f>
        <v>comité</v>
      </c>
      <c r="N159">
        <v>2</v>
      </c>
      <c r="O159">
        <f>IFERROR(VLOOKUP(N159,'Tables new'!$A:$C,3,FALSE),"")</f>
        <v>11</v>
      </c>
      <c r="P159" t="str">
        <f>VLOOKUP(N159,CAT_JOUEUR,2,FALSE)</f>
        <v>Seniors - HO</v>
      </c>
      <c r="AA159" t="s">
        <v>1071</v>
      </c>
      <c r="AH159">
        <v>42536</v>
      </c>
      <c r="AI159">
        <v>42627</v>
      </c>
      <c r="AJ159">
        <v>2030</v>
      </c>
      <c r="AK159">
        <v>36614</v>
      </c>
      <c r="AL159" t="s">
        <v>1072</v>
      </c>
      <c r="AP159" t="s">
        <v>1073</v>
      </c>
      <c r="AQ159" t="s">
        <v>1074</v>
      </c>
      <c r="AU159" t="s">
        <v>1075</v>
      </c>
    </row>
    <row r="160" spans="1:67" x14ac:dyDescent="0.2">
      <c r="A160" t="s">
        <v>1065</v>
      </c>
      <c r="B160" t="s">
        <v>1076</v>
      </c>
      <c r="D160" t="s">
        <v>72</v>
      </c>
      <c r="E160" t="s">
        <v>96</v>
      </c>
      <c r="F160" t="s">
        <v>1067</v>
      </c>
      <c r="G160" t="s">
        <v>1068</v>
      </c>
      <c r="H160" t="s">
        <v>1069</v>
      </c>
      <c r="I160" t="s">
        <v>1070</v>
      </c>
      <c r="K160">
        <v>3</v>
      </c>
      <c r="L160">
        <f>IFERROR(VLOOKUP(K160,'Tables new'!$A:$C,3,FALSE),"")</f>
        <v>12</v>
      </c>
      <c r="M160" t="str">
        <f>VLOOKUP(K160,CAT_JOUEUR,2,FALSE)</f>
        <v>U 21 HO</v>
      </c>
      <c r="N160">
        <v>2</v>
      </c>
      <c r="O160">
        <f>IFERROR(VLOOKUP(N160,'Tables new'!$A:$C,3,FALSE),"")</f>
        <v>11</v>
      </c>
      <c r="P160" t="str">
        <f>VLOOKUP(N160,CAT_JOUEUR,2,FALSE)</f>
        <v>Seniors - HO</v>
      </c>
      <c r="AA160" t="s">
        <v>1077</v>
      </c>
      <c r="AF160" t="s">
        <v>1078</v>
      </c>
      <c r="AH160">
        <v>42200</v>
      </c>
      <c r="AI160">
        <v>42290</v>
      </c>
      <c r="AJ160">
        <v>2034</v>
      </c>
      <c r="AK160">
        <v>38105</v>
      </c>
      <c r="AL160" t="s">
        <v>1079</v>
      </c>
      <c r="AO160" t="s">
        <v>1080</v>
      </c>
      <c r="AP160" t="s">
        <v>1081</v>
      </c>
      <c r="AQ160" t="s">
        <v>1082</v>
      </c>
      <c r="AY160" t="s">
        <v>91</v>
      </c>
      <c r="BA160" t="s">
        <v>136</v>
      </c>
      <c r="BB160" t="s">
        <v>137</v>
      </c>
      <c r="BC160" t="s">
        <v>694</v>
      </c>
      <c r="BD160" t="s">
        <v>638</v>
      </c>
      <c r="BO160">
        <v>1</v>
      </c>
    </row>
    <row r="161" spans="1:67" x14ac:dyDescent="0.2">
      <c r="A161" t="s">
        <v>1083</v>
      </c>
      <c r="B161" t="s">
        <v>1066</v>
      </c>
      <c r="D161" t="s">
        <v>72</v>
      </c>
      <c r="E161" t="s">
        <v>96</v>
      </c>
      <c r="F161" t="s">
        <v>1084</v>
      </c>
      <c r="G161" t="s">
        <v>455</v>
      </c>
      <c r="H161" t="s">
        <v>456</v>
      </c>
      <c r="I161" t="s">
        <v>1085</v>
      </c>
      <c r="K161">
        <v>7</v>
      </c>
      <c r="L161">
        <f>IFERROR(VLOOKUP(K161,'Tables new'!$A:$C,3,FALSE),"")</f>
        <v>16</v>
      </c>
      <c r="M161" t="str">
        <f>VLOOKUP(K161,CAT_JOUEUR,2,FALSE)</f>
        <v>U 11 H</v>
      </c>
      <c r="N161">
        <v>7</v>
      </c>
      <c r="O161">
        <f>IFERROR(VLOOKUP(N161,'Tables new'!$A:$C,3,FALSE),"")</f>
        <v>16</v>
      </c>
      <c r="P161" t="str">
        <f>VLOOKUP(N161,CAT_JOUEUR,2,FALSE)</f>
        <v>U 11 H</v>
      </c>
      <c r="U161" t="s">
        <v>113</v>
      </c>
      <c r="AA161" t="s">
        <v>1086</v>
      </c>
      <c r="AH161">
        <v>44110</v>
      </c>
      <c r="AI161">
        <v>44105</v>
      </c>
      <c r="AJ161">
        <v>2028</v>
      </c>
      <c r="AK161">
        <v>42612</v>
      </c>
      <c r="AL161" t="s">
        <v>1087</v>
      </c>
      <c r="AO161" t="s">
        <v>1088</v>
      </c>
      <c r="AP161" t="s">
        <v>1089</v>
      </c>
      <c r="AQ161" t="s">
        <v>1090</v>
      </c>
    </row>
    <row r="162" spans="1:67" x14ac:dyDescent="0.2">
      <c r="A162" t="s">
        <v>1083</v>
      </c>
      <c r="B162" t="s">
        <v>617</v>
      </c>
      <c r="D162" t="s">
        <v>72</v>
      </c>
      <c r="E162" t="s">
        <v>96</v>
      </c>
      <c r="F162" t="s">
        <v>1084</v>
      </c>
      <c r="G162" t="s">
        <v>455</v>
      </c>
      <c r="H162" t="s">
        <v>456</v>
      </c>
      <c r="I162" t="s">
        <v>1085</v>
      </c>
      <c r="K162">
        <v>212</v>
      </c>
      <c r="L162">
        <f>IFERROR(VLOOKUP(K162,'Tables new'!$A:$C,3,FALSE),"")</f>
        <v>70</v>
      </c>
      <c r="M162" t="str">
        <f>VLOOKUP(K162,CAT_JOUEUR,2,FALSE)</f>
        <v>Contact famille</v>
      </c>
      <c r="N162">
        <v>212</v>
      </c>
      <c r="O162">
        <f>IFERROR(VLOOKUP(N162,'Tables new'!$A:$C,3,FALSE),"")</f>
        <v>70</v>
      </c>
      <c r="P162" t="str">
        <f>VLOOKUP(N162,CAT_JOUEUR,2,FALSE)</f>
        <v>Contact famille</v>
      </c>
      <c r="U162" t="s">
        <v>89</v>
      </c>
      <c r="AF162" t="s">
        <v>1091</v>
      </c>
      <c r="AH162" t="s">
        <v>78</v>
      </c>
      <c r="AI162" t="s">
        <v>78</v>
      </c>
      <c r="AJ162" t="s">
        <v>78</v>
      </c>
      <c r="AK162" t="s">
        <v>78</v>
      </c>
      <c r="AL162" t="s">
        <v>79</v>
      </c>
      <c r="AP162" t="s">
        <v>1092</v>
      </c>
      <c r="AQ162" t="s">
        <v>1090</v>
      </c>
    </row>
    <row r="163" spans="1:67" x14ac:dyDescent="0.2">
      <c r="A163" t="s">
        <v>1093</v>
      </c>
      <c r="B163" t="s">
        <v>1094</v>
      </c>
      <c r="D163" t="s">
        <v>72</v>
      </c>
      <c r="E163" t="s">
        <v>96</v>
      </c>
      <c r="F163" t="s">
        <v>1095</v>
      </c>
      <c r="G163" t="s">
        <v>988</v>
      </c>
      <c r="H163" t="s">
        <v>989</v>
      </c>
      <c r="I163" t="s">
        <v>1096</v>
      </c>
      <c r="K163">
        <v>11</v>
      </c>
      <c r="L163">
        <f>IFERROR(VLOOKUP(K163,'Tables new'!$A:$C,3,FALSE),"")</f>
        <v>4</v>
      </c>
      <c r="M163" t="str">
        <f>VLOOKUP(K163,CAT_JOUEUR,2,FALSE)</f>
        <v>Officiel FE</v>
      </c>
      <c r="N163">
        <v>111</v>
      </c>
      <c r="O163" t="str">
        <f>IFERROR(VLOOKUP(N163,'Tables new'!$A:$C,3,FALSE),"")</f>
        <v/>
      </c>
      <c r="P163" t="e">
        <f>VLOOKUP(N163,CAT_JOUEUR,2,FALSE)</f>
        <v>#N/A</v>
      </c>
      <c r="R163" t="s">
        <v>89</v>
      </c>
      <c r="AB163" t="s">
        <v>1097</v>
      </c>
      <c r="AC163" t="s">
        <v>1097</v>
      </c>
      <c r="AH163">
        <v>45191</v>
      </c>
      <c r="AI163">
        <v>44481</v>
      </c>
      <c r="AJ163" t="s">
        <v>78</v>
      </c>
      <c r="AK163">
        <v>31496</v>
      </c>
      <c r="AL163" t="s">
        <v>1098</v>
      </c>
      <c r="AN163" t="s">
        <v>1099</v>
      </c>
      <c r="AP163">
        <v>691697889</v>
      </c>
      <c r="AQ163" t="s">
        <v>1100</v>
      </c>
      <c r="AR163" t="s">
        <v>1101</v>
      </c>
      <c r="AV163" t="s">
        <v>468</v>
      </c>
    </row>
    <row r="164" spans="1:67" x14ac:dyDescent="0.2">
      <c r="A164" t="s">
        <v>1102</v>
      </c>
      <c r="B164" t="s">
        <v>1103</v>
      </c>
      <c r="D164" t="s">
        <v>72</v>
      </c>
      <c r="E164" t="s">
        <v>96</v>
      </c>
      <c r="F164" t="s">
        <v>1104</v>
      </c>
      <c r="G164" t="s">
        <v>107</v>
      </c>
      <c r="H164" t="s">
        <v>108</v>
      </c>
      <c r="I164" t="s">
        <v>1105</v>
      </c>
      <c r="K164">
        <v>212</v>
      </c>
      <c r="L164">
        <f>IFERROR(VLOOKUP(K164,'Tables new'!$A:$C,3,FALSE),"")</f>
        <v>70</v>
      </c>
      <c r="M164" t="str">
        <f>VLOOKUP(K164,CAT_JOUEUR,2,FALSE)</f>
        <v>Contact famille</v>
      </c>
      <c r="N164">
        <v>212</v>
      </c>
      <c r="O164">
        <f>IFERROR(VLOOKUP(N164,'Tables new'!$A:$C,3,FALSE),"")</f>
        <v>70</v>
      </c>
      <c r="P164" t="str">
        <f>VLOOKUP(N164,CAT_JOUEUR,2,FALSE)</f>
        <v>Contact famille</v>
      </c>
      <c r="W164" t="s">
        <v>89</v>
      </c>
      <c r="AH164" t="s">
        <v>78</v>
      </c>
      <c r="AI164" t="s">
        <v>78</v>
      </c>
      <c r="AJ164" t="s">
        <v>78</v>
      </c>
      <c r="AK164" t="s">
        <v>78</v>
      </c>
      <c r="AL164" t="s">
        <v>79</v>
      </c>
      <c r="AP164">
        <v>691813046</v>
      </c>
      <c r="AQ164" t="s">
        <v>1106</v>
      </c>
    </row>
    <row r="165" spans="1:67" x14ac:dyDescent="0.2">
      <c r="A165" t="s">
        <v>1102</v>
      </c>
      <c r="B165" t="s">
        <v>1107</v>
      </c>
      <c r="D165" t="s">
        <v>72</v>
      </c>
      <c r="E165" t="s">
        <v>96</v>
      </c>
      <c r="F165" t="s">
        <v>1108</v>
      </c>
      <c r="G165" t="s">
        <v>1109</v>
      </c>
      <c r="H165" t="s">
        <v>132</v>
      </c>
      <c r="I165" t="s">
        <v>145</v>
      </c>
      <c r="K165">
        <v>9</v>
      </c>
      <c r="L165">
        <f>IFERROR(VLOOKUP(K165,'Tables new'!$A:$C,3,FALSE),"")</f>
        <v>20</v>
      </c>
      <c r="M165" t="str">
        <f>VLOOKUP(K165,CAT_JOUEUR,2,FALSE)</f>
        <v>Vétérans - HO</v>
      </c>
      <c r="N165">
        <v>9</v>
      </c>
      <c r="O165">
        <f>IFERROR(VLOOKUP(N165,'Tables new'!$A:$C,3,FALSE),"")</f>
        <v>20</v>
      </c>
      <c r="P165" t="str">
        <f>VLOOKUP(N165,CAT_JOUEUR,2,FALSE)</f>
        <v>Vétérans - HO</v>
      </c>
      <c r="AA165" t="s">
        <v>1110</v>
      </c>
      <c r="AF165" t="s">
        <v>1111</v>
      </c>
      <c r="AH165">
        <v>38012</v>
      </c>
      <c r="AI165">
        <v>38012</v>
      </c>
      <c r="AJ165">
        <v>2028</v>
      </c>
      <c r="AK165">
        <v>32415</v>
      </c>
      <c r="AL165" t="s">
        <v>1112</v>
      </c>
      <c r="AM165" t="s">
        <v>1113</v>
      </c>
      <c r="AN165" t="s">
        <v>1114</v>
      </c>
      <c r="AO165" t="s">
        <v>208</v>
      </c>
      <c r="AP165" t="s">
        <v>1115</v>
      </c>
      <c r="AQ165" t="s">
        <v>1116</v>
      </c>
      <c r="AT165" t="s">
        <v>1117</v>
      </c>
      <c r="AY165" t="s">
        <v>674</v>
      </c>
      <c r="BA165" t="s">
        <v>136</v>
      </c>
      <c r="BB165" t="s">
        <v>137</v>
      </c>
      <c r="BC165" t="s">
        <v>138</v>
      </c>
      <c r="BD165">
        <v>125</v>
      </c>
      <c r="BO165" t="s">
        <v>1118</v>
      </c>
    </row>
    <row r="166" spans="1:67" x14ac:dyDescent="0.2">
      <c r="A166" t="s">
        <v>1102</v>
      </c>
      <c r="B166" t="s">
        <v>1119</v>
      </c>
      <c r="D166" t="s">
        <v>72</v>
      </c>
      <c r="E166" t="s">
        <v>96</v>
      </c>
      <c r="F166" t="s">
        <v>1120</v>
      </c>
      <c r="G166" t="s">
        <v>455</v>
      </c>
      <c r="H166" t="s">
        <v>456</v>
      </c>
      <c r="I166" t="s">
        <v>1121</v>
      </c>
      <c r="K166">
        <v>7</v>
      </c>
      <c r="L166">
        <f>IFERROR(VLOOKUP(K166,'Tables new'!$A:$C,3,FALSE),"")</f>
        <v>16</v>
      </c>
      <c r="M166" t="str">
        <f>VLOOKUP(K166,CAT_JOUEUR,2,FALSE)</f>
        <v>U 11 H</v>
      </c>
      <c r="N166">
        <v>7</v>
      </c>
      <c r="O166">
        <f>IFERROR(VLOOKUP(N166,'Tables new'!$A:$C,3,FALSE),"")</f>
        <v>16</v>
      </c>
      <c r="P166" t="str">
        <f>VLOOKUP(N166,CAT_JOUEUR,2,FALSE)</f>
        <v>U 11 H</v>
      </c>
      <c r="U166" t="s">
        <v>113</v>
      </c>
      <c r="AA166" t="s">
        <v>1122</v>
      </c>
      <c r="AH166">
        <v>44385</v>
      </c>
      <c r="AI166">
        <v>44382</v>
      </c>
      <c r="AJ166">
        <v>2029</v>
      </c>
      <c r="AK166">
        <v>42826</v>
      </c>
      <c r="AL166" t="s">
        <v>1123</v>
      </c>
      <c r="AP166" t="s">
        <v>1124</v>
      </c>
      <c r="AQ166" t="s">
        <v>1125</v>
      </c>
    </row>
    <row r="167" spans="1:67" x14ac:dyDescent="0.2">
      <c r="A167" t="s">
        <v>1102</v>
      </c>
      <c r="B167" t="s">
        <v>1126</v>
      </c>
      <c r="D167" t="s">
        <v>72</v>
      </c>
      <c r="E167" t="s">
        <v>96</v>
      </c>
      <c r="F167" t="s">
        <v>1120</v>
      </c>
      <c r="G167" t="s">
        <v>455</v>
      </c>
      <c r="H167" t="s">
        <v>456</v>
      </c>
      <c r="I167" t="s">
        <v>1121</v>
      </c>
      <c r="K167">
        <v>212</v>
      </c>
      <c r="L167">
        <f>IFERROR(VLOOKUP(K167,'Tables new'!$A:$C,3,FALSE),"")</f>
        <v>70</v>
      </c>
      <c r="M167" t="str">
        <f>VLOOKUP(K167,CAT_JOUEUR,2,FALSE)</f>
        <v>Contact famille</v>
      </c>
      <c r="N167">
        <v>212</v>
      </c>
      <c r="O167">
        <f>IFERROR(VLOOKUP(N167,'Tables new'!$A:$C,3,FALSE),"")</f>
        <v>70</v>
      </c>
      <c r="P167" t="str">
        <f>VLOOKUP(N167,CAT_JOUEUR,2,FALSE)</f>
        <v>Contact famille</v>
      </c>
      <c r="U167" t="s">
        <v>89</v>
      </c>
      <c r="AH167" t="s">
        <v>78</v>
      </c>
      <c r="AI167" t="s">
        <v>78</v>
      </c>
      <c r="AJ167" t="s">
        <v>78</v>
      </c>
      <c r="AK167" t="s">
        <v>78</v>
      </c>
      <c r="AL167" t="s">
        <v>79</v>
      </c>
      <c r="AP167">
        <v>671523925</v>
      </c>
      <c r="AQ167" t="s">
        <v>1125</v>
      </c>
    </row>
    <row r="168" spans="1:67" x14ac:dyDescent="0.2">
      <c r="A168" t="s">
        <v>1127</v>
      </c>
      <c r="B168" t="s">
        <v>1128</v>
      </c>
      <c r="D168" t="s">
        <v>72</v>
      </c>
      <c r="E168" t="s">
        <v>96</v>
      </c>
      <c r="F168" t="s">
        <v>1129</v>
      </c>
      <c r="G168" t="s">
        <v>1130</v>
      </c>
      <c r="H168" t="s">
        <v>1131</v>
      </c>
      <c r="I168" t="s">
        <v>145</v>
      </c>
      <c r="K168">
        <v>9</v>
      </c>
      <c r="L168">
        <f>IFERROR(VLOOKUP(K168,'Tables new'!$A:$C,3,FALSE),"")</f>
        <v>20</v>
      </c>
      <c r="M168" t="str">
        <f>VLOOKUP(K168,CAT_JOUEUR,2,FALSE)</f>
        <v>Vétérans - HO</v>
      </c>
      <c r="N168">
        <v>9</v>
      </c>
      <c r="O168">
        <f>IFERROR(VLOOKUP(N168,'Tables new'!$A:$C,3,FALSE),"")</f>
        <v>20</v>
      </c>
      <c r="P168" t="str">
        <f>VLOOKUP(N168,CAT_JOUEUR,2,FALSE)</f>
        <v>Vétérans - HO</v>
      </c>
      <c r="AA168" t="s">
        <v>1132</v>
      </c>
      <c r="AH168">
        <v>36182</v>
      </c>
      <c r="AI168">
        <v>36182</v>
      </c>
      <c r="AJ168">
        <v>2027</v>
      </c>
      <c r="AK168">
        <v>30090</v>
      </c>
      <c r="AL168" t="s">
        <v>1133</v>
      </c>
      <c r="AN168" t="s">
        <v>1134</v>
      </c>
      <c r="AP168" t="s">
        <v>1135</v>
      </c>
      <c r="AQ168" t="s">
        <v>1136</v>
      </c>
      <c r="AY168" t="s">
        <v>442</v>
      </c>
      <c r="BA168" t="s">
        <v>136</v>
      </c>
      <c r="BB168" t="s">
        <v>271</v>
      </c>
      <c r="BD168">
        <v>200</v>
      </c>
      <c r="BO168" t="s">
        <v>443</v>
      </c>
    </row>
    <row r="169" spans="1:67" x14ac:dyDescent="0.2">
      <c r="A169" t="s">
        <v>1137</v>
      </c>
      <c r="B169" t="s">
        <v>1138</v>
      </c>
      <c r="D169" t="s">
        <v>72</v>
      </c>
      <c r="E169" t="s">
        <v>981</v>
      </c>
      <c r="F169" t="s">
        <v>730</v>
      </c>
      <c r="G169" t="s">
        <v>731</v>
      </c>
      <c r="H169" t="s">
        <v>732</v>
      </c>
      <c r="I169" t="s">
        <v>733</v>
      </c>
      <c r="K169">
        <v>19</v>
      </c>
      <c r="L169">
        <f>IFERROR(VLOOKUP(K169,'Tables new'!$A:$C,3,FALSE),"")</f>
        <v>38</v>
      </c>
      <c r="M169" t="str">
        <f>VLOOKUP(K169,CAT_JOUEUR,2,FALSE)</f>
        <v>Vétérans - FE</v>
      </c>
      <c r="N169">
        <v>19</v>
      </c>
      <c r="O169">
        <f>IFERROR(VLOOKUP(N169,'Tables new'!$A:$C,3,FALSE),"")</f>
        <v>38</v>
      </c>
      <c r="P169" t="str">
        <f>VLOOKUP(N169,CAT_JOUEUR,2,FALSE)</f>
        <v>Vétérans - FE</v>
      </c>
      <c r="AA169" t="s">
        <v>1139</v>
      </c>
      <c r="AF169" t="s">
        <v>1140</v>
      </c>
      <c r="AH169">
        <v>38245</v>
      </c>
      <c r="AI169">
        <v>38245</v>
      </c>
      <c r="AJ169" t="s">
        <v>1141</v>
      </c>
      <c r="AK169">
        <v>22448</v>
      </c>
      <c r="AN169" t="s">
        <v>736</v>
      </c>
      <c r="AP169" t="s">
        <v>1142</v>
      </c>
      <c r="AQ169" t="s">
        <v>1143</v>
      </c>
      <c r="AY169" t="s">
        <v>91</v>
      </c>
      <c r="BA169" t="s">
        <v>92</v>
      </c>
      <c r="BB169" t="s">
        <v>92</v>
      </c>
      <c r="BD169">
        <v>50</v>
      </c>
      <c r="BN169" t="s">
        <v>930</v>
      </c>
      <c r="BO169" t="s">
        <v>547</v>
      </c>
    </row>
    <row r="170" spans="1:67" x14ac:dyDescent="0.2">
      <c r="A170" t="s">
        <v>1144</v>
      </c>
      <c r="B170" t="s">
        <v>1145</v>
      </c>
      <c r="D170" t="s">
        <v>72</v>
      </c>
      <c r="E170" t="s">
        <v>981</v>
      </c>
      <c r="F170" t="s">
        <v>1146</v>
      </c>
      <c r="G170" t="s">
        <v>1147</v>
      </c>
      <c r="H170" t="s">
        <v>1148</v>
      </c>
      <c r="I170" t="s">
        <v>145</v>
      </c>
      <c r="K170">
        <v>12</v>
      </c>
      <c r="L170">
        <v>31</v>
      </c>
      <c r="M170" t="s">
        <v>265</v>
      </c>
      <c r="N170">
        <v>12</v>
      </c>
      <c r="O170">
        <f>IFERROR(VLOOKUP(N170,'Tables new'!$A:$C,3,FALSE),"")</f>
        <v>31</v>
      </c>
      <c r="P170" t="str">
        <f>VLOOKUP(N170,CAT_JOUEUR,2,FALSE)</f>
        <v>Femmes</v>
      </c>
      <c r="AA170" t="s">
        <v>1149</v>
      </c>
      <c r="AH170">
        <v>43229</v>
      </c>
      <c r="AI170">
        <v>38245</v>
      </c>
      <c r="AJ170">
        <v>2026</v>
      </c>
      <c r="AK170">
        <v>35670</v>
      </c>
      <c r="AL170" t="s">
        <v>1150</v>
      </c>
      <c r="AN170" t="s">
        <v>1151</v>
      </c>
      <c r="AO170" t="s">
        <v>208</v>
      </c>
      <c r="AP170" t="s">
        <v>1152</v>
      </c>
      <c r="AQ170" t="s">
        <v>1153</v>
      </c>
      <c r="AY170" t="s">
        <v>270</v>
      </c>
      <c r="BA170" t="s">
        <v>136</v>
      </c>
      <c r="BB170" t="s">
        <v>271</v>
      </c>
      <c r="BD170">
        <v>50</v>
      </c>
    </row>
    <row r="171" spans="1:67" x14ac:dyDescent="0.2">
      <c r="A171" t="s">
        <v>1154</v>
      </c>
      <c r="B171" t="s">
        <v>189</v>
      </c>
      <c r="D171" t="s">
        <v>72</v>
      </c>
      <c r="E171" t="s">
        <v>96</v>
      </c>
      <c r="F171" t="s">
        <v>1155</v>
      </c>
      <c r="G171" t="s">
        <v>455</v>
      </c>
      <c r="H171" t="s">
        <v>456</v>
      </c>
      <c r="I171" t="s">
        <v>1156</v>
      </c>
      <c r="K171">
        <v>1</v>
      </c>
      <c r="L171">
        <f>IFERROR(VLOOKUP(K171,'Tables new'!$A:$C,3,FALSE),"")</f>
        <v>2</v>
      </c>
      <c r="M171" t="str">
        <f>VLOOKUP(K171,CAT_JOUEUR,2,FALSE)</f>
        <v>Officiel H</v>
      </c>
      <c r="N171">
        <v>1</v>
      </c>
      <c r="O171">
        <f>IFERROR(VLOOKUP(N171,'Tables new'!$A:$C,3,FALSE),"")</f>
        <v>2</v>
      </c>
      <c r="P171" t="str">
        <f>VLOOKUP(N171,CAT_JOUEUR,2,FALSE)</f>
        <v>Officiel H</v>
      </c>
      <c r="T171" t="s">
        <v>89</v>
      </c>
      <c r="V171" t="s">
        <v>89</v>
      </c>
      <c r="AB171" t="s">
        <v>1157</v>
      </c>
      <c r="AC171" t="s">
        <v>1157</v>
      </c>
      <c r="AF171" t="s">
        <v>223</v>
      </c>
      <c r="AH171">
        <v>45958</v>
      </c>
      <c r="AI171">
        <v>45582</v>
      </c>
      <c r="AJ171" t="s">
        <v>78</v>
      </c>
      <c r="AK171">
        <v>28268</v>
      </c>
      <c r="AL171" t="s">
        <v>1158</v>
      </c>
      <c r="AP171">
        <v>621193180</v>
      </c>
      <c r="AQ171" t="s">
        <v>1159</v>
      </c>
    </row>
    <row r="172" spans="1:67" x14ac:dyDescent="0.2">
      <c r="A172" t="s">
        <v>1160</v>
      </c>
      <c r="B172" t="s">
        <v>1161</v>
      </c>
      <c r="D172" t="s">
        <v>72</v>
      </c>
      <c r="E172" t="s">
        <v>96</v>
      </c>
      <c r="F172" t="s">
        <v>1155</v>
      </c>
      <c r="G172" t="s">
        <v>455</v>
      </c>
      <c r="H172" t="s">
        <v>456</v>
      </c>
      <c r="I172" t="s">
        <v>1156</v>
      </c>
      <c r="K172">
        <v>18</v>
      </c>
      <c r="L172">
        <f>IFERROR(VLOOKUP(K172,'Tables new'!$A:$C,3,FALSE),"")</f>
        <v>37</v>
      </c>
      <c r="M172" t="str">
        <f>VLOOKUP(K172,CAT_JOUEUR,2,FALSE)</f>
        <v>U 9 F</v>
      </c>
      <c r="N172">
        <v>18</v>
      </c>
      <c r="O172">
        <f>IFERROR(VLOOKUP(N172,'Tables new'!$A:$C,3,FALSE),"")</f>
        <v>37</v>
      </c>
      <c r="P172" t="str">
        <f>VLOOKUP(N172,CAT_JOUEUR,2,FALSE)</f>
        <v>U 9 F</v>
      </c>
      <c r="V172" t="s">
        <v>113</v>
      </c>
      <c r="AA172" t="s">
        <v>1162</v>
      </c>
      <c r="AH172">
        <v>45608</v>
      </c>
      <c r="AI172">
        <v>45582</v>
      </c>
      <c r="AJ172">
        <v>2031</v>
      </c>
      <c r="AK172">
        <v>43511</v>
      </c>
      <c r="AL172" t="s">
        <v>1163</v>
      </c>
      <c r="AO172" t="s">
        <v>1164</v>
      </c>
      <c r="AP172" t="s">
        <v>1165</v>
      </c>
      <c r="AQ172" t="s">
        <v>1166</v>
      </c>
    </row>
    <row r="173" spans="1:67" x14ac:dyDescent="0.2">
      <c r="A173" t="s">
        <v>1160</v>
      </c>
      <c r="B173" t="s">
        <v>1167</v>
      </c>
      <c r="D173" t="s">
        <v>72</v>
      </c>
      <c r="E173" t="s">
        <v>96</v>
      </c>
      <c r="F173" t="s">
        <v>1155</v>
      </c>
      <c r="G173" t="s">
        <v>455</v>
      </c>
      <c r="H173" t="s">
        <v>456</v>
      </c>
      <c r="I173" t="s">
        <v>1156</v>
      </c>
      <c r="K173">
        <v>18</v>
      </c>
      <c r="L173">
        <f>IFERROR(VLOOKUP(K173,'Tables new'!$A:$C,3,FALSE),"")</f>
        <v>37</v>
      </c>
      <c r="M173" t="str">
        <f>VLOOKUP(K173,CAT_JOUEUR,2,FALSE)</f>
        <v>U 9 F</v>
      </c>
      <c r="N173">
        <v>18</v>
      </c>
      <c r="O173">
        <f>IFERROR(VLOOKUP(N173,'Tables new'!$A:$C,3,FALSE),"")</f>
        <v>37</v>
      </c>
      <c r="P173" t="str">
        <f>VLOOKUP(N173,CAT_JOUEUR,2,FALSE)</f>
        <v>U 9 F</v>
      </c>
      <c r="V173" t="s">
        <v>113</v>
      </c>
      <c r="AA173" t="s">
        <v>1168</v>
      </c>
      <c r="AH173">
        <v>45608</v>
      </c>
      <c r="AI173">
        <v>45582</v>
      </c>
      <c r="AJ173">
        <v>2031</v>
      </c>
      <c r="AK173">
        <v>43511</v>
      </c>
      <c r="AL173" t="s">
        <v>1169</v>
      </c>
      <c r="AO173" t="s">
        <v>1164</v>
      </c>
      <c r="AP173" t="s">
        <v>1165</v>
      </c>
      <c r="AQ173" t="s">
        <v>1166</v>
      </c>
    </row>
    <row r="174" spans="1:67" x14ac:dyDescent="0.2">
      <c r="A174" t="s">
        <v>1160</v>
      </c>
      <c r="B174" t="s">
        <v>1054</v>
      </c>
      <c r="D174" t="s">
        <v>72</v>
      </c>
      <c r="E174" t="s">
        <v>96</v>
      </c>
      <c r="F174" t="s">
        <v>1155</v>
      </c>
      <c r="G174" t="s">
        <v>455</v>
      </c>
      <c r="H174" t="s">
        <v>456</v>
      </c>
      <c r="I174" t="s">
        <v>1156</v>
      </c>
      <c r="K174">
        <v>6</v>
      </c>
      <c r="L174">
        <f>IFERROR(VLOOKUP(K174,'Tables new'!$A:$C,3,FALSE),"")</f>
        <v>15</v>
      </c>
      <c r="M174" t="str">
        <f>VLOOKUP(K174,CAT_JOUEUR,2,FALSE)</f>
        <v>U 13 H</v>
      </c>
      <c r="N174">
        <v>6</v>
      </c>
      <c r="O174">
        <f>IFERROR(VLOOKUP(N174,'Tables new'!$A:$C,3,FALSE),"")</f>
        <v>15</v>
      </c>
      <c r="P174" t="str">
        <f>VLOOKUP(N174,CAT_JOUEUR,2,FALSE)</f>
        <v>U 13 H</v>
      </c>
      <c r="T174" t="s">
        <v>113</v>
      </c>
      <c r="AA174" t="s">
        <v>1170</v>
      </c>
      <c r="AH174">
        <v>45608</v>
      </c>
      <c r="AI174">
        <v>45582</v>
      </c>
      <c r="AJ174">
        <v>2027</v>
      </c>
      <c r="AK174">
        <v>42259</v>
      </c>
      <c r="AL174" t="s">
        <v>1171</v>
      </c>
      <c r="AO174" t="s">
        <v>1164</v>
      </c>
      <c r="AP174" t="s">
        <v>1165</v>
      </c>
      <c r="AQ174" t="s">
        <v>1166</v>
      </c>
    </row>
    <row r="175" spans="1:67" x14ac:dyDescent="0.2">
      <c r="A175" t="s">
        <v>1172</v>
      </c>
      <c r="B175" t="s">
        <v>1173</v>
      </c>
      <c r="D175" t="s">
        <v>72</v>
      </c>
      <c r="E175" t="s">
        <v>96</v>
      </c>
      <c r="F175" t="s">
        <v>430</v>
      </c>
      <c r="G175" t="s">
        <v>431</v>
      </c>
      <c r="H175" t="s">
        <v>432</v>
      </c>
      <c r="I175" t="s">
        <v>433</v>
      </c>
      <c r="K175">
        <v>212</v>
      </c>
      <c r="L175">
        <f>IFERROR(VLOOKUP(K175,'Tables new'!$A:$C,3,FALSE),"")</f>
        <v>70</v>
      </c>
      <c r="M175" t="str">
        <f>VLOOKUP(K175,CAT_JOUEUR,2,FALSE)</f>
        <v>Contact famille</v>
      </c>
      <c r="N175">
        <v>212</v>
      </c>
      <c r="O175">
        <f>IFERROR(VLOOKUP(N175,'Tables new'!$A:$C,3,FALSE),"")</f>
        <v>70</v>
      </c>
      <c r="P175" t="str">
        <f>VLOOKUP(N175,CAT_JOUEUR,2,FALSE)</f>
        <v>Contact famille</v>
      </c>
      <c r="U175" t="s">
        <v>89</v>
      </c>
      <c r="AH175" t="s">
        <v>78</v>
      </c>
      <c r="AI175" t="s">
        <v>78</v>
      </c>
      <c r="AJ175" t="s">
        <v>78</v>
      </c>
      <c r="AK175" t="s">
        <v>78</v>
      </c>
      <c r="AL175" t="s">
        <v>79</v>
      </c>
    </row>
    <row r="176" spans="1:67" x14ac:dyDescent="0.2">
      <c r="A176" t="s">
        <v>1174</v>
      </c>
      <c r="B176" t="s">
        <v>617</v>
      </c>
      <c r="D176" t="s">
        <v>72</v>
      </c>
      <c r="E176" t="s">
        <v>96</v>
      </c>
      <c r="F176" t="s">
        <v>1175</v>
      </c>
      <c r="G176" t="s">
        <v>1176</v>
      </c>
      <c r="H176" t="s">
        <v>132</v>
      </c>
      <c r="I176" t="s">
        <v>1177</v>
      </c>
      <c r="K176">
        <v>212</v>
      </c>
      <c r="L176">
        <f>IFERROR(VLOOKUP(K176,'Tables new'!$A:$C,3,FALSE),"")</f>
        <v>70</v>
      </c>
      <c r="M176" t="str">
        <f>VLOOKUP(K176,CAT_JOUEUR,2,FALSE)</f>
        <v>Contact famille</v>
      </c>
      <c r="N176">
        <v>212</v>
      </c>
      <c r="O176">
        <f>IFERROR(VLOOKUP(N176,'Tables new'!$A:$C,3,FALSE),"")</f>
        <v>70</v>
      </c>
      <c r="P176" t="str">
        <f>VLOOKUP(N176,CAT_JOUEUR,2,FALSE)</f>
        <v>Contact famille</v>
      </c>
      <c r="W176" t="s">
        <v>89</v>
      </c>
      <c r="AH176" t="s">
        <v>78</v>
      </c>
      <c r="AI176" t="s">
        <v>78</v>
      </c>
      <c r="AJ176" t="s">
        <v>78</v>
      </c>
      <c r="AK176" t="s">
        <v>78</v>
      </c>
      <c r="AL176" t="s">
        <v>79</v>
      </c>
    </row>
    <row r="177" spans="1:67" x14ac:dyDescent="0.2">
      <c r="A177" t="s">
        <v>1174</v>
      </c>
      <c r="B177" t="s">
        <v>1178</v>
      </c>
      <c r="D177" t="s">
        <v>72</v>
      </c>
      <c r="E177" t="s">
        <v>96</v>
      </c>
      <c r="F177" t="s">
        <v>1175</v>
      </c>
      <c r="G177" t="s">
        <v>1176</v>
      </c>
      <c r="H177" t="s">
        <v>132</v>
      </c>
      <c r="I177" t="s">
        <v>1177</v>
      </c>
      <c r="K177">
        <v>21</v>
      </c>
      <c r="L177">
        <f>IFERROR(VLOOKUP(K177,'Tables new'!$A:$C,3,FALSE),"")</f>
        <v>18</v>
      </c>
      <c r="M177" t="str">
        <f>VLOOKUP(K177,CAT_JOUEUR,2,FALSE)</f>
        <v>U7 Mixte</v>
      </c>
      <c r="N177">
        <v>21</v>
      </c>
      <c r="O177">
        <f>IFERROR(VLOOKUP(N177,'Tables new'!$A:$C,3,FALSE),"")</f>
        <v>18</v>
      </c>
      <c r="P177" t="str">
        <f>VLOOKUP(N177,CAT_JOUEUR,2,FALSE)</f>
        <v>U7 Mixte</v>
      </c>
      <c r="W177" t="s">
        <v>113</v>
      </c>
      <c r="AA177" t="s">
        <v>1179</v>
      </c>
      <c r="AF177" t="s">
        <v>223</v>
      </c>
      <c r="AH177">
        <v>45936</v>
      </c>
      <c r="AI177">
        <v>45857</v>
      </c>
      <c r="AJ177">
        <v>2028</v>
      </c>
      <c r="AK177">
        <v>44369</v>
      </c>
      <c r="AL177" t="s">
        <v>1180</v>
      </c>
      <c r="AP177">
        <v>621777852</v>
      </c>
      <c r="AQ177" t="s">
        <v>1181</v>
      </c>
    </row>
    <row r="178" spans="1:67" x14ac:dyDescent="0.2">
      <c r="A178" t="s">
        <v>1182</v>
      </c>
      <c r="B178" t="s">
        <v>1183</v>
      </c>
      <c r="D178" t="s">
        <v>72</v>
      </c>
      <c r="E178" t="s">
        <v>96</v>
      </c>
      <c r="F178" t="s">
        <v>1184</v>
      </c>
      <c r="G178" t="s">
        <v>1185</v>
      </c>
      <c r="H178" t="s">
        <v>1186</v>
      </c>
      <c r="I178" t="s">
        <v>1187</v>
      </c>
      <c r="K178">
        <v>212</v>
      </c>
      <c r="L178">
        <f>IFERROR(VLOOKUP(K178,'Tables new'!$A:$C,3,FALSE),"")</f>
        <v>70</v>
      </c>
      <c r="M178" t="str">
        <f>VLOOKUP(K178,CAT_JOUEUR,2,FALSE)</f>
        <v>Contact famille</v>
      </c>
      <c r="N178">
        <v>212</v>
      </c>
      <c r="O178">
        <f>IFERROR(VLOOKUP(N178,'Tables new'!$A:$C,3,FALSE),"")</f>
        <v>70</v>
      </c>
      <c r="P178" t="str">
        <f>VLOOKUP(N178,CAT_JOUEUR,2,FALSE)</f>
        <v>Contact famille</v>
      </c>
      <c r="V178" t="s">
        <v>89</v>
      </c>
      <c r="W178" t="s">
        <v>89</v>
      </c>
      <c r="AH178" t="s">
        <v>78</v>
      </c>
      <c r="AI178" t="s">
        <v>78</v>
      </c>
      <c r="AJ178" t="s">
        <v>78</v>
      </c>
      <c r="AK178" t="s">
        <v>78</v>
      </c>
      <c r="AL178" t="s">
        <v>79</v>
      </c>
      <c r="AP178">
        <v>621473869</v>
      </c>
      <c r="AQ178" t="s">
        <v>1188</v>
      </c>
    </row>
    <row r="179" spans="1:67" x14ac:dyDescent="0.2">
      <c r="A179" t="s">
        <v>1189</v>
      </c>
      <c r="B179" t="s">
        <v>1190</v>
      </c>
      <c r="D179" t="s">
        <v>72</v>
      </c>
      <c r="E179" t="s">
        <v>96</v>
      </c>
      <c r="F179" t="s">
        <v>1184</v>
      </c>
      <c r="G179" t="s">
        <v>1185</v>
      </c>
      <c r="H179" t="s">
        <v>1186</v>
      </c>
      <c r="I179" t="s">
        <v>1187</v>
      </c>
      <c r="K179">
        <v>18</v>
      </c>
      <c r="L179">
        <f>IFERROR(VLOOKUP(K179,'Tables new'!$A:$C,3,FALSE),"")</f>
        <v>37</v>
      </c>
      <c r="M179" t="str">
        <f>VLOOKUP(K179,CAT_JOUEUR,2,FALSE)</f>
        <v>U 9 F</v>
      </c>
      <c r="N179">
        <v>18</v>
      </c>
      <c r="O179">
        <f>IFERROR(VLOOKUP(N179,'Tables new'!$A:$C,3,FALSE),"")</f>
        <v>37</v>
      </c>
      <c r="P179" t="str">
        <f>VLOOKUP(N179,CAT_JOUEUR,2,FALSE)</f>
        <v>U 9 F</v>
      </c>
      <c r="V179" t="s">
        <v>113</v>
      </c>
      <c r="AA179" t="s">
        <v>1191</v>
      </c>
      <c r="AH179">
        <v>45325</v>
      </c>
      <c r="AI179">
        <v>45248</v>
      </c>
      <c r="AJ179">
        <v>2030</v>
      </c>
      <c r="AK179">
        <v>43325</v>
      </c>
      <c r="AL179" t="s">
        <v>1192</v>
      </c>
      <c r="AP179">
        <v>621473869</v>
      </c>
      <c r="AQ179" t="s">
        <v>1188</v>
      </c>
    </row>
    <row r="180" spans="1:67" x14ac:dyDescent="0.2">
      <c r="A180" t="s">
        <v>1189</v>
      </c>
      <c r="B180" t="s">
        <v>1193</v>
      </c>
      <c r="D180" t="s">
        <v>72</v>
      </c>
      <c r="E180" t="s">
        <v>96</v>
      </c>
      <c r="F180" t="s">
        <v>1184</v>
      </c>
      <c r="G180" t="s">
        <v>1185</v>
      </c>
      <c r="H180" t="s">
        <v>1186</v>
      </c>
      <c r="I180" t="s">
        <v>1187</v>
      </c>
      <c r="K180">
        <v>21</v>
      </c>
      <c r="L180">
        <f>IFERROR(VLOOKUP(K180,'Tables new'!$A:$C,3,FALSE),"")</f>
        <v>18</v>
      </c>
      <c r="M180" t="str">
        <f>VLOOKUP(K180,CAT_JOUEUR,2,FALSE)</f>
        <v>U7 Mixte</v>
      </c>
      <c r="N180">
        <v>21</v>
      </c>
      <c r="O180">
        <f>IFERROR(VLOOKUP(N180,'Tables new'!$A:$C,3,FALSE),"")</f>
        <v>18</v>
      </c>
      <c r="P180" t="str">
        <f>VLOOKUP(N180,CAT_JOUEUR,2,FALSE)</f>
        <v>U7 Mixte</v>
      </c>
      <c r="W180" t="s">
        <v>113</v>
      </c>
      <c r="AA180" t="s">
        <v>1194</v>
      </c>
      <c r="AH180">
        <v>45325</v>
      </c>
      <c r="AI180">
        <v>45248</v>
      </c>
      <c r="AJ180">
        <v>2027</v>
      </c>
      <c r="AK180">
        <v>44152</v>
      </c>
      <c r="AL180" t="s">
        <v>1195</v>
      </c>
      <c r="AP180">
        <v>621473869</v>
      </c>
      <c r="AQ180" t="s">
        <v>1188</v>
      </c>
    </row>
    <row r="181" spans="1:67" x14ac:dyDescent="0.2">
      <c r="A181" t="s">
        <v>1196</v>
      </c>
      <c r="B181" t="s">
        <v>111</v>
      </c>
      <c r="D181" t="s">
        <v>72</v>
      </c>
      <c r="E181" t="s">
        <v>556</v>
      </c>
      <c r="F181" t="s">
        <v>1197</v>
      </c>
      <c r="G181" t="s">
        <v>234</v>
      </c>
      <c r="H181" t="s">
        <v>235</v>
      </c>
      <c r="I181" t="s">
        <v>1198</v>
      </c>
      <c r="K181">
        <v>212</v>
      </c>
      <c r="L181">
        <f>IFERROR(VLOOKUP(K181,'Tables new'!$A:$C,3,FALSE),"")</f>
        <v>70</v>
      </c>
      <c r="M181" t="str">
        <f>VLOOKUP(K181,CAT_JOUEUR,2,FALSE)</f>
        <v>Contact famille</v>
      </c>
      <c r="N181">
        <v>212</v>
      </c>
      <c r="O181">
        <f>IFERROR(VLOOKUP(N181,'Tables new'!$A:$C,3,FALSE),"")</f>
        <v>70</v>
      </c>
      <c r="P181" t="str">
        <f>VLOOKUP(N181,CAT_JOUEUR,2,FALSE)</f>
        <v>Contact famille</v>
      </c>
      <c r="U181" t="s">
        <v>89</v>
      </c>
      <c r="V181" t="s">
        <v>89</v>
      </c>
      <c r="AH181" t="s">
        <v>78</v>
      </c>
      <c r="AI181" t="s">
        <v>78</v>
      </c>
      <c r="AJ181" t="s">
        <v>78</v>
      </c>
      <c r="AK181" t="s">
        <v>78</v>
      </c>
      <c r="AL181" t="s">
        <v>79</v>
      </c>
      <c r="AP181">
        <v>691408000</v>
      </c>
      <c r="AQ181" t="s">
        <v>1199</v>
      </c>
    </row>
    <row r="182" spans="1:67" x14ac:dyDescent="0.2">
      <c r="A182" t="s">
        <v>1200</v>
      </c>
      <c r="B182" t="s">
        <v>1201</v>
      </c>
      <c r="D182" t="s">
        <v>72</v>
      </c>
      <c r="E182" t="s">
        <v>96</v>
      </c>
      <c r="I182" t="s">
        <v>145</v>
      </c>
      <c r="K182">
        <v>9</v>
      </c>
      <c r="L182">
        <f>IFERROR(VLOOKUP(K182,'Tables new'!$A:$C,3,FALSE),"")</f>
        <v>20</v>
      </c>
      <c r="M182" t="str">
        <f>VLOOKUP(K182,CAT_JOUEUR,2,FALSE)</f>
        <v>Vétérans - HO</v>
      </c>
      <c r="N182">
        <v>9</v>
      </c>
      <c r="O182">
        <f>IFERROR(VLOOKUP(N182,'Tables new'!$A:$C,3,FALSE),"")</f>
        <v>20</v>
      </c>
      <c r="P182" t="str">
        <f>VLOOKUP(N182,CAT_JOUEUR,2,FALSE)</f>
        <v>Vétérans - HO</v>
      </c>
      <c r="AA182" t="s">
        <v>1202</v>
      </c>
      <c r="AF182" t="s">
        <v>1203</v>
      </c>
      <c r="AI182">
        <v>46177</v>
      </c>
      <c r="AK182">
        <v>19949</v>
      </c>
      <c r="AL182" t="s">
        <v>1204</v>
      </c>
    </row>
    <row r="183" spans="1:67" x14ac:dyDescent="0.2">
      <c r="A183" t="s">
        <v>1205</v>
      </c>
      <c r="B183" t="s">
        <v>1206</v>
      </c>
      <c r="D183" t="s">
        <v>72</v>
      </c>
      <c r="E183" t="s">
        <v>96</v>
      </c>
      <c r="F183" t="s">
        <v>1207</v>
      </c>
      <c r="G183" t="s">
        <v>1208</v>
      </c>
      <c r="H183" t="s">
        <v>1209</v>
      </c>
      <c r="I183" t="s">
        <v>1210</v>
      </c>
      <c r="K183">
        <v>212</v>
      </c>
      <c r="L183">
        <f>IFERROR(VLOOKUP(K183,'Tables new'!$A:$C,3,FALSE),"")</f>
        <v>70</v>
      </c>
      <c r="M183" t="str">
        <f>VLOOKUP(K183,CAT_JOUEUR,2,FALSE)</f>
        <v>Contact famille</v>
      </c>
      <c r="N183">
        <v>212</v>
      </c>
      <c r="O183">
        <f>IFERROR(VLOOKUP(N183,'Tables new'!$A:$C,3,FALSE),"")</f>
        <v>70</v>
      </c>
      <c r="P183" t="str">
        <f>VLOOKUP(N183,CAT_JOUEUR,2,FALSE)</f>
        <v>Contact famille</v>
      </c>
      <c r="T183" t="s">
        <v>89</v>
      </c>
      <c r="U183" t="s">
        <v>89</v>
      </c>
      <c r="AH183" t="s">
        <v>534</v>
      </c>
      <c r="AI183">
        <v>43549</v>
      </c>
      <c r="AJ183" t="s">
        <v>78</v>
      </c>
      <c r="AK183" t="s">
        <v>78</v>
      </c>
      <c r="AL183" t="s">
        <v>79</v>
      </c>
      <c r="AP183" t="s">
        <v>1211</v>
      </c>
      <c r="AQ183" t="s">
        <v>1212</v>
      </c>
      <c r="AS183" t="s">
        <v>468</v>
      </c>
      <c r="AY183" t="s">
        <v>91</v>
      </c>
      <c r="BA183" t="s">
        <v>136</v>
      </c>
      <c r="BB183" t="s">
        <v>271</v>
      </c>
      <c r="BD183" t="s">
        <v>139</v>
      </c>
    </row>
    <row r="184" spans="1:67" x14ac:dyDescent="0.2">
      <c r="A184" t="s">
        <v>1213</v>
      </c>
      <c r="B184" t="s">
        <v>221</v>
      </c>
      <c r="D184" t="s">
        <v>72</v>
      </c>
      <c r="E184" t="s">
        <v>1214</v>
      </c>
      <c r="F184" t="s">
        <v>246</v>
      </c>
      <c r="G184" t="s">
        <v>1215</v>
      </c>
      <c r="H184" t="s">
        <v>108</v>
      </c>
      <c r="I184" t="s">
        <v>248</v>
      </c>
      <c r="K184">
        <v>212</v>
      </c>
      <c r="L184">
        <f>IFERROR(VLOOKUP(K184,'Tables new'!$A:$C,3,FALSE),"")</f>
        <v>70</v>
      </c>
      <c r="M184" t="str">
        <f>VLOOKUP(K184,CAT_JOUEUR,2,FALSE)</f>
        <v>Contact famille</v>
      </c>
      <c r="N184">
        <v>212</v>
      </c>
      <c r="O184">
        <f>IFERROR(VLOOKUP(N184,'Tables new'!$A:$C,3,FALSE),"")</f>
        <v>70</v>
      </c>
      <c r="P184" t="str">
        <f>VLOOKUP(N184,CAT_JOUEUR,2,FALSE)</f>
        <v>Contact famille</v>
      </c>
      <c r="W184" t="s">
        <v>89</v>
      </c>
      <c r="AH184" t="s">
        <v>78</v>
      </c>
      <c r="AI184" t="s">
        <v>78</v>
      </c>
      <c r="AJ184" t="s">
        <v>78</v>
      </c>
      <c r="AK184" t="s">
        <v>78</v>
      </c>
      <c r="AL184" t="s">
        <v>1216</v>
      </c>
      <c r="AP184">
        <v>691843599</v>
      </c>
      <c r="AQ184" t="s">
        <v>1217</v>
      </c>
    </row>
    <row r="185" spans="1:67" x14ac:dyDescent="0.2">
      <c r="A185" t="s">
        <v>1218</v>
      </c>
      <c r="B185" t="s">
        <v>1219</v>
      </c>
      <c r="D185" t="s">
        <v>72</v>
      </c>
      <c r="E185" t="s">
        <v>1220</v>
      </c>
      <c r="F185" t="s">
        <v>1221</v>
      </c>
      <c r="G185" t="s">
        <v>1222</v>
      </c>
      <c r="H185" t="s">
        <v>132</v>
      </c>
      <c r="I185" t="s">
        <v>1223</v>
      </c>
      <c r="K185">
        <v>19</v>
      </c>
      <c r="L185">
        <f>IFERROR(VLOOKUP(K185,'Tables new'!$A:$C,3,FALSE),"")</f>
        <v>38</v>
      </c>
      <c r="M185" t="str">
        <f>VLOOKUP(K185,CAT_JOUEUR,2,FALSE)</f>
        <v>Vétérans - FE</v>
      </c>
      <c r="N185">
        <v>19</v>
      </c>
      <c r="O185">
        <f>IFERROR(VLOOKUP(N185,'Tables new'!$A:$C,3,FALSE),"")</f>
        <v>38</v>
      </c>
      <c r="P185" t="str">
        <f>VLOOKUP(N185,CAT_JOUEUR,2,FALSE)</f>
        <v>Vétérans - FE</v>
      </c>
      <c r="U185" t="s">
        <v>89</v>
      </c>
      <c r="AA185" t="s">
        <v>155</v>
      </c>
      <c r="AF185" t="s">
        <v>223</v>
      </c>
      <c r="AI185">
        <v>46040</v>
      </c>
      <c r="AK185">
        <v>27699</v>
      </c>
      <c r="AL185" t="s">
        <v>1224</v>
      </c>
      <c r="AP185">
        <v>661115656</v>
      </c>
      <c r="AQ185" t="s">
        <v>1225</v>
      </c>
    </row>
    <row r="186" spans="1:67" x14ac:dyDescent="0.2">
      <c r="A186" t="s">
        <v>1226</v>
      </c>
      <c r="B186" t="s">
        <v>1219</v>
      </c>
      <c r="D186" t="s">
        <v>72</v>
      </c>
      <c r="E186" t="s">
        <v>1220</v>
      </c>
      <c r="F186" t="s">
        <v>1227</v>
      </c>
      <c r="G186" t="s">
        <v>1222</v>
      </c>
      <c r="H186" t="s">
        <v>132</v>
      </c>
      <c r="I186" t="s">
        <v>1223</v>
      </c>
      <c r="K186">
        <v>212</v>
      </c>
      <c r="L186">
        <f>IFERROR(VLOOKUP(K186,'Tables new'!$A:$C,3,FALSE),"")</f>
        <v>70</v>
      </c>
      <c r="M186" t="str">
        <f>VLOOKUP(K186,CAT_JOUEUR,2,FALSE)</f>
        <v>Contact famille</v>
      </c>
      <c r="N186">
        <v>212</v>
      </c>
      <c r="O186">
        <f>IFERROR(VLOOKUP(N186,'Tables new'!$A:$C,3,FALSE),"")</f>
        <v>70</v>
      </c>
      <c r="P186" t="str">
        <f>VLOOKUP(N186,CAT_JOUEUR,2,FALSE)</f>
        <v>Contact famille</v>
      </c>
      <c r="U186" t="s">
        <v>89</v>
      </c>
      <c r="AH186" t="s">
        <v>78</v>
      </c>
      <c r="AI186" t="s">
        <v>78</v>
      </c>
      <c r="AJ186" t="s">
        <v>78</v>
      </c>
      <c r="AK186" t="s">
        <v>78</v>
      </c>
      <c r="AL186" t="s">
        <v>79</v>
      </c>
      <c r="AP186">
        <v>661115656</v>
      </c>
      <c r="AQ186" t="s">
        <v>1225</v>
      </c>
    </row>
    <row r="187" spans="1:67" x14ac:dyDescent="0.2">
      <c r="A187" t="s">
        <v>1228</v>
      </c>
      <c r="B187" t="s">
        <v>1229</v>
      </c>
      <c r="D187" t="s">
        <v>72</v>
      </c>
      <c r="E187" t="s">
        <v>1220</v>
      </c>
      <c r="F187" t="s">
        <v>1227</v>
      </c>
      <c r="G187" t="s">
        <v>1222</v>
      </c>
      <c r="H187" t="s">
        <v>132</v>
      </c>
      <c r="I187" t="s">
        <v>1223</v>
      </c>
      <c r="K187">
        <v>17</v>
      </c>
      <c r="L187">
        <f>IFERROR(VLOOKUP(K187,'Tables new'!$A:$C,3,FALSE),"")</f>
        <v>36</v>
      </c>
      <c r="M187" t="str">
        <f>VLOOKUP(K187,CAT_JOUEUR,2,FALSE)</f>
        <v>U 11 F</v>
      </c>
      <c r="N187">
        <v>17</v>
      </c>
      <c r="O187">
        <f>IFERROR(VLOOKUP(N187,'Tables new'!$A:$C,3,FALSE),"")</f>
        <v>36</v>
      </c>
      <c r="P187" t="str">
        <f>VLOOKUP(N187,CAT_JOUEUR,2,FALSE)</f>
        <v>U 11 F</v>
      </c>
      <c r="U187" t="s">
        <v>113</v>
      </c>
      <c r="AA187" t="s">
        <v>155</v>
      </c>
      <c r="AF187" t="s">
        <v>223</v>
      </c>
      <c r="AI187">
        <v>46161</v>
      </c>
      <c r="AK187">
        <v>42814</v>
      </c>
      <c r="AL187" t="s">
        <v>1230</v>
      </c>
      <c r="AO187" t="s">
        <v>1231</v>
      </c>
      <c r="AP187" t="s">
        <v>1232</v>
      </c>
      <c r="AQ187" t="s">
        <v>1225</v>
      </c>
    </row>
    <row r="188" spans="1:67" x14ac:dyDescent="0.2">
      <c r="A188" t="s">
        <v>1233</v>
      </c>
      <c r="B188" t="s">
        <v>1234</v>
      </c>
      <c r="D188" t="s">
        <v>72</v>
      </c>
      <c r="E188" t="s">
        <v>96</v>
      </c>
      <c r="F188" t="s">
        <v>1235</v>
      </c>
      <c r="G188" t="s">
        <v>761</v>
      </c>
      <c r="H188" t="s">
        <v>153</v>
      </c>
      <c r="I188" t="s">
        <v>1236</v>
      </c>
      <c r="K188">
        <v>212</v>
      </c>
      <c r="L188">
        <f>IFERROR(VLOOKUP(K188,'Tables new'!$A:$C,3,FALSE),"")</f>
        <v>70</v>
      </c>
      <c r="M188" t="str">
        <f>VLOOKUP(K188,CAT_JOUEUR,2,FALSE)</f>
        <v>Contact famille</v>
      </c>
      <c r="N188">
        <v>212</v>
      </c>
      <c r="O188">
        <f>IFERROR(VLOOKUP(N188,'Tables new'!$A:$C,3,FALSE),"")</f>
        <v>70</v>
      </c>
      <c r="P188" t="str">
        <f>VLOOKUP(N188,CAT_JOUEUR,2,FALSE)</f>
        <v>Contact famille</v>
      </c>
      <c r="V188" t="s">
        <v>89</v>
      </c>
      <c r="AH188" t="s">
        <v>78</v>
      </c>
      <c r="AI188" t="s">
        <v>78</v>
      </c>
      <c r="AJ188" t="s">
        <v>78</v>
      </c>
      <c r="AK188" t="s">
        <v>78</v>
      </c>
      <c r="AL188" t="s">
        <v>79</v>
      </c>
      <c r="AQ188" t="s">
        <v>1237</v>
      </c>
    </row>
    <row r="189" spans="1:67" x14ac:dyDescent="0.2">
      <c r="A189" t="s">
        <v>1238</v>
      </c>
      <c r="B189" t="s">
        <v>1239</v>
      </c>
      <c r="D189" t="s">
        <v>72</v>
      </c>
      <c r="E189" t="s">
        <v>96</v>
      </c>
      <c r="F189" t="s">
        <v>1240</v>
      </c>
      <c r="G189" t="s">
        <v>1241</v>
      </c>
      <c r="H189" t="s">
        <v>1242</v>
      </c>
      <c r="I189" t="s">
        <v>145</v>
      </c>
      <c r="K189">
        <v>2</v>
      </c>
      <c r="L189">
        <f>IFERROR(VLOOKUP(K189,'Tables new'!$A:$C,3,FALSE),"")</f>
        <v>11</v>
      </c>
      <c r="M189" t="str">
        <f>VLOOKUP(K189,CAT_JOUEUR,2,FALSE)</f>
        <v>Seniors - HO</v>
      </c>
      <c r="N189">
        <v>2</v>
      </c>
      <c r="O189">
        <f>IFERROR(VLOOKUP(N189,'Tables new'!$A:$C,3,FALSE),"")</f>
        <v>11</v>
      </c>
      <c r="P189" t="str">
        <f>VLOOKUP(N189,CAT_JOUEUR,2,FALSE)</f>
        <v>Seniors - HO</v>
      </c>
      <c r="AA189" t="s">
        <v>1243</v>
      </c>
      <c r="AF189" t="s">
        <v>440</v>
      </c>
      <c r="AH189">
        <v>45219</v>
      </c>
      <c r="AI189">
        <v>45187</v>
      </c>
      <c r="AJ189">
        <v>2024</v>
      </c>
      <c r="AK189">
        <v>37608</v>
      </c>
      <c r="AL189" t="s">
        <v>1244</v>
      </c>
      <c r="AP189">
        <v>621653394</v>
      </c>
      <c r="AQ189" t="s">
        <v>1245</v>
      </c>
    </row>
    <row r="190" spans="1:67" x14ac:dyDescent="0.2">
      <c r="A190" t="s">
        <v>1246</v>
      </c>
      <c r="B190" t="s">
        <v>1051</v>
      </c>
      <c r="D190" t="s">
        <v>72</v>
      </c>
      <c r="E190" t="s">
        <v>96</v>
      </c>
      <c r="F190" t="s">
        <v>1247</v>
      </c>
      <c r="G190" t="s">
        <v>1248</v>
      </c>
      <c r="H190" t="s">
        <v>1249</v>
      </c>
      <c r="I190" t="s">
        <v>145</v>
      </c>
      <c r="K190">
        <v>109</v>
      </c>
      <c r="L190" t="str">
        <f>IFERROR(VLOOKUP(K190,'Tables new'!$A:$C,3,FALSE),"")</f>
        <v>20+21</v>
      </c>
      <c r="M190" t="str">
        <f>VLOOKUP(K190,CAT_JOUEUR,2,FALSE)</f>
        <v>Veteran arbitre</v>
      </c>
      <c r="N190">
        <v>9</v>
      </c>
      <c r="O190">
        <f>IFERROR(VLOOKUP(N190,'Tables new'!$A:$C,3,FALSE),"")</f>
        <v>20</v>
      </c>
      <c r="P190" t="str">
        <f>VLOOKUP(N190,CAT_JOUEUR,2,FALSE)</f>
        <v>Vétérans - HO</v>
      </c>
      <c r="AA190" t="s">
        <v>1250</v>
      </c>
      <c r="AD190" t="s">
        <v>1251</v>
      </c>
      <c r="AF190" t="s">
        <v>1252</v>
      </c>
      <c r="AH190">
        <v>35261</v>
      </c>
      <c r="AI190">
        <v>35261</v>
      </c>
      <c r="AK190">
        <v>22331</v>
      </c>
      <c r="AN190" t="s">
        <v>1253</v>
      </c>
      <c r="AP190" t="s">
        <v>1254</v>
      </c>
      <c r="AQ190" t="s">
        <v>1255</v>
      </c>
      <c r="AT190" t="s">
        <v>1256</v>
      </c>
      <c r="AY190" t="s">
        <v>1257</v>
      </c>
      <c r="BA190" t="s">
        <v>137</v>
      </c>
      <c r="BB190" t="s">
        <v>137</v>
      </c>
      <c r="BC190" t="s">
        <v>138</v>
      </c>
      <c r="BD190" t="s">
        <v>1257</v>
      </c>
      <c r="BO190" t="s">
        <v>1258</v>
      </c>
    </row>
    <row r="191" spans="1:67" x14ac:dyDescent="0.2">
      <c r="A191" t="s">
        <v>1259</v>
      </c>
      <c r="B191" t="s">
        <v>1260</v>
      </c>
      <c r="D191" t="s">
        <v>72</v>
      </c>
      <c r="E191" t="s">
        <v>96</v>
      </c>
      <c r="F191" t="s">
        <v>1261</v>
      </c>
      <c r="G191" t="s">
        <v>1262</v>
      </c>
      <c r="H191" t="s">
        <v>126</v>
      </c>
      <c r="I191" t="s">
        <v>145</v>
      </c>
      <c r="K191">
        <v>2</v>
      </c>
      <c r="L191">
        <f>IFERROR(VLOOKUP(K191,'Tables new'!$A:$C,3,FALSE),"")</f>
        <v>11</v>
      </c>
      <c r="M191" t="str">
        <f>VLOOKUP(K191,CAT_JOUEUR,2,FALSE)</f>
        <v>Seniors - HO</v>
      </c>
      <c r="N191">
        <v>2</v>
      </c>
      <c r="O191">
        <f>IFERROR(VLOOKUP(N191,'Tables new'!$A:$C,3,FALSE),"")</f>
        <v>11</v>
      </c>
      <c r="P191" t="str">
        <f>VLOOKUP(N191,CAT_JOUEUR,2,FALSE)</f>
        <v>Seniors - HO</v>
      </c>
      <c r="AA191" t="s">
        <v>1263</v>
      </c>
      <c r="AH191">
        <v>45707</v>
      </c>
      <c r="AI191">
        <v>45698</v>
      </c>
      <c r="AJ191">
        <v>2035</v>
      </c>
      <c r="AK191">
        <v>34952</v>
      </c>
      <c r="AL191" t="s">
        <v>1264</v>
      </c>
      <c r="AP191">
        <v>621461096</v>
      </c>
      <c r="AQ191" t="s">
        <v>1265</v>
      </c>
    </row>
    <row r="192" spans="1:67" x14ac:dyDescent="0.2">
      <c r="A192" t="s">
        <v>1266</v>
      </c>
      <c r="B192" t="s">
        <v>1267</v>
      </c>
      <c r="D192" t="s">
        <v>72</v>
      </c>
      <c r="E192" t="s">
        <v>96</v>
      </c>
      <c r="F192" t="s">
        <v>1268</v>
      </c>
      <c r="G192" t="s">
        <v>1269</v>
      </c>
      <c r="H192" t="s">
        <v>1270</v>
      </c>
      <c r="I192" t="s">
        <v>1271</v>
      </c>
      <c r="K192">
        <v>212</v>
      </c>
      <c r="L192">
        <f>IFERROR(VLOOKUP(K192,'Tables new'!$A:$C,3,FALSE),"")</f>
        <v>70</v>
      </c>
      <c r="M192" t="str">
        <f>VLOOKUP(K192,CAT_JOUEUR,2,FALSE)</f>
        <v>Contact famille</v>
      </c>
      <c r="N192">
        <v>212</v>
      </c>
      <c r="O192">
        <f>IFERROR(VLOOKUP(N192,'Tables new'!$A:$C,3,FALSE),"")</f>
        <v>70</v>
      </c>
      <c r="P192" t="str">
        <f>VLOOKUP(N192,CAT_JOUEUR,2,FALSE)</f>
        <v>Contact famille</v>
      </c>
      <c r="W192" t="s">
        <v>89</v>
      </c>
      <c r="AH192" t="s">
        <v>78</v>
      </c>
      <c r="AI192" t="s">
        <v>78</v>
      </c>
      <c r="AJ192" t="s">
        <v>78</v>
      </c>
      <c r="AK192" t="s">
        <v>78</v>
      </c>
      <c r="AL192" t="s">
        <v>79</v>
      </c>
      <c r="AP192">
        <v>691855676</v>
      </c>
      <c r="AQ192" t="s">
        <v>1272</v>
      </c>
    </row>
    <row r="193" spans="1:67" x14ac:dyDescent="0.2">
      <c r="A193" t="s">
        <v>1266</v>
      </c>
      <c r="B193" t="s">
        <v>1273</v>
      </c>
      <c r="D193" t="s">
        <v>72</v>
      </c>
      <c r="E193" t="s">
        <v>96</v>
      </c>
      <c r="F193" t="s">
        <v>1268</v>
      </c>
      <c r="G193" t="s">
        <v>1269</v>
      </c>
      <c r="H193" t="s">
        <v>1270</v>
      </c>
      <c r="I193" t="s">
        <v>1271</v>
      </c>
      <c r="K193">
        <v>21</v>
      </c>
      <c r="L193">
        <f>IFERROR(VLOOKUP(K193,'Tables new'!$A:$C,3,FALSE),"")</f>
        <v>18</v>
      </c>
      <c r="M193" t="str">
        <f>VLOOKUP(K193,CAT_JOUEUR,2,FALSE)</f>
        <v>U7 Mixte</v>
      </c>
      <c r="N193">
        <v>21</v>
      </c>
      <c r="O193">
        <f>IFERROR(VLOOKUP(N193,'Tables new'!$A:$C,3,FALSE),"")</f>
        <v>18</v>
      </c>
      <c r="P193" t="str">
        <f>VLOOKUP(N193,CAT_JOUEUR,2,FALSE)</f>
        <v>U7 Mixte</v>
      </c>
      <c r="W193" t="s">
        <v>113</v>
      </c>
      <c r="AA193" t="s">
        <v>1274</v>
      </c>
      <c r="AH193">
        <v>45715</v>
      </c>
      <c r="AI193">
        <v>45667</v>
      </c>
      <c r="AJ193">
        <v>2028</v>
      </c>
      <c r="AK193">
        <v>44301</v>
      </c>
      <c r="AL193" t="s">
        <v>1275</v>
      </c>
      <c r="AP193" t="s">
        <v>1276</v>
      </c>
      <c r="AQ193" t="s">
        <v>1272</v>
      </c>
    </row>
    <row r="194" spans="1:67" x14ac:dyDescent="0.2">
      <c r="A194" t="s">
        <v>1277</v>
      </c>
      <c r="B194" t="s">
        <v>741</v>
      </c>
      <c r="D194" t="s">
        <v>72</v>
      </c>
      <c r="E194" t="s">
        <v>96</v>
      </c>
      <c r="F194" t="s">
        <v>1278</v>
      </c>
      <c r="G194" t="s">
        <v>285</v>
      </c>
      <c r="H194" t="s">
        <v>286</v>
      </c>
      <c r="I194" t="s">
        <v>1279</v>
      </c>
      <c r="K194">
        <v>212</v>
      </c>
      <c r="L194">
        <f>IFERROR(VLOOKUP(K194,'Tables new'!$A:$C,3,FALSE),"")</f>
        <v>70</v>
      </c>
      <c r="M194" t="str">
        <f>VLOOKUP(K194,CAT_JOUEUR,2,FALSE)</f>
        <v>Contact famille</v>
      </c>
      <c r="N194">
        <v>212</v>
      </c>
      <c r="O194">
        <f>IFERROR(VLOOKUP(N194,'Tables new'!$A:$C,3,FALSE),"")</f>
        <v>70</v>
      </c>
      <c r="P194" t="str">
        <f>VLOOKUP(N194,CAT_JOUEUR,2,FALSE)</f>
        <v>Contact famille</v>
      </c>
      <c r="U194" t="s">
        <v>89</v>
      </c>
      <c r="AF194" t="s">
        <v>208</v>
      </c>
      <c r="AH194" t="s">
        <v>78</v>
      </c>
      <c r="AI194" t="s">
        <v>78</v>
      </c>
      <c r="AJ194" t="s">
        <v>78</v>
      </c>
      <c r="AK194" t="s">
        <v>78</v>
      </c>
      <c r="AL194" t="s">
        <v>79</v>
      </c>
      <c r="AP194" t="s">
        <v>1280</v>
      </c>
      <c r="AQ194" t="s">
        <v>1281</v>
      </c>
    </row>
    <row r="195" spans="1:67" x14ac:dyDescent="0.2">
      <c r="A195" t="s">
        <v>1282</v>
      </c>
      <c r="B195" t="s">
        <v>1283</v>
      </c>
      <c r="D195" t="s">
        <v>72</v>
      </c>
      <c r="E195" t="s">
        <v>96</v>
      </c>
      <c r="F195" t="s">
        <v>1175</v>
      </c>
      <c r="G195" t="s">
        <v>1176</v>
      </c>
      <c r="H195" t="s">
        <v>132</v>
      </c>
      <c r="I195" t="s">
        <v>1177</v>
      </c>
      <c r="K195">
        <v>212</v>
      </c>
      <c r="L195">
        <f>IFERROR(VLOOKUP(K195,'Tables new'!$A:$C,3,FALSE),"")</f>
        <v>70</v>
      </c>
      <c r="M195" t="str">
        <f>VLOOKUP(K195,CAT_JOUEUR,2,FALSE)</f>
        <v>Contact famille</v>
      </c>
      <c r="N195">
        <v>212</v>
      </c>
      <c r="O195">
        <f>IFERROR(VLOOKUP(N195,'Tables new'!$A:$C,3,FALSE),"")</f>
        <v>70</v>
      </c>
      <c r="P195" t="str">
        <f>VLOOKUP(N195,CAT_JOUEUR,2,FALSE)</f>
        <v>Contact famille</v>
      </c>
      <c r="W195" t="s">
        <v>89</v>
      </c>
      <c r="AH195" t="s">
        <v>78</v>
      </c>
      <c r="AI195" t="s">
        <v>78</v>
      </c>
      <c r="AJ195" t="s">
        <v>78</v>
      </c>
      <c r="AK195" t="s">
        <v>78</v>
      </c>
      <c r="AL195" t="s">
        <v>79</v>
      </c>
      <c r="AP195">
        <v>621777852</v>
      </c>
      <c r="AQ195" t="s">
        <v>1181</v>
      </c>
    </row>
    <row r="196" spans="1:67" x14ac:dyDescent="0.2">
      <c r="A196" t="s">
        <v>1284</v>
      </c>
      <c r="B196" t="s">
        <v>986</v>
      </c>
      <c r="D196" t="s">
        <v>72</v>
      </c>
      <c r="E196" t="s">
        <v>96</v>
      </c>
      <c r="F196" t="s">
        <v>1285</v>
      </c>
      <c r="G196" t="s">
        <v>1286</v>
      </c>
      <c r="H196" t="s">
        <v>1287</v>
      </c>
      <c r="I196" t="s">
        <v>3461</v>
      </c>
      <c r="K196">
        <v>212</v>
      </c>
      <c r="L196">
        <f>IFERROR(VLOOKUP(K196,'Tables new'!$A:$C,3,FALSE),"")</f>
        <v>70</v>
      </c>
      <c r="M196" t="str">
        <f>VLOOKUP(K196,CAT_JOUEUR,2,FALSE)</f>
        <v>Contact famille</v>
      </c>
      <c r="N196">
        <v>212</v>
      </c>
      <c r="O196">
        <f>IFERROR(VLOOKUP(N196,'Tables new'!$A:$C,3,FALSE),"")</f>
        <v>70</v>
      </c>
      <c r="P196" t="str">
        <f>VLOOKUP(N196,CAT_JOUEUR,2,FALSE)</f>
        <v>Contact famille</v>
      </c>
      <c r="Z196" t="s">
        <v>89</v>
      </c>
      <c r="AH196" t="s">
        <v>78</v>
      </c>
      <c r="AI196" t="s">
        <v>78</v>
      </c>
      <c r="AJ196" t="s">
        <v>78</v>
      </c>
      <c r="AK196" t="s">
        <v>78</v>
      </c>
      <c r="AL196" t="s">
        <v>79</v>
      </c>
      <c r="AP196">
        <v>661139088</v>
      </c>
      <c r="AQ196" t="s">
        <v>1289</v>
      </c>
    </row>
    <row r="197" spans="1:67" x14ac:dyDescent="0.2">
      <c r="A197" t="s">
        <v>1284</v>
      </c>
      <c r="B197" t="s">
        <v>1290</v>
      </c>
      <c r="D197" t="s">
        <v>72</v>
      </c>
      <c r="E197" t="s">
        <v>96</v>
      </c>
      <c r="F197" t="s">
        <v>1291</v>
      </c>
      <c r="G197" t="s">
        <v>1109</v>
      </c>
      <c r="H197" t="s">
        <v>132</v>
      </c>
      <c r="I197" t="s">
        <v>3461</v>
      </c>
      <c r="K197">
        <v>15</v>
      </c>
      <c r="L197">
        <f>IFERROR(VLOOKUP(K197,'Tables new'!$A:$C,3,FALSE),"")</f>
        <v>35</v>
      </c>
      <c r="M197" t="str">
        <f>VLOOKUP(K197,CAT_JOUEUR,2,FALSE)</f>
        <v>U 13 F</v>
      </c>
      <c r="N197">
        <v>15</v>
      </c>
      <c r="O197">
        <f>IFERROR(VLOOKUP(N197,'Tables new'!$A:$C,3,FALSE),"")</f>
        <v>35</v>
      </c>
      <c r="P197" t="str">
        <f>VLOOKUP(N197,CAT_JOUEUR,2,FALSE)</f>
        <v>U 13 F</v>
      </c>
      <c r="Z197" t="s">
        <v>113</v>
      </c>
      <c r="AA197" t="s">
        <v>1292</v>
      </c>
      <c r="AF197" t="s">
        <v>223</v>
      </c>
      <c r="AH197">
        <v>45911</v>
      </c>
      <c r="AI197">
        <v>45474</v>
      </c>
      <c r="AK197">
        <v>41862</v>
      </c>
      <c r="AL197" t="s">
        <v>1293</v>
      </c>
      <c r="AN197" t="s">
        <v>1294</v>
      </c>
      <c r="AO197" t="s">
        <v>1295</v>
      </c>
      <c r="AP197" t="s">
        <v>1296</v>
      </c>
      <c r="AQ197" t="s">
        <v>1289</v>
      </c>
    </row>
    <row r="198" spans="1:67" x14ac:dyDescent="0.2">
      <c r="A198" t="s">
        <v>1297</v>
      </c>
      <c r="B198" t="s">
        <v>1298</v>
      </c>
      <c r="D198" t="s">
        <v>72</v>
      </c>
      <c r="E198" t="s">
        <v>96</v>
      </c>
      <c r="F198" t="s">
        <v>1299</v>
      </c>
      <c r="G198" t="s">
        <v>1300</v>
      </c>
      <c r="H198" t="s">
        <v>108</v>
      </c>
      <c r="I198" t="s">
        <v>1301</v>
      </c>
      <c r="K198">
        <v>212</v>
      </c>
      <c r="L198">
        <f>IFERROR(VLOOKUP(K198,'Tables new'!$A:$C,3,FALSE),"")</f>
        <v>70</v>
      </c>
      <c r="M198" t="str">
        <f>VLOOKUP(K198,CAT_JOUEUR,2,FALSE)</f>
        <v>Contact famille</v>
      </c>
      <c r="N198">
        <v>212</v>
      </c>
      <c r="O198">
        <f>IFERROR(VLOOKUP(N198,'Tables new'!$A:$C,3,FALSE),"")</f>
        <v>70</v>
      </c>
      <c r="P198" t="str">
        <f>VLOOKUP(N198,CAT_JOUEUR,2,FALSE)</f>
        <v>Contact famille</v>
      </c>
      <c r="U198" t="s">
        <v>89</v>
      </c>
      <c r="Y198" t="s">
        <v>89</v>
      </c>
      <c r="AH198" t="s">
        <v>78</v>
      </c>
      <c r="AI198" t="s">
        <v>78</v>
      </c>
      <c r="AJ198" t="s">
        <v>78</v>
      </c>
      <c r="AK198" t="s">
        <v>78</v>
      </c>
      <c r="AL198" t="s">
        <v>79</v>
      </c>
      <c r="AN198" t="s">
        <v>1302</v>
      </c>
      <c r="AP198" t="s">
        <v>1303</v>
      </c>
      <c r="AQ198" t="s">
        <v>1304</v>
      </c>
    </row>
    <row r="199" spans="1:67" x14ac:dyDescent="0.2">
      <c r="A199" t="s">
        <v>1305</v>
      </c>
      <c r="B199" t="s">
        <v>1306</v>
      </c>
      <c r="D199" t="s">
        <v>72</v>
      </c>
      <c r="E199" t="s">
        <v>96</v>
      </c>
      <c r="F199" t="s">
        <v>1307</v>
      </c>
      <c r="G199" t="s">
        <v>1308</v>
      </c>
      <c r="H199" t="s">
        <v>132</v>
      </c>
      <c r="I199" t="s">
        <v>1309</v>
      </c>
      <c r="K199">
        <v>212</v>
      </c>
      <c r="L199">
        <f>IFERROR(VLOOKUP(K199,'Tables new'!$A:$C,3,FALSE),"")</f>
        <v>70</v>
      </c>
      <c r="M199" t="str">
        <f>VLOOKUP(K199,CAT_JOUEUR,2,FALSE)</f>
        <v>Contact famille</v>
      </c>
      <c r="N199">
        <v>212</v>
      </c>
      <c r="O199">
        <f>IFERROR(VLOOKUP(N199,'Tables new'!$A:$C,3,FALSE),"")</f>
        <v>70</v>
      </c>
      <c r="P199" t="str">
        <f>VLOOKUP(N199,CAT_JOUEUR,2,FALSE)</f>
        <v>Contact famille</v>
      </c>
      <c r="AH199" t="s">
        <v>78</v>
      </c>
      <c r="AI199">
        <v>43170</v>
      </c>
      <c r="AJ199" t="s">
        <v>78</v>
      </c>
      <c r="AK199" t="s">
        <v>78</v>
      </c>
      <c r="AP199" t="s">
        <v>1310</v>
      </c>
      <c r="AQ199" t="s">
        <v>1311</v>
      </c>
      <c r="AY199" t="s">
        <v>637</v>
      </c>
      <c r="BA199" t="s">
        <v>136</v>
      </c>
      <c r="BB199" t="s">
        <v>137</v>
      </c>
      <c r="BC199" t="s">
        <v>138</v>
      </c>
      <c r="BD199" t="s">
        <v>139</v>
      </c>
      <c r="BO199" t="s">
        <v>93</v>
      </c>
    </row>
    <row r="200" spans="1:67" x14ac:dyDescent="0.2">
      <c r="A200" t="s">
        <v>1312</v>
      </c>
      <c r="B200" t="s">
        <v>1260</v>
      </c>
      <c r="D200" t="s">
        <v>72</v>
      </c>
      <c r="E200" t="s">
        <v>96</v>
      </c>
      <c r="F200" t="s">
        <v>749</v>
      </c>
      <c r="G200" t="s">
        <v>750</v>
      </c>
      <c r="H200" t="s">
        <v>751</v>
      </c>
      <c r="I200" t="s">
        <v>752</v>
      </c>
      <c r="K200">
        <v>212</v>
      </c>
      <c r="L200">
        <f>IFERROR(VLOOKUP(K200,'Tables new'!$A:$C,3,FALSE),"")</f>
        <v>70</v>
      </c>
      <c r="M200" t="str">
        <f>VLOOKUP(K200,CAT_JOUEUR,2,FALSE)</f>
        <v>Contact famille</v>
      </c>
      <c r="N200">
        <v>212</v>
      </c>
      <c r="O200">
        <f>IFERROR(VLOOKUP(N200,'Tables new'!$A:$C,3,FALSE),"")</f>
        <v>70</v>
      </c>
      <c r="P200" t="str">
        <f>VLOOKUP(N200,CAT_JOUEUR,2,FALSE)</f>
        <v>Contact famille</v>
      </c>
      <c r="V200" t="s">
        <v>89</v>
      </c>
      <c r="AH200" t="s">
        <v>78</v>
      </c>
      <c r="AI200">
        <v>44103</v>
      </c>
      <c r="AJ200" t="s">
        <v>78</v>
      </c>
      <c r="AK200" t="s">
        <v>78</v>
      </c>
      <c r="AL200" t="s">
        <v>79</v>
      </c>
      <c r="AP200" t="s">
        <v>1313</v>
      </c>
    </row>
    <row r="201" spans="1:67" x14ac:dyDescent="0.2">
      <c r="A201" t="s">
        <v>1314</v>
      </c>
      <c r="B201" t="s">
        <v>1315</v>
      </c>
      <c r="D201" t="s">
        <v>72</v>
      </c>
      <c r="E201" t="s">
        <v>96</v>
      </c>
      <c r="F201" t="s">
        <v>749</v>
      </c>
      <c r="G201" t="s">
        <v>750</v>
      </c>
      <c r="H201" t="s">
        <v>751</v>
      </c>
      <c r="I201" t="s">
        <v>752</v>
      </c>
      <c r="K201">
        <v>8</v>
      </c>
      <c r="L201">
        <f>IFERROR(VLOOKUP(K201,'Tables new'!$A:$C,3,FALSE),"")</f>
        <v>17</v>
      </c>
      <c r="M201" t="str">
        <f>VLOOKUP(K201,CAT_JOUEUR,2,FALSE)</f>
        <v>U 9 H</v>
      </c>
      <c r="N201">
        <v>8</v>
      </c>
      <c r="O201">
        <f>IFERROR(VLOOKUP(N201,'Tables new'!$A:$C,3,FALSE),"")</f>
        <v>17</v>
      </c>
      <c r="P201" t="str">
        <f>VLOOKUP(N201,CAT_JOUEUR,2,FALSE)</f>
        <v>U 9 H</v>
      </c>
      <c r="V201" t="s">
        <v>113</v>
      </c>
      <c r="AA201" t="s">
        <v>1316</v>
      </c>
      <c r="AH201">
        <v>44124</v>
      </c>
      <c r="AI201">
        <v>44103</v>
      </c>
      <c r="AJ201">
        <v>2025</v>
      </c>
      <c r="AK201">
        <v>43115</v>
      </c>
      <c r="AL201" t="s">
        <v>1317</v>
      </c>
      <c r="AO201" t="s">
        <v>1318</v>
      </c>
      <c r="AP201" t="s">
        <v>1319</v>
      </c>
      <c r="AQ201" t="s">
        <v>754</v>
      </c>
    </row>
    <row r="202" spans="1:67" x14ac:dyDescent="0.2">
      <c r="A202" t="s">
        <v>1320</v>
      </c>
      <c r="B202" t="s">
        <v>1321</v>
      </c>
      <c r="D202" t="s">
        <v>72</v>
      </c>
      <c r="E202" t="s">
        <v>96</v>
      </c>
      <c r="F202" t="s">
        <v>1322</v>
      </c>
      <c r="G202" t="s">
        <v>1323</v>
      </c>
      <c r="H202" t="s">
        <v>1324</v>
      </c>
      <c r="I202" t="s">
        <v>145</v>
      </c>
      <c r="K202">
        <v>9</v>
      </c>
      <c r="L202">
        <f>IFERROR(VLOOKUP(K202,'Tables new'!$A:$C,3,FALSE),"")</f>
        <v>20</v>
      </c>
      <c r="M202" t="str">
        <f>VLOOKUP(K202,CAT_JOUEUR,2,FALSE)</f>
        <v>Vétérans - HO</v>
      </c>
      <c r="N202">
        <v>9</v>
      </c>
      <c r="O202">
        <f>IFERROR(VLOOKUP(N202,'Tables new'!$A:$C,3,FALSE),"")</f>
        <v>20</v>
      </c>
      <c r="P202" t="str">
        <f>VLOOKUP(N202,CAT_JOUEUR,2,FALSE)</f>
        <v>Vétérans - HO</v>
      </c>
      <c r="AA202" t="s">
        <v>1325</v>
      </c>
      <c r="AF202" t="s">
        <v>1252</v>
      </c>
      <c r="AH202">
        <v>40197</v>
      </c>
      <c r="AI202">
        <v>40197</v>
      </c>
      <c r="AK202">
        <v>23710</v>
      </c>
      <c r="AL202" t="s">
        <v>1326</v>
      </c>
      <c r="AP202" t="s">
        <v>1327</v>
      </c>
      <c r="AQ202" t="s">
        <v>1328</v>
      </c>
      <c r="AW202" t="s">
        <v>1329</v>
      </c>
      <c r="AY202" t="s">
        <v>270</v>
      </c>
      <c r="BA202" t="s">
        <v>136</v>
      </c>
      <c r="BB202" t="s">
        <v>271</v>
      </c>
      <c r="BC202" t="s">
        <v>1330</v>
      </c>
      <c r="BD202">
        <v>50</v>
      </c>
      <c r="BO202" t="s">
        <v>1331</v>
      </c>
    </row>
    <row r="203" spans="1:67" x14ac:dyDescent="0.2">
      <c r="A203" t="s">
        <v>1332</v>
      </c>
      <c r="B203" t="s">
        <v>1333</v>
      </c>
      <c r="D203" t="s">
        <v>1334</v>
      </c>
      <c r="E203" t="s">
        <v>1334</v>
      </c>
      <c r="F203" t="s">
        <v>1335</v>
      </c>
      <c r="G203" t="s">
        <v>367</v>
      </c>
      <c r="H203" t="s">
        <v>108</v>
      </c>
      <c r="I203" t="s">
        <v>1336</v>
      </c>
      <c r="K203">
        <v>17</v>
      </c>
      <c r="L203">
        <f>IFERROR(VLOOKUP(K203,'Tables new'!$A:$C,3,FALSE),"")</f>
        <v>36</v>
      </c>
      <c r="M203" t="str">
        <f>VLOOKUP(K203,CAT_JOUEUR,2,FALSE)</f>
        <v>U 11 F</v>
      </c>
      <c r="N203">
        <v>17</v>
      </c>
      <c r="O203">
        <f>IFERROR(VLOOKUP(N203,'Tables new'!$A:$C,3,FALSE),"")</f>
        <v>36</v>
      </c>
      <c r="P203" t="str">
        <f>VLOOKUP(N203,CAT_JOUEUR,2,FALSE)</f>
        <v>U 11 F</v>
      </c>
      <c r="U203" t="s">
        <v>113</v>
      </c>
      <c r="AA203" t="s">
        <v>155</v>
      </c>
      <c r="AF203" t="s">
        <v>1337</v>
      </c>
      <c r="AI203">
        <v>46203</v>
      </c>
      <c r="AK203">
        <v>42719</v>
      </c>
      <c r="AL203" t="s">
        <v>1338</v>
      </c>
      <c r="AP203">
        <v>691833590</v>
      </c>
      <c r="AQ203" t="s">
        <v>1339</v>
      </c>
    </row>
    <row r="204" spans="1:67" x14ac:dyDescent="0.2">
      <c r="A204" t="s">
        <v>1340</v>
      </c>
      <c r="B204" t="s">
        <v>1341</v>
      </c>
      <c r="D204" t="s">
        <v>72</v>
      </c>
      <c r="E204" t="s">
        <v>96</v>
      </c>
      <c r="F204" t="s">
        <v>1342</v>
      </c>
      <c r="G204" t="s">
        <v>1343</v>
      </c>
      <c r="H204" t="s">
        <v>885</v>
      </c>
      <c r="I204" t="s">
        <v>1344</v>
      </c>
      <c r="K204">
        <v>212</v>
      </c>
      <c r="L204">
        <f>IFERROR(VLOOKUP(K204,'Tables new'!$A:$C,3,FALSE),"")</f>
        <v>70</v>
      </c>
      <c r="M204" t="str">
        <f>VLOOKUP(K204,CAT_JOUEUR,2,FALSE)</f>
        <v>Contact famille</v>
      </c>
      <c r="N204">
        <v>212</v>
      </c>
      <c r="O204">
        <f>IFERROR(VLOOKUP(N204,'Tables new'!$A:$C,3,FALSE),"")</f>
        <v>70</v>
      </c>
      <c r="P204" t="str">
        <f>VLOOKUP(N204,CAT_JOUEUR,2,FALSE)</f>
        <v>Contact famille</v>
      </c>
      <c r="W204" t="s">
        <v>89</v>
      </c>
      <c r="AH204" t="s">
        <v>78</v>
      </c>
      <c r="AI204" t="s">
        <v>78</v>
      </c>
      <c r="AJ204" t="s">
        <v>78</v>
      </c>
      <c r="AK204" t="s">
        <v>78</v>
      </c>
      <c r="AL204" t="s">
        <v>79</v>
      </c>
      <c r="AP204">
        <v>622287291</v>
      </c>
      <c r="AQ204" t="s">
        <v>1345</v>
      </c>
    </row>
    <row r="205" spans="1:67" x14ac:dyDescent="0.2">
      <c r="A205" t="s">
        <v>1340</v>
      </c>
      <c r="B205" t="s">
        <v>602</v>
      </c>
      <c r="D205" t="s">
        <v>72</v>
      </c>
      <c r="E205" t="s">
        <v>96</v>
      </c>
      <c r="F205" t="s">
        <v>1342</v>
      </c>
      <c r="G205" t="s">
        <v>1343</v>
      </c>
      <c r="H205" t="s">
        <v>885</v>
      </c>
      <c r="I205" t="s">
        <v>1344</v>
      </c>
      <c r="K205">
        <v>21</v>
      </c>
      <c r="L205">
        <f>IFERROR(VLOOKUP(K205,'Tables new'!$A:$C,3,FALSE),"")</f>
        <v>18</v>
      </c>
      <c r="M205" t="str">
        <f>VLOOKUP(K205,CAT_JOUEUR,2,FALSE)</f>
        <v>U7 Mixte</v>
      </c>
      <c r="N205">
        <v>21</v>
      </c>
      <c r="O205">
        <f>IFERROR(VLOOKUP(N205,'Tables new'!$A:$C,3,FALSE),"")</f>
        <v>18</v>
      </c>
      <c r="P205" t="str">
        <f>VLOOKUP(N205,CAT_JOUEUR,2,FALSE)</f>
        <v>U7 Mixte</v>
      </c>
      <c r="W205" t="s">
        <v>113</v>
      </c>
      <c r="AA205" t="s">
        <v>1346</v>
      </c>
      <c r="AH205">
        <v>45692</v>
      </c>
      <c r="AI205">
        <v>45614</v>
      </c>
      <c r="AJ205">
        <v>2027</v>
      </c>
      <c r="AK205">
        <v>44185</v>
      </c>
      <c r="AL205" t="s">
        <v>1347</v>
      </c>
      <c r="AP205" t="s">
        <v>1348</v>
      </c>
      <c r="AQ205" t="s">
        <v>1345</v>
      </c>
    </row>
    <row r="206" spans="1:67" x14ac:dyDescent="0.2">
      <c r="A206" t="s">
        <v>1340</v>
      </c>
      <c r="B206" t="s">
        <v>1349</v>
      </c>
      <c r="D206" t="s">
        <v>72</v>
      </c>
      <c r="E206" t="s">
        <v>96</v>
      </c>
      <c r="F206" t="s">
        <v>1350</v>
      </c>
      <c r="G206" t="s">
        <v>1351</v>
      </c>
      <c r="H206" t="s">
        <v>1352</v>
      </c>
      <c r="I206" t="s">
        <v>1353</v>
      </c>
      <c r="K206">
        <v>8</v>
      </c>
      <c r="L206">
        <f>IFERROR(VLOOKUP(K206,'Tables new'!$A:$C,3,FALSE),"")</f>
        <v>17</v>
      </c>
      <c r="M206" t="str">
        <f>VLOOKUP(K206,CAT_JOUEUR,2,FALSE)</f>
        <v>U 9 H</v>
      </c>
      <c r="N206">
        <v>8</v>
      </c>
      <c r="O206">
        <f>IFERROR(VLOOKUP(N206,'Tables new'!$A:$C,3,FALSE),"")</f>
        <v>17</v>
      </c>
      <c r="P206" t="str">
        <f>VLOOKUP(N206,CAT_JOUEUR,2,FALSE)</f>
        <v>U 9 H</v>
      </c>
      <c r="V206" t="s">
        <v>113</v>
      </c>
      <c r="AA206" t="s">
        <v>1354</v>
      </c>
      <c r="AH206">
        <v>44957</v>
      </c>
      <c r="AI206">
        <v>44849</v>
      </c>
      <c r="AJ206">
        <v>2026</v>
      </c>
      <c r="AK206">
        <v>43649</v>
      </c>
      <c r="AL206" t="s">
        <v>1355</v>
      </c>
      <c r="AP206" t="s">
        <v>1356</v>
      </c>
      <c r="AQ206" t="s">
        <v>1357</v>
      </c>
    </row>
    <row r="207" spans="1:67" x14ac:dyDescent="0.2">
      <c r="A207" t="s">
        <v>1340</v>
      </c>
      <c r="B207" t="s">
        <v>283</v>
      </c>
      <c r="D207" t="s">
        <v>72</v>
      </c>
      <c r="E207" t="s">
        <v>96</v>
      </c>
      <c r="F207" t="s">
        <v>1350</v>
      </c>
      <c r="G207" t="s">
        <v>1358</v>
      </c>
      <c r="H207" t="s">
        <v>1352</v>
      </c>
      <c r="I207" t="s">
        <v>1353</v>
      </c>
      <c r="K207">
        <v>212</v>
      </c>
      <c r="L207">
        <f>IFERROR(VLOOKUP(K207,'Tables new'!$A:$C,3,FALSE),"")</f>
        <v>70</v>
      </c>
      <c r="M207" t="str">
        <f>VLOOKUP(K207,CAT_JOUEUR,2,FALSE)</f>
        <v>Contact famille</v>
      </c>
      <c r="N207">
        <v>212</v>
      </c>
      <c r="O207">
        <f>IFERROR(VLOOKUP(N207,'Tables new'!$A:$C,3,FALSE),"")</f>
        <v>70</v>
      </c>
      <c r="P207" t="str">
        <f>VLOOKUP(N207,CAT_JOUEUR,2,FALSE)</f>
        <v>Contact famille</v>
      </c>
      <c r="V207" t="s">
        <v>89</v>
      </c>
      <c r="W207" t="s">
        <v>89</v>
      </c>
      <c r="AH207" t="s">
        <v>78</v>
      </c>
      <c r="AI207" t="s">
        <v>78</v>
      </c>
      <c r="AJ207" t="s">
        <v>78</v>
      </c>
      <c r="AK207" t="s">
        <v>78</v>
      </c>
      <c r="AL207" t="s">
        <v>79</v>
      </c>
      <c r="AP207">
        <v>692672159</v>
      </c>
      <c r="AQ207" t="s">
        <v>1357</v>
      </c>
    </row>
    <row r="208" spans="1:67" x14ac:dyDescent="0.2">
      <c r="A208" t="s">
        <v>1340</v>
      </c>
      <c r="B208" t="s">
        <v>1359</v>
      </c>
      <c r="D208" t="s">
        <v>72</v>
      </c>
      <c r="E208" t="s">
        <v>96</v>
      </c>
      <c r="F208" t="s">
        <v>1350</v>
      </c>
      <c r="G208" t="s">
        <v>1360</v>
      </c>
      <c r="H208" t="s">
        <v>1352</v>
      </c>
      <c r="I208" t="s">
        <v>1353</v>
      </c>
      <c r="K208">
        <v>21</v>
      </c>
      <c r="L208">
        <f>IFERROR(VLOOKUP(K208,'Tables new'!$A:$C,3,FALSE),"")</f>
        <v>18</v>
      </c>
      <c r="M208" t="str">
        <f>VLOOKUP(K208,CAT_JOUEUR,2,FALSE)</f>
        <v>U7 Mixte</v>
      </c>
      <c r="N208">
        <v>21</v>
      </c>
      <c r="O208">
        <f>IFERROR(VLOOKUP(N208,'Tables new'!$A:$C,3,FALSE),"")</f>
        <v>18</v>
      </c>
      <c r="P208" t="str">
        <f>VLOOKUP(N208,CAT_JOUEUR,2,FALSE)</f>
        <v>U7 Mixte</v>
      </c>
      <c r="W208" t="s">
        <v>113</v>
      </c>
      <c r="AA208" t="s">
        <v>1361</v>
      </c>
      <c r="AH208">
        <v>45692</v>
      </c>
      <c r="AI208">
        <v>45244</v>
      </c>
      <c r="AJ208">
        <v>2028</v>
      </c>
      <c r="AK208">
        <v>44294</v>
      </c>
      <c r="AL208" t="s">
        <v>1362</v>
      </c>
      <c r="AP208" t="s">
        <v>1356</v>
      </c>
      <c r="AQ208" t="s">
        <v>1357</v>
      </c>
    </row>
    <row r="209" spans="1:67" x14ac:dyDescent="0.2">
      <c r="A209" t="s">
        <v>1363</v>
      </c>
      <c r="B209" t="s">
        <v>1364</v>
      </c>
      <c r="D209" t="s">
        <v>72</v>
      </c>
      <c r="E209" t="s">
        <v>96</v>
      </c>
      <c r="F209" t="s">
        <v>1365</v>
      </c>
      <c r="G209" t="s">
        <v>848</v>
      </c>
      <c r="H209" t="s">
        <v>849</v>
      </c>
      <c r="I209" t="s">
        <v>145</v>
      </c>
      <c r="K209">
        <v>2</v>
      </c>
      <c r="L209">
        <f>IFERROR(VLOOKUP(K209,'Tables new'!$A:$C,3,FALSE),"")</f>
        <v>11</v>
      </c>
      <c r="M209" t="str">
        <f>VLOOKUP(K209,CAT_JOUEUR,2,FALSE)</f>
        <v>Seniors - HO</v>
      </c>
      <c r="N209">
        <v>2</v>
      </c>
      <c r="O209">
        <f>IFERROR(VLOOKUP(N209,'Tables new'!$A:$C,3,FALSE),"")</f>
        <v>11</v>
      </c>
      <c r="P209" t="str">
        <f>VLOOKUP(N209,CAT_JOUEUR,2,FALSE)</f>
        <v>Seniors - HO</v>
      </c>
      <c r="AA209" t="s">
        <v>1366</v>
      </c>
      <c r="AH209">
        <v>45058</v>
      </c>
      <c r="AI209">
        <v>45052</v>
      </c>
      <c r="AJ209">
        <v>2027</v>
      </c>
      <c r="AK209">
        <v>35616</v>
      </c>
      <c r="AL209" t="s">
        <v>1367</v>
      </c>
      <c r="AP209">
        <v>691689837</v>
      </c>
      <c r="AQ209" t="s">
        <v>1368</v>
      </c>
      <c r="AR209" t="s">
        <v>208</v>
      </c>
    </row>
    <row r="210" spans="1:67" x14ac:dyDescent="0.2">
      <c r="A210" t="s">
        <v>1369</v>
      </c>
      <c r="B210" t="s">
        <v>1370</v>
      </c>
      <c r="D210" t="s">
        <v>72</v>
      </c>
      <c r="E210" t="s">
        <v>96</v>
      </c>
      <c r="F210" t="s">
        <v>1371</v>
      </c>
      <c r="G210" t="s">
        <v>684</v>
      </c>
      <c r="H210" t="s">
        <v>132</v>
      </c>
      <c r="I210" t="s">
        <v>1372</v>
      </c>
      <c r="K210">
        <v>212</v>
      </c>
      <c r="L210">
        <f>IFERROR(VLOOKUP(K210,'Tables new'!$A:$C,3,FALSE),"")</f>
        <v>70</v>
      </c>
      <c r="M210" t="str">
        <f>VLOOKUP(K210,CAT_JOUEUR,2,FALSE)</f>
        <v>Contact famille</v>
      </c>
      <c r="N210">
        <v>212</v>
      </c>
      <c r="O210">
        <f>IFERROR(VLOOKUP(N210,'Tables new'!$A:$C,3,FALSE),"")</f>
        <v>70</v>
      </c>
      <c r="P210" t="str">
        <f>VLOOKUP(N210,CAT_JOUEUR,2,FALSE)</f>
        <v>Contact famille</v>
      </c>
      <c r="U210" t="s">
        <v>89</v>
      </c>
      <c r="AH210" t="s">
        <v>78</v>
      </c>
      <c r="AI210" t="s">
        <v>78</v>
      </c>
      <c r="AJ210" t="s">
        <v>78</v>
      </c>
      <c r="AK210" t="s">
        <v>78</v>
      </c>
      <c r="AL210" t="s">
        <v>79</v>
      </c>
      <c r="AP210">
        <v>691988571</v>
      </c>
      <c r="AQ210" t="s">
        <v>1373</v>
      </c>
    </row>
    <row r="211" spans="1:67" x14ac:dyDescent="0.2">
      <c r="A211" t="s">
        <v>1374</v>
      </c>
      <c r="B211" t="s">
        <v>1375</v>
      </c>
      <c r="D211" t="s">
        <v>72</v>
      </c>
      <c r="E211" t="s">
        <v>96</v>
      </c>
      <c r="F211" t="s">
        <v>177</v>
      </c>
      <c r="G211" t="s">
        <v>178</v>
      </c>
      <c r="H211" t="s">
        <v>179</v>
      </c>
      <c r="I211" t="s">
        <v>180</v>
      </c>
      <c r="K211">
        <v>212</v>
      </c>
      <c r="L211">
        <f>IFERROR(VLOOKUP(K211,'Tables new'!$A:$C,3,FALSE),"")</f>
        <v>70</v>
      </c>
      <c r="M211" t="str">
        <f>VLOOKUP(K211,CAT_JOUEUR,2,FALSE)</f>
        <v>Contact famille</v>
      </c>
      <c r="N211">
        <v>212</v>
      </c>
      <c r="O211">
        <f>IFERROR(VLOOKUP(N211,'Tables new'!$A:$C,3,FALSE),"")</f>
        <v>70</v>
      </c>
      <c r="P211" t="str">
        <f>VLOOKUP(N211,CAT_JOUEUR,2,FALSE)</f>
        <v>Contact famille</v>
      </c>
      <c r="U211" t="s">
        <v>89</v>
      </c>
      <c r="AH211" t="s">
        <v>78</v>
      </c>
      <c r="AI211" t="s">
        <v>78</v>
      </c>
      <c r="AJ211" t="s">
        <v>78</v>
      </c>
      <c r="AK211" t="s">
        <v>78</v>
      </c>
      <c r="AL211" t="s">
        <v>79</v>
      </c>
      <c r="AP211">
        <v>691151731</v>
      </c>
      <c r="AQ211" t="s">
        <v>186</v>
      </c>
    </row>
    <row r="212" spans="1:67" x14ac:dyDescent="0.2">
      <c r="A212" t="s">
        <v>1376</v>
      </c>
      <c r="B212" t="s">
        <v>1377</v>
      </c>
      <c r="D212" t="s">
        <v>72</v>
      </c>
      <c r="E212" t="s">
        <v>96</v>
      </c>
      <c r="F212" t="s">
        <v>1378</v>
      </c>
      <c r="G212" t="s">
        <v>1379</v>
      </c>
      <c r="H212" t="s">
        <v>376</v>
      </c>
      <c r="I212" t="s">
        <v>1380</v>
      </c>
      <c r="K212">
        <v>212</v>
      </c>
      <c r="L212">
        <f>IFERROR(VLOOKUP(K212,'Tables new'!$A:$C,3,FALSE),"")</f>
        <v>70</v>
      </c>
      <c r="M212" t="str">
        <f>VLOOKUP(K212,CAT_JOUEUR,2,FALSE)</f>
        <v>Contact famille</v>
      </c>
      <c r="N212">
        <v>212</v>
      </c>
      <c r="O212">
        <f>IFERROR(VLOOKUP(N212,'Tables new'!$A:$C,3,FALSE),"")</f>
        <v>70</v>
      </c>
      <c r="P212" t="str">
        <f>VLOOKUP(N212,CAT_JOUEUR,2,FALSE)</f>
        <v>Contact famille</v>
      </c>
      <c r="S212" t="s">
        <v>89</v>
      </c>
      <c r="AH212" t="s">
        <v>78</v>
      </c>
      <c r="AI212" t="s">
        <v>78</v>
      </c>
      <c r="AJ212" t="s">
        <v>78</v>
      </c>
      <c r="AK212" t="s">
        <v>78</v>
      </c>
      <c r="AL212" t="s">
        <v>79</v>
      </c>
    </row>
    <row r="213" spans="1:67" x14ac:dyDescent="0.2">
      <c r="A213" t="s">
        <v>1381</v>
      </c>
      <c r="B213" t="s">
        <v>1382</v>
      </c>
      <c r="D213" t="s">
        <v>72</v>
      </c>
      <c r="E213" t="s">
        <v>96</v>
      </c>
      <c r="F213" t="s">
        <v>598</v>
      </c>
      <c r="G213" t="s">
        <v>599</v>
      </c>
      <c r="H213" t="s">
        <v>132</v>
      </c>
      <c r="I213" t="s">
        <v>600</v>
      </c>
      <c r="K213">
        <v>21</v>
      </c>
      <c r="L213">
        <f>IFERROR(VLOOKUP(K213,'Tables new'!$A:$C,3,FALSE),"")</f>
        <v>18</v>
      </c>
      <c r="M213" t="str">
        <f>VLOOKUP(K213,CAT_JOUEUR,2,FALSE)</f>
        <v>U7 Mixte</v>
      </c>
      <c r="N213">
        <v>21</v>
      </c>
      <c r="O213">
        <f>IFERROR(VLOOKUP(N213,'Tables new'!$A:$C,3,FALSE),"")</f>
        <v>18</v>
      </c>
      <c r="P213" t="str">
        <f>VLOOKUP(N213,CAT_JOUEUR,2,FALSE)</f>
        <v>U7 Mixte</v>
      </c>
      <c r="W213" t="s">
        <v>113</v>
      </c>
      <c r="AA213" t="s">
        <v>1383</v>
      </c>
      <c r="AH213">
        <v>45692</v>
      </c>
      <c r="AI213">
        <v>45635</v>
      </c>
      <c r="AJ213">
        <v>2027</v>
      </c>
      <c r="AK213">
        <v>44170</v>
      </c>
      <c r="AL213" t="s">
        <v>1384</v>
      </c>
      <c r="AP213" t="s">
        <v>1385</v>
      </c>
      <c r="AQ213" t="s">
        <v>1386</v>
      </c>
    </row>
    <row r="214" spans="1:67" x14ac:dyDescent="0.2">
      <c r="A214" t="s">
        <v>1381</v>
      </c>
      <c r="B214" t="s">
        <v>1178</v>
      </c>
      <c r="D214" t="s">
        <v>72</v>
      </c>
      <c r="E214" t="s">
        <v>96</v>
      </c>
      <c r="F214" t="s">
        <v>598</v>
      </c>
      <c r="G214" t="s">
        <v>599</v>
      </c>
      <c r="H214" t="s">
        <v>132</v>
      </c>
      <c r="I214" t="s">
        <v>600</v>
      </c>
      <c r="K214">
        <v>202</v>
      </c>
      <c r="L214">
        <f>IFERROR(VLOOKUP(K214,'Tables new'!$A:$C,3,FALSE),"")</f>
        <v>62</v>
      </c>
      <c r="M214" t="str">
        <f>VLOOKUP(K214,CAT_JOUEUR,2,FALSE)</f>
        <v>Membre honoraire</v>
      </c>
      <c r="N214">
        <v>212</v>
      </c>
      <c r="O214">
        <f>IFERROR(VLOOKUP(N214,'Tables new'!$A:$C,3,FALSE),"")</f>
        <v>70</v>
      </c>
      <c r="P214" t="str">
        <f>VLOOKUP(N214,CAT_JOUEUR,2,FALSE)</f>
        <v>Contact famille</v>
      </c>
      <c r="W214" t="s">
        <v>89</v>
      </c>
      <c r="AF214" t="s">
        <v>916</v>
      </c>
      <c r="AH214">
        <v>34684</v>
      </c>
      <c r="AI214">
        <v>34684</v>
      </c>
      <c r="AJ214">
        <v>2023</v>
      </c>
      <c r="AK214">
        <v>30453</v>
      </c>
      <c r="AL214" t="s">
        <v>1387</v>
      </c>
      <c r="AP214">
        <v>671170583</v>
      </c>
      <c r="AQ214" t="s">
        <v>1386</v>
      </c>
      <c r="AY214" t="s">
        <v>1388</v>
      </c>
      <c r="BA214" t="s">
        <v>136</v>
      </c>
      <c r="BB214" t="s">
        <v>137</v>
      </c>
      <c r="BC214" t="s">
        <v>138</v>
      </c>
      <c r="BD214">
        <v>200</v>
      </c>
      <c r="BO214" t="s">
        <v>443</v>
      </c>
    </row>
    <row r="215" spans="1:67" x14ac:dyDescent="0.2">
      <c r="A215" t="s">
        <v>1389</v>
      </c>
      <c r="B215" t="s">
        <v>1390</v>
      </c>
      <c r="D215" t="s">
        <v>72</v>
      </c>
      <c r="E215" t="s">
        <v>96</v>
      </c>
      <c r="F215" t="s">
        <v>1391</v>
      </c>
      <c r="G215" t="s">
        <v>1392</v>
      </c>
      <c r="H215" t="s">
        <v>1393</v>
      </c>
      <c r="I215" t="s">
        <v>1394</v>
      </c>
      <c r="K215">
        <v>2</v>
      </c>
      <c r="L215">
        <f>IFERROR(VLOOKUP(K215,'Tables new'!$A:$C,3,FALSE),"")</f>
        <v>11</v>
      </c>
      <c r="M215" t="str">
        <f>VLOOKUP(K215,CAT_JOUEUR,2,FALSE)</f>
        <v>Seniors - HO</v>
      </c>
      <c r="N215">
        <v>2</v>
      </c>
      <c r="O215">
        <f>IFERROR(VLOOKUP(N215,'Tables new'!$A:$C,3,FALSE),"")</f>
        <v>11</v>
      </c>
      <c r="P215" t="str">
        <f>VLOOKUP(N215,CAT_JOUEUR,2,FALSE)</f>
        <v>Seniors - HO</v>
      </c>
      <c r="AA215" t="s">
        <v>1395</v>
      </c>
      <c r="AH215">
        <v>40539</v>
      </c>
      <c r="AI215">
        <v>40539</v>
      </c>
      <c r="AJ215">
        <v>2027</v>
      </c>
      <c r="AK215">
        <v>35718</v>
      </c>
      <c r="AL215" t="s">
        <v>1396</v>
      </c>
      <c r="AN215" t="s">
        <v>1397</v>
      </c>
      <c r="AP215" t="s">
        <v>1398</v>
      </c>
      <c r="AQ215" t="s">
        <v>1399</v>
      </c>
      <c r="AY215" t="s">
        <v>442</v>
      </c>
      <c r="BA215" t="s">
        <v>136</v>
      </c>
      <c r="BB215" t="s">
        <v>137</v>
      </c>
      <c r="BC215" t="s">
        <v>138</v>
      </c>
      <c r="BD215">
        <v>200</v>
      </c>
      <c r="BO215" t="s">
        <v>1400</v>
      </c>
    </row>
    <row r="216" spans="1:67" x14ac:dyDescent="0.2">
      <c r="A216" t="s">
        <v>1401</v>
      </c>
      <c r="B216" t="s">
        <v>1402</v>
      </c>
      <c r="D216" t="s">
        <v>72</v>
      </c>
      <c r="E216" t="s">
        <v>96</v>
      </c>
      <c r="F216" t="s">
        <v>1378</v>
      </c>
      <c r="G216" t="s">
        <v>1379</v>
      </c>
      <c r="H216" t="s">
        <v>376</v>
      </c>
      <c r="I216" t="s">
        <v>1380</v>
      </c>
      <c r="K216">
        <v>212</v>
      </c>
      <c r="L216">
        <f>IFERROR(VLOOKUP(K216,'Tables new'!$A:$C,3,FALSE),"")</f>
        <v>70</v>
      </c>
      <c r="M216" t="str">
        <f>VLOOKUP(K216,CAT_JOUEUR,2,FALSE)</f>
        <v>Contact famille</v>
      </c>
      <c r="N216">
        <v>21</v>
      </c>
      <c r="O216">
        <f>IFERROR(VLOOKUP(N216,'Tables new'!$A:$C,3,FALSE),"")</f>
        <v>18</v>
      </c>
      <c r="P216" t="str">
        <f>VLOOKUP(N216,CAT_JOUEUR,2,FALSE)</f>
        <v>U7 Mixte</v>
      </c>
      <c r="S216" t="s">
        <v>89</v>
      </c>
      <c r="AH216" t="s">
        <v>78</v>
      </c>
      <c r="AI216" t="s">
        <v>78</v>
      </c>
      <c r="AJ216" t="s">
        <v>78</v>
      </c>
      <c r="AK216" t="s">
        <v>78</v>
      </c>
      <c r="AL216" t="s">
        <v>79</v>
      </c>
      <c r="AQ216" t="s">
        <v>1403</v>
      </c>
    </row>
    <row r="217" spans="1:67" x14ac:dyDescent="0.2">
      <c r="A217" t="s">
        <v>1401</v>
      </c>
      <c r="B217" t="s">
        <v>1404</v>
      </c>
      <c r="D217" t="s">
        <v>72</v>
      </c>
      <c r="E217" t="s">
        <v>96</v>
      </c>
      <c r="F217" t="s">
        <v>1378</v>
      </c>
      <c r="G217" t="s">
        <v>1379</v>
      </c>
      <c r="H217" t="s">
        <v>376</v>
      </c>
      <c r="I217" t="s">
        <v>1380</v>
      </c>
      <c r="K217">
        <v>5</v>
      </c>
      <c r="L217">
        <f>IFERROR(VLOOKUP(K217,'Tables new'!$A:$C,3,FALSE),"")</f>
        <v>14</v>
      </c>
      <c r="M217" t="str">
        <f>VLOOKUP(K217,CAT_JOUEUR,2,FALSE)</f>
        <v>U 15 H</v>
      </c>
      <c r="N217">
        <v>5</v>
      </c>
      <c r="O217">
        <f>IFERROR(VLOOKUP(N217,'Tables new'!$A:$C,3,FALSE),"")</f>
        <v>14</v>
      </c>
      <c r="P217" t="str">
        <f>VLOOKUP(N217,CAT_JOUEUR,2,FALSE)</f>
        <v>U 15 H</v>
      </c>
      <c r="S217" t="s">
        <v>113</v>
      </c>
      <c r="AA217" t="s">
        <v>1405</v>
      </c>
      <c r="AH217">
        <v>45348</v>
      </c>
      <c r="AI217">
        <v>45329</v>
      </c>
      <c r="AJ217">
        <v>2027</v>
      </c>
      <c r="AK217">
        <v>41180</v>
      </c>
      <c r="AL217" t="s">
        <v>1406</v>
      </c>
      <c r="AO217" t="s">
        <v>1407</v>
      </c>
      <c r="AP217">
        <v>621274171</v>
      </c>
      <c r="AQ217" t="s">
        <v>1403</v>
      </c>
    </row>
    <row r="218" spans="1:67" x14ac:dyDescent="0.2">
      <c r="A218" t="s">
        <v>1408</v>
      </c>
      <c r="B218" t="s">
        <v>1409</v>
      </c>
      <c r="D218" t="s">
        <v>72</v>
      </c>
      <c r="E218" t="s">
        <v>96</v>
      </c>
      <c r="F218" t="s">
        <v>1410</v>
      </c>
      <c r="G218" t="s">
        <v>1411</v>
      </c>
      <c r="H218" t="s">
        <v>132</v>
      </c>
      <c r="I218" t="s">
        <v>1412</v>
      </c>
      <c r="K218">
        <v>15</v>
      </c>
      <c r="L218">
        <f>IFERROR(VLOOKUP(K218,'Tables new'!$A:$C,3,FALSE),"")</f>
        <v>35</v>
      </c>
      <c r="M218" t="str">
        <f>VLOOKUP(K218,CAT_JOUEUR,2,FALSE)</f>
        <v>U 13 F</v>
      </c>
      <c r="N218">
        <v>15</v>
      </c>
      <c r="O218">
        <f>IFERROR(VLOOKUP(N218,'Tables new'!$A:$C,3,FALSE),"")</f>
        <v>35</v>
      </c>
      <c r="P218" t="str">
        <f>VLOOKUP(N218,CAT_JOUEUR,2,FALSE)</f>
        <v>U 13 F</v>
      </c>
      <c r="Z218" t="s">
        <v>113</v>
      </c>
      <c r="AA218" t="s">
        <v>1413</v>
      </c>
      <c r="AH218">
        <v>45826</v>
      </c>
      <c r="AI218">
        <v>45796</v>
      </c>
      <c r="AJ218">
        <v>2029</v>
      </c>
      <c r="AK218">
        <v>41763</v>
      </c>
      <c r="AL218" t="s">
        <v>1414</v>
      </c>
      <c r="AO218" t="s">
        <v>1415</v>
      </c>
      <c r="AP218" t="s">
        <v>1416</v>
      </c>
      <c r="AQ218" t="s">
        <v>1417</v>
      </c>
    </row>
    <row r="219" spans="1:67" x14ac:dyDescent="0.2">
      <c r="A219" t="s">
        <v>1408</v>
      </c>
      <c r="B219" t="s">
        <v>1418</v>
      </c>
      <c r="D219" t="s">
        <v>72</v>
      </c>
      <c r="E219" t="s">
        <v>96</v>
      </c>
      <c r="F219" t="s">
        <v>1410</v>
      </c>
      <c r="G219" t="s">
        <v>1411</v>
      </c>
      <c r="H219" t="s">
        <v>132</v>
      </c>
      <c r="I219" t="s">
        <v>1412</v>
      </c>
      <c r="K219">
        <v>17</v>
      </c>
      <c r="L219">
        <f>IFERROR(VLOOKUP(K219,'Tables new'!$A:$C,3,FALSE),"")</f>
        <v>36</v>
      </c>
      <c r="M219" t="str">
        <f>VLOOKUP(K219,CAT_JOUEUR,2,FALSE)</f>
        <v>U 11 F</v>
      </c>
      <c r="N219">
        <v>17</v>
      </c>
      <c r="O219">
        <f>IFERROR(VLOOKUP(N219,'Tables new'!$A:$C,3,FALSE),"")</f>
        <v>36</v>
      </c>
      <c r="P219" t="str">
        <f>VLOOKUP(N219,CAT_JOUEUR,2,FALSE)</f>
        <v>U 11 F</v>
      </c>
      <c r="U219" t="s">
        <v>113</v>
      </c>
      <c r="AA219" t="s">
        <v>1419</v>
      </c>
      <c r="AH219">
        <v>45833</v>
      </c>
      <c r="AI219">
        <v>45796</v>
      </c>
      <c r="AJ219">
        <v>2028</v>
      </c>
      <c r="AK219">
        <v>42502</v>
      </c>
      <c r="AL219" t="s">
        <v>1420</v>
      </c>
      <c r="AO219" t="s">
        <v>1415</v>
      </c>
      <c r="AP219" t="s">
        <v>1416</v>
      </c>
      <c r="AQ219" t="s">
        <v>1417</v>
      </c>
    </row>
    <row r="220" spans="1:67" x14ac:dyDescent="0.2">
      <c r="A220" t="s">
        <v>1408</v>
      </c>
      <c r="B220" t="s">
        <v>1421</v>
      </c>
      <c r="D220" t="s">
        <v>72</v>
      </c>
      <c r="E220" t="s">
        <v>96</v>
      </c>
      <c r="F220" t="s">
        <v>1410</v>
      </c>
      <c r="G220" t="s">
        <v>1411</v>
      </c>
      <c r="H220" t="s">
        <v>132</v>
      </c>
      <c r="I220" t="s">
        <v>1412</v>
      </c>
      <c r="K220">
        <v>212</v>
      </c>
      <c r="L220">
        <f>IFERROR(VLOOKUP(K220,'Tables new'!$A:$C,3,FALSE),"")</f>
        <v>70</v>
      </c>
      <c r="M220" t="str">
        <f>VLOOKUP(K220,CAT_JOUEUR,2,FALSE)</f>
        <v>Contact famille</v>
      </c>
      <c r="N220">
        <v>212</v>
      </c>
      <c r="O220">
        <f>IFERROR(VLOOKUP(N220,'Tables new'!$A:$C,3,FALSE),"")</f>
        <v>70</v>
      </c>
      <c r="P220" t="str">
        <f>VLOOKUP(N220,CAT_JOUEUR,2,FALSE)</f>
        <v>Contact famille</v>
      </c>
      <c r="U220" t="s">
        <v>89</v>
      </c>
      <c r="Z220" t="s">
        <v>89</v>
      </c>
      <c r="AH220" t="s">
        <v>78</v>
      </c>
      <c r="AI220" t="s">
        <v>78</v>
      </c>
      <c r="AJ220" t="s">
        <v>78</v>
      </c>
      <c r="AK220" t="s">
        <v>78</v>
      </c>
      <c r="AL220" t="s">
        <v>79</v>
      </c>
      <c r="AP220">
        <v>661444151</v>
      </c>
      <c r="AQ220" t="s">
        <v>1422</v>
      </c>
    </row>
    <row r="221" spans="1:67" x14ac:dyDescent="0.2">
      <c r="A221" t="s">
        <v>1423</v>
      </c>
      <c r="B221" t="s">
        <v>1424</v>
      </c>
      <c r="D221" t="s">
        <v>72</v>
      </c>
      <c r="E221" t="s">
        <v>96</v>
      </c>
      <c r="F221" t="s">
        <v>869</v>
      </c>
      <c r="G221" t="s">
        <v>870</v>
      </c>
      <c r="H221" t="s">
        <v>286</v>
      </c>
      <c r="I221" t="s">
        <v>871</v>
      </c>
      <c r="K221">
        <v>212</v>
      </c>
      <c r="L221">
        <f>IFERROR(VLOOKUP(K221,'Tables new'!$A:$C,3,FALSE),"")</f>
        <v>70</v>
      </c>
      <c r="M221" t="str">
        <f>VLOOKUP(K221,CAT_JOUEUR,2,FALSE)</f>
        <v>Contact famille</v>
      </c>
      <c r="N221">
        <v>212</v>
      </c>
      <c r="O221">
        <f>IFERROR(VLOOKUP(N221,'Tables new'!$A:$C,3,FALSE),"")</f>
        <v>70</v>
      </c>
      <c r="P221" t="str">
        <f>VLOOKUP(N221,CAT_JOUEUR,2,FALSE)</f>
        <v>Contact famille</v>
      </c>
      <c r="U221" t="s">
        <v>89</v>
      </c>
      <c r="V221" t="s">
        <v>89</v>
      </c>
      <c r="AH221" t="s">
        <v>78</v>
      </c>
      <c r="AI221" t="s">
        <v>78</v>
      </c>
      <c r="AJ221" t="s">
        <v>78</v>
      </c>
      <c r="AK221" t="s">
        <v>78</v>
      </c>
      <c r="AL221" t="s">
        <v>79</v>
      </c>
      <c r="AP221">
        <v>661277627</v>
      </c>
      <c r="AQ221" t="s">
        <v>876</v>
      </c>
    </row>
    <row r="222" spans="1:67" x14ac:dyDescent="0.2">
      <c r="A222" t="s">
        <v>1425</v>
      </c>
      <c r="B222" t="s">
        <v>1426</v>
      </c>
      <c r="D222" t="s">
        <v>72</v>
      </c>
      <c r="E222" t="s">
        <v>96</v>
      </c>
      <c r="F222" t="s">
        <v>923</v>
      </c>
      <c r="G222" t="s">
        <v>247</v>
      </c>
      <c r="H222" t="s">
        <v>108</v>
      </c>
      <c r="I222" t="s">
        <v>924</v>
      </c>
      <c r="K222">
        <v>212</v>
      </c>
      <c r="L222">
        <f>IFERROR(VLOOKUP(K222,'Tables new'!$A:$C,3,FALSE),"")</f>
        <v>70</v>
      </c>
      <c r="M222" t="str">
        <f>VLOOKUP(K222,CAT_JOUEUR,2,FALSE)</f>
        <v>Contact famille</v>
      </c>
      <c r="N222">
        <v>212</v>
      </c>
      <c r="O222">
        <f>IFERROR(VLOOKUP(N222,'Tables new'!$A:$C,3,FALSE),"")</f>
        <v>70</v>
      </c>
      <c r="P222" t="str">
        <f>VLOOKUP(N222,CAT_JOUEUR,2,FALSE)</f>
        <v>Contact famille</v>
      </c>
      <c r="AH222" t="s">
        <v>78</v>
      </c>
      <c r="AI222" t="s">
        <v>78</v>
      </c>
      <c r="AJ222" t="s">
        <v>534</v>
      </c>
      <c r="AK222" t="s">
        <v>78</v>
      </c>
      <c r="AL222" t="s">
        <v>79</v>
      </c>
      <c r="AN222" t="s">
        <v>927</v>
      </c>
      <c r="AQ222" t="s">
        <v>929</v>
      </c>
      <c r="AY222" t="s">
        <v>637</v>
      </c>
      <c r="BA222" t="s">
        <v>136</v>
      </c>
      <c r="BB222" t="s">
        <v>137</v>
      </c>
      <c r="BC222" t="s">
        <v>138</v>
      </c>
      <c r="BD222">
        <v>20</v>
      </c>
    </row>
    <row r="223" spans="1:67" x14ac:dyDescent="0.2">
      <c r="A223" t="s">
        <v>1427</v>
      </c>
      <c r="B223" t="s">
        <v>1428</v>
      </c>
      <c r="D223" t="s">
        <v>72</v>
      </c>
      <c r="E223" t="s">
        <v>96</v>
      </c>
      <c r="F223" t="s">
        <v>1429</v>
      </c>
      <c r="G223" t="s">
        <v>1068</v>
      </c>
      <c r="H223" t="s">
        <v>1069</v>
      </c>
      <c r="I223" t="s">
        <v>1430</v>
      </c>
      <c r="K223">
        <v>4</v>
      </c>
      <c r="L223">
        <f>IFERROR(VLOOKUP(K223,'Tables new'!$A:$C,3,FALSE),"")</f>
        <v>13</v>
      </c>
      <c r="M223" t="str">
        <f>VLOOKUP(K223,CAT_JOUEUR,2,FALSE)</f>
        <v>U 17 H</v>
      </c>
      <c r="N223">
        <v>4</v>
      </c>
      <c r="O223">
        <f>IFERROR(VLOOKUP(N223,'Tables new'!$A:$C,3,FALSE),"")</f>
        <v>13</v>
      </c>
      <c r="P223" t="str">
        <f>VLOOKUP(N223,CAT_JOUEUR,2,FALSE)</f>
        <v>U 17 H</v>
      </c>
      <c r="Q223" t="s">
        <v>113</v>
      </c>
      <c r="AA223" t="s">
        <v>1431</v>
      </c>
      <c r="AH223">
        <v>44461</v>
      </c>
      <c r="AI223">
        <v>44451</v>
      </c>
      <c r="AJ223">
        <v>2026</v>
      </c>
      <c r="AK223">
        <v>40576</v>
      </c>
      <c r="AL223" t="s">
        <v>1432</v>
      </c>
      <c r="AP223">
        <v>621373017</v>
      </c>
      <c r="AQ223" t="s">
        <v>1433</v>
      </c>
    </row>
    <row r="224" spans="1:67" x14ac:dyDescent="0.2">
      <c r="A224" t="s">
        <v>1427</v>
      </c>
      <c r="B224" t="s">
        <v>1178</v>
      </c>
      <c r="D224" t="s">
        <v>72</v>
      </c>
      <c r="E224" t="s">
        <v>96</v>
      </c>
      <c r="F224" t="s">
        <v>1429</v>
      </c>
      <c r="G224" t="s">
        <v>1068</v>
      </c>
      <c r="H224" t="s">
        <v>1069</v>
      </c>
      <c r="I224" t="s">
        <v>1430</v>
      </c>
      <c r="K224">
        <v>212</v>
      </c>
      <c r="L224">
        <f>IFERROR(VLOOKUP(K224,'Tables new'!$A:$C,3,FALSE),"")</f>
        <v>70</v>
      </c>
      <c r="M224" t="str">
        <f>VLOOKUP(K224,CAT_JOUEUR,2,FALSE)</f>
        <v>Contact famille</v>
      </c>
      <c r="N224">
        <v>212</v>
      </c>
      <c r="O224">
        <f>IFERROR(VLOOKUP(N224,'Tables new'!$A:$C,3,FALSE),"")</f>
        <v>70</v>
      </c>
      <c r="P224" t="str">
        <f>VLOOKUP(N224,CAT_JOUEUR,2,FALSE)</f>
        <v>Contact famille</v>
      </c>
      <c r="Q224" t="s">
        <v>89</v>
      </c>
      <c r="AH224" t="s">
        <v>78</v>
      </c>
      <c r="AI224" t="s">
        <v>78</v>
      </c>
      <c r="AJ224" t="s">
        <v>78</v>
      </c>
      <c r="AK224" t="s">
        <v>78</v>
      </c>
      <c r="AL224" t="s">
        <v>79</v>
      </c>
      <c r="AP224">
        <v>621373017</v>
      </c>
      <c r="AQ224" t="s">
        <v>1433</v>
      </c>
      <c r="AS224" t="s">
        <v>468</v>
      </c>
    </row>
    <row r="225" spans="1:43" x14ac:dyDescent="0.2">
      <c r="A225" t="s">
        <v>1434</v>
      </c>
      <c r="B225" t="s">
        <v>1435</v>
      </c>
      <c r="D225" t="s">
        <v>72</v>
      </c>
      <c r="E225" t="s">
        <v>96</v>
      </c>
      <c r="F225" t="s">
        <v>1436</v>
      </c>
      <c r="G225" t="s">
        <v>1437</v>
      </c>
      <c r="H225" t="s">
        <v>235</v>
      </c>
      <c r="I225" t="s">
        <v>1438</v>
      </c>
      <c r="K225">
        <v>15</v>
      </c>
      <c r="L225">
        <f>IFERROR(VLOOKUP(K225,'Tables new'!$A:$C,3,FALSE),"")</f>
        <v>35</v>
      </c>
      <c r="M225" t="str">
        <f>VLOOKUP(K225,CAT_JOUEUR,2,FALSE)</f>
        <v>U 13 F</v>
      </c>
      <c r="N225">
        <v>15</v>
      </c>
      <c r="O225">
        <f>IFERROR(VLOOKUP(N225,'Tables new'!$A:$C,3,FALSE),"")</f>
        <v>35</v>
      </c>
      <c r="P225" t="str">
        <f>VLOOKUP(N225,CAT_JOUEUR,2,FALSE)</f>
        <v>U 13 F</v>
      </c>
      <c r="Z225" t="s">
        <v>113</v>
      </c>
      <c r="AA225" t="s">
        <v>1439</v>
      </c>
      <c r="AH225">
        <v>44536</v>
      </c>
      <c r="AI225">
        <v>44459</v>
      </c>
      <c r="AJ225">
        <v>2021</v>
      </c>
      <c r="AK225">
        <v>41666</v>
      </c>
      <c r="AL225" t="s">
        <v>1440</v>
      </c>
      <c r="AN225" t="s">
        <v>1441</v>
      </c>
      <c r="AP225">
        <v>691689350</v>
      </c>
      <c r="AQ225" t="s">
        <v>1442</v>
      </c>
    </row>
    <row r="226" spans="1:43" x14ac:dyDescent="0.2">
      <c r="A226" t="s">
        <v>1434</v>
      </c>
      <c r="B226" t="s">
        <v>1443</v>
      </c>
      <c r="D226" t="s">
        <v>72</v>
      </c>
      <c r="E226" t="s">
        <v>96</v>
      </c>
      <c r="F226" t="s">
        <v>1436</v>
      </c>
      <c r="G226" t="s">
        <v>1437</v>
      </c>
      <c r="H226" t="s">
        <v>235</v>
      </c>
      <c r="I226" t="s">
        <v>1438</v>
      </c>
      <c r="K226">
        <v>14</v>
      </c>
      <c r="L226">
        <f>IFERROR(VLOOKUP(K226,'Tables new'!$A:$C,3,FALSE),"")</f>
        <v>33</v>
      </c>
      <c r="M226" t="str">
        <f>VLOOKUP(K226,CAT_JOUEUR,2,FALSE)</f>
        <v>U 17 FE</v>
      </c>
      <c r="N226">
        <v>14</v>
      </c>
      <c r="O226">
        <f>IFERROR(VLOOKUP(N226,'Tables new'!$A:$C,3,FALSE),"")</f>
        <v>33</v>
      </c>
      <c r="P226" t="str">
        <f>VLOOKUP(N226,CAT_JOUEUR,2,FALSE)</f>
        <v>U 17 FE</v>
      </c>
      <c r="X226" t="s">
        <v>113</v>
      </c>
      <c r="AA226" t="s">
        <v>1444</v>
      </c>
      <c r="AH226">
        <v>44536</v>
      </c>
      <c r="AI226">
        <v>44459</v>
      </c>
      <c r="AJ226">
        <v>2021</v>
      </c>
      <c r="AK226">
        <v>40641</v>
      </c>
      <c r="AL226" t="s">
        <v>1445</v>
      </c>
      <c r="AN226" t="s">
        <v>1441</v>
      </c>
      <c r="AP226">
        <v>691689350</v>
      </c>
      <c r="AQ226" t="s">
        <v>1442</v>
      </c>
    </row>
    <row r="227" spans="1:43" x14ac:dyDescent="0.2">
      <c r="A227" t="s">
        <v>1434</v>
      </c>
      <c r="B227" t="s">
        <v>617</v>
      </c>
      <c r="D227" t="s">
        <v>72</v>
      </c>
      <c r="E227" t="s">
        <v>96</v>
      </c>
      <c r="F227" t="s">
        <v>1436</v>
      </c>
      <c r="G227" t="s">
        <v>1437</v>
      </c>
      <c r="H227" t="s">
        <v>235</v>
      </c>
      <c r="I227" t="s">
        <v>1438</v>
      </c>
      <c r="K227">
        <v>212</v>
      </c>
      <c r="L227">
        <f>IFERROR(VLOOKUP(K227,'Tables new'!$A:$C,3,FALSE),"")</f>
        <v>70</v>
      </c>
      <c r="M227" t="str">
        <f>VLOOKUP(K227,CAT_JOUEUR,2,FALSE)</f>
        <v>Contact famille</v>
      </c>
      <c r="N227">
        <v>212</v>
      </c>
      <c r="O227">
        <f>IFERROR(VLOOKUP(N227,'Tables new'!$A:$C,3,FALSE),"")</f>
        <v>70</v>
      </c>
      <c r="P227" t="str">
        <f>VLOOKUP(N227,CAT_JOUEUR,2,FALSE)</f>
        <v>Contact famille</v>
      </c>
      <c r="X227" t="s">
        <v>89</v>
      </c>
      <c r="Z227" t="s">
        <v>89</v>
      </c>
      <c r="AH227" t="s">
        <v>78</v>
      </c>
      <c r="AI227" t="s">
        <v>78</v>
      </c>
      <c r="AJ227" t="s">
        <v>78</v>
      </c>
      <c r="AK227" t="s">
        <v>78</v>
      </c>
      <c r="AL227" t="s">
        <v>79</v>
      </c>
      <c r="AN227" t="s">
        <v>1441</v>
      </c>
    </row>
    <row r="228" spans="1:43" x14ac:dyDescent="0.2">
      <c r="A228" t="s">
        <v>1446</v>
      </c>
      <c r="B228" t="s">
        <v>1447</v>
      </c>
      <c r="D228" t="s">
        <v>72</v>
      </c>
      <c r="E228" t="s">
        <v>96</v>
      </c>
      <c r="F228" t="s">
        <v>1436</v>
      </c>
      <c r="G228" t="s">
        <v>1437</v>
      </c>
      <c r="H228" t="s">
        <v>235</v>
      </c>
      <c r="I228" t="s">
        <v>1438</v>
      </c>
      <c r="K228">
        <v>212</v>
      </c>
      <c r="L228">
        <f>IFERROR(VLOOKUP(K228,'Tables new'!$A:$C,3,FALSE),"")</f>
        <v>70</v>
      </c>
      <c r="M228" t="str">
        <f>VLOOKUP(K228,CAT_JOUEUR,2,FALSE)</f>
        <v>Contact famille</v>
      </c>
      <c r="N228">
        <v>212</v>
      </c>
      <c r="O228">
        <f>IFERROR(VLOOKUP(N228,'Tables new'!$A:$C,3,FALSE),"")</f>
        <v>70</v>
      </c>
      <c r="P228" t="str">
        <f>VLOOKUP(N228,CAT_JOUEUR,2,FALSE)</f>
        <v>Contact famille</v>
      </c>
      <c r="X228" t="s">
        <v>89</v>
      </c>
      <c r="Z228" t="s">
        <v>89</v>
      </c>
      <c r="AH228" t="s">
        <v>78</v>
      </c>
      <c r="AI228" t="s">
        <v>78</v>
      </c>
      <c r="AJ228" t="s">
        <v>78</v>
      </c>
      <c r="AK228" t="s">
        <v>78</v>
      </c>
      <c r="AL228" t="s">
        <v>79</v>
      </c>
      <c r="AN228" t="s">
        <v>1441</v>
      </c>
      <c r="AP228">
        <v>691689350</v>
      </c>
      <c r="AQ228" t="s">
        <v>1442</v>
      </c>
    </row>
    <row r="229" spans="1:43" x14ac:dyDescent="0.2">
      <c r="A229" t="s">
        <v>1448</v>
      </c>
      <c r="B229" t="s">
        <v>1449</v>
      </c>
      <c r="D229" t="s">
        <v>72</v>
      </c>
      <c r="E229" t="s">
        <v>96</v>
      </c>
      <c r="F229" t="s">
        <v>1450</v>
      </c>
      <c r="G229" t="s">
        <v>705</v>
      </c>
      <c r="H229" t="s">
        <v>108</v>
      </c>
      <c r="I229" t="s">
        <v>1451</v>
      </c>
      <c r="K229">
        <v>212</v>
      </c>
      <c r="L229">
        <f>IFERROR(VLOOKUP(K229,'Tables new'!$A:$C,3,FALSE),"")</f>
        <v>70</v>
      </c>
      <c r="M229" t="str">
        <f>VLOOKUP(K229,CAT_JOUEUR,2,FALSE)</f>
        <v>Contact famille</v>
      </c>
      <c r="N229">
        <v>212</v>
      </c>
      <c r="O229">
        <f>IFERROR(VLOOKUP(N229,'Tables new'!$A:$C,3,FALSE),"")</f>
        <v>70</v>
      </c>
      <c r="P229" t="str">
        <f>VLOOKUP(N229,CAT_JOUEUR,2,FALSE)</f>
        <v>Contact famille</v>
      </c>
      <c r="T229" t="s">
        <v>89</v>
      </c>
      <c r="U229" t="s">
        <v>89</v>
      </c>
      <c r="AH229" t="s">
        <v>78</v>
      </c>
      <c r="AI229" t="s">
        <v>78</v>
      </c>
      <c r="AJ229" t="s">
        <v>78</v>
      </c>
      <c r="AK229" t="s">
        <v>78</v>
      </c>
      <c r="AL229" t="s">
        <v>79</v>
      </c>
      <c r="AP229">
        <v>661840908</v>
      </c>
    </row>
    <row r="230" spans="1:43" x14ac:dyDescent="0.2">
      <c r="A230" t="s">
        <v>1448</v>
      </c>
      <c r="B230" t="s">
        <v>111</v>
      </c>
      <c r="D230" t="s">
        <v>72</v>
      </c>
      <c r="E230" t="s">
        <v>96</v>
      </c>
      <c r="F230" t="s">
        <v>1450</v>
      </c>
      <c r="G230" t="s">
        <v>705</v>
      </c>
      <c r="H230" t="s">
        <v>108</v>
      </c>
      <c r="I230" t="s">
        <v>1451</v>
      </c>
      <c r="K230">
        <v>17</v>
      </c>
      <c r="L230">
        <f>IFERROR(VLOOKUP(K230,'Tables new'!$A:$C,3,FALSE),"")</f>
        <v>36</v>
      </c>
      <c r="M230" t="str">
        <f>VLOOKUP(K230,CAT_JOUEUR,2,FALSE)</f>
        <v>U 11 F</v>
      </c>
      <c r="N230">
        <v>17</v>
      </c>
      <c r="O230">
        <f>IFERROR(VLOOKUP(N230,'Tables new'!$A:$C,3,FALSE),"")</f>
        <v>36</v>
      </c>
      <c r="P230" t="str">
        <f>VLOOKUP(N230,CAT_JOUEUR,2,FALSE)</f>
        <v>U 11 F</v>
      </c>
      <c r="U230" t="s">
        <v>113</v>
      </c>
      <c r="AA230" t="s">
        <v>1452</v>
      </c>
      <c r="AH230">
        <v>44943</v>
      </c>
      <c r="AI230">
        <v>44932</v>
      </c>
      <c r="AJ230">
        <v>2024</v>
      </c>
      <c r="AK230">
        <v>43082</v>
      </c>
      <c r="AL230" t="s">
        <v>1453</v>
      </c>
      <c r="AO230" t="s">
        <v>1454</v>
      </c>
      <c r="AP230">
        <v>661200903</v>
      </c>
      <c r="AQ230" t="s">
        <v>1455</v>
      </c>
    </row>
    <row r="231" spans="1:43" x14ac:dyDescent="0.2">
      <c r="A231" t="s">
        <v>1448</v>
      </c>
      <c r="B231" t="s">
        <v>1456</v>
      </c>
      <c r="D231" t="s">
        <v>72</v>
      </c>
      <c r="E231" t="s">
        <v>96</v>
      </c>
      <c r="F231" t="s">
        <v>1450</v>
      </c>
      <c r="G231" t="s">
        <v>705</v>
      </c>
      <c r="H231" t="s">
        <v>108</v>
      </c>
      <c r="I231" t="s">
        <v>1451</v>
      </c>
      <c r="K231">
        <v>6</v>
      </c>
      <c r="L231">
        <f>IFERROR(VLOOKUP(K231,'Tables new'!$A:$C,3,FALSE),"")</f>
        <v>15</v>
      </c>
      <c r="M231" t="str">
        <f>VLOOKUP(K231,CAT_JOUEUR,2,FALSE)</f>
        <v>U 13 H</v>
      </c>
      <c r="N231">
        <v>6</v>
      </c>
      <c r="O231">
        <f>IFERROR(VLOOKUP(N231,'Tables new'!$A:$C,3,FALSE),"")</f>
        <v>15</v>
      </c>
      <c r="P231" t="str">
        <f>VLOOKUP(N231,CAT_JOUEUR,2,FALSE)</f>
        <v>U 13 H</v>
      </c>
      <c r="T231" t="s">
        <v>113</v>
      </c>
      <c r="AA231" t="s">
        <v>1457</v>
      </c>
      <c r="AH231">
        <v>44704</v>
      </c>
      <c r="AI231">
        <v>44692</v>
      </c>
      <c r="AJ231">
        <v>2026</v>
      </c>
      <c r="AK231">
        <v>41775</v>
      </c>
      <c r="AL231" t="s">
        <v>1458</v>
      </c>
      <c r="AO231" t="s">
        <v>1454</v>
      </c>
      <c r="AP231">
        <v>661200903</v>
      </c>
      <c r="AQ231" t="s">
        <v>1455</v>
      </c>
    </row>
    <row r="232" spans="1:43" x14ac:dyDescent="0.2">
      <c r="A232" t="s">
        <v>1459</v>
      </c>
      <c r="B232" t="s">
        <v>1460</v>
      </c>
      <c r="D232" t="s">
        <v>72</v>
      </c>
      <c r="E232" t="s">
        <v>96</v>
      </c>
      <c r="F232" t="s">
        <v>1450</v>
      </c>
      <c r="G232" t="s">
        <v>705</v>
      </c>
      <c r="H232" t="s">
        <v>108</v>
      </c>
      <c r="I232" t="s">
        <v>1451</v>
      </c>
      <c r="K232">
        <v>212</v>
      </c>
      <c r="L232">
        <f>IFERROR(VLOOKUP(K232,'Tables new'!$A:$C,3,FALSE),"")</f>
        <v>70</v>
      </c>
      <c r="M232" t="str">
        <f>VLOOKUP(K232,CAT_JOUEUR,2,FALSE)</f>
        <v>Contact famille</v>
      </c>
      <c r="N232">
        <v>212</v>
      </c>
      <c r="O232">
        <f>IFERROR(VLOOKUP(N232,'Tables new'!$A:$C,3,FALSE),"")</f>
        <v>70</v>
      </c>
      <c r="P232" t="str">
        <f>VLOOKUP(N232,CAT_JOUEUR,2,FALSE)</f>
        <v>Contact famille</v>
      </c>
      <c r="T232" t="s">
        <v>89</v>
      </c>
      <c r="U232" t="s">
        <v>89</v>
      </c>
      <c r="AH232" t="s">
        <v>78</v>
      </c>
      <c r="AI232" t="s">
        <v>78</v>
      </c>
      <c r="AJ232" t="s">
        <v>78</v>
      </c>
      <c r="AK232" t="s">
        <v>78</v>
      </c>
      <c r="AL232" t="s">
        <v>79</v>
      </c>
      <c r="AO232" t="s">
        <v>208</v>
      </c>
      <c r="AQ232" t="s">
        <v>1455</v>
      </c>
    </row>
    <row r="233" spans="1:43" x14ac:dyDescent="0.2">
      <c r="A233" t="s">
        <v>1461</v>
      </c>
      <c r="B233" t="s">
        <v>1462</v>
      </c>
      <c r="D233" t="s">
        <v>83</v>
      </c>
      <c r="E233" t="s">
        <v>84</v>
      </c>
      <c r="F233" t="s">
        <v>1463</v>
      </c>
      <c r="G233" t="s">
        <v>1464</v>
      </c>
      <c r="H233" t="s">
        <v>885</v>
      </c>
      <c r="I233" t="s">
        <v>1465</v>
      </c>
      <c r="K233">
        <v>212</v>
      </c>
      <c r="L233">
        <f>IFERROR(VLOOKUP(K233,'Tables new'!$A:$C,3,FALSE),"")</f>
        <v>70</v>
      </c>
      <c r="M233" t="str">
        <f>VLOOKUP(K233,CAT_JOUEUR,2,FALSE)</f>
        <v>Contact famille</v>
      </c>
      <c r="N233">
        <v>212</v>
      </c>
      <c r="O233">
        <f>IFERROR(VLOOKUP(N233,'Tables new'!$A:$C,3,FALSE),"")</f>
        <v>70</v>
      </c>
      <c r="P233" t="str">
        <f>VLOOKUP(N233,CAT_JOUEUR,2,FALSE)</f>
        <v>Contact famille</v>
      </c>
      <c r="V233" t="s">
        <v>89</v>
      </c>
      <c r="AH233" t="s">
        <v>78</v>
      </c>
      <c r="AI233" t="s">
        <v>78</v>
      </c>
      <c r="AJ233" t="s">
        <v>78</v>
      </c>
      <c r="AK233" t="s">
        <v>78</v>
      </c>
      <c r="AL233" t="s">
        <v>79</v>
      </c>
      <c r="AO233" t="s">
        <v>1466</v>
      </c>
      <c r="AP233">
        <v>691730423</v>
      </c>
      <c r="AQ233" t="s">
        <v>1467</v>
      </c>
    </row>
    <row r="234" spans="1:43" x14ac:dyDescent="0.2">
      <c r="A234" t="s">
        <v>1461</v>
      </c>
      <c r="B234" t="s">
        <v>1468</v>
      </c>
      <c r="D234" t="s">
        <v>83</v>
      </c>
      <c r="E234" t="s">
        <v>84</v>
      </c>
      <c r="F234" t="s">
        <v>1463</v>
      </c>
      <c r="G234" t="s">
        <v>1464</v>
      </c>
      <c r="H234" t="s">
        <v>885</v>
      </c>
      <c r="I234" t="s">
        <v>1465</v>
      </c>
      <c r="K234">
        <v>8</v>
      </c>
      <c r="L234">
        <f>IFERROR(VLOOKUP(K234,'Tables new'!$A:$C,3,FALSE),"")</f>
        <v>17</v>
      </c>
      <c r="M234" t="str">
        <f>VLOOKUP(K234,CAT_JOUEUR,2,FALSE)</f>
        <v>U 9 H</v>
      </c>
      <c r="N234">
        <v>8</v>
      </c>
      <c r="O234">
        <f>IFERROR(VLOOKUP(N234,'Tables new'!$A:$C,3,FALSE),"")</f>
        <v>17</v>
      </c>
      <c r="P234" t="str">
        <f>VLOOKUP(N234,CAT_JOUEUR,2,FALSE)</f>
        <v>U 9 H</v>
      </c>
      <c r="V234" t="s">
        <v>113</v>
      </c>
      <c r="AA234" t="s">
        <v>1469</v>
      </c>
      <c r="AH234">
        <v>44939</v>
      </c>
      <c r="AI234">
        <v>44880</v>
      </c>
      <c r="AJ234">
        <v>2031</v>
      </c>
      <c r="AK234">
        <v>43795</v>
      </c>
      <c r="AL234" t="s">
        <v>1470</v>
      </c>
      <c r="AO234" t="s">
        <v>1466</v>
      </c>
      <c r="AP234">
        <v>691730423</v>
      </c>
      <c r="AQ234" t="s">
        <v>1467</v>
      </c>
    </row>
    <row r="235" spans="1:43" x14ac:dyDescent="0.2">
      <c r="A235" t="s">
        <v>1471</v>
      </c>
      <c r="B235" t="s">
        <v>1472</v>
      </c>
      <c r="D235" t="s">
        <v>83</v>
      </c>
      <c r="E235" t="s">
        <v>84</v>
      </c>
      <c r="F235" t="s">
        <v>1473</v>
      </c>
      <c r="G235" t="s">
        <v>1474</v>
      </c>
      <c r="H235" t="s">
        <v>792</v>
      </c>
      <c r="I235" t="s">
        <v>145</v>
      </c>
      <c r="K235">
        <v>12</v>
      </c>
      <c r="L235">
        <v>31</v>
      </c>
      <c r="M235" t="s">
        <v>265</v>
      </c>
      <c r="N235">
        <v>12</v>
      </c>
      <c r="O235">
        <f>IFERROR(VLOOKUP(N235,'Tables new'!$A:$C,3,FALSE),"")</f>
        <v>31</v>
      </c>
      <c r="P235" t="str">
        <f>VLOOKUP(N235,CAT_JOUEUR,2,FALSE)</f>
        <v>Femmes</v>
      </c>
      <c r="AA235" t="s">
        <v>1475</v>
      </c>
      <c r="AB235" t="s">
        <v>1475</v>
      </c>
      <c r="AH235">
        <v>45525</v>
      </c>
      <c r="AI235">
        <v>45334</v>
      </c>
      <c r="AJ235">
        <v>2035</v>
      </c>
      <c r="AK235">
        <v>34723</v>
      </c>
      <c r="AL235" t="s">
        <v>1476</v>
      </c>
      <c r="AP235" t="s">
        <v>1477</v>
      </c>
      <c r="AQ235" t="s">
        <v>1478</v>
      </c>
    </row>
    <row r="236" spans="1:43" x14ac:dyDescent="0.2">
      <c r="A236" t="s">
        <v>1479</v>
      </c>
      <c r="B236" t="s">
        <v>1480</v>
      </c>
      <c r="D236" t="s">
        <v>72</v>
      </c>
      <c r="E236" t="s">
        <v>96</v>
      </c>
      <c r="F236" t="s">
        <v>1235</v>
      </c>
      <c r="G236" t="s">
        <v>1481</v>
      </c>
      <c r="H236" t="s">
        <v>153</v>
      </c>
      <c r="I236" t="s">
        <v>1236</v>
      </c>
      <c r="K236">
        <v>212</v>
      </c>
      <c r="L236">
        <f>IFERROR(VLOOKUP(K236,'Tables new'!$A:$C,3,FALSE),"")</f>
        <v>70</v>
      </c>
      <c r="M236" t="str">
        <f>VLOOKUP(K236,CAT_JOUEUR,2,FALSE)</f>
        <v>Contact famille</v>
      </c>
      <c r="N236">
        <v>212</v>
      </c>
      <c r="O236">
        <f>IFERROR(VLOOKUP(N236,'Tables new'!$A:$C,3,FALSE),"")</f>
        <v>70</v>
      </c>
      <c r="P236" t="str">
        <f>VLOOKUP(N236,CAT_JOUEUR,2,FALSE)</f>
        <v>Contact famille</v>
      </c>
      <c r="V236" t="s">
        <v>89</v>
      </c>
      <c r="AH236" t="s">
        <v>78</v>
      </c>
      <c r="AI236" t="s">
        <v>78</v>
      </c>
      <c r="AJ236" t="s">
        <v>78</v>
      </c>
      <c r="AK236" t="s">
        <v>78</v>
      </c>
      <c r="AL236" t="s">
        <v>79</v>
      </c>
      <c r="AP236">
        <v>661790920</v>
      </c>
      <c r="AQ236" t="s">
        <v>1237</v>
      </c>
    </row>
    <row r="237" spans="1:43" x14ac:dyDescent="0.2">
      <c r="A237" t="s">
        <v>1479</v>
      </c>
      <c r="B237" t="s">
        <v>232</v>
      </c>
      <c r="D237" t="s">
        <v>72</v>
      </c>
      <c r="E237" t="s">
        <v>96</v>
      </c>
      <c r="F237" t="s">
        <v>1235</v>
      </c>
      <c r="G237" t="s">
        <v>1482</v>
      </c>
      <c r="H237" t="s">
        <v>153</v>
      </c>
      <c r="I237" t="s">
        <v>1236</v>
      </c>
      <c r="K237">
        <v>8</v>
      </c>
      <c r="L237">
        <f>IFERROR(VLOOKUP(K237,'Tables new'!$A:$C,3,FALSE),"")</f>
        <v>17</v>
      </c>
      <c r="M237" t="str">
        <f>VLOOKUP(K237,CAT_JOUEUR,2,FALSE)</f>
        <v>U 9 H</v>
      </c>
      <c r="N237">
        <v>8</v>
      </c>
      <c r="O237">
        <f>IFERROR(VLOOKUP(N237,'Tables new'!$A:$C,3,FALSE),"")</f>
        <v>17</v>
      </c>
      <c r="P237" t="str">
        <f>VLOOKUP(N237,CAT_JOUEUR,2,FALSE)</f>
        <v>U 9 H</v>
      </c>
      <c r="V237" t="s">
        <v>113</v>
      </c>
      <c r="AA237" t="s">
        <v>1483</v>
      </c>
      <c r="AH237">
        <v>45104</v>
      </c>
      <c r="AI237">
        <v>45087</v>
      </c>
      <c r="AJ237">
        <v>2030</v>
      </c>
      <c r="AK237">
        <v>43158</v>
      </c>
      <c r="AL237" t="s">
        <v>1484</v>
      </c>
      <c r="AP237">
        <v>661790920</v>
      </c>
      <c r="AQ237" t="s">
        <v>1237</v>
      </c>
    </row>
    <row r="238" spans="1:43" x14ac:dyDescent="0.2">
      <c r="A238" t="s">
        <v>1485</v>
      </c>
      <c r="B238" t="s">
        <v>1486</v>
      </c>
      <c r="D238" t="s">
        <v>72</v>
      </c>
      <c r="E238" t="s">
        <v>96</v>
      </c>
      <c r="F238" t="s">
        <v>386</v>
      </c>
      <c r="G238" t="s">
        <v>387</v>
      </c>
      <c r="H238" t="s">
        <v>388</v>
      </c>
      <c r="I238" t="s">
        <v>389</v>
      </c>
      <c r="K238">
        <v>212</v>
      </c>
      <c r="L238">
        <f>IFERROR(VLOOKUP(K238,'Tables new'!$A:$C,3,FALSE),"")</f>
        <v>70</v>
      </c>
      <c r="M238" t="str">
        <f>VLOOKUP(K238,CAT_JOUEUR,2,FALSE)</f>
        <v>Contact famille</v>
      </c>
      <c r="N238">
        <v>212</v>
      </c>
      <c r="O238">
        <f>IFERROR(VLOOKUP(N238,'Tables new'!$A:$C,3,FALSE),"")</f>
        <v>70</v>
      </c>
      <c r="P238" t="str">
        <f>VLOOKUP(N238,CAT_JOUEUR,2,FALSE)</f>
        <v>Contact famille</v>
      </c>
      <c r="T238" t="s">
        <v>89</v>
      </c>
      <c r="AH238" t="s">
        <v>78</v>
      </c>
      <c r="AI238" t="s">
        <v>78</v>
      </c>
      <c r="AJ238" t="s">
        <v>78</v>
      </c>
      <c r="AK238" t="s">
        <v>78</v>
      </c>
      <c r="AL238" t="s">
        <v>79</v>
      </c>
      <c r="AP238">
        <v>691238288</v>
      </c>
      <c r="AQ238" t="s">
        <v>390</v>
      </c>
    </row>
    <row r="239" spans="1:43" x14ac:dyDescent="0.2">
      <c r="A239" t="s">
        <v>1487</v>
      </c>
      <c r="B239" t="s">
        <v>1267</v>
      </c>
      <c r="D239" t="s">
        <v>72</v>
      </c>
      <c r="E239" t="s">
        <v>398</v>
      </c>
      <c r="F239" t="s">
        <v>1488</v>
      </c>
      <c r="G239" t="s">
        <v>551</v>
      </c>
      <c r="H239" t="s">
        <v>108</v>
      </c>
      <c r="I239" t="s">
        <v>1489</v>
      </c>
      <c r="K239">
        <v>212</v>
      </c>
      <c r="L239">
        <f>IFERROR(VLOOKUP(K239,'Tables new'!$A:$C,3,FALSE),"")</f>
        <v>70</v>
      </c>
      <c r="M239" t="str">
        <f>VLOOKUP(K239,CAT_JOUEUR,2,FALSE)</f>
        <v>Contact famille</v>
      </c>
      <c r="N239">
        <v>212</v>
      </c>
      <c r="O239">
        <f>IFERROR(VLOOKUP(N239,'Tables new'!$A:$C,3,FALSE),"")</f>
        <v>70</v>
      </c>
      <c r="P239" t="str">
        <f>VLOOKUP(N239,CAT_JOUEUR,2,FALSE)</f>
        <v>Contact famille</v>
      </c>
      <c r="U239" t="s">
        <v>89</v>
      </c>
      <c r="AH239" t="s">
        <v>78</v>
      </c>
      <c r="AI239">
        <v>44133</v>
      </c>
      <c r="AJ239" t="s">
        <v>78</v>
      </c>
      <c r="AK239" t="s">
        <v>78</v>
      </c>
      <c r="AL239" t="s">
        <v>79</v>
      </c>
      <c r="AP239" t="s">
        <v>1490</v>
      </c>
      <c r="AQ239" t="s">
        <v>1491</v>
      </c>
    </row>
    <row r="240" spans="1:43" x14ac:dyDescent="0.2">
      <c r="A240" t="s">
        <v>1487</v>
      </c>
      <c r="B240" t="s">
        <v>1492</v>
      </c>
      <c r="D240" t="s">
        <v>72</v>
      </c>
      <c r="E240" t="s">
        <v>398</v>
      </c>
      <c r="F240" t="s">
        <v>1488</v>
      </c>
      <c r="G240" t="s">
        <v>551</v>
      </c>
      <c r="H240" t="s">
        <v>108</v>
      </c>
      <c r="I240" t="s">
        <v>1489</v>
      </c>
      <c r="K240">
        <v>7</v>
      </c>
      <c r="L240">
        <f>IFERROR(VLOOKUP(K240,'Tables new'!$A:$C,3,FALSE),"")</f>
        <v>16</v>
      </c>
      <c r="M240" t="str">
        <f>VLOOKUP(K240,CAT_JOUEUR,2,FALSE)</f>
        <v>U 11 H</v>
      </c>
      <c r="N240">
        <v>7</v>
      </c>
      <c r="O240">
        <f>IFERROR(VLOOKUP(N240,'Tables new'!$A:$C,3,FALSE),"")</f>
        <v>16</v>
      </c>
      <c r="P240" t="str">
        <f>VLOOKUP(N240,CAT_JOUEUR,2,FALSE)</f>
        <v>U 11 H</v>
      </c>
      <c r="U240" t="s">
        <v>113</v>
      </c>
      <c r="AA240" t="s">
        <v>155</v>
      </c>
      <c r="AI240">
        <v>45223</v>
      </c>
      <c r="AJ240">
        <v>2026</v>
      </c>
      <c r="AK240">
        <v>43649</v>
      </c>
      <c r="AL240" t="s">
        <v>1493</v>
      </c>
      <c r="AO240" t="s">
        <v>1494</v>
      </c>
      <c r="AP240" t="s">
        <v>1495</v>
      </c>
      <c r="AQ240" t="s">
        <v>1496</v>
      </c>
    </row>
    <row r="241" spans="1:67" x14ac:dyDescent="0.2">
      <c r="A241" t="s">
        <v>1487</v>
      </c>
      <c r="B241" t="s">
        <v>1497</v>
      </c>
      <c r="D241" t="s">
        <v>72</v>
      </c>
      <c r="E241" t="s">
        <v>398</v>
      </c>
      <c r="F241" t="s">
        <v>1488</v>
      </c>
      <c r="G241" t="s">
        <v>551</v>
      </c>
      <c r="H241" t="s">
        <v>108</v>
      </c>
      <c r="I241" t="s">
        <v>1489</v>
      </c>
      <c r="K241">
        <v>7</v>
      </c>
      <c r="L241">
        <f>IFERROR(VLOOKUP(K241,'Tables new'!$A:$C,3,FALSE),"")</f>
        <v>16</v>
      </c>
      <c r="M241" t="str">
        <f>VLOOKUP(K241,CAT_JOUEUR,2,FALSE)</f>
        <v>U 11 H</v>
      </c>
      <c r="N241">
        <v>7</v>
      </c>
      <c r="O241">
        <f>IFERROR(VLOOKUP(N241,'Tables new'!$A:$C,3,FALSE),"")</f>
        <v>16</v>
      </c>
      <c r="P241" t="str">
        <f>VLOOKUP(N241,CAT_JOUEUR,2,FALSE)</f>
        <v>U 11 H</v>
      </c>
      <c r="U241" t="s">
        <v>113</v>
      </c>
      <c r="AA241" t="s">
        <v>1498</v>
      </c>
      <c r="AH241">
        <v>44434</v>
      </c>
      <c r="AI241">
        <v>44133</v>
      </c>
      <c r="AJ241">
        <v>2029</v>
      </c>
      <c r="AK241">
        <v>42797</v>
      </c>
      <c r="AL241" t="s">
        <v>1499</v>
      </c>
      <c r="AO241" t="s">
        <v>1494</v>
      </c>
      <c r="AP241" t="s">
        <v>1495</v>
      </c>
      <c r="AQ241" t="s">
        <v>1500</v>
      </c>
    </row>
    <row r="242" spans="1:67" x14ac:dyDescent="0.2">
      <c r="A242" t="s">
        <v>1501</v>
      </c>
      <c r="B242" t="s">
        <v>1502</v>
      </c>
      <c r="D242" t="s">
        <v>72</v>
      </c>
      <c r="E242" t="s">
        <v>398</v>
      </c>
      <c r="F242" t="s">
        <v>1488</v>
      </c>
      <c r="G242" t="s">
        <v>551</v>
      </c>
      <c r="H242" t="s">
        <v>108</v>
      </c>
      <c r="I242" t="s">
        <v>1489</v>
      </c>
      <c r="K242">
        <v>212</v>
      </c>
      <c r="L242">
        <f>IFERROR(VLOOKUP(K242,'Tables new'!$A:$C,3,FALSE),"")</f>
        <v>70</v>
      </c>
      <c r="M242" t="str">
        <f>VLOOKUP(K242,CAT_JOUEUR,2,FALSE)</f>
        <v>Contact famille</v>
      </c>
      <c r="N242">
        <v>212</v>
      </c>
      <c r="O242">
        <f>IFERROR(VLOOKUP(N242,'Tables new'!$A:$C,3,FALSE),"")</f>
        <v>70</v>
      </c>
      <c r="P242" t="str">
        <f>VLOOKUP(N242,CAT_JOUEUR,2,FALSE)</f>
        <v>Contact famille</v>
      </c>
      <c r="U242" t="s">
        <v>89</v>
      </c>
      <c r="AH242" t="s">
        <v>78</v>
      </c>
      <c r="AI242">
        <v>44133</v>
      </c>
      <c r="AJ242" t="s">
        <v>78</v>
      </c>
      <c r="AK242" t="s">
        <v>78</v>
      </c>
      <c r="AL242" t="s">
        <v>79</v>
      </c>
      <c r="AP242" t="s">
        <v>1503</v>
      </c>
      <c r="AQ242" t="s">
        <v>1500</v>
      </c>
    </row>
    <row r="243" spans="1:67" x14ac:dyDescent="0.2">
      <c r="A243" t="s">
        <v>1504</v>
      </c>
      <c r="B243" t="s">
        <v>1505</v>
      </c>
      <c r="D243" t="s">
        <v>72</v>
      </c>
      <c r="E243" t="s">
        <v>1506</v>
      </c>
      <c r="F243" t="s">
        <v>1507</v>
      </c>
      <c r="G243" t="s">
        <v>1508</v>
      </c>
      <c r="H243" t="s">
        <v>486</v>
      </c>
      <c r="I243" t="s">
        <v>1509</v>
      </c>
      <c r="K243">
        <v>17</v>
      </c>
      <c r="L243">
        <f>IFERROR(VLOOKUP(K243,'Tables new'!$A:$C,3,FALSE),"")</f>
        <v>36</v>
      </c>
      <c r="M243" t="str">
        <f>VLOOKUP(K243,CAT_JOUEUR,2,FALSE)</f>
        <v>U 11 F</v>
      </c>
      <c r="N243">
        <v>17</v>
      </c>
      <c r="O243">
        <f>IFERROR(VLOOKUP(N243,'Tables new'!$A:$C,3,FALSE),"")</f>
        <v>36</v>
      </c>
      <c r="P243" t="str">
        <f>VLOOKUP(N243,CAT_JOUEUR,2,FALSE)</f>
        <v>U 11 F</v>
      </c>
      <c r="U243" t="s">
        <v>113</v>
      </c>
      <c r="AA243" t="s">
        <v>1510</v>
      </c>
      <c r="AF243" t="s">
        <v>223</v>
      </c>
      <c r="AH243">
        <v>46051</v>
      </c>
      <c r="AI243">
        <v>46041</v>
      </c>
      <c r="AJ243">
        <v>2028</v>
      </c>
      <c r="AK243">
        <v>42468</v>
      </c>
      <c r="AL243" t="s">
        <v>1511</v>
      </c>
      <c r="AP243">
        <v>621433845</v>
      </c>
      <c r="AQ243" t="s">
        <v>1512</v>
      </c>
    </row>
    <row r="244" spans="1:67" x14ac:dyDescent="0.2">
      <c r="A244" t="s">
        <v>1504</v>
      </c>
      <c r="B244" t="s">
        <v>1513</v>
      </c>
      <c r="D244" t="s">
        <v>72</v>
      </c>
      <c r="E244" t="s">
        <v>1506</v>
      </c>
      <c r="F244" t="s">
        <v>1507</v>
      </c>
      <c r="G244" t="s">
        <v>1508</v>
      </c>
      <c r="H244" t="s">
        <v>486</v>
      </c>
      <c r="I244" t="s">
        <v>1509</v>
      </c>
      <c r="K244">
        <v>212</v>
      </c>
      <c r="L244">
        <f>IFERROR(VLOOKUP(K244,'Tables new'!$A:$C,3,FALSE),"")</f>
        <v>70</v>
      </c>
      <c r="M244" t="str">
        <f>VLOOKUP(K244,CAT_JOUEUR,2,FALSE)</f>
        <v>Contact famille</v>
      </c>
      <c r="N244">
        <v>212</v>
      </c>
      <c r="O244">
        <f>IFERROR(VLOOKUP(N244,'Tables new'!$A:$C,3,FALSE),"")</f>
        <v>70</v>
      </c>
      <c r="P244" t="str">
        <f>VLOOKUP(N244,CAT_JOUEUR,2,FALSE)</f>
        <v>Contact famille</v>
      </c>
      <c r="U244" t="s">
        <v>89</v>
      </c>
      <c r="AH244" t="s">
        <v>78</v>
      </c>
      <c r="AI244" t="s">
        <v>78</v>
      </c>
      <c r="AJ244" t="s">
        <v>78</v>
      </c>
      <c r="AK244" t="s">
        <v>78</v>
      </c>
      <c r="AL244" t="s">
        <v>79</v>
      </c>
      <c r="AP244">
        <v>621433845</v>
      </c>
      <c r="AQ244" t="s">
        <v>1512</v>
      </c>
    </row>
    <row r="245" spans="1:67" x14ac:dyDescent="0.2">
      <c r="A245" t="s">
        <v>1504</v>
      </c>
      <c r="B245" t="s">
        <v>1514</v>
      </c>
      <c r="D245" t="s">
        <v>72</v>
      </c>
      <c r="E245" t="s">
        <v>1506</v>
      </c>
      <c r="F245" t="s">
        <v>1507</v>
      </c>
      <c r="G245" t="s">
        <v>1508</v>
      </c>
      <c r="H245" t="s">
        <v>486</v>
      </c>
      <c r="I245" t="s">
        <v>1509</v>
      </c>
      <c r="K245">
        <v>212</v>
      </c>
      <c r="L245">
        <f>IFERROR(VLOOKUP(K245,'Tables new'!$A:$C,3,FALSE),"")</f>
        <v>70</v>
      </c>
      <c r="M245" t="str">
        <f>VLOOKUP(K245,CAT_JOUEUR,2,FALSE)</f>
        <v>Contact famille</v>
      </c>
      <c r="N245">
        <v>212</v>
      </c>
      <c r="O245">
        <f>IFERROR(VLOOKUP(N245,'Tables new'!$A:$C,3,FALSE),"")</f>
        <v>70</v>
      </c>
      <c r="P245" t="str">
        <f>VLOOKUP(N245,CAT_JOUEUR,2,FALSE)</f>
        <v>Contact famille</v>
      </c>
      <c r="U245" t="s">
        <v>89</v>
      </c>
      <c r="AH245" t="s">
        <v>78</v>
      </c>
      <c r="AI245" t="s">
        <v>78</v>
      </c>
      <c r="AJ245" t="s">
        <v>78</v>
      </c>
      <c r="AK245" t="s">
        <v>78</v>
      </c>
      <c r="AL245" t="s">
        <v>79</v>
      </c>
      <c r="AP245">
        <v>621433845</v>
      </c>
      <c r="AQ245" t="s">
        <v>1515</v>
      </c>
    </row>
    <row r="246" spans="1:67" x14ac:dyDescent="0.2">
      <c r="A246" t="s">
        <v>1516</v>
      </c>
      <c r="B246" t="s">
        <v>1517</v>
      </c>
      <c r="D246" t="s">
        <v>72</v>
      </c>
      <c r="E246" t="s">
        <v>96</v>
      </c>
      <c r="F246" t="s">
        <v>1184</v>
      </c>
      <c r="G246" t="s">
        <v>1185</v>
      </c>
      <c r="H246" t="s">
        <v>1186</v>
      </c>
      <c r="I246" t="s">
        <v>1187</v>
      </c>
      <c r="K246">
        <v>212</v>
      </c>
      <c r="L246">
        <f>IFERROR(VLOOKUP(K246,'Tables new'!$A:$C,3,FALSE),"")</f>
        <v>70</v>
      </c>
      <c r="M246" t="str">
        <f>VLOOKUP(K246,CAT_JOUEUR,2,FALSE)</f>
        <v>Contact famille</v>
      </c>
      <c r="N246">
        <v>212</v>
      </c>
      <c r="O246">
        <f>IFERROR(VLOOKUP(N246,'Tables new'!$A:$C,3,FALSE),"")</f>
        <v>70</v>
      </c>
      <c r="P246" t="str">
        <f>VLOOKUP(N246,CAT_JOUEUR,2,FALSE)</f>
        <v>Contact famille</v>
      </c>
      <c r="V246" t="s">
        <v>89</v>
      </c>
      <c r="W246" t="s">
        <v>89</v>
      </c>
      <c r="AH246" t="s">
        <v>78</v>
      </c>
      <c r="AI246" t="s">
        <v>78</v>
      </c>
      <c r="AJ246" t="s">
        <v>78</v>
      </c>
      <c r="AK246" t="s">
        <v>78</v>
      </c>
      <c r="AL246" t="s">
        <v>79</v>
      </c>
    </row>
    <row r="247" spans="1:67" x14ac:dyDescent="0.2">
      <c r="A247" t="s">
        <v>1518</v>
      </c>
      <c r="B247" t="s">
        <v>697</v>
      </c>
      <c r="D247" t="s">
        <v>72</v>
      </c>
      <c r="E247" t="s">
        <v>96</v>
      </c>
      <c r="F247" t="s">
        <v>1342</v>
      </c>
      <c r="G247" t="s">
        <v>1343</v>
      </c>
      <c r="H247" t="s">
        <v>885</v>
      </c>
      <c r="I247" t="s">
        <v>1344</v>
      </c>
      <c r="K247">
        <v>212</v>
      </c>
      <c r="L247">
        <f>IFERROR(VLOOKUP(K247,'Tables new'!$A:$C,3,FALSE),"")</f>
        <v>70</v>
      </c>
      <c r="M247" t="str">
        <f>VLOOKUP(K247,CAT_JOUEUR,2,FALSE)</f>
        <v>Contact famille</v>
      </c>
      <c r="N247">
        <v>221</v>
      </c>
      <c r="O247">
        <f>IFERROR(VLOOKUP(N247,'Tables new'!$A:$C,3,FALSE),"")</f>
        <v>82</v>
      </c>
      <c r="P247" t="str">
        <f>VLOOKUP(N247,CAT_JOUEUR,2,FALSE)</f>
        <v>Arrêt temporaire licencié</v>
      </c>
      <c r="W247" t="s">
        <v>89</v>
      </c>
      <c r="AH247" t="s">
        <v>78</v>
      </c>
      <c r="AI247" t="s">
        <v>78</v>
      </c>
      <c r="AJ247" t="s">
        <v>78</v>
      </c>
      <c r="AK247" t="s">
        <v>78</v>
      </c>
      <c r="AL247" t="s">
        <v>79</v>
      </c>
    </row>
    <row r="248" spans="1:67" x14ac:dyDescent="0.2">
      <c r="A248" t="s">
        <v>1519</v>
      </c>
      <c r="B248" t="s">
        <v>1520</v>
      </c>
      <c r="D248" t="s">
        <v>72</v>
      </c>
      <c r="E248" t="s">
        <v>96</v>
      </c>
      <c r="F248" t="s">
        <v>1521</v>
      </c>
      <c r="G248" t="s">
        <v>1522</v>
      </c>
      <c r="H248" t="s">
        <v>153</v>
      </c>
      <c r="I248" t="s">
        <v>145</v>
      </c>
      <c r="J248" t="s">
        <v>208</v>
      </c>
      <c r="K248">
        <v>2</v>
      </c>
      <c r="L248">
        <f>IFERROR(VLOOKUP(K248,'Tables new'!$A:$C,3,FALSE),"")</f>
        <v>11</v>
      </c>
      <c r="M248" t="str">
        <f>VLOOKUP(K248,CAT_JOUEUR,2,FALSE)</f>
        <v>Seniors - HO</v>
      </c>
      <c r="N248">
        <v>2</v>
      </c>
      <c r="O248">
        <f>IFERROR(VLOOKUP(N248,'Tables new'!$A:$C,3,FALSE),"")</f>
        <v>11</v>
      </c>
      <c r="P248" t="str">
        <f>VLOOKUP(N248,CAT_JOUEUR,2,FALSE)</f>
        <v>Seniors - HO</v>
      </c>
      <c r="AA248" t="s">
        <v>1523</v>
      </c>
      <c r="AB248" t="s">
        <v>1524</v>
      </c>
      <c r="AC248" t="s">
        <v>1524</v>
      </c>
      <c r="AH248">
        <v>39392</v>
      </c>
      <c r="AI248">
        <v>39392</v>
      </c>
      <c r="AJ248">
        <v>2028</v>
      </c>
      <c r="AK248">
        <v>35964</v>
      </c>
      <c r="AL248" t="s">
        <v>1525</v>
      </c>
      <c r="AN248" t="s">
        <v>1526</v>
      </c>
      <c r="AP248" t="s">
        <v>1527</v>
      </c>
      <c r="AQ248" t="s">
        <v>1528</v>
      </c>
      <c r="AY248" t="s">
        <v>91</v>
      </c>
      <c r="BA248" t="s">
        <v>136</v>
      </c>
      <c r="BB248" t="s">
        <v>271</v>
      </c>
      <c r="BD248">
        <v>150</v>
      </c>
      <c r="BO248" t="s">
        <v>1400</v>
      </c>
    </row>
    <row r="249" spans="1:67" x14ac:dyDescent="0.2">
      <c r="A249" t="s">
        <v>1529</v>
      </c>
      <c r="B249" t="s">
        <v>1530</v>
      </c>
      <c r="D249" t="s">
        <v>72</v>
      </c>
      <c r="E249" t="s">
        <v>96</v>
      </c>
      <c r="F249" t="s">
        <v>1531</v>
      </c>
      <c r="G249" t="s">
        <v>1532</v>
      </c>
      <c r="H249" t="s">
        <v>647</v>
      </c>
      <c r="I249" t="s">
        <v>1533</v>
      </c>
      <c r="K249">
        <v>212</v>
      </c>
      <c r="L249">
        <f>IFERROR(VLOOKUP(K249,'Tables new'!$A:$C,3,FALSE),"")</f>
        <v>70</v>
      </c>
      <c r="M249" t="str">
        <f>VLOOKUP(K249,CAT_JOUEUR,2,FALSE)</f>
        <v>Contact famille</v>
      </c>
      <c r="N249">
        <v>212</v>
      </c>
      <c r="O249">
        <f>IFERROR(VLOOKUP(N249,'Tables new'!$A:$C,3,FALSE),"")</f>
        <v>70</v>
      </c>
      <c r="P249" t="str">
        <f>VLOOKUP(N249,CAT_JOUEUR,2,FALSE)</f>
        <v>Contact famille</v>
      </c>
      <c r="X249" t="s">
        <v>89</v>
      </c>
      <c r="AI249">
        <v>43495</v>
      </c>
      <c r="AJ249" t="s">
        <v>78</v>
      </c>
      <c r="AK249" t="s">
        <v>78</v>
      </c>
      <c r="AL249" t="s">
        <v>79</v>
      </c>
      <c r="AP249" t="s">
        <v>1534</v>
      </c>
      <c r="AQ249" t="s">
        <v>1535</v>
      </c>
      <c r="AY249" t="s">
        <v>91</v>
      </c>
      <c r="BA249" t="s">
        <v>136</v>
      </c>
      <c r="BB249" t="s">
        <v>137</v>
      </c>
      <c r="BD249" t="s">
        <v>139</v>
      </c>
    </row>
    <row r="250" spans="1:67" x14ac:dyDescent="0.2">
      <c r="A250" t="s">
        <v>1536</v>
      </c>
      <c r="B250" t="s">
        <v>1537</v>
      </c>
      <c r="D250" t="s">
        <v>83</v>
      </c>
      <c r="E250" t="s">
        <v>1538</v>
      </c>
      <c r="F250" t="s">
        <v>1539</v>
      </c>
      <c r="G250" t="s">
        <v>448</v>
      </c>
      <c r="H250" t="s">
        <v>300</v>
      </c>
      <c r="I250" t="s">
        <v>145</v>
      </c>
      <c r="K250">
        <v>2</v>
      </c>
      <c r="L250">
        <f>IFERROR(VLOOKUP(K250,'Tables new'!$A:$C,3,FALSE),"")</f>
        <v>11</v>
      </c>
      <c r="M250" t="str">
        <f>VLOOKUP(K250,CAT_JOUEUR,2,FALSE)</f>
        <v>Seniors - HO</v>
      </c>
      <c r="N250">
        <v>2</v>
      </c>
      <c r="O250">
        <f>IFERROR(VLOOKUP(N250,'Tables new'!$A:$C,3,FALSE),"")</f>
        <v>11</v>
      </c>
      <c r="P250" t="str">
        <f>VLOOKUP(N250,CAT_JOUEUR,2,FALSE)</f>
        <v>Seniors - HO</v>
      </c>
      <c r="AA250" t="s">
        <v>1540</v>
      </c>
      <c r="AF250" t="s">
        <v>1541</v>
      </c>
      <c r="AH250">
        <v>45497</v>
      </c>
      <c r="AI250">
        <v>45488</v>
      </c>
      <c r="AJ250">
        <v>2024</v>
      </c>
      <c r="AK250">
        <v>34918</v>
      </c>
      <c r="AL250" t="s">
        <v>1542</v>
      </c>
      <c r="AP250">
        <v>621704916</v>
      </c>
      <c r="AQ250" t="s">
        <v>1543</v>
      </c>
    </row>
    <row r="251" spans="1:67" x14ac:dyDescent="0.2">
      <c r="A251" t="s">
        <v>1544</v>
      </c>
      <c r="B251" t="s">
        <v>1545</v>
      </c>
      <c r="D251" t="s">
        <v>72</v>
      </c>
      <c r="E251" t="s">
        <v>1546</v>
      </c>
      <c r="F251" t="s">
        <v>1547</v>
      </c>
      <c r="G251" t="s">
        <v>1548</v>
      </c>
      <c r="H251" t="s">
        <v>336</v>
      </c>
      <c r="I251" t="s">
        <v>1549</v>
      </c>
      <c r="K251">
        <v>212</v>
      </c>
      <c r="L251">
        <f>IFERROR(VLOOKUP(K251,'Tables new'!$A:$C,3,FALSE),"")</f>
        <v>70</v>
      </c>
      <c r="M251" t="str">
        <f>VLOOKUP(K251,CAT_JOUEUR,2,FALSE)</f>
        <v>Contact famille</v>
      </c>
      <c r="N251">
        <v>212</v>
      </c>
      <c r="O251">
        <f>IFERROR(VLOOKUP(N251,'Tables new'!$A:$C,3,FALSE),"")</f>
        <v>70</v>
      </c>
      <c r="P251" t="str">
        <f>VLOOKUP(N251,CAT_JOUEUR,2,FALSE)</f>
        <v>Contact famille</v>
      </c>
      <c r="W251" t="s">
        <v>89</v>
      </c>
      <c r="AH251" t="s">
        <v>78</v>
      </c>
      <c r="AI251" t="s">
        <v>78</v>
      </c>
      <c r="AJ251" t="s">
        <v>78</v>
      </c>
      <c r="AK251" t="s">
        <v>78</v>
      </c>
      <c r="AL251" t="s">
        <v>79</v>
      </c>
    </row>
    <row r="252" spans="1:67" x14ac:dyDescent="0.2">
      <c r="A252" t="s">
        <v>1550</v>
      </c>
      <c r="B252" t="s">
        <v>1551</v>
      </c>
      <c r="D252" t="s">
        <v>72</v>
      </c>
      <c r="E252" t="s">
        <v>96</v>
      </c>
      <c r="F252" t="s">
        <v>1552</v>
      </c>
      <c r="G252" t="s">
        <v>1248</v>
      </c>
      <c r="H252" t="s">
        <v>1249</v>
      </c>
      <c r="I252" t="s">
        <v>145</v>
      </c>
      <c r="K252">
        <v>2</v>
      </c>
      <c r="L252">
        <f>IFERROR(VLOOKUP(K252,'Tables new'!$A:$C,3,FALSE),"")</f>
        <v>11</v>
      </c>
      <c r="M252" t="str">
        <f>VLOOKUP(K252,CAT_JOUEUR,2,FALSE)</f>
        <v>Seniors - HO</v>
      </c>
      <c r="N252">
        <v>2</v>
      </c>
      <c r="O252">
        <f>IFERROR(VLOOKUP(N252,'Tables new'!$A:$C,3,FALSE),"")</f>
        <v>11</v>
      </c>
      <c r="P252" t="str">
        <f>VLOOKUP(N252,CAT_JOUEUR,2,FALSE)</f>
        <v>Seniors - HO</v>
      </c>
      <c r="AA252" t="s">
        <v>1553</v>
      </c>
      <c r="AH252">
        <v>44970</v>
      </c>
      <c r="AI252">
        <v>44957</v>
      </c>
      <c r="AJ252">
        <v>2031</v>
      </c>
      <c r="AK252">
        <v>33456</v>
      </c>
      <c r="AL252" t="s">
        <v>1554</v>
      </c>
      <c r="AP252">
        <v>691874395</v>
      </c>
      <c r="AQ252" t="s">
        <v>1555</v>
      </c>
    </row>
    <row r="253" spans="1:67" x14ac:dyDescent="0.2">
      <c r="A253" t="s">
        <v>1556</v>
      </c>
      <c r="B253" t="s">
        <v>800</v>
      </c>
      <c r="D253" t="s">
        <v>72</v>
      </c>
      <c r="E253" t="s">
        <v>398</v>
      </c>
      <c r="F253" t="s">
        <v>1557</v>
      </c>
      <c r="G253" t="s">
        <v>409</v>
      </c>
      <c r="H253" t="s">
        <v>235</v>
      </c>
      <c r="I253" t="s">
        <v>1558</v>
      </c>
      <c r="K253">
        <v>212</v>
      </c>
      <c r="L253">
        <f>IFERROR(VLOOKUP(K253,'Tables new'!$A:$C,3,FALSE),"")</f>
        <v>70</v>
      </c>
      <c r="M253" t="str">
        <f>VLOOKUP(K253,CAT_JOUEUR,2,FALSE)</f>
        <v>Contact famille</v>
      </c>
      <c r="N253">
        <v>212</v>
      </c>
      <c r="O253">
        <f>IFERROR(VLOOKUP(N253,'Tables new'!$A:$C,3,FALSE),"")</f>
        <v>70</v>
      </c>
      <c r="P253" t="str">
        <f>VLOOKUP(N253,CAT_JOUEUR,2,FALSE)</f>
        <v>Contact famille</v>
      </c>
      <c r="V253" t="s">
        <v>89</v>
      </c>
      <c r="W253" t="s">
        <v>89</v>
      </c>
      <c r="AH253" t="s">
        <v>78</v>
      </c>
      <c r="AI253" t="s">
        <v>78</v>
      </c>
      <c r="AJ253" t="s">
        <v>78</v>
      </c>
      <c r="AK253" t="s">
        <v>78</v>
      </c>
      <c r="AL253" t="s">
        <v>1559</v>
      </c>
      <c r="AP253">
        <v>691997460</v>
      </c>
      <c r="AQ253" t="s">
        <v>1560</v>
      </c>
    </row>
    <row r="254" spans="1:67" x14ac:dyDescent="0.2">
      <c r="A254" t="s">
        <v>1556</v>
      </c>
      <c r="B254" t="s">
        <v>176</v>
      </c>
      <c r="D254" t="s">
        <v>72</v>
      </c>
      <c r="E254" t="s">
        <v>398</v>
      </c>
      <c r="F254" t="s">
        <v>1557</v>
      </c>
      <c r="G254" t="s">
        <v>409</v>
      </c>
      <c r="H254" t="s">
        <v>235</v>
      </c>
      <c r="I254" t="s">
        <v>1558</v>
      </c>
      <c r="K254">
        <v>212</v>
      </c>
      <c r="L254">
        <f>IFERROR(VLOOKUP(K254,'Tables new'!$A:$C,3,FALSE),"")</f>
        <v>70</v>
      </c>
      <c r="M254" t="str">
        <f>VLOOKUP(K254,CAT_JOUEUR,2,FALSE)</f>
        <v>Contact famille</v>
      </c>
      <c r="N254">
        <v>212</v>
      </c>
      <c r="O254">
        <f>IFERROR(VLOOKUP(N254,'Tables new'!$A:$C,3,FALSE),"")</f>
        <v>70</v>
      </c>
      <c r="P254" t="str">
        <f>VLOOKUP(N254,CAT_JOUEUR,2,FALSE)</f>
        <v>Contact famille</v>
      </c>
      <c r="V254" t="s">
        <v>89</v>
      </c>
      <c r="W254" t="s">
        <v>89</v>
      </c>
      <c r="AH254" t="s">
        <v>78</v>
      </c>
      <c r="AI254" t="s">
        <v>78</v>
      </c>
      <c r="AJ254" t="s">
        <v>78</v>
      </c>
      <c r="AK254" t="s">
        <v>78</v>
      </c>
      <c r="AL254" t="s">
        <v>1561</v>
      </c>
      <c r="AP254">
        <v>691800206</v>
      </c>
      <c r="AQ254" t="s">
        <v>1562</v>
      </c>
    </row>
    <row r="255" spans="1:67" x14ac:dyDescent="0.2">
      <c r="A255" t="s">
        <v>1556</v>
      </c>
      <c r="B255" t="s">
        <v>1563</v>
      </c>
      <c r="D255" t="s">
        <v>72</v>
      </c>
      <c r="E255" t="s">
        <v>1564</v>
      </c>
      <c r="F255" t="s">
        <v>1557</v>
      </c>
      <c r="G255" t="s">
        <v>409</v>
      </c>
      <c r="H255" t="s">
        <v>235</v>
      </c>
      <c r="I255" t="s">
        <v>1558</v>
      </c>
      <c r="K255">
        <v>18</v>
      </c>
      <c r="L255">
        <f>IFERROR(VLOOKUP(K255,'Tables new'!$A:$C,3,FALSE),"")</f>
        <v>37</v>
      </c>
      <c r="M255" t="str">
        <f>VLOOKUP(K255,CAT_JOUEUR,2,FALSE)</f>
        <v>U 9 F</v>
      </c>
      <c r="N255">
        <v>18</v>
      </c>
      <c r="O255">
        <f>IFERROR(VLOOKUP(N255,'Tables new'!$A:$C,3,FALSE),"")</f>
        <v>37</v>
      </c>
      <c r="P255" t="str">
        <f>VLOOKUP(N255,CAT_JOUEUR,2,FALSE)</f>
        <v>U 9 F</v>
      </c>
      <c r="V255" t="s">
        <v>113</v>
      </c>
      <c r="AA255" t="s">
        <v>1565</v>
      </c>
      <c r="AH255">
        <v>45194</v>
      </c>
      <c r="AI255">
        <v>45154</v>
      </c>
      <c r="AJ255">
        <v>2026</v>
      </c>
      <c r="AK255">
        <v>43573</v>
      </c>
      <c r="AL255" t="s">
        <v>1566</v>
      </c>
      <c r="AO255" t="s">
        <v>1567</v>
      </c>
      <c r="AP255" t="s">
        <v>1568</v>
      </c>
      <c r="AQ255" t="s">
        <v>1560</v>
      </c>
    </row>
    <row r="256" spans="1:67" x14ac:dyDescent="0.2">
      <c r="A256" t="s">
        <v>1556</v>
      </c>
      <c r="B256" t="s">
        <v>1178</v>
      </c>
      <c r="D256" t="s">
        <v>72</v>
      </c>
      <c r="E256" t="s">
        <v>1564</v>
      </c>
      <c r="F256" t="s">
        <v>1557</v>
      </c>
      <c r="G256" t="s">
        <v>409</v>
      </c>
      <c r="H256" t="s">
        <v>235</v>
      </c>
      <c r="I256" t="s">
        <v>1558</v>
      </c>
      <c r="K256">
        <v>21</v>
      </c>
      <c r="L256">
        <f>IFERROR(VLOOKUP(K256,'Tables new'!$A:$C,3,FALSE),"")</f>
        <v>18</v>
      </c>
      <c r="M256" t="str">
        <f>VLOOKUP(K256,CAT_JOUEUR,2,FALSE)</f>
        <v>U7 Mixte</v>
      </c>
      <c r="N256">
        <v>21</v>
      </c>
      <c r="O256">
        <f>IFERROR(VLOOKUP(N256,'Tables new'!$A:$C,3,FALSE),"")</f>
        <v>18</v>
      </c>
      <c r="P256" t="str">
        <f>VLOOKUP(N256,CAT_JOUEUR,2,FALSE)</f>
        <v>U7 Mixte</v>
      </c>
      <c r="W256" t="s">
        <v>113</v>
      </c>
      <c r="AA256" t="s">
        <v>1569</v>
      </c>
      <c r="AH256">
        <v>45194</v>
      </c>
      <c r="AI256">
        <v>45154</v>
      </c>
      <c r="AJ256">
        <v>2027</v>
      </c>
      <c r="AK256">
        <v>44028</v>
      </c>
      <c r="AL256" t="s">
        <v>1570</v>
      </c>
      <c r="AO256" t="s">
        <v>1571</v>
      </c>
      <c r="AP256" t="s">
        <v>1572</v>
      </c>
      <c r="AQ256" t="s">
        <v>1560</v>
      </c>
    </row>
    <row r="257" spans="1:56" x14ac:dyDescent="0.2">
      <c r="A257" t="s">
        <v>1573</v>
      </c>
      <c r="B257" t="s">
        <v>1574</v>
      </c>
      <c r="D257" t="s">
        <v>72</v>
      </c>
      <c r="E257" t="s">
        <v>96</v>
      </c>
      <c r="F257" t="s">
        <v>1575</v>
      </c>
      <c r="G257" t="s">
        <v>1576</v>
      </c>
      <c r="H257" t="s">
        <v>1062</v>
      </c>
      <c r="I257" t="s">
        <v>1577</v>
      </c>
      <c r="K257">
        <v>212</v>
      </c>
      <c r="L257">
        <f>IFERROR(VLOOKUP(K257,'Tables new'!$A:$C,3,FALSE),"")</f>
        <v>70</v>
      </c>
      <c r="M257" t="str">
        <f>VLOOKUP(K257,CAT_JOUEUR,2,FALSE)</f>
        <v>Contact famille</v>
      </c>
      <c r="N257">
        <v>212</v>
      </c>
      <c r="O257">
        <f>IFERROR(VLOOKUP(N257,'Tables new'!$A:$C,3,FALSE),"")</f>
        <v>70</v>
      </c>
      <c r="P257" t="str">
        <f>VLOOKUP(N257,CAT_JOUEUR,2,FALSE)</f>
        <v>Contact famille</v>
      </c>
      <c r="S257" t="s">
        <v>89</v>
      </c>
      <c r="AH257" t="s">
        <v>78</v>
      </c>
      <c r="AI257" t="s">
        <v>78</v>
      </c>
      <c r="AJ257" t="s">
        <v>78</v>
      </c>
      <c r="AK257" t="s">
        <v>78</v>
      </c>
      <c r="AL257" t="s">
        <v>79</v>
      </c>
      <c r="AP257">
        <v>621295056</v>
      </c>
      <c r="AQ257" t="s">
        <v>1578</v>
      </c>
    </row>
    <row r="258" spans="1:56" x14ac:dyDescent="0.2">
      <c r="A258" t="s">
        <v>1579</v>
      </c>
      <c r="B258" t="s">
        <v>414</v>
      </c>
      <c r="D258" t="s">
        <v>72</v>
      </c>
      <c r="E258" t="s">
        <v>96</v>
      </c>
      <c r="F258" t="s">
        <v>1580</v>
      </c>
      <c r="G258" t="s">
        <v>1581</v>
      </c>
      <c r="H258" t="s">
        <v>885</v>
      </c>
      <c r="I258" t="s">
        <v>1582</v>
      </c>
      <c r="K258">
        <v>212</v>
      </c>
      <c r="L258">
        <f>IFERROR(VLOOKUP(K258,'Tables new'!$A:$C,3,FALSE),"")</f>
        <v>70</v>
      </c>
      <c r="M258" t="str">
        <f>VLOOKUP(K258,CAT_JOUEUR,2,FALSE)</f>
        <v>Contact famille</v>
      </c>
      <c r="N258">
        <v>212</v>
      </c>
      <c r="O258">
        <f>IFERROR(VLOOKUP(N258,'Tables new'!$A:$C,3,FALSE),"")</f>
        <v>70</v>
      </c>
      <c r="P258" t="str">
        <f>VLOOKUP(N258,CAT_JOUEUR,2,FALSE)</f>
        <v>Contact famille</v>
      </c>
      <c r="W258" t="s">
        <v>89</v>
      </c>
      <c r="AH258" t="s">
        <v>78</v>
      </c>
      <c r="AI258" t="s">
        <v>78</v>
      </c>
      <c r="AJ258" t="s">
        <v>78</v>
      </c>
      <c r="AK258" t="s">
        <v>78</v>
      </c>
      <c r="AL258" t="s">
        <v>79</v>
      </c>
      <c r="AP258">
        <v>621502977</v>
      </c>
      <c r="AQ258" t="s">
        <v>1583</v>
      </c>
    </row>
    <row r="259" spans="1:56" x14ac:dyDescent="0.2">
      <c r="A259" t="s">
        <v>1584</v>
      </c>
      <c r="B259" t="s">
        <v>1585</v>
      </c>
      <c r="D259" t="s">
        <v>72</v>
      </c>
      <c r="E259" t="s">
        <v>96</v>
      </c>
      <c r="F259" t="s">
        <v>1586</v>
      </c>
      <c r="G259" t="s">
        <v>1587</v>
      </c>
      <c r="H259" t="s">
        <v>417</v>
      </c>
      <c r="I259" t="s">
        <v>1588</v>
      </c>
      <c r="K259">
        <v>212</v>
      </c>
      <c r="L259">
        <f>IFERROR(VLOOKUP(K259,'Tables new'!$A:$C,3,FALSE),"")</f>
        <v>70</v>
      </c>
      <c r="M259" t="str">
        <f>VLOOKUP(K259,CAT_JOUEUR,2,FALSE)</f>
        <v>Contact famille</v>
      </c>
      <c r="N259">
        <v>212</v>
      </c>
      <c r="O259">
        <f>IFERROR(VLOOKUP(N259,'Tables new'!$A:$C,3,FALSE),"")</f>
        <v>70</v>
      </c>
      <c r="P259" t="str">
        <f>VLOOKUP(N259,CAT_JOUEUR,2,FALSE)</f>
        <v>Contact famille</v>
      </c>
      <c r="W259" t="s">
        <v>89</v>
      </c>
      <c r="AH259" t="s">
        <v>78</v>
      </c>
      <c r="AI259" t="s">
        <v>78</v>
      </c>
      <c r="AJ259" t="s">
        <v>78</v>
      </c>
      <c r="AK259" t="s">
        <v>78</v>
      </c>
      <c r="AL259" t="s">
        <v>79</v>
      </c>
    </row>
    <row r="260" spans="1:56" x14ac:dyDescent="0.2">
      <c r="A260" t="s">
        <v>1589</v>
      </c>
      <c r="B260" t="s">
        <v>1590</v>
      </c>
      <c r="D260" t="s">
        <v>72</v>
      </c>
      <c r="E260" t="s">
        <v>96</v>
      </c>
      <c r="F260" t="s">
        <v>1591</v>
      </c>
      <c r="G260" t="s">
        <v>1581</v>
      </c>
      <c r="H260" t="s">
        <v>885</v>
      </c>
      <c r="I260" t="s">
        <v>1592</v>
      </c>
      <c r="K260">
        <v>21</v>
      </c>
      <c r="L260">
        <f>IFERROR(VLOOKUP(K260,'Tables new'!$A:$C,3,FALSE),"")</f>
        <v>18</v>
      </c>
      <c r="M260" t="str">
        <f>VLOOKUP(K260,CAT_JOUEUR,2,FALSE)</f>
        <v>U7 Mixte</v>
      </c>
      <c r="N260">
        <v>21</v>
      </c>
      <c r="O260">
        <f>IFERROR(VLOOKUP(N260,'Tables new'!$A:$C,3,FALSE),"")</f>
        <v>18</v>
      </c>
      <c r="P260" t="str">
        <f>VLOOKUP(N260,CAT_JOUEUR,2,FALSE)</f>
        <v>U7 Mixte</v>
      </c>
      <c r="W260" t="s">
        <v>113</v>
      </c>
      <c r="AA260" t="s">
        <v>1593</v>
      </c>
      <c r="AH260">
        <v>45223</v>
      </c>
      <c r="AI260">
        <v>45211</v>
      </c>
      <c r="AJ260">
        <v>2028</v>
      </c>
      <c r="AK260">
        <v>44423</v>
      </c>
      <c r="AL260" t="s">
        <v>1594</v>
      </c>
      <c r="AO260" t="s">
        <v>1595</v>
      </c>
      <c r="AP260" t="s">
        <v>1596</v>
      </c>
      <c r="AQ260" t="s">
        <v>1597</v>
      </c>
    </row>
    <row r="261" spans="1:56" x14ac:dyDescent="0.2">
      <c r="A261" t="s">
        <v>1589</v>
      </c>
      <c r="B261" t="s">
        <v>1598</v>
      </c>
      <c r="D261" t="s">
        <v>72</v>
      </c>
      <c r="E261" t="s">
        <v>96</v>
      </c>
      <c r="F261" t="s">
        <v>1591</v>
      </c>
      <c r="G261" t="s">
        <v>1581</v>
      </c>
      <c r="H261" t="s">
        <v>885</v>
      </c>
      <c r="I261" t="s">
        <v>1592</v>
      </c>
      <c r="K261">
        <v>18</v>
      </c>
      <c r="L261">
        <f>IFERROR(VLOOKUP(K261,'Tables new'!$A:$C,3,FALSE),"")</f>
        <v>37</v>
      </c>
      <c r="M261" t="str">
        <f>VLOOKUP(K261,CAT_JOUEUR,2,FALSE)</f>
        <v>U 9 F</v>
      </c>
      <c r="N261">
        <v>18</v>
      </c>
      <c r="O261">
        <f>IFERROR(VLOOKUP(N261,'Tables new'!$A:$C,3,FALSE),"")</f>
        <v>37</v>
      </c>
      <c r="P261" t="str">
        <f>VLOOKUP(N261,CAT_JOUEUR,2,FALSE)</f>
        <v>U 9 F</v>
      </c>
      <c r="V261" t="s">
        <v>113</v>
      </c>
      <c r="AA261" t="s">
        <v>1599</v>
      </c>
      <c r="AH261">
        <v>44494</v>
      </c>
      <c r="AI261">
        <v>44118</v>
      </c>
      <c r="AJ261">
        <v>2030</v>
      </c>
      <c r="AK261">
        <v>43348</v>
      </c>
      <c r="AL261" t="s">
        <v>1600</v>
      </c>
      <c r="AO261" t="s">
        <v>1595</v>
      </c>
      <c r="AP261" t="s">
        <v>1596</v>
      </c>
      <c r="AQ261" t="s">
        <v>1597</v>
      </c>
    </row>
    <row r="262" spans="1:56" x14ac:dyDescent="0.2">
      <c r="A262" t="s">
        <v>1589</v>
      </c>
      <c r="B262" t="s">
        <v>617</v>
      </c>
      <c r="D262" t="s">
        <v>72</v>
      </c>
      <c r="E262" t="s">
        <v>96</v>
      </c>
      <c r="F262" t="s">
        <v>1591</v>
      </c>
      <c r="G262" t="s">
        <v>1581</v>
      </c>
      <c r="H262" t="s">
        <v>885</v>
      </c>
      <c r="I262" t="s">
        <v>1592</v>
      </c>
      <c r="K262">
        <v>212</v>
      </c>
      <c r="L262">
        <f>IFERROR(VLOOKUP(K262,'Tables new'!$A:$C,3,FALSE),"")</f>
        <v>70</v>
      </c>
      <c r="M262" t="str">
        <f>VLOOKUP(K262,CAT_JOUEUR,2,FALSE)</f>
        <v>Contact famille</v>
      </c>
      <c r="N262">
        <v>212</v>
      </c>
      <c r="O262">
        <f>IFERROR(VLOOKUP(N262,'Tables new'!$A:$C,3,FALSE),"")</f>
        <v>70</v>
      </c>
      <c r="P262" t="str">
        <f>VLOOKUP(N262,CAT_JOUEUR,2,FALSE)</f>
        <v>Contact famille</v>
      </c>
      <c r="V262" t="s">
        <v>89</v>
      </c>
      <c r="W262" t="s">
        <v>89</v>
      </c>
      <c r="AH262" t="s">
        <v>78</v>
      </c>
      <c r="AI262">
        <v>44118</v>
      </c>
      <c r="AJ262" t="s">
        <v>78</v>
      </c>
      <c r="AK262">
        <v>30853</v>
      </c>
      <c r="AL262" t="s">
        <v>1601</v>
      </c>
      <c r="AP262" t="s">
        <v>1602</v>
      </c>
      <c r="AQ262" t="s">
        <v>1603</v>
      </c>
    </row>
    <row r="263" spans="1:56" x14ac:dyDescent="0.2">
      <c r="A263" t="s">
        <v>1604</v>
      </c>
      <c r="B263" t="s">
        <v>1605</v>
      </c>
      <c r="D263" t="s">
        <v>72</v>
      </c>
      <c r="E263" t="s">
        <v>96</v>
      </c>
      <c r="F263" t="s">
        <v>1410</v>
      </c>
      <c r="G263" t="s">
        <v>1411</v>
      </c>
      <c r="H263" t="s">
        <v>132</v>
      </c>
      <c r="I263" t="s">
        <v>1412</v>
      </c>
      <c r="K263">
        <v>212</v>
      </c>
      <c r="L263">
        <f>IFERROR(VLOOKUP(K263,'Tables new'!$A:$C,3,FALSE),"")</f>
        <v>70</v>
      </c>
      <c r="M263" t="str">
        <f>VLOOKUP(K263,CAT_JOUEUR,2,FALSE)</f>
        <v>Contact famille</v>
      </c>
      <c r="N263">
        <v>212</v>
      </c>
      <c r="O263">
        <f>IFERROR(VLOOKUP(N263,'Tables new'!$A:$C,3,FALSE),"")</f>
        <v>70</v>
      </c>
      <c r="P263" t="str">
        <f>VLOOKUP(N263,CAT_JOUEUR,2,FALSE)</f>
        <v>Contact famille</v>
      </c>
      <c r="U263" t="s">
        <v>89</v>
      </c>
      <c r="Z263" t="s">
        <v>89</v>
      </c>
      <c r="AH263" t="s">
        <v>78</v>
      </c>
      <c r="AI263" t="s">
        <v>78</v>
      </c>
      <c r="AJ263" t="s">
        <v>78</v>
      </c>
      <c r="AK263" t="s">
        <v>78</v>
      </c>
      <c r="AL263" t="s">
        <v>79</v>
      </c>
      <c r="AP263">
        <v>661444158</v>
      </c>
      <c r="AQ263" t="s">
        <v>1417</v>
      </c>
    </row>
    <row r="264" spans="1:56" x14ac:dyDescent="0.2">
      <c r="A264" t="s">
        <v>1606</v>
      </c>
      <c r="B264" t="s">
        <v>1607</v>
      </c>
      <c r="D264" t="s">
        <v>1608</v>
      </c>
      <c r="E264" t="s">
        <v>717</v>
      </c>
      <c r="F264" t="s">
        <v>704</v>
      </c>
      <c r="G264" t="s">
        <v>705</v>
      </c>
      <c r="H264" t="s">
        <v>108</v>
      </c>
      <c r="I264" t="s">
        <v>706</v>
      </c>
      <c r="K264">
        <v>212</v>
      </c>
      <c r="L264">
        <f>IFERROR(VLOOKUP(K264,'Tables new'!$A:$C,3,FALSE),"")</f>
        <v>70</v>
      </c>
      <c r="M264" t="str">
        <f>VLOOKUP(K264,CAT_JOUEUR,2,FALSE)</f>
        <v>Contact famille</v>
      </c>
      <c r="N264">
        <v>212</v>
      </c>
      <c r="O264">
        <f>IFERROR(VLOOKUP(N264,'Tables new'!$A:$C,3,FALSE),"")</f>
        <v>70</v>
      </c>
      <c r="P264" t="str">
        <f>VLOOKUP(N264,CAT_JOUEUR,2,FALSE)</f>
        <v>Contact famille</v>
      </c>
      <c r="V264" t="s">
        <v>89</v>
      </c>
      <c r="W264" t="s">
        <v>89</v>
      </c>
      <c r="AH264" t="s">
        <v>78</v>
      </c>
      <c r="AI264" t="s">
        <v>78</v>
      </c>
      <c r="AJ264" t="s">
        <v>78</v>
      </c>
      <c r="AK264" t="s">
        <v>78</v>
      </c>
      <c r="AL264" t="s">
        <v>79</v>
      </c>
      <c r="AP264">
        <v>691673899</v>
      </c>
      <c r="AQ264" t="s">
        <v>711</v>
      </c>
    </row>
    <row r="265" spans="1:56" x14ac:dyDescent="0.2">
      <c r="A265" t="s">
        <v>1609</v>
      </c>
      <c r="B265" t="s">
        <v>1610</v>
      </c>
      <c r="D265" t="s">
        <v>72</v>
      </c>
      <c r="E265" t="s">
        <v>96</v>
      </c>
      <c r="F265" t="s">
        <v>1611</v>
      </c>
      <c r="G265" t="s">
        <v>1612</v>
      </c>
      <c r="H265" t="s">
        <v>336</v>
      </c>
      <c r="I265" t="s">
        <v>1613</v>
      </c>
      <c r="J265" t="s">
        <v>208</v>
      </c>
      <c r="K265">
        <v>15</v>
      </c>
      <c r="L265">
        <f>IFERROR(VLOOKUP(K265,'Tables new'!$A:$C,3,FALSE),"")</f>
        <v>35</v>
      </c>
      <c r="M265" t="str">
        <f>VLOOKUP(K265,CAT_JOUEUR,2,FALSE)</f>
        <v>U 13 F</v>
      </c>
      <c r="N265">
        <v>15</v>
      </c>
      <c r="O265">
        <f>IFERROR(VLOOKUP(N265,'Tables new'!$A:$C,3,FALSE),"")</f>
        <v>35</v>
      </c>
      <c r="P265" t="str">
        <f>VLOOKUP(N265,CAT_JOUEUR,2,FALSE)</f>
        <v>U 13 F</v>
      </c>
      <c r="Z265" t="s">
        <v>113</v>
      </c>
      <c r="AA265" t="s">
        <v>1614</v>
      </c>
      <c r="AH265">
        <v>44102</v>
      </c>
      <c r="AI265">
        <v>44092</v>
      </c>
      <c r="AJ265">
        <v>2022</v>
      </c>
      <c r="AK265">
        <v>42360</v>
      </c>
      <c r="AL265" t="s">
        <v>1615</v>
      </c>
      <c r="AP265" t="s">
        <v>1616</v>
      </c>
      <c r="AQ265" t="s">
        <v>1617</v>
      </c>
    </row>
    <row r="266" spans="1:56" x14ac:dyDescent="0.2">
      <c r="A266" t="s">
        <v>1609</v>
      </c>
      <c r="B266" t="s">
        <v>1618</v>
      </c>
      <c r="D266" t="s">
        <v>72</v>
      </c>
      <c r="E266" t="s">
        <v>96</v>
      </c>
      <c r="F266" t="s">
        <v>1611</v>
      </c>
      <c r="G266" t="s">
        <v>1612</v>
      </c>
      <c r="H266" t="s">
        <v>336</v>
      </c>
      <c r="I266" t="s">
        <v>1613</v>
      </c>
      <c r="K266">
        <v>17</v>
      </c>
      <c r="L266">
        <f>IFERROR(VLOOKUP(K266,'Tables new'!$A:$C,3,FALSE),"")</f>
        <v>36</v>
      </c>
      <c r="M266" t="str">
        <f>VLOOKUP(K266,CAT_JOUEUR,2,FALSE)</f>
        <v>U 11 F</v>
      </c>
      <c r="N266">
        <v>17</v>
      </c>
      <c r="O266">
        <f>IFERROR(VLOOKUP(N266,'Tables new'!$A:$C,3,FALSE),"")</f>
        <v>36</v>
      </c>
      <c r="P266" t="str">
        <f>VLOOKUP(N266,CAT_JOUEUR,2,FALSE)</f>
        <v>U 11 F</v>
      </c>
      <c r="U266" t="s">
        <v>113</v>
      </c>
      <c r="AA266" t="s">
        <v>155</v>
      </c>
      <c r="AI266">
        <v>44092</v>
      </c>
      <c r="AJ266">
        <v>2024</v>
      </c>
      <c r="AK266">
        <v>42916</v>
      </c>
      <c r="AL266" t="s">
        <v>1619</v>
      </c>
      <c r="AP266" t="s">
        <v>1616</v>
      </c>
      <c r="AQ266" t="s">
        <v>1617</v>
      </c>
    </row>
    <row r="267" spans="1:56" x14ac:dyDescent="0.2">
      <c r="A267" t="s">
        <v>1609</v>
      </c>
      <c r="B267" t="s">
        <v>1321</v>
      </c>
      <c r="D267" t="s">
        <v>72</v>
      </c>
      <c r="E267" t="s">
        <v>96</v>
      </c>
      <c r="F267" t="s">
        <v>1611</v>
      </c>
      <c r="G267" t="s">
        <v>1612</v>
      </c>
      <c r="H267" t="s">
        <v>336</v>
      </c>
      <c r="I267" t="s">
        <v>1613</v>
      </c>
      <c r="K267">
        <v>212</v>
      </c>
      <c r="L267">
        <f>IFERROR(VLOOKUP(K267,'Tables new'!$A:$C,3,FALSE),"")</f>
        <v>70</v>
      </c>
      <c r="M267" t="str">
        <f>VLOOKUP(K267,CAT_JOUEUR,2,FALSE)</f>
        <v>Contact famille</v>
      </c>
      <c r="N267">
        <v>212</v>
      </c>
      <c r="O267">
        <f>IFERROR(VLOOKUP(N267,'Tables new'!$A:$C,3,FALSE),"")</f>
        <v>70</v>
      </c>
      <c r="P267" t="str">
        <f>VLOOKUP(N267,CAT_JOUEUR,2,FALSE)</f>
        <v>Contact famille</v>
      </c>
      <c r="U267" t="s">
        <v>89</v>
      </c>
      <c r="Z267" t="s">
        <v>89</v>
      </c>
      <c r="AH267" t="s">
        <v>78</v>
      </c>
      <c r="AI267" t="s">
        <v>78</v>
      </c>
      <c r="AJ267" t="s">
        <v>78</v>
      </c>
      <c r="AK267" t="s">
        <v>78</v>
      </c>
      <c r="AL267" t="s">
        <v>79</v>
      </c>
    </row>
    <row r="268" spans="1:56" x14ac:dyDescent="0.2">
      <c r="A268" t="s">
        <v>1620</v>
      </c>
      <c r="B268" t="s">
        <v>1426</v>
      </c>
      <c r="D268" t="s">
        <v>72</v>
      </c>
      <c r="E268" t="s">
        <v>96</v>
      </c>
      <c r="F268" t="s">
        <v>1621</v>
      </c>
      <c r="G268" t="s">
        <v>448</v>
      </c>
      <c r="H268" t="s">
        <v>300</v>
      </c>
      <c r="I268" t="s">
        <v>1622</v>
      </c>
      <c r="K268">
        <v>212</v>
      </c>
      <c r="L268">
        <f>IFERROR(VLOOKUP(K268,'Tables new'!$A:$C,3,FALSE),"")</f>
        <v>70</v>
      </c>
      <c r="M268" t="str">
        <f>VLOOKUP(K268,CAT_JOUEUR,2,FALSE)</f>
        <v>Contact famille</v>
      </c>
      <c r="N268">
        <v>212</v>
      </c>
      <c r="O268">
        <f>IFERROR(VLOOKUP(N268,'Tables new'!$A:$C,3,FALSE),"")</f>
        <v>70</v>
      </c>
      <c r="P268" t="str">
        <f>VLOOKUP(N268,CAT_JOUEUR,2,FALSE)</f>
        <v>Contact famille</v>
      </c>
      <c r="S268" t="s">
        <v>89</v>
      </c>
      <c r="AH268" t="s">
        <v>78</v>
      </c>
      <c r="AI268" t="s">
        <v>78</v>
      </c>
      <c r="AJ268" t="s">
        <v>78</v>
      </c>
      <c r="AK268" t="s">
        <v>78</v>
      </c>
      <c r="AL268" t="s">
        <v>79</v>
      </c>
      <c r="AP268" t="s">
        <v>1623</v>
      </c>
      <c r="AQ268" t="s">
        <v>1624</v>
      </c>
      <c r="AY268" t="s">
        <v>781</v>
      </c>
      <c r="BA268" t="s">
        <v>782</v>
      </c>
    </row>
    <row r="269" spans="1:56" x14ac:dyDescent="0.2">
      <c r="A269" t="s">
        <v>1625</v>
      </c>
      <c r="B269" t="s">
        <v>1626</v>
      </c>
      <c r="D269" t="s">
        <v>72</v>
      </c>
      <c r="E269" t="s">
        <v>96</v>
      </c>
      <c r="F269" t="s">
        <v>1627</v>
      </c>
      <c r="G269" t="s">
        <v>1628</v>
      </c>
      <c r="H269" t="s">
        <v>1393</v>
      </c>
      <c r="I269" t="s">
        <v>145</v>
      </c>
      <c r="K269">
        <v>12</v>
      </c>
      <c r="L269">
        <v>31</v>
      </c>
      <c r="M269" t="s">
        <v>265</v>
      </c>
      <c r="N269">
        <v>12</v>
      </c>
      <c r="O269">
        <f>IFERROR(VLOOKUP(N269,'Tables new'!$A:$C,3,FALSE),"")</f>
        <v>31</v>
      </c>
      <c r="P269" t="str">
        <f>VLOOKUP(N269,CAT_JOUEUR,2,FALSE)</f>
        <v>Femmes</v>
      </c>
      <c r="AA269" t="s">
        <v>1629</v>
      </c>
      <c r="AF269" t="s">
        <v>360</v>
      </c>
      <c r="AH269">
        <v>46085</v>
      </c>
      <c r="AI269">
        <v>45346</v>
      </c>
      <c r="AJ269">
        <v>2029</v>
      </c>
      <c r="AK269">
        <v>36203</v>
      </c>
      <c r="AL269" t="s">
        <v>1630</v>
      </c>
      <c r="AP269">
        <v>621418518</v>
      </c>
      <c r="AQ269" t="s">
        <v>1631</v>
      </c>
    </row>
    <row r="270" spans="1:56" x14ac:dyDescent="0.2">
      <c r="A270" t="s">
        <v>1632</v>
      </c>
      <c r="B270" t="s">
        <v>1633</v>
      </c>
      <c r="D270" t="s">
        <v>72</v>
      </c>
      <c r="E270" t="s">
        <v>96</v>
      </c>
      <c r="F270" t="s">
        <v>1207</v>
      </c>
      <c r="G270" t="s">
        <v>1208</v>
      </c>
      <c r="H270" t="s">
        <v>1209</v>
      </c>
      <c r="I270" t="s">
        <v>1210</v>
      </c>
      <c r="K270">
        <v>212</v>
      </c>
      <c r="L270">
        <f>IFERROR(VLOOKUP(K270,'Tables new'!$A:$C,3,FALSE),"")</f>
        <v>70</v>
      </c>
      <c r="M270" t="str">
        <f>VLOOKUP(K270,CAT_JOUEUR,2,FALSE)</f>
        <v>Contact famille</v>
      </c>
      <c r="N270">
        <v>212</v>
      </c>
      <c r="O270">
        <f>IFERROR(VLOOKUP(N270,'Tables new'!$A:$C,3,FALSE),"")</f>
        <v>70</v>
      </c>
      <c r="P270" t="str">
        <f>VLOOKUP(N270,CAT_JOUEUR,2,FALSE)</f>
        <v>Contact famille</v>
      </c>
      <c r="T270" t="s">
        <v>89</v>
      </c>
      <c r="U270" t="s">
        <v>89</v>
      </c>
      <c r="AH270" t="s">
        <v>78</v>
      </c>
      <c r="AI270">
        <v>43549</v>
      </c>
      <c r="AJ270" t="s">
        <v>78</v>
      </c>
      <c r="AK270" t="s">
        <v>78</v>
      </c>
      <c r="AL270" t="s">
        <v>79</v>
      </c>
      <c r="AP270" t="s">
        <v>1634</v>
      </c>
      <c r="AQ270" t="s">
        <v>1635</v>
      </c>
      <c r="AY270" t="s">
        <v>91</v>
      </c>
      <c r="BA270" t="s">
        <v>136</v>
      </c>
      <c r="BB270" t="s">
        <v>271</v>
      </c>
      <c r="BC270" t="s">
        <v>1330</v>
      </c>
      <c r="BD270" t="s">
        <v>139</v>
      </c>
    </row>
    <row r="271" spans="1:56" x14ac:dyDescent="0.2">
      <c r="A271" t="s">
        <v>1632</v>
      </c>
      <c r="B271" t="s">
        <v>1636</v>
      </c>
      <c r="D271" t="s">
        <v>72</v>
      </c>
      <c r="E271" t="s">
        <v>96</v>
      </c>
      <c r="F271" t="s">
        <v>1207</v>
      </c>
      <c r="G271" t="s">
        <v>1208</v>
      </c>
      <c r="H271" t="s">
        <v>1209</v>
      </c>
      <c r="I271" t="s">
        <v>1210</v>
      </c>
      <c r="K271">
        <v>17</v>
      </c>
      <c r="L271">
        <f>IFERROR(VLOOKUP(K271,'Tables new'!$A:$C,3,FALSE),"")</f>
        <v>36</v>
      </c>
      <c r="M271" t="str">
        <f>VLOOKUP(K271,CAT_JOUEUR,2,FALSE)</f>
        <v>U 11 F</v>
      </c>
      <c r="N271">
        <v>17</v>
      </c>
      <c r="O271">
        <f>IFERROR(VLOOKUP(N271,'Tables new'!$A:$C,3,FALSE),"")</f>
        <v>36</v>
      </c>
      <c r="P271" t="str">
        <f>VLOOKUP(N271,CAT_JOUEUR,2,FALSE)</f>
        <v>U 11 F</v>
      </c>
      <c r="U271" t="s">
        <v>113</v>
      </c>
      <c r="AA271" t="s">
        <v>1637</v>
      </c>
      <c r="AH271">
        <v>44649</v>
      </c>
      <c r="AI271">
        <v>44542</v>
      </c>
      <c r="AJ271">
        <v>2029</v>
      </c>
      <c r="AK271">
        <v>42956</v>
      </c>
      <c r="AL271" t="s">
        <v>1638</v>
      </c>
      <c r="AO271" t="s">
        <v>1639</v>
      </c>
      <c r="AP271" t="s">
        <v>1640</v>
      </c>
      <c r="AQ271" t="s">
        <v>1212</v>
      </c>
    </row>
    <row r="272" spans="1:56" x14ac:dyDescent="0.2">
      <c r="A272" t="s">
        <v>1632</v>
      </c>
      <c r="B272" t="s">
        <v>1641</v>
      </c>
      <c r="D272" t="s">
        <v>72</v>
      </c>
      <c r="E272" t="s">
        <v>96</v>
      </c>
      <c r="F272" t="s">
        <v>1207</v>
      </c>
      <c r="G272" t="s">
        <v>1208</v>
      </c>
      <c r="H272" t="s">
        <v>1209</v>
      </c>
      <c r="I272" t="s">
        <v>1210</v>
      </c>
      <c r="K272">
        <v>6</v>
      </c>
      <c r="L272">
        <f>IFERROR(VLOOKUP(K272,'Tables new'!$A:$C,3,FALSE),"")</f>
        <v>15</v>
      </c>
      <c r="M272" t="str">
        <f>VLOOKUP(K272,CAT_JOUEUR,2,FALSE)</f>
        <v>U 13 H</v>
      </c>
      <c r="N272">
        <v>6</v>
      </c>
      <c r="O272">
        <f>IFERROR(VLOOKUP(N272,'Tables new'!$A:$C,3,FALSE),"")</f>
        <v>15</v>
      </c>
      <c r="P272" t="str">
        <f>VLOOKUP(N272,CAT_JOUEUR,2,FALSE)</f>
        <v>U 13 H</v>
      </c>
      <c r="T272" t="s">
        <v>113</v>
      </c>
      <c r="AA272" t="s">
        <v>1642</v>
      </c>
      <c r="AH272">
        <v>43587</v>
      </c>
      <c r="AI272">
        <v>43549</v>
      </c>
      <c r="AJ272">
        <v>2026</v>
      </c>
      <c r="AK272">
        <v>41747</v>
      </c>
      <c r="AL272" t="s">
        <v>1643</v>
      </c>
      <c r="AO272" t="s">
        <v>1639</v>
      </c>
      <c r="AP272" t="s">
        <v>1640</v>
      </c>
      <c r="AQ272" t="s">
        <v>1212</v>
      </c>
      <c r="AY272" t="s">
        <v>91</v>
      </c>
      <c r="BA272" t="s">
        <v>136</v>
      </c>
      <c r="BB272" t="s">
        <v>271</v>
      </c>
      <c r="BD272">
        <v>100</v>
      </c>
    </row>
    <row r="273" spans="1:67" x14ac:dyDescent="0.2">
      <c r="A273" t="s">
        <v>1644</v>
      </c>
      <c r="B273" t="s">
        <v>1645</v>
      </c>
      <c r="D273" t="s">
        <v>72</v>
      </c>
      <c r="E273" t="s">
        <v>96</v>
      </c>
      <c r="F273" t="s">
        <v>618</v>
      </c>
      <c r="G273" t="s">
        <v>619</v>
      </c>
      <c r="H273" t="s">
        <v>620</v>
      </c>
      <c r="I273" t="s">
        <v>621</v>
      </c>
      <c r="K273">
        <v>212</v>
      </c>
      <c r="L273">
        <f>IFERROR(VLOOKUP(K273,'Tables new'!$A:$C,3,FALSE),"")</f>
        <v>70</v>
      </c>
      <c r="M273" t="str">
        <f>VLOOKUP(K273,CAT_JOUEUR,2,FALSE)</f>
        <v>Contact famille</v>
      </c>
      <c r="N273">
        <v>212</v>
      </c>
      <c r="O273">
        <f>IFERROR(VLOOKUP(N273,'Tables new'!$A:$C,3,FALSE),"")</f>
        <v>70</v>
      </c>
      <c r="P273" t="str">
        <f>VLOOKUP(N273,CAT_JOUEUR,2,FALSE)</f>
        <v>Contact famille</v>
      </c>
      <c r="T273" t="s">
        <v>89</v>
      </c>
      <c r="V273" t="s">
        <v>89</v>
      </c>
      <c r="AH273" t="s">
        <v>78</v>
      </c>
      <c r="AI273" t="s">
        <v>78</v>
      </c>
      <c r="AJ273" t="s">
        <v>78</v>
      </c>
      <c r="AK273" t="s">
        <v>78</v>
      </c>
      <c r="AL273" t="s">
        <v>79</v>
      </c>
      <c r="AP273">
        <v>621639458</v>
      </c>
    </row>
    <row r="274" spans="1:67" x14ac:dyDescent="0.2">
      <c r="A274" t="s">
        <v>1646</v>
      </c>
      <c r="B274" t="s">
        <v>1647</v>
      </c>
      <c r="D274" t="s">
        <v>72</v>
      </c>
      <c r="E274" t="s">
        <v>96</v>
      </c>
      <c r="F274" t="s">
        <v>1648</v>
      </c>
      <c r="G274" t="s">
        <v>1043</v>
      </c>
      <c r="H274" t="s">
        <v>1044</v>
      </c>
      <c r="I274" t="s">
        <v>1649</v>
      </c>
      <c r="K274">
        <v>212</v>
      </c>
      <c r="L274">
        <f>IFERROR(VLOOKUP(K274,'Tables new'!$A:$C,3,FALSE),"")</f>
        <v>70</v>
      </c>
      <c r="M274" t="str">
        <f>VLOOKUP(K274,CAT_JOUEUR,2,FALSE)</f>
        <v>Contact famille</v>
      </c>
      <c r="N274">
        <v>212</v>
      </c>
      <c r="O274">
        <f>IFERROR(VLOOKUP(N274,'Tables new'!$A:$C,3,FALSE),"")</f>
        <v>70</v>
      </c>
      <c r="P274" t="str">
        <f>VLOOKUP(N274,CAT_JOUEUR,2,FALSE)</f>
        <v>Contact famille</v>
      </c>
      <c r="W274" t="s">
        <v>89</v>
      </c>
      <c r="AH274" t="s">
        <v>78</v>
      </c>
      <c r="AI274" t="s">
        <v>78</v>
      </c>
      <c r="AJ274" t="s">
        <v>78</v>
      </c>
      <c r="AK274" t="s">
        <v>78</v>
      </c>
      <c r="AL274" t="s">
        <v>79</v>
      </c>
      <c r="AP274">
        <v>691475433</v>
      </c>
      <c r="AQ274" t="s">
        <v>1650</v>
      </c>
    </row>
    <row r="275" spans="1:67" x14ac:dyDescent="0.2">
      <c r="A275" t="s">
        <v>1646</v>
      </c>
      <c r="B275" t="s">
        <v>1651</v>
      </c>
      <c r="D275" t="s">
        <v>72</v>
      </c>
      <c r="E275" t="s">
        <v>96</v>
      </c>
      <c r="F275" t="s">
        <v>1648</v>
      </c>
      <c r="G275" t="s">
        <v>1043</v>
      </c>
      <c r="H275" t="s">
        <v>1044</v>
      </c>
      <c r="I275" t="s">
        <v>1649</v>
      </c>
      <c r="K275">
        <v>7</v>
      </c>
      <c r="L275">
        <f>IFERROR(VLOOKUP(K275,'Tables new'!$A:$C,3,FALSE),"")</f>
        <v>16</v>
      </c>
      <c r="M275" t="str">
        <f>VLOOKUP(K275,CAT_JOUEUR,2,FALSE)</f>
        <v>U 11 H</v>
      </c>
      <c r="N275">
        <v>7</v>
      </c>
      <c r="O275">
        <f>IFERROR(VLOOKUP(N275,'Tables new'!$A:$C,3,FALSE),"")</f>
        <v>16</v>
      </c>
      <c r="P275" t="str">
        <f>VLOOKUP(N275,CAT_JOUEUR,2,FALSE)</f>
        <v>U 11 H</v>
      </c>
      <c r="W275" t="s">
        <v>113</v>
      </c>
      <c r="AA275" t="s">
        <v>155</v>
      </c>
      <c r="AF275" t="s">
        <v>182</v>
      </c>
      <c r="AI275">
        <v>46210</v>
      </c>
      <c r="AJ275">
        <v>2027</v>
      </c>
      <c r="AK275">
        <v>42269</v>
      </c>
      <c r="AL275" t="s">
        <v>1652</v>
      </c>
      <c r="AO275" t="s">
        <v>1653</v>
      </c>
      <c r="AP275" t="s">
        <v>1654</v>
      </c>
      <c r="AQ275" t="s">
        <v>1650</v>
      </c>
    </row>
    <row r="276" spans="1:67" x14ac:dyDescent="0.2">
      <c r="A276" t="s">
        <v>1655</v>
      </c>
      <c r="B276" t="s">
        <v>1656</v>
      </c>
      <c r="D276" t="s">
        <v>72</v>
      </c>
      <c r="E276" t="s">
        <v>96</v>
      </c>
      <c r="F276" t="s">
        <v>1657</v>
      </c>
      <c r="G276" t="s">
        <v>431</v>
      </c>
      <c r="H276" t="s">
        <v>432</v>
      </c>
      <c r="I276" t="s">
        <v>1658</v>
      </c>
      <c r="K276">
        <v>212</v>
      </c>
      <c r="L276">
        <f>IFERROR(VLOOKUP(K276,'Tables new'!$A:$C,3,FALSE),"")</f>
        <v>70</v>
      </c>
      <c r="M276" t="str">
        <f>VLOOKUP(K276,CAT_JOUEUR,2,FALSE)</f>
        <v>Contact famille</v>
      </c>
      <c r="N276">
        <v>212</v>
      </c>
      <c r="O276">
        <f>IFERROR(VLOOKUP(N276,'Tables new'!$A:$C,3,FALSE),"")</f>
        <v>70</v>
      </c>
      <c r="P276" t="str">
        <f>VLOOKUP(N276,CAT_JOUEUR,2,FALSE)</f>
        <v>Contact famille</v>
      </c>
      <c r="W276" t="s">
        <v>89</v>
      </c>
      <c r="AH276" t="s">
        <v>78</v>
      </c>
      <c r="AI276" t="s">
        <v>78</v>
      </c>
      <c r="AJ276" t="s">
        <v>78</v>
      </c>
      <c r="AK276" t="s">
        <v>78</v>
      </c>
      <c r="AL276" t="s">
        <v>79</v>
      </c>
    </row>
    <row r="277" spans="1:67" x14ac:dyDescent="0.2">
      <c r="A277" t="s">
        <v>1659</v>
      </c>
      <c r="B277" t="s">
        <v>1660</v>
      </c>
      <c r="D277" t="s">
        <v>72</v>
      </c>
      <c r="E277" t="s">
        <v>556</v>
      </c>
      <c r="F277" t="s">
        <v>883</v>
      </c>
      <c r="G277" t="s">
        <v>884</v>
      </c>
      <c r="H277" t="s">
        <v>885</v>
      </c>
      <c r="I277" t="s">
        <v>886</v>
      </c>
      <c r="K277">
        <v>212</v>
      </c>
      <c r="L277">
        <f>IFERROR(VLOOKUP(K277,'Tables new'!$A:$C,3,FALSE),"")</f>
        <v>70</v>
      </c>
      <c r="M277" t="str">
        <f>VLOOKUP(K277,CAT_JOUEUR,2,FALSE)</f>
        <v>Contact famille</v>
      </c>
      <c r="N277">
        <v>212</v>
      </c>
      <c r="O277">
        <f>IFERROR(VLOOKUP(N277,'Tables new'!$A:$C,3,FALSE),"")</f>
        <v>70</v>
      </c>
      <c r="P277" t="str">
        <f>VLOOKUP(N277,CAT_JOUEUR,2,FALSE)</f>
        <v>Contact famille</v>
      </c>
      <c r="V277" t="s">
        <v>89</v>
      </c>
      <c r="AH277" t="s">
        <v>78</v>
      </c>
      <c r="AI277" t="s">
        <v>78</v>
      </c>
      <c r="AJ277" t="s">
        <v>78</v>
      </c>
      <c r="AK277" t="s">
        <v>78</v>
      </c>
      <c r="AL277" t="s">
        <v>79</v>
      </c>
      <c r="AP277">
        <v>661846521</v>
      </c>
      <c r="AQ277" t="s">
        <v>1661</v>
      </c>
    </row>
    <row r="278" spans="1:67" x14ac:dyDescent="0.2">
      <c r="A278" t="s">
        <v>1662</v>
      </c>
      <c r="B278" t="s">
        <v>602</v>
      </c>
      <c r="D278" t="s">
        <v>72</v>
      </c>
      <c r="E278" t="s">
        <v>96</v>
      </c>
      <c r="F278" t="s">
        <v>1307</v>
      </c>
      <c r="G278" t="s">
        <v>1663</v>
      </c>
      <c r="H278" t="s">
        <v>132</v>
      </c>
      <c r="I278" t="s">
        <v>1309</v>
      </c>
      <c r="K278">
        <v>3</v>
      </c>
      <c r="L278">
        <f>IFERROR(VLOOKUP(K278,'Tables new'!$A:$C,3,FALSE),"")</f>
        <v>12</v>
      </c>
      <c r="M278" t="str">
        <f>VLOOKUP(K278,CAT_JOUEUR,2,FALSE)</f>
        <v>U 21 HO</v>
      </c>
      <c r="N278">
        <v>3</v>
      </c>
      <c r="O278">
        <f>IFERROR(VLOOKUP(N278,'Tables new'!$A:$C,3,FALSE),"")</f>
        <v>12</v>
      </c>
      <c r="P278" t="str">
        <f>VLOOKUP(N278,CAT_JOUEUR,2,FALSE)</f>
        <v>U 21 HO</v>
      </c>
      <c r="AA278" t="s">
        <v>1664</v>
      </c>
      <c r="AH278">
        <v>43178</v>
      </c>
      <c r="AI278">
        <v>43170</v>
      </c>
      <c r="AJ278">
        <v>2028</v>
      </c>
      <c r="AK278">
        <v>39751</v>
      </c>
      <c r="AL278" t="s">
        <v>1665</v>
      </c>
      <c r="AP278" t="s">
        <v>1666</v>
      </c>
      <c r="AQ278" t="s">
        <v>1667</v>
      </c>
      <c r="AY278" t="s">
        <v>637</v>
      </c>
      <c r="BA278" t="s">
        <v>136</v>
      </c>
      <c r="BB278" t="s">
        <v>137</v>
      </c>
      <c r="BD278">
        <v>100</v>
      </c>
      <c r="BO278" t="s">
        <v>1668</v>
      </c>
    </row>
    <row r="279" spans="1:67" x14ac:dyDescent="0.2">
      <c r="A279" t="s">
        <v>1669</v>
      </c>
      <c r="B279" t="s">
        <v>1670</v>
      </c>
      <c r="D279" t="s">
        <v>72</v>
      </c>
      <c r="E279" t="s">
        <v>96</v>
      </c>
      <c r="F279" t="s">
        <v>1084</v>
      </c>
      <c r="G279" t="s">
        <v>455</v>
      </c>
      <c r="H279" t="s">
        <v>456</v>
      </c>
      <c r="I279" t="s">
        <v>1085</v>
      </c>
      <c r="K279">
        <v>212</v>
      </c>
      <c r="L279">
        <f>IFERROR(VLOOKUP(K279,'Tables new'!$A:$C,3,FALSE),"")</f>
        <v>70</v>
      </c>
      <c r="M279" t="str">
        <f>VLOOKUP(K279,CAT_JOUEUR,2,FALSE)</f>
        <v>Contact famille</v>
      </c>
      <c r="N279">
        <v>212</v>
      </c>
      <c r="O279">
        <f>IFERROR(VLOOKUP(N279,'Tables new'!$A:$C,3,FALSE),"")</f>
        <v>70</v>
      </c>
      <c r="P279" t="str">
        <f>VLOOKUP(N279,CAT_JOUEUR,2,FALSE)</f>
        <v>Contact famille</v>
      </c>
      <c r="U279" t="s">
        <v>89</v>
      </c>
      <c r="AC279" t="s">
        <v>208</v>
      </c>
      <c r="AH279" t="s">
        <v>78</v>
      </c>
      <c r="AI279">
        <v>44107</v>
      </c>
      <c r="AJ279" t="s">
        <v>78</v>
      </c>
      <c r="AK279" t="s">
        <v>78</v>
      </c>
      <c r="AL279" t="s">
        <v>79</v>
      </c>
      <c r="AP279" t="s">
        <v>1671</v>
      </c>
    </row>
    <row r="280" spans="1:67" x14ac:dyDescent="0.2">
      <c r="A280" t="s">
        <v>1672</v>
      </c>
      <c r="B280" t="s">
        <v>1673</v>
      </c>
      <c r="D280" t="s">
        <v>72</v>
      </c>
      <c r="E280" t="s">
        <v>96</v>
      </c>
      <c r="F280" t="s">
        <v>1674</v>
      </c>
      <c r="G280" t="s">
        <v>1675</v>
      </c>
      <c r="H280" t="s">
        <v>559</v>
      </c>
      <c r="I280" t="s">
        <v>145</v>
      </c>
      <c r="K280">
        <v>1</v>
      </c>
      <c r="L280">
        <f>IFERROR(VLOOKUP(K280,'Tables new'!$A:$C,3,FALSE),"")</f>
        <v>2</v>
      </c>
      <c r="M280" t="str">
        <f>VLOOKUP(K280,CAT_JOUEUR,2,FALSE)</f>
        <v>Officiel H</v>
      </c>
      <c r="N280">
        <v>1</v>
      </c>
      <c r="O280">
        <f>IFERROR(VLOOKUP(N280,'Tables new'!$A:$C,3,FALSE),"")</f>
        <v>2</v>
      </c>
      <c r="P280" t="str">
        <f>VLOOKUP(N280,CAT_JOUEUR,2,FALSE)</f>
        <v>Officiel H</v>
      </c>
      <c r="AB280" t="s">
        <v>1676</v>
      </c>
      <c r="AC280" t="s">
        <v>1676</v>
      </c>
      <c r="AH280">
        <v>28764</v>
      </c>
      <c r="AI280">
        <v>28764</v>
      </c>
      <c r="AJ280" t="s">
        <v>534</v>
      </c>
      <c r="AK280">
        <v>20265</v>
      </c>
      <c r="AL280" t="s">
        <v>1677</v>
      </c>
      <c r="AM280" t="s">
        <v>1678</v>
      </c>
      <c r="AN280" t="s">
        <v>1679</v>
      </c>
      <c r="AP280" t="s">
        <v>1680</v>
      </c>
      <c r="AQ280" t="s">
        <v>1681</v>
      </c>
      <c r="AY280" t="s">
        <v>674</v>
      </c>
      <c r="BA280" t="s">
        <v>136</v>
      </c>
      <c r="BB280" t="s">
        <v>137</v>
      </c>
      <c r="BC280" t="s">
        <v>138</v>
      </c>
      <c r="BD280">
        <v>100</v>
      </c>
      <c r="BO280" t="s">
        <v>921</v>
      </c>
    </row>
    <row r="281" spans="1:67" x14ac:dyDescent="0.2">
      <c r="A281" t="s">
        <v>1672</v>
      </c>
      <c r="B281" t="s">
        <v>1682</v>
      </c>
      <c r="D281" t="s">
        <v>72</v>
      </c>
      <c r="E281" t="s">
        <v>96</v>
      </c>
      <c r="F281" t="s">
        <v>1683</v>
      </c>
      <c r="G281" t="s">
        <v>1684</v>
      </c>
      <c r="H281" t="s">
        <v>99</v>
      </c>
      <c r="I281" t="s">
        <v>145</v>
      </c>
      <c r="K281">
        <v>202</v>
      </c>
      <c r="L281">
        <f>IFERROR(VLOOKUP(K281,'Tables new'!$A:$C,3,FALSE),"")</f>
        <v>62</v>
      </c>
      <c r="M281" t="str">
        <f>VLOOKUP(K281,CAT_JOUEUR,2,FALSE)</f>
        <v>Membre honoraire</v>
      </c>
      <c r="N281">
        <v>202</v>
      </c>
      <c r="O281">
        <f>IFERROR(VLOOKUP(N281,'Tables new'!$A:$C,3,FALSE),"")</f>
        <v>62</v>
      </c>
      <c r="P281" t="str">
        <f>VLOOKUP(N281,CAT_JOUEUR,2,FALSE)</f>
        <v>Membre honoraire</v>
      </c>
      <c r="AH281" t="s">
        <v>78</v>
      </c>
      <c r="AI281">
        <v>44082</v>
      </c>
      <c r="AJ281" t="s">
        <v>78</v>
      </c>
      <c r="AK281" t="s">
        <v>78</v>
      </c>
      <c r="AL281" t="s">
        <v>79</v>
      </c>
      <c r="AP281" t="s">
        <v>1685</v>
      </c>
      <c r="AQ281" t="s">
        <v>1686</v>
      </c>
    </row>
    <row r="282" spans="1:67" x14ac:dyDescent="0.2">
      <c r="A282" t="s">
        <v>1672</v>
      </c>
      <c r="B282" t="s">
        <v>1687</v>
      </c>
      <c r="D282" t="s">
        <v>72</v>
      </c>
      <c r="E282" t="s">
        <v>96</v>
      </c>
      <c r="F282" t="s">
        <v>1278</v>
      </c>
      <c r="G282" t="s">
        <v>285</v>
      </c>
      <c r="H282" t="s">
        <v>286</v>
      </c>
      <c r="I282" t="s">
        <v>1279</v>
      </c>
      <c r="K282">
        <v>9</v>
      </c>
      <c r="L282">
        <f>IFERROR(VLOOKUP(K282,'Tables new'!$A:$C,3,FALSE),"")</f>
        <v>20</v>
      </c>
      <c r="M282" t="str">
        <f>VLOOKUP(K282,CAT_JOUEUR,2,FALSE)</f>
        <v>Vétérans - HO</v>
      </c>
      <c r="N282">
        <v>9</v>
      </c>
      <c r="O282">
        <f>IFERROR(VLOOKUP(N282,'Tables new'!$A:$C,3,FALSE),"")</f>
        <v>20</v>
      </c>
      <c r="P282" t="str">
        <f>VLOOKUP(N282,CAT_JOUEUR,2,FALSE)</f>
        <v>Vétérans - HO</v>
      </c>
      <c r="U282" t="s">
        <v>89</v>
      </c>
      <c r="AA282" t="s">
        <v>1688</v>
      </c>
      <c r="AB282" t="s">
        <v>1689</v>
      </c>
      <c r="AC282" t="s">
        <v>1689</v>
      </c>
      <c r="AH282">
        <v>33276</v>
      </c>
      <c r="AI282">
        <v>33276</v>
      </c>
      <c r="AJ282">
        <v>2028</v>
      </c>
      <c r="AK282">
        <v>30628</v>
      </c>
      <c r="AL282" t="s">
        <v>1690</v>
      </c>
      <c r="AM282" t="s">
        <v>473</v>
      </c>
      <c r="AN282" t="s">
        <v>1691</v>
      </c>
      <c r="AO282" t="s">
        <v>1692</v>
      </c>
      <c r="AP282" t="s">
        <v>1693</v>
      </c>
      <c r="AQ282" t="s">
        <v>1694</v>
      </c>
      <c r="AR282" t="s">
        <v>1695</v>
      </c>
      <c r="AS282" t="s">
        <v>468</v>
      </c>
      <c r="AX282" t="s">
        <v>1696</v>
      </c>
      <c r="AY282" t="s">
        <v>674</v>
      </c>
      <c r="BA282" t="s">
        <v>136</v>
      </c>
      <c r="BB282" t="s">
        <v>271</v>
      </c>
      <c r="BO282" t="s">
        <v>1697</v>
      </c>
    </row>
    <row r="283" spans="1:67" x14ac:dyDescent="0.2">
      <c r="A283" t="s">
        <v>1672</v>
      </c>
      <c r="B283" t="s">
        <v>1698</v>
      </c>
      <c r="D283" t="s">
        <v>72</v>
      </c>
      <c r="E283" t="s">
        <v>96</v>
      </c>
      <c r="F283" t="s">
        <v>1278</v>
      </c>
      <c r="G283" t="s">
        <v>285</v>
      </c>
      <c r="H283" t="s">
        <v>286</v>
      </c>
      <c r="I283" t="s">
        <v>1279</v>
      </c>
      <c r="K283">
        <v>7</v>
      </c>
      <c r="L283">
        <f>IFERROR(VLOOKUP(K283,'Tables new'!$A:$C,3,FALSE),"")</f>
        <v>16</v>
      </c>
      <c r="M283" t="str">
        <f>VLOOKUP(K283,CAT_JOUEUR,2,FALSE)</f>
        <v>U 11 H</v>
      </c>
      <c r="N283">
        <v>7</v>
      </c>
      <c r="O283">
        <f>IFERROR(VLOOKUP(N283,'Tables new'!$A:$C,3,FALSE),"")</f>
        <v>16</v>
      </c>
      <c r="P283" t="str">
        <f>VLOOKUP(N283,CAT_JOUEUR,2,FALSE)</f>
        <v>U 11 H</v>
      </c>
      <c r="U283" t="s">
        <v>113</v>
      </c>
      <c r="AA283" t="s">
        <v>1699</v>
      </c>
      <c r="AH283">
        <v>44151</v>
      </c>
      <c r="AI283">
        <v>43709</v>
      </c>
      <c r="AJ283">
        <v>2028</v>
      </c>
      <c r="AK283">
        <v>42583</v>
      </c>
      <c r="AL283" t="s">
        <v>1700</v>
      </c>
      <c r="AO283" t="s">
        <v>1701</v>
      </c>
      <c r="AP283" t="s">
        <v>1702</v>
      </c>
      <c r="AQ283" t="s">
        <v>1694</v>
      </c>
    </row>
    <row r="284" spans="1:67" x14ac:dyDescent="0.2">
      <c r="A284" t="s">
        <v>1672</v>
      </c>
      <c r="B284" t="s">
        <v>1703</v>
      </c>
      <c r="D284" t="s">
        <v>72</v>
      </c>
      <c r="E284" t="s">
        <v>96</v>
      </c>
      <c r="F284" t="s">
        <v>1704</v>
      </c>
      <c r="G284" t="s">
        <v>1705</v>
      </c>
      <c r="H284" t="s">
        <v>1706</v>
      </c>
      <c r="I284" t="s">
        <v>236</v>
      </c>
      <c r="J284" t="s">
        <v>237</v>
      </c>
      <c r="K284">
        <v>252</v>
      </c>
      <c r="L284">
        <f>IFERROR(VLOOKUP(K284,'Tables new'!$A:$C,3,FALSE),"")</f>
        <v>85</v>
      </c>
      <c r="M284" t="str">
        <f>VLOOKUP(K284,CAT_JOUEUR,2,FALSE)</f>
        <v>Arrêt jeune (garder licence)</v>
      </c>
      <c r="N284">
        <v>18</v>
      </c>
      <c r="O284">
        <f>IFERROR(VLOOKUP(N284,'Tables new'!$A:$C,3,FALSE),"")</f>
        <v>37</v>
      </c>
      <c r="P284" t="str">
        <f>VLOOKUP(N284,CAT_JOUEUR,2,FALSE)</f>
        <v>U 9 F</v>
      </c>
      <c r="V284" t="s">
        <v>113</v>
      </c>
      <c r="AA284" t="s">
        <v>1707</v>
      </c>
      <c r="AH284">
        <v>44124</v>
      </c>
      <c r="AI284">
        <v>44111</v>
      </c>
      <c r="AJ284">
        <v>2025</v>
      </c>
      <c r="AK284">
        <v>43141</v>
      </c>
      <c r="AL284" t="s">
        <v>1708</v>
      </c>
      <c r="AN284" t="s">
        <v>1709</v>
      </c>
      <c r="AO284" t="s">
        <v>1710</v>
      </c>
      <c r="AP284" t="s">
        <v>1711</v>
      </c>
      <c r="AQ284" t="s">
        <v>1712</v>
      </c>
    </row>
    <row r="285" spans="1:67" x14ac:dyDescent="0.2">
      <c r="A285" t="s">
        <v>1672</v>
      </c>
      <c r="B285" t="s">
        <v>232</v>
      </c>
      <c r="D285" t="s">
        <v>72</v>
      </c>
      <c r="E285" t="s">
        <v>96</v>
      </c>
      <c r="F285" t="s">
        <v>1704</v>
      </c>
      <c r="G285" t="s">
        <v>1705</v>
      </c>
      <c r="H285" t="s">
        <v>1706</v>
      </c>
      <c r="I285" t="s">
        <v>236</v>
      </c>
      <c r="J285" t="s">
        <v>237</v>
      </c>
      <c r="K285">
        <v>252</v>
      </c>
      <c r="L285">
        <f>IFERROR(VLOOKUP(K285,'Tables new'!$A:$C,3,FALSE),"")</f>
        <v>85</v>
      </c>
      <c r="M285" t="str">
        <f>VLOOKUP(K285,CAT_JOUEUR,2,FALSE)</f>
        <v>Arrêt jeune (garder licence)</v>
      </c>
      <c r="N285">
        <v>7</v>
      </c>
      <c r="O285">
        <f>IFERROR(VLOOKUP(N285,'Tables new'!$A:$C,3,FALSE),"")</f>
        <v>16</v>
      </c>
      <c r="P285" t="str">
        <f>VLOOKUP(N285,CAT_JOUEUR,2,FALSE)</f>
        <v>U 11 H</v>
      </c>
      <c r="U285" t="s">
        <v>113</v>
      </c>
      <c r="AA285" t="s">
        <v>1713</v>
      </c>
      <c r="AH285">
        <v>44124</v>
      </c>
      <c r="AI285">
        <v>44111</v>
      </c>
      <c r="AJ285">
        <v>2023</v>
      </c>
      <c r="AK285">
        <v>42464</v>
      </c>
      <c r="AL285" t="s">
        <v>1714</v>
      </c>
      <c r="AN285" t="s">
        <v>1709</v>
      </c>
      <c r="AO285" t="s">
        <v>1710</v>
      </c>
      <c r="AP285" t="s">
        <v>1711</v>
      </c>
      <c r="AQ285" t="s">
        <v>1712</v>
      </c>
    </row>
    <row r="286" spans="1:67" x14ac:dyDescent="0.2">
      <c r="A286" t="s">
        <v>1672</v>
      </c>
      <c r="B286" t="s">
        <v>1715</v>
      </c>
      <c r="D286" t="s">
        <v>72</v>
      </c>
      <c r="E286" t="s">
        <v>96</v>
      </c>
      <c r="F286" t="s">
        <v>1716</v>
      </c>
      <c r="G286" t="s">
        <v>1684</v>
      </c>
      <c r="H286" t="s">
        <v>99</v>
      </c>
      <c r="I286" t="s">
        <v>145</v>
      </c>
      <c r="K286">
        <v>150</v>
      </c>
      <c r="L286">
        <f>IFERROR(VLOOKUP(K286,'Tables new'!$A:$C,3,FALSE),"")</f>
        <v>1</v>
      </c>
      <c r="M286" t="str">
        <f>VLOOKUP(K286,CAT_JOUEUR,2,FALSE)</f>
        <v>comité</v>
      </c>
      <c r="N286">
        <v>9</v>
      </c>
      <c r="O286">
        <f>IFERROR(VLOOKUP(N286,'Tables new'!$A:$C,3,FALSE),"")</f>
        <v>20</v>
      </c>
      <c r="P286" t="str">
        <f>VLOOKUP(N286,CAT_JOUEUR,2,FALSE)</f>
        <v>Vétérans - HO</v>
      </c>
      <c r="AA286" t="s">
        <v>1717</v>
      </c>
      <c r="AB286" t="s">
        <v>1718</v>
      </c>
      <c r="AC286" t="s">
        <v>1718</v>
      </c>
      <c r="AH286">
        <v>34228</v>
      </c>
      <c r="AI286">
        <v>34223</v>
      </c>
      <c r="AJ286">
        <v>2027</v>
      </c>
      <c r="AK286">
        <v>31904</v>
      </c>
      <c r="AL286" t="s">
        <v>1719</v>
      </c>
      <c r="AM286" t="s">
        <v>473</v>
      </c>
      <c r="AN286" t="s">
        <v>1679</v>
      </c>
      <c r="AO286" t="s">
        <v>208</v>
      </c>
      <c r="AP286" t="s">
        <v>1720</v>
      </c>
      <c r="AQ286" t="s">
        <v>1721</v>
      </c>
      <c r="AY286" t="s">
        <v>674</v>
      </c>
      <c r="BA286" t="s">
        <v>136</v>
      </c>
      <c r="BB286" t="s">
        <v>137</v>
      </c>
      <c r="BC286" t="s">
        <v>138</v>
      </c>
      <c r="BD286">
        <v>125</v>
      </c>
      <c r="BO286" t="s">
        <v>1400</v>
      </c>
    </row>
    <row r="287" spans="1:67" x14ac:dyDescent="0.2">
      <c r="A287" t="s">
        <v>1722</v>
      </c>
      <c r="B287" t="s">
        <v>1723</v>
      </c>
      <c r="D287" t="s">
        <v>72</v>
      </c>
      <c r="E287" t="s">
        <v>96</v>
      </c>
      <c r="F287" t="s">
        <v>1724</v>
      </c>
      <c r="G287" t="s">
        <v>409</v>
      </c>
      <c r="H287" t="s">
        <v>235</v>
      </c>
      <c r="I287" t="s">
        <v>1725</v>
      </c>
      <c r="K287">
        <v>9</v>
      </c>
      <c r="L287">
        <f>IFERROR(VLOOKUP(K287,'Tables new'!$A:$C,3,FALSE),"")</f>
        <v>20</v>
      </c>
      <c r="M287" t="str">
        <f>VLOOKUP(K287,CAT_JOUEUR,2,FALSE)</f>
        <v>Vétérans - HO</v>
      </c>
      <c r="N287">
        <v>9</v>
      </c>
      <c r="O287">
        <f>IFERROR(VLOOKUP(N287,'Tables new'!$A:$C,3,FALSE),"")</f>
        <v>20</v>
      </c>
      <c r="P287" t="str">
        <f>VLOOKUP(N287,CAT_JOUEUR,2,FALSE)</f>
        <v>Vétérans - HO</v>
      </c>
      <c r="W287" t="s">
        <v>89</v>
      </c>
      <c r="AA287" t="s">
        <v>1726</v>
      </c>
      <c r="AH287">
        <v>43646</v>
      </c>
      <c r="AI287">
        <v>43033</v>
      </c>
      <c r="AJ287">
        <v>2028</v>
      </c>
      <c r="AK287">
        <v>30517</v>
      </c>
      <c r="AL287" t="s">
        <v>1727</v>
      </c>
      <c r="AP287">
        <v>621791631</v>
      </c>
      <c r="AQ287" t="s">
        <v>1728</v>
      </c>
      <c r="AY287" t="s">
        <v>1388</v>
      </c>
      <c r="BA287" t="s">
        <v>136</v>
      </c>
      <c r="BB287" t="s">
        <v>271</v>
      </c>
      <c r="BC287" t="s">
        <v>1330</v>
      </c>
      <c r="BD287">
        <v>200</v>
      </c>
      <c r="BF287" t="s">
        <v>854</v>
      </c>
      <c r="BO287" t="s">
        <v>443</v>
      </c>
    </row>
    <row r="288" spans="1:67" x14ac:dyDescent="0.2">
      <c r="A288" t="s">
        <v>1722</v>
      </c>
      <c r="B288" t="s">
        <v>1729</v>
      </c>
      <c r="D288" t="s">
        <v>72</v>
      </c>
      <c r="E288" t="s">
        <v>96</v>
      </c>
      <c r="F288" t="s">
        <v>1724</v>
      </c>
      <c r="G288" t="s">
        <v>409</v>
      </c>
      <c r="H288" t="s">
        <v>235</v>
      </c>
      <c r="I288" t="s">
        <v>1725</v>
      </c>
      <c r="K288">
        <v>21</v>
      </c>
      <c r="L288">
        <f>IFERROR(VLOOKUP(K288,'Tables new'!$A:$C,3,FALSE),"")</f>
        <v>18</v>
      </c>
      <c r="M288" t="str">
        <f>VLOOKUP(K288,CAT_JOUEUR,2,FALSE)</f>
        <v>U7 Mixte</v>
      </c>
      <c r="N288">
        <v>21</v>
      </c>
      <c r="O288">
        <f>IFERROR(VLOOKUP(N288,'Tables new'!$A:$C,3,FALSE),"")</f>
        <v>18</v>
      </c>
      <c r="P288" t="str">
        <f>VLOOKUP(N288,CAT_JOUEUR,2,FALSE)</f>
        <v>U7 Mixte</v>
      </c>
      <c r="W288" t="s">
        <v>113</v>
      </c>
      <c r="AA288" t="s">
        <v>1730</v>
      </c>
      <c r="AH288">
        <v>45278</v>
      </c>
      <c r="AI288">
        <v>45225</v>
      </c>
      <c r="AJ288">
        <v>2028</v>
      </c>
      <c r="AK288">
        <v>44484</v>
      </c>
      <c r="AL288" t="s">
        <v>1731</v>
      </c>
      <c r="AO288" t="s">
        <v>1732</v>
      </c>
      <c r="AP288" t="s">
        <v>1733</v>
      </c>
      <c r="AQ288" t="s">
        <v>1728</v>
      </c>
    </row>
    <row r="289" spans="1:65" x14ac:dyDescent="0.2">
      <c r="A289" t="s">
        <v>1722</v>
      </c>
      <c r="B289" t="s">
        <v>1051</v>
      </c>
      <c r="D289" t="s">
        <v>72</v>
      </c>
      <c r="E289" t="s">
        <v>96</v>
      </c>
      <c r="F289" t="s">
        <v>1734</v>
      </c>
      <c r="G289" t="s">
        <v>234</v>
      </c>
      <c r="H289" t="s">
        <v>235</v>
      </c>
      <c r="I289" t="s">
        <v>145</v>
      </c>
      <c r="K289">
        <v>2</v>
      </c>
      <c r="L289">
        <f>IFERROR(VLOOKUP(K289,'Tables new'!$A:$C,3,FALSE),"")</f>
        <v>11</v>
      </c>
      <c r="M289" t="str">
        <f>VLOOKUP(K289,CAT_JOUEUR,2,FALSE)</f>
        <v>Seniors - HO</v>
      </c>
      <c r="N289">
        <v>2</v>
      </c>
      <c r="O289">
        <f>IFERROR(VLOOKUP(N289,'Tables new'!$A:$C,3,FALSE),"")</f>
        <v>11</v>
      </c>
      <c r="P289" t="str">
        <f>VLOOKUP(N289,CAT_JOUEUR,2,FALSE)</f>
        <v>Seniors - HO</v>
      </c>
      <c r="AA289" t="s">
        <v>1735</v>
      </c>
      <c r="AH289">
        <v>43878</v>
      </c>
      <c r="AI289">
        <v>43843</v>
      </c>
      <c r="AJ289">
        <v>2031</v>
      </c>
      <c r="AK289">
        <v>33439</v>
      </c>
      <c r="AL289" t="s">
        <v>1736</v>
      </c>
      <c r="AN289" t="s">
        <v>1737</v>
      </c>
      <c r="AP289" t="s">
        <v>1738</v>
      </c>
      <c r="AQ289" t="s">
        <v>1739</v>
      </c>
    </row>
    <row r="290" spans="1:65" x14ac:dyDescent="0.2">
      <c r="A290" t="s">
        <v>1740</v>
      </c>
      <c r="B290" t="s">
        <v>697</v>
      </c>
      <c r="D290" t="s">
        <v>72</v>
      </c>
      <c r="E290" t="s">
        <v>96</v>
      </c>
      <c r="F290" t="s">
        <v>355</v>
      </c>
      <c r="G290" t="s">
        <v>356</v>
      </c>
      <c r="H290" t="s">
        <v>357</v>
      </c>
      <c r="I290" t="s">
        <v>358</v>
      </c>
      <c r="K290">
        <v>212</v>
      </c>
      <c r="L290">
        <f>IFERROR(VLOOKUP(K290,'Tables new'!$A:$C,3,FALSE),"")</f>
        <v>70</v>
      </c>
      <c r="M290" t="str">
        <f>VLOOKUP(K290,CAT_JOUEUR,2,FALSE)</f>
        <v>Contact famille</v>
      </c>
      <c r="N290">
        <v>212</v>
      </c>
      <c r="O290">
        <f>IFERROR(VLOOKUP(N290,'Tables new'!$A:$C,3,FALSE),"")</f>
        <v>70</v>
      </c>
      <c r="P290" t="str">
        <f>VLOOKUP(N290,CAT_JOUEUR,2,FALSE)</f>
        <v>Contact famille</v>
      </c>
      <c r="S290" t="s">
        <v>89</v>
      </c>
      <c r="AH290" t="s">
        <v>78</v>
      </c>
      <c r="AI290" t="s">
        <v>78</v>
      </c>
      <c r="AJ290" t="s">
        <v>78</v>
      </c>
      <c r="AK290" t="s">
        <v>78</v>
      </c>
      <c r="AL290" t="s">
        <v>79</v>
      </c>
      <c r="AQ290" t="s">
        <v>362</v>
      </c>
    </row>
    <row r="291" spans="1:65" x14ac:dyDescent="0.2">
      <c r="A291" t="s">
        <v>1741</v>
      </c>
      <c r="B291" t="s">
        <v>1742</v>
      </c>
      <c r="D291" t="s">
        <v>72</v>
      </c>
      <c r="E291" t="s">
        <v>1743</v>
      </c>
      <c r="F291" t="s">
        <v>1744</v>
      </c>
      <c r="G291" t="s">
        <v>131</v>
      </c>
      <c r="H291" t="s">
        <v>132</v>
      </c>
      <c r="I291" t="s">
        <v>145</v>
      </c>
      <c r="K291">
        <v>2</v>
      </c>
      <c r="L291">
        <f>IFERROR(VLOOKUP(K291,'Tables new'!$A:$C,3,FALSE),"")</f>
        <v>11</v>
      </c>
      <c r="M291" t="str">
        <f>VLOOKUP(K291,CAT_JOUEUR,2,FALSE)</f>
        <v>Seniors - HO</v>
      </c>
      <c r="N291">
        <v>2</v>
      </c>
      <c r="O291">
        <f>IFERROR(VLOOKUP(N291,'Tables new'!$A:$C,3,FALSE),"")</f>
        <v>11</v>
      </c>
      <c r="P291" t="str">
        <f>VLOOKUP(N291,CAT_JOUEUR,2,FALSE)</f>
        <v>Seniors - HO</v>
      </c>
      <c r="AA291" t="s">
        <v>155</v>
      </c>
      <c r="AF291" t="s">
        <v>182</v>
      </c>
      <c r="AI291">
        <v>46214</v>
      </c>
      <c r="AK291">
        <v>37763</v>
      </c>
      <c r="AL291" t="s">
        <v>1745</v>
      </c>
      <c r="AP291">
        <v>661786815</v>
      </c>
      <c r="AQ291" t="s">
        <v>1746</v>
      </c>
    </row>
    <row r="292" spans="1:65" x14ac:dyDescent="0.2">
      <c r="A292" t="s">
        <v>1747</v>
      </c>
      <c r="B292" t="s">
        <v>1748</v>
      </c>
      <c r="D292" t="s">
        <v>83</v>
      </c>
      <c r="E292" t="s">
        <v>1749</v>
      </c>
      <c r="F292" t="s">
        <v>1750</v>
      </c>
      <c r="G292" t="s">
        <v>769</v>
      </c>
      <c r="H292" t="s">
        <v>132</v>
      </c>
      <c r="I292" t="s">
        <v>1751</v>
      </c>
      <c r="K292">
        <v>7</v>
      </c>
      <c r="L292">
        <f>IFERROR(VLOOKUP(K292,'Tables new'!$A:$C,3,FALSE),"")</f>
        <v>16</v>
      </c>
      <c r="M292" t="str">
        <f>VLOOKUP(K292,CAT_JOUEUR,2,FALSE)</f>
        <v>U 11 H</v>
      </c>
      <c r="N292">
        <v>7</v>
      </c>
      <c r="O292">
        <f>IFERROR(VLOOKUP(N292,'Tables new'!$A:$C,3,FALSE),"")</f>
        <v>16</v>
      </c>
      <c r="P292" t="str">
        <f>VLOOKUP(N292,CAT_JOUEUR,2,FALSE)</f>
        <v>U 11 H</v>
      </c>
      <c r="U292" t="s">
        <v>113</v>
      </c>
      <c r="AA292" t="s">
        <v>1752</v>
      </c>
      <c r="AF292" t="s">
        <v>223</v>
      </c>
      <c r="AH292">
        <v>46049</v>
      </c>
      <c r="AI292">
        <v>46038</v>
      </c>
      <c r="AJ292">
        <v>2029</v>
      </c>
      <c r="AK292">
        <v>42885</v>
      </c>
      <c r="AL292" t="s">
        <v>1753</v>
      </c>
      <c r="AP292">
        <v>621667831</v>
      </c>
      <c r="AQ292" t="s">
        <v>1754</v>
      </c>
    </row>
    <row r="293" spans="1:65" x14ac:dyDescent="0.2">
      <c r="A293" t="s">
        <v>1747</v>
      </c>
      <c r="B293" t="s">
        <v>1755</v>
      </c>
      <c r="D293" t="s">
        <v>83</v>
      </c>
      <c r="E293" t="s">
        <v>1749</v>
      </c>
      <c r="F293" t="s">
        <v>1750</v>
      </c>
      <c r="G293" t="s">
        <v>769</v>
      </c>
      <c r="H293" t="s">
        <v>132</v>
      </c>
      <c r="I293" t="s">
        <v>1751</v>
      </c>
      <c r="K293">
        <v>212</v>
      </c>
      <c r="L293">
        <f>IFERROR(VLOOKUP(K293,'Tables new'!$A:$C,3,FALSE),"")</f>
        <v>70</v>
      </c>
      <c r="M293" t="str">
        <f>VLOOKUP(K293,CAT_JOUEUR,2,FALSE)</f>
        <v>Contact famille</v>
      </c>
      <c r="N293">
        <v>212</v>
      </c>
      <c r="O293">
        <f>IFERROR(VLOOKUP(N293,'Tables new'!$A:$C,3,FALSE),"")</f>
        <v>70</v>
      </c>
      <c r="P293" t="str">
        <f>VLOOKUP(N293,CAT_JOUEUR,2,FALSE)</f>
        <v>Contact famille</v>
      </c>
      <c r="U293" t="s">
        <v>89</v>
      </c>
      <c r="AA293" t="s">
        <v>1756</v>
      </c>
      <c r="AH293" t="s">
        <v>78</v>
      </c>
      <c r="AI293" t="s">
        <v>78</v>
      </c>
      <c r="AJ293" t="s">
        <v>78</v>
      </c>
      <c r="AK293" t="s">
        <v>78</v>
      </c>
      <c r="AL293" t="s">
        <v>79</v>
      </c>
    </row>
    <row r="294" spans="1:65" x14ac:dyDescent="0.2">
      <c r="A294" t="s">
        <v>1757</v>
      </c>
      <c r="B294" t="s">
        <v>1758</v>
      </c>
      <c r="D294" t="s">
        <v>83</v>
      </c>
      <c r="E294" t="s">
        <v>1749</v>
      </c>
      <c r="F294" t="s">
        <v>1750</v>
      </c>
      <c r="G294" t="s">
        <v>769</v>
      </c>
      <c r="H294" t="s">
        <v>132</v>
      </c>
      <c r="I294" t="s">
        <v>1751</v>
      </c>
      <c r="K294">
        <v>212</v>
      </c>
      <c r="L294">
        <f>IFERROR(VLOOKUP(K294,'Tables new'!$A:$C,3,FALSE),"")</f>
        <v>70</v>
      </c>
      <c r="M294" t="str">
        <f>VLOOKUP(K294,CAT_JOUEUR,2,FALSE)</f>
        <v>Contact famille</v>
      </c>
      <c r="N294">
        <v>212</v>
      </c>
      <c r="O294">
        <f>IFERROR(VLOOKUP(N294,'Tables new'!$A:$C,3,FALSE),"")</f>
        <v>70</v>
      </c>
      <c r="P294" t="str">
        <f>VLOOKUP(N294,CAT_JOUEUR,2,FALSE)</f>
        <v>Contact famille</v>
      </c>
      <c r="U294" t="s">
        <v>89</v>
      </c>
      <c r="AH294" t="s">
        <v>78</v>
      </c>
      <c r="AI294" t="s">
        <v>78</v>
      </c>
      <c r="AJ294" t="s">
        <v>78</v>
      </c>
      <c r="AK294" t="s">
        <v>78</v>
      </c>
      <c r="AL294" t="s">
        <v>79</v>
      </c>
      <c r="AP294">
        <v>621667831</v>
      </c>
      <c r="AQ294" t="s">
        <v>1754</v>
      </c>
    </row>
    <row r="295" spans="1:65" x14ac:dyDescent="0.2">
      <c r="A295" t="s">
        <v>1759</v>
      </c>
      <c r="B295" t="s">
        <v>1760</v>
      </c>
      <c r="D295" t="s">
        <v>72</v>
      </c>
      <c r="E295" t="s">
        <v>261</v>
      </c>
      <c r="F295" t="s">
        <v>1761</v>
      </c>
      <c r="G295" t="s">
        <v>1109</v>
      </c>
      <c r="H295" t="s">
        <v>132</v>
      </c>
      <c r="I295" t="s">
        <v>145</v>
      </c>
      <c r="K295">
        <v>2</v>
      </c>
      <c r="L295">
        <f>IFERROR(VLOOKUP(K295,'Tables new'!$A:$C,3,FALSE),"")</f>
        <v>11</v>
      </c>
      <c r="M295" t="str">
        <f>VLOOKUP(K295,CAT_JOUEUR,2,FALSE)</f>
        <v>Seniors - HO</v>
      </c>
      <c r="N295">
        <v>2</v>
      </c>
      <c r="O295">
        <f>IFERROR(VLOOKUP(N295,'Tables new'!$A:$C,3,FALSE),"")</f>
        <v>11</v>
      </c>
      <c r="P295" t="str">
        <f>VLOOKUP(N295,CAT_JOUEUR,2,FALSE)</f>
        <v>Seniors - HO</v>
      </c>
      <c r="AA295" t="s">
        <v>1762</v>
      </c>
      <c r="AH295">
        <v>43844</v>
      </c>
      <c r="AI295">
        <v>43801</v>
      </c>
      <c r="AJ295">
        <v>2030</v>
      </c>
      <c r="AK295">
        <v>36652</v>
      </c>
      <c r="AL295" t="s">
        <v>1763</v>
      </c>
      <c r="AN295" t="s">
        <v>1764</v>
      </c>
      <c r="AO295" t="s">
        <v>208</v>
      </c>
      <c r="AP295" t="s">
        <v>1765</v>
      </c>
      <c r="AQ295" t="s">
        <v>1766</v>
      </c>
    </row>
    <row r="296" spans="1:65" x14ac:dyDescent="0.2">
      <c r="A296" t="s">
        <v>1759</v>
      </c>
      <c r="B296" t="s">
        <v>656</v>
      </c>
      <c r="D296" t="s">
        <v>72</v>
      </c>
      <c r="E296" t="s">
        <v>1767</v>
      </c>
      <c r="F296" t="s">
        <v>1768</v>
      </c>
      <c r="G296" t="s">
        <v>827</v>
      </c>
      <c r="H296" t="s">
        <v>828</v>
      </c>
      <c r="I296" t="s">
        <v>145</v>
      </c>
      <c r="K296">
        <v>2</v>
      </c>
      <c r="L296">
        <f>IFERROR(VLOOKUP(K296,'Tables new'!$A:$C,3,FALSE),"")</f>
        <v>11</v>
      </c>
      <c r="M296" t="str">
        <f>VLOOKUP(K296,CAT_JOUEUR,2,FALSE)</f>
        <v>Seniors - HO</v>
      </c>
      <c r="N296">
        <v>2</v>
      </c>
      <c r="O296">
        <f>IFERROR(VLOOKUP(N296,'Tables new'!$A:$C,3,FALSE),"")</f>
        <v>11</v>
      </c>
      <c r="P296" t="str">
        <f>VLOOKUP(N296,CAT_JOUEUR,2,FALSE)</f>
        <v>Seniors - HO</v>
      </c>
      <c r="AA296" t="s">
        <v>1769</v>
      </c>
      <c r="AH296">
        <v>43712</v>
      </c>
      <c r="AI296">
        <v>43696</v>
      </c>
      <c r="AJ296">
        <v>2030</v>
      </c>
      <c r="AK296">
        <v>33214</v>
      </c>
      <c r="AL296" t="s">
        <v>1770</v>
      </c>
      <c r="AP296" t="s">
        <v>1771</v>
      </c>
      <c r="AQ296" t="s">
        <v>1772</v>
      </c>
      <c r="AY296" t="s">
        <v>270</v>
      </c>
      <c r="BA296" t="s">
        <v>136</v>
      </c>
      <c r="BB296" t="s">
        <v>271</v>
      </c>
      <c r="BD296">
        <v>200</v>
      </c>
      <c r="BF296" t="s">
        <v>854</v>
      </c>
    </row>
    <row r="297" spans="1:65" x14ac:dyDescent="0.2">
      <c r="A297" t="s">
        <v>1773</v>
      </c>
      <c r="B297" t="s">
        <v>1428</v>
      </c>
      <c r="D297" t="s">
        <v>72</v>
      </c>
      <c r="E297" t="s">
        <v>96</v>
      </c>
      <c r="F297" t="s">
        <v>1774</v>
      </c>
      <c r="G297" t="s">
        <v>247</v>
      </c>
      <c r="H297" t="s">
        <v>108</v>
      </c>
      <c r="I297" t="s">
        <v>236</v>
      </c>
      <c r="J297" t="s">
        <v>237</v>
      </c>
      <c r="K297">
        <v>252</v>
      </c>
      <c r="L297">
        <f>IFERROR(VLOOKUP(K297,'Tables new'!$A:$C,3,FALSE),"")</f>
        <v>85</v>
      </c>
      <c r="M297" t="str">
        <f>VLOOKUP(K297,CAT_JOUEUR,2,FALSE)</f>
        <v>Arrêt jeune (garder licence)</v>
      </c>
      <c r="N297">
        <v>5</v>
      </c>
      <c r="O297">
        <f>IFERROR(VLOOKUP(N297,'Tables new'!$A:$C,3,FALSE),"")</f>
        <v>14</v>
      </c>
      <c r="P297" t="str">
        <f>VLOOKUP(N297,CAT_JOUEUR,2,FALSE)</f>
        <v>U 15 H</v>
      </c>
      <c r="S297" t="s">
        <v>113</v>
      </c>
      <c r="AA297" t="s">
        <v>1775</v>
      </c>
      <c r="AH297">
        <v>44645</v>
      </c>
      <c r="AI297">
        <v>44638</v>
      </c>
      <c r="AJ297">
        <v>2024</v>
      </c>
      <c r="AK297">
        <v>41181</v>
      </c>
      <c r="AL297" t="s">
        <v>1776</v>
      </c>
      <c r="AO297" t="s">
        <v>1777</v>
      </c>
      <c r="AP297" t="s">
        <v>1778</v>
      </c>
      <c r="AQ297" t="s">
        <v>1779</v>
      </c>
    </row>
    <row r="298" spans="1:65" x14ac:dyDescent="0.2">
      <c r="A298" t="s">
        <v>1780</v>
      </c>
      <c r="B298" t="s">
        <v>1781</v>
      </c>
      <c r="D298" t="s">
        <v>72</v>
      </c>
      <c r="E298" t="s">
        <v>96</v>
      </c>
      <c r="F298" t="s">
        <v>1782</v>
      </c>
      <c r="G298" t="s">
        <v>1783</v>
      </c>
      <c r="H298" t="s">
        <v>108</v>
      </c>
      <c r="I298" t="s">
        <v>1784</v>
      </c>
      <c r="K298">
        <v>7</v>
      </c>
      <c r="L298">
        <f>IFERROR(VLOOKUP(K298,'Tables new'!$A:$C,3,FALSE),"")</f>
        <v>16</v>
      </c>
      <c r="M298" t="str">
        <f>VLOOKUP(K298,CAT_JOUEUR,2,FALSE)</f>
        <v>U 11 H</v>
      </c>
      <c r="N298">
        <v>7</v>
      </c>
      <c r="O298">
        <f>IFERROR(VLOOKUP(N298,'Tables new'!$A:$C,3,FALSE),"")</f>
        <v>16</v>
      </c>
      <c r="P298" t="str">
        <f>VLOOKUP(N298,CAT_JOUEUR,2,FALSE)</f>
        <v>U 11 H</v>
      </c>
      <c r="U298" t="s">
        <v>113</v>
      </c>
      <c r="AA298" t="s">
        <v>1785</v>
      </c>
      <c r="AH298" t="s">
        <v>1786</v>
      </c>
      <c r="AI298">
        <v>44523</v>
      </c>
      <c r="AJ298">
        <v>2029</v>
      </c>
      <c r="AK298">
        <v>42893</v>
      </c>
      <c r="AL298" t="s">
        <v>1787</v>
      </c>
      <c r="AO298" t="s">
        <v>1788</v>
      </c>
      <c r="AP298" t="s">
        <v>1789</v>
      </c>
      <c r="AQ298" t="s">
        <v>1790</v>
      </c>
      <c r="BM298" t="s">
        <v>822</v>
      </c>
    </row>
    <row r="299" spans="1:65" x14ac:dyDescent="0.2">
      <c r="A299" t="s">
        <v>1780</v>
      </c>
      <c r="B299" t="s">
        <v>644</v>
      </c>
      <c r="D299" t="s">
        <v>72</v>
      </c>
      <c r="E299" t="s">
        <v>96</v>
      </c>
      <c r="F299" t="s">
        <v>1782</v>
      </c>
      <c r="G299" t="s">
        <v>1783</v>
      </c>
      <c r="H299" t="s">
        <v>108</v>
      </c>
      <c r="I299" t="s">
        <v>1784</v>
      </c>
      <c r="K299">
        <v>212</v>
      </c>
      <c r="L299">
        <f>IFERROR(VLOOKUP(K299,'Tables new'!$A:$C,3,FALSE),"")</f>
        <v>70</v>
      </c>
      <c r="M299" t="str">
        <f>VLOOKUP(K299,CAT_JOUEUR,2,FALSE)</f>
        <v>Contact famille</v>
      </c>
      <c r="N299">
        <v>212</v>
      </c>
      <c r="O299">
        <f>IFERROR(VLOOKUP(N299,'Tables new'!$A:$C,3,FALSE),"")</f>
        <v>70</v>
      </c>
      <c r="P299" t="str">
        <f>VLOOKUP(N299,CAT_JOUEUR,2,FALSE)</f>
        <v>Contact famille</v>
      </c>
      <c r="U299" t="s">
        <v>89</v>
      </c>
      <c r="AH299" t="s">
        <v>78</v>
      </c>
      <c r="AI299" t="s">
        <v>78</v>
      </c>
      <c r="AJ299" t="s">
        <v>78</v>
      </c>
      <c r="AK299" t="s">
        <v>78</v>
      </c>
      <c r="AL299" t="s">
        <v>79</v>
      </c>
      <c r="AP299">
        <v>691528563</v>
      </c>
      <c r="AQ299" t="s">
        <v>1790</v>
      </c>
    </row>
    <row r="300" spans="1:65" x14ac:dyDescent="0.2">
      <c r="A300" t="s">
        <v>1791</v>
      </c>
      <c r="B300" t="s">
        <v>1792</v>
      </c>
      <c r="D300" t="s">
        <v>72</v>
      </c>
      <c r="E300" t="s">
        <v>96</v>
      </c>
      <c r="F300" t="s">
        <v>1793</v>
      </c>
      <c r="G300" t="s">
        <v>1358</v>
      </c>
      <c r="H300" t="s">
        <v>584</v>
      </c>
      <c r="I300" t="s">
        <v>1794</v>
      </c>
      <c r="K300">
        <v>15</v>
      </c>
      <c r="L300">
        <f>IFERROR(VLOOKUP(K300,'Tables new'!$A:$C,3,FALSE),"")</f>
        <v>35</v>
      </c>
      <c r="M300" t="str">
        <f>VLOOKUP(K300,CAT_JOUEUR,2,FALSE)</f>
        <v>U 13 F</v>
      </c>
      <c r="N300">
        <v>15</v>
      </c>
      <c r="O300">
        <f>IFERROR(VLOOKUP(N300,'Tables new'!$A:$C,3,FALSE),"")</f>
        <v>35</v>
      </c>
      <c r="P300" t="str">
        <f>VLOOKUP(N300,CAT_JOUEUR,2,FALSE)</f>
        <v>U 13 F</v>
      </c>
      <c r="Z300" t="s">
        <v>113</v>
      </c>
      <c r="AA300" t="s">
        <v>1795</v>
      </c>
      <c r="AF300" t="s">
        <v>223</v>
      </c>
      <c r="AH300">
        <v>46183</v>
      </c>
      <c r="AI300">
        <v>46182</v>
      </c>
      <c r="AJ300">
        <v>2029</v>
      </c>
      <c r="AK300">
        <v>41691</v>
      </c>
      <c r="AL300" t="s">
        <v>1796</v>
      </c>
      <c r="AO300" t="s">
        <v>1797</v>
      </c>
      <c r="AP300" t="s">
        <v>1798</v>
      </c>
      <c r="AQ300" t="s">
        <v>1799</v>
      </c>
    </row>
    <row r="301" spans="1:65" x14ac:dyDescent="0.2">
      <c r="A301" t="s">
        <v>1791</v>
      </c>
      <c r="B301" t="s">
        <v>602</v>
      </c>
      <c r="D301" t="s">
        <v>72</v>
      </c>
      <c r="E301" t="s">
        <v>96</v>
      </c>
      <c r="F301" t="s">
        <v>1793</v>
      </c>
      <c r="G301" t="s">
        <v>1358</v>
      </c>
      <c r="H301" t="s">
        <v>584</v>
      </c>
      <c r="I301" t="s">
        <v>1794</v>
      </c>
      <c r="K301">
        <v>212</v>
      </c>
      <c r="L301">
        <f>IFERROR(VLOOKUP(K301,'Tables new'!$A:$C,3,FALSE),"")</f>
        <v>70</v>
      </c>
      <c r="M301" t="str">
        <f>VLOOKUP(K301,CAT_JOUEUR,2,FALSE)</f>
        <v>Contact famille</v>
      </c>
      <c r="N301">
        <v>212</v>
      </c>
      <c r="O301">
        <f>IFERROR(VLOOKUP(N301,'Tables new'!$A:$C,3,FALSE),"")</f>
        <v>70</v>
      </c>
      <c r="P301" t="str">
        <f>VLOOKUP(N301,CAT_JOUEUR,2,FALSE)</f>
        <v>Contact famille</v>
      </c>
      <c r="Z301" t="s">
        <v>89</v>
      </c>
      <c r="AH301" t="s">
        <v>78</v>
      </c>
      <c r="AI301" t="s">
        <v>78</v>
      </c>
      <c r="AJ301" t="s">
        <v>78</v>
      </c>
      <c r="AK301" t="s">
        <v>78</v>
      </c>
      <c r="AL301" t="s">
        <v>79</v>
      </c>
      <c r="AP301">
        <v>691419128</v>
      </c>
    </row>
    <row r="302" spans="1:65" x14ac:dyDescent="0.2">
      <c r="A302" t="s">
        <v>1800</v>
      </c>
      <c r="B302" t="s">
        <v>1801</v>
      </c>
      <c r="D302" t="s">
        <v>72</v>
      </c>
      <c r="E302" t="s">
        <v>96</v>
      </c>
      <c r="F302" t="s">
        <v>1042</v>
      </c>
      <c r="G302" t="s">
        <v>1043</v>
      </c>
      <c r="H302" t="s">
        <v>1044</v>
      </c>
      <c r="I302" t="s">
        <v>1045</v>
      </c>
      <c r="K302">
        <v>212</v>
      </c>
      <c r="L302">
        <f>IFERROR(VLOOKUP(K302,'Tables new'!$A:$C,3,FALSE),"")</f>
        <v>70</v>
      </c>
      <c r="M302" t="str">
        <f>VLOOKUP(K302,CAT_JOUEUR,2,FALSE)</f>
        <v>Contact famille</v>
      </c>
      <c r="N302">
        <v>212</v>
      </c>
      <c r="O302">
        <f>IFERROR(VLOOKUP(N302,'Tables new'!$A:$C,3,FALSE),"")</f>
        <v>70</v>
      </c>
      <c r="P302" t="str">
        <f>VLOOKUP(N302,CAT_JOUEUR,2,FALSE)</f>
        <v>Contact famille</v>
      </c>
      <c r="V302" t="s">
        <v>89</v>
      </c>
      <c r="W302" t="s">
        <v>89</v>
      </c>
      <c r="AH302" t="s">
        <v>78</v>
      </c>
      <c r="AI302" t="s">
        <v>78</v>
      </c>
      <c r="AJ302" t="s">
        <v>78</v>
      </c>
      <c r="AK302" t="s">
        <v>78</v>
      </c>
      <c r="AL302" t="s">
        <v>79</v>
      </c>
      <c r="AP302">
        <v>691626937</v>
      </c>
      <c r="AQ302" t="s">
        <v>1050</v>
      </c>
    </row>
    <row r="303" spans="1:65" x14ac:dyDescent="0.2">
      <c r="A303" t="s">
        <v>1802</v>
      </c>
      <c r="B303" t="s">
        <v>1803</v>
      </c>
      <c r="D303" t="s">
        <v>72</v>
      </c>
      <c r="E303" t="s">
        <v>96</v>
      </c>
      <c r="F303" t="s">
        <v>1804</v>
      </c>
      <c r="G303" t="s">
        <v>1805</v>
      </c>
      <c r="H303" t="s">
        <v>1242</v>
      </c>
      <c r="I303" t="s">
        <v>1806</v>
      </c>
      <c r="K303">
        <v>212</v>
      </c>
      <c r="L303">
        <f>IFERROR(VLOOKUP(K303,'Tables new'!$A:$C,3,FALSE),"")</f>
        <v>70</v>
      </c>
      <c r="M303" t="str">
        <f>VLOOKUP(K303,CAT_JOUEUR,2,FALSE)</f>
        <v>Contact famille</v>
      </c>
      <c r="N303">
        <v>212</v>
      </c>
      <c r="O303">
        <f>IFERROR(VLOOKUP(N303,'Tables new'!$A:$C,3,FALSE),"")</f>
        <v>70</v>
      </c>
      <c r="P303" t="str">
        <f>VLOOKUP(N303,CAT_JOUEUR,2,FALSE)</f>
        <v>Contact famille</v>
      </c>
      <c r="U303" t="s">
        <v>89</v>
      </c>
      <c r="AH303" t="s">
        <v>78</v>
      </c>
      <c r="AI303" t="s">
        <v>78</v>
      </c>
      <c r="AJ303" t="s">
        <v>78</v>
      </c>
      <c r="AK303">
        <v>28397</v>
      </c>
      <c r="AL303" t="s">
        <v>1807</v>
      </c>
      <c r="AP303">
        <v>661977929</v>
      </c>
      <c r="AQ303" t="s">
        <v>1808</v>
      </c>
    </row>
    <row r="304" spans="1:65" x14ac:dyDescent="0.2">
      <c r="A304" t="s">
        <v>1809</v>
      </c>
      <c r="B304" t="s">
        <v>1239</v>
      </c>
      <c r="D304" t="s">
        <v>72</v>
      </c>
      <c r="E304" t="s">
        <v>96</v>
      </c>
      <c r="F304" t="s">
        <v>1804</v>
      </c>
      <c r="G304" t="s">
        <v>1805</v>
      </c>
      <c r="H304" t="s">
        <v>1242</v>
      </c>
      <c r="I304" t="s">
        <v>1806</v>
      </c>
      <c r="K304">
        <v>7</v>
      </c>
      <c r="L304">
        <f>IFERROR(VLOOKUP(K304,'Tables new'!$A:$C,3,FALSE),"")</f>
        <v>16</v>
      </c>
      <c r="M304" t="str">
        <f>VLOOKUP(K304,CAT_JOUEUR,2,FALSE)</f>
        <v>U 11 H</v>
      </c>
      <c r="N304">
        <v>7</v>
      </c>
      <c r="O304">
        <f>IFERROR(VLOOKUP(N304,'Tables new'!$A:$C,3,FALSE),"")</f>
        <v>16</v>
      </c>
      <c r="P304" t="str">
        <f>VLOOKUP(N304,CAT_JOUEUR,2,FALSE)</f>
        <v>U 11 H</v>
      </c>
      <c r="U304" t="s">
        <v>113</v>
      </c>
      <c r="AA304" t="s">
        <v>1810</v>
      </c>
      <c r="AH304">
        <v>45223</v>
      </c>
      <c r="AI304">
        <v>45122</v>
      </c>
      <c r="AJ304">
        <v>2029</v>
      </c>
      <c r="AK304">
        <v>43089</v>
      </c>
      <c r="AL304" t="s">
        <v>1811</v>
      </c>
      <c r="AP304" t="s">
        <v>1812</v>
      </c>
      <c r="AQ304" t="s">
        <v>1808</v>
      </c>
    </row>
    <row r="305" spans="1:67" x14ac:dyDescent="0.2">
      <c r="A305" t="s">
        <v>1813</v>
      </c>
      <c r="B305" t="s">
        <v>1814</v>
      </c>
      <c r="D305" t="s">
        <v>72</v>
      </c>
      <c r="E305" t="s">
        <v>981</v>
      </c>
      <c r="F305" t="s">
        <v>1815</v>
      </c>
      <c r="G305" t="s">
        <v>416</v>
      </c>
      <c r="H305" t="s">
        <v>192</v>
      </c>
      <c r="I305" t="s">
        <v>1816</v>
      </c>
      <c r="K305">
        <v>212</v>
      </c>
      <c r="L305">
        <f>IFERROR(VLOOKUP(K305,'Tables new'!$A:$C,3,FALSE),"")</f>
        <v>70</v>
      </c>
      <c r="M305" t="str">
        <f>VLOOKUP(K305,CAT_JOUEUR,2,FALSE)</f>
        <v>Contact famille</v>
      </c>
      <c r="N305">
        <v>212</v>
      </c>
      <c r="O305">
        <f>IFERROR(VLOOKUP(N305,'Tables new'!$A:$C,3,FALSE),"")</f>
        <v>70</v>
      </c>
      <c r="P305" t="str">
        <f>VLOOKUP(N305,CAT_JOUEUR,2,FALSE)</f>
        <v>Contact famille</v>
      </c>
      <c r="U305" t="s">
        <v>89</v>
      </c>
      <c r="AH305" t="s">
        <v>78</v>
      </c>
      <c r="AI305" t="s">
        <v>78</v>
      </c>
      <c r="AJ305" t="s">
        <v>78</v>
      </c>
      <c r="AK305" t="s">
        <v>78</v>
      </c>
      <c r="AL305" t="s">
        <v>79</v>
      </c>
      <c r="AP305">
        <v>661118094</v>
      </c>
      <c r="AQ305" t="s">
        <v>1817</v>
      </c>
    </row>
    <row r="306" spans="1:67" x14ac:dyDescent="0.2">
      <c r="A306" t="s">
        <v>1818</v>
      </c>
      <c r="B306" t="s">
        <v>1819</v>
      </c>
      <c r="D306" t="s">
        <v>72</v>
      </c>
      <c r="E306" t="s">
        <v>96</v>
      </c>
      <c r="F306" t="s">
        <v>1782</v>
      </c>
      <c r="G306" t="s">
        <v>1783</v>
      </c>
      <c r="H306" t="s">
        <v>108</v>
      </c>
      <c r="I306" t="s">
        <v>1784</v>
      </c>
      <c r="J306" t="s">
        <v>208</v>
      </c>
      <c r="K306">
        <v>212</v>
      </c>
      <c r="L306">
        <f>IFERROR(VLOOKUP(K306,'Tables new'!$A:$C,3,FALSE),"")</f>
        <v>70</v>
      </c>
      <c r="M306" t="str">
        <f>VLOOKUP(K306,CAT_JOUEUR,2,FALSE)</f>
        <v>Contact famille</v>
      </c>
      <c r="N306">
        <v>212</v>
      </c>
      <c r="O306">
        <f>IFERROR(VLOOKUP(N306,'Tables new'!$A:$C,3,FALSE),"")</f>
        <v>70</v>
      </c>
      <c r="P306" t="str">
        <f>VLOOKUP(N306,CAT_JOUEUR,2,FALSE)</f>
        <v>Contact famille</v>
      </c>
      <c r="U306" t="s">
        <v>89</v>
      </c>
      <c r="AH306" t="s">
        <v>78</v>
      </c>
      <c r="AI306" t="s">
        <v>78</v>
      </c>
      <c r="AJ306" t="s">
        <v>78</v>
      </c>
      <c r="AK306" t="s">
        <v>78</v>
      </c>
      <c r="AL306" t="s">
        <v>79</v>
      </c>
      <c r="AP306">
        <v>661875908</v>
      </c>
      <c r="AQ306" t="s">
        <v>1820</v>
      </c>
    </row>
    <row r="307" spans="1:67" x14ac:dyDescent="0.2">
      <c r="A307" t="s">
        <v>1821</v>
      </c>
      <c r="B307" t="s">
        <v>1822</v>
      </c>
      <c r="D307" t="s">
        <v>72</v>
      </c>
      <c r="E307" t="s">
        <v>96</v>
      </c>
      <c r="F307" t="s">
        <v>1823</v>
      </c>
      <c r="G307" t="s">
        <v>1481</v>
      </c>
      <c r="H307" t="s">
        <v>1824</v>
      </c>
      <c r="I307" t="s">
        <v>145</v>
      </c>
      <c r="K307">
        <v>12</v>
      </c>
      <c r="L307">
        <v>31</v>
      </c>
      <c r="M307" t="s">
        <v>265</v>
      </c>
      <c r="N307">
        <v>12</v>
      </c>
      <c r="O307">
        <f>IFERROR(VLOOKUP(N307,'Tables new'!$A:$C,3,FALSE),"")</f>
        <v>31</v>
      </c>
      <c r="P307" t="str">
        <f>VLOOKUP(N307,CAT_JOUEUR,2,FALSE)</f>
        <v>Femmes</v>
      </c>
      <c r="AA307" t="s">
        <v>1825</v>
      </c>
      <c r="AB307" t="s">
        <v>1825</v>
      </c>
      <c r="AC307" t="s">
        <v>1825</v>
      </c>
      <c r="AH307">
        <v>38639</v>
      </c>
      <c r="AI307">
        <v>38639</v>
      </c>
      <c r="AJ307">
        <v>2035</v>
      </c>
      <c r="AK307">
        <v>34741</v>
      </c>
      <c r="AL307" t="s">
        <v>1826</v>
      </c>
      <c r="AM307" t="s">
        <v>473</v>
      </c>
      <c r="AN307" t="s">
        <v>1827</v>
      </c>
      <c r="AP307" t="s">
        <v>1828</v>
      </c>
      <c r="AQ307" t="s">
        <v>1829</v>
      </c>
      <c r="AY307" t="s">
        <v>442</v>
      </c>
      <c r="BA307" t="s">
        <v>136</v>
      </c>
      <c r="BB307" t="s">
        <v>271</v>
      </c>
      <c r="BD307">
        <v>50</v>
      </c>
      <c r="BO307" t="s">
        <v>1830</v>
      </c>
    </row>
    <row r="308" spans="1:67" x14ac:dyDescent="0.2">
      <c r="A308" t="s">
        <v>1831</v>
      </c>
      <c r="B308" t="s">
        <v>1832</v>
      </c>
      <c r="D308" t="s">
        <v>72</v>
      </c>
      <c r="E308" t="s">
        <v>96</v>
      </c>
      <c r="F308" t="s">
        <v>1833</v>
      </c>
      <c r="G308" t="s">
        <v>375</v>
      </c>
      <c r="H308" t="s">
        <v>376</v>
      </c>
      <c r="I308" t="s">
        <v>1834</v>
      </c>
      <c r="K308">
        <v>11</v>
      </c>
      <c r="L308">
        <f>IFERROR(VLOOKUP(K308,'Tables new'!$A:$C,3,FALSE),"")</f>
        <v>4</v>
      </c>
      <c r="M308" t="str">
        <f>VLOOKUP(K308,CAT_JOUEUR,2,FALSE)</f>
        <v>Officiel FE</v>
      </c>
      <c r="N308">
        <v>11</v>
      </c>
      <c r="O308">
        <f>IFERROR(VLOOKUP(N308,'Tables new'!$A:$C,3,FALSE),"")</f>
        <v>4</v>
      </c>
      <c r="P308" t="str">
        <f>VLOOKUP(N308,CAT_JOUEUR,2,FALSE)</f>
        <v>Officiel FE</v>
      </c>
      <c r="S308" t="s">
        <v>89</v>
      </c>
      <c r="T308" t="s">
        <v>89</v>
      </c>
      <c r="AA308" t="s">
        <v>1835</v>
      </c>
      <c r="AB308" t="s">
        <v>1835</v>
      </c>
      <c r="AC308" t="s">
        <v>1835</v>
      </c>
      <c r="AH308">
        <v>44656</v>
      </c>
      <c r="AI308">
        <v>43531</v>
      </c>
      <c r="AJ308">
        <v>2030</v>
      </c>
      <c r="AK308">
        <v>31180</v>
      </c>
      <c r="AL308" t="s">
        <v>1836</v>
      </c>
      <c r="AN308" t="s">
        <v>1837</v>
      </c>
      <c r="AP308" t="s">
        <v>1838</v>
      </c>
      <c r="AQ308" t="s">
        <v>1839</v>
      </c>
      <c r="AS308" t="s">
        <v>468</v>
      </c>
      <c r="AV308" t="s">
        <v>468</v>
      </c>
      <c r="AY308" t="s">
        <v>91</v>
      </c>
      <c r="BA308" t="s">
        <v>136</v>
      </c>
      <c r="BB308" t="s">
        <v>271</v>
      </c>
      <c r="BD308" t="s">
        <v>139</v>
      </c>
    </row>
    <row r="309" spans="1:67" x14ac:dyDescent="0.2">
      <c r="A309" t="s">
        <v>1840</v>
      </c>
      <c r="B309" t="s">
        <v>1841</v>
      </c>
      <c r="D309" t="s">
        <v>72</v>
      </c>
      <c r="E309" t="s">
        <v>1546</v>
      </c>
      <c r="F309" t="s">
        <v>1547</v>
      </c>
      <c r="G309" t="s">
        <v>1548</v>
      </c>
      <c r="H309" t="s">
        <v>336</v>
      </c>
      <c r="I309" t="s">
        <v>1549</v>
      </c>
      <c r="K309">
        <v>21</v>
      </c>
      <c r="L309">
        <f>IFERROR(VLOOKUP(K309,'Tables new'!$A:$C,3,FALSE),"")</f>
        <v>18</v>
      </c>
      <c r="M309" t="str">
        <f>VLOOKUP(K309,CAT_JOUEUR,2,FALSE)</f>
        <v>U7 Mixte</v>
      </c>
      <c r="N309">
        <v>21</v>
      </c>
      <c r="O309">
        <f>IFERROR(VLOOKUP(N309,'Tables new'!$A:$C,3,FALSE),"")</f>
        <v>18</v>
      </c>
      <c r="P309" t="str">
        <f>VLOOKUP(N309,CAT_JOUEUR,2,FALSE)</f>
        <v>U7 Mixte</v>
      </c>
      <c r="W309" t="s">
        <v>113</v>
      </c>
      <c r="AA309" t="s">
        <v>1842</v>
      </c>
      <c r="AF309" t="s">
        <v>223</v>
      </c>
      <c r="AH309">
        <v>46113</v>
      </c>
      <c r="AI309">
        <v>46104</v>
      </c>
      <c r="AJ309">
        <v>2026</v>
      </c>
      <c r="AK309">
        <v>43908</v>
      </c>
      <c r="AL309" t="s">
        <v>1843</v>
      </c>
      <c r="AP309">
        <v>691123907</v>
      </c>
      <c r="AQ309" t="s">
        <v>1844</v>
      </c>
    </row>
    <row r="310" spans="1:67" x14ac:dyDescent="0.2">
      <c r="A310" t="s">
        <v>1840</v>
      </c>
      <c r="B310" t="s">
        <v>1845</v>
      </c>
      <c r="D310" t="s">
        <v>72</v>
      </c>
      <c r="E310" t="s">
        <v>1546</v>
      </c>
      <c r="F310" t="s">
        <v>1547</v>
      </c>
      <c r="G310" t="s">
        <v>1548</v>
      </c>
      <c r="H310" t="s">
        <v>336</v>
      </c>
      <c r="I310" t="s">
        <v>1549</v>
      </c>
      <c r="K310">
        <v>212</v>
      </c>
      <c r="L310">
        <f>IFERROR(VLOOKUP(K310,'Tables new'!$A:$C,3,FALSE),"")</f>
        <v>70</v>
      </c>
      <c r="M310" t="str">
        <f>VLOOKUP(K310,CAT_JOUEUR,2,FALSE)</f>
        <v>Contact famille</v>
      </c>
      <c r="N310">
        <v>212</v>
      </c>
      <c r="O310">
        <f>IFERROR(VLOOKUP(N310,'Tables new'!$A:$C,3,FALSE),"")</f>
        <v>70</v>
      </c>
      <c r="P310" t="str">
        <f>VLOOKUP(N310,CAT_JOUEUR,2,FALSE)</f>
        <v>Contact famille</v>
      </c>
      <c r="W310" t="s">
        <v>89</v>
      </c>
      <c r="AH310" t="s">
        <v>78</v>
      </c>
      <c r="AI310" t="s">
        <v>78</v>
      </c>
      <c r="AJ310" t="s">
        <v>78</v>
      </c>
      <c r="AK310" t="s">
        <v>78</v>
      </c>
      <c r="AL310" t="s">
        <v>79</v>
      </c>
      <c r="AP310">
        <v>691123907</v>
      </c>
      <c r="AQ310" t="s">
        <v>1844</v>
      </c>
    </row>
    <row r="311" spans="1:67" x14ac:dyDescent="0.2">
      <c r="A311" t="s">
        <v>1846</v>
      </c>
      <c r="B311" t="s">
        <v>1847</v>
      </c>
      <c r="D311" t="s">
        <v>72</v>
      </c>
      <c r="E311" t="s">
        <v>1848</v>
      </c>
      <c r="F311" t="s">
        <v>958</v>
      </c>
      <c r="G311" t="s">
        <v>247</v>
      </c>
      <c r="H311" t="s">
        <v>108</v>
      </c>
      <c r="I311" t="s">
        <v>959</v>
      </c>
      <c r="K311">
        <v>212</v>
      </c>
      <c r="L311">
        <f>IFERROR(VLOOKUP(K311,'Tables new'!$A:$C,3,FALSE),"")</f>
        <v>70</v>
      </c>
      <c r="M311" t="str">
        <f>VLOOKUP(K311,CAT_JOUEUR,2,FALSE)</f>
        <v>Contact famille</v>
      </c>
      <c r="N311">
        <v>212</v>
      </c>
      <c r="O311">
        <f>IFERROR(VLOOKUP(N311,'Tables new'!$A:$C,3,FALSE),"")</f>
        <v>70</v>
      </c>
      <c r="P311" t="str">
        <f>VLOOKUP(N311,CAT_JOUEUR,2,FALSE)</f>
        <v>Contact famille</v>
      </c>
      <c r="V311" t="s">
        <v>89</v>
      </c>
      <c r="AH311" t="s">
        <v>78</v>
      </c>
      <c r="AI311" t="s">
        <v>78</v>
      </c>
      <c r="AJ311" t="s">
        <v>78</v>
      </c>
      <c r="AK311" t="s">
        <v>78</v>
      </c>
      <c r="AL311" t="s">
        <v>79</v>
      </c>
      <c r="AP311">
        <v>691435025</v>
      </c>
      <c r="AQ311" t="s">
        <v>1849</v>
      </c>
    </row>
    <row r="312" spans="1:67" x14ac:dyDescent="0.2">
      <c r="A312" t="s">
        <v>1846</v>
      </c>
      <c r="B312" t="s">
        <v>1206</v>
      </c>
      <c r="D312" t="s">
        <v>72</v>
      </c>
      <c r="E312" t="s">
        <v>1848</v>
      </c>
      <c r="F312" t="s">
        <v>958</v>
      </c>
      <c r="G312" t="s">
        <v>247</v>
      </c>
      <c r="H312" t="s">
        <v>108</v>
      </c>
      <c r="I312" t="s">
        <v>959</v>
      </c>
      <c r="K312">
        <v>18</v>
      </c>
      <c r="L312">
        <f>IFERROR(VLOOKUP(K312,'Tables new'!$A:$C,3,FALSE),"")</f>
        <v>37</v>
      </c>
      <c r="M312" t="str">
        <f>VLOOKUP(K312,CAT_JOUEUR,2,FALSE)</f>
        <v>U 9 F</v>
      </c>
      <c r="N312">
        <v>18</v>
      </c>
      <c r="O312">
        <f>IFERROR(VLOOKUP(N312,'Tables new'!$A:$C,3,FALSE),"")</f>
        <v>37</v>
      </c>
      <c r="P312" t="str">
        <f>VLOOKUP(N312,CAT_JOUEUR,2,FALSE)</f>
        <v>U 9 F</v>
      </c>
      <c r="V312" t="s">
        <v>113</v>
      </c>
      <c r="AA312" t="s">
        <v>1850</v>
      </c>
      <c r="AH312">
        <v>45061</v>
      </c>
      <c r="AI312">
        <v>45037</v>
      </c>
      <c r="AJ312">
        <v>2025</v>
      </c>
      <c r="AK312">
        <v>43292</v>
      </c>
      <c r="AL312" t="s">
        <v>1851</v>
      </c>
      <c r="AO312" t="s">
        <v>1852</v>
      </c>
      <c r="AP312" t="s">
        <v>1853</v>
      </c>
      <c r="AQ312" t="s">
        <v>1849</v>
      </c>
    </row>
    <row r="313" spans="1:67" x14ac:dyDescent="0.2">
      <c r="A313" t="s">
        <v>1854</v>
      </c>
      <c r="B313" t="s">
        <v>333</v>
      </c>
      <c r="D313" t="s">
        <v>72</v>
      </c>
      <c r="E313" t="s">
        <v>96</v>
      </c>
      <c r="F313" t="s">
        <v>1855</v>
      </c>
      <c r="G313" t="s">
        <v>431</v>
      </c>
      <c r="H313" t="s">
        <v>432</v>
      </c>
      <c r="I313" t="s">
        <v>1856</v>
      </c>
      <c r="K313">
        <v>212</v>
      </c>
      <c r="L313">
        <f>IFERROR(VLOOKUP(K313,'Tables new'!$A:$C,3,FALSE),"")</f>
        <v>70</v>
      </c>
      <c r="M313" t="str">
        <f>VLOOKUP(K313,CAT_JOUEUR,2,FALSE)</f>
        <v>Contact famille</v>
      </c>
      <c r="N313">
        <v>212</v>
      </c>
      <c r="O313">
        <f>IFERROR(VLOOKUP(N313,'Tables new'!$A:$C,3,FALSE),"")</f>
        <v>70</v>
      </c>
      <c r="P313" t="str">
        <f>VLOOKUP(N313,CAT_JOUEUR,2,FALSE)</f>
        <v>Contact famille</v>
      </c>
      <c r="T313" t="s">
        <v>89</v>
      </c>
      <c r="AH313" t="s">
        <v>78</v>
      </c>
      <c r="AI313" t="s">
        <v>78</v>
      </c>
      <c r="AJ313" t="s">
        <v>78</v>
      </c>
      <c r="AK313" t="s">
        <v>78</v>
      </c>
      <c r="AL313" t="s">
        <v>79</v>
      </c>
      <c r="AP313">
        <v>691567058</v>
      </c>
    </row>
    <row r="314" spans="1:67" x14ac:dyDescent="0.2">
      <c r="A314" t="s">
        <v>3955</v>
      </c>
      <c r="B314" t="s">
        <v>3956</v>
      </c>
      <c r="D314" t="s">
        <v>72</v>
      </c>
      <c r="E314" t="s">
        <v>96</v>
      </c>
      <c r="F314" t="s">
        <v>3953</v>
      </c>
      <c r="G314" t="s">
        <v>1222</v>
      </c>
      <c r="H314" t="s">
        <v>132</v>
      </c>
      <c r="I314" t="s">
        <v>2953</v>
      </c>
      <c r="K314">
        <v>212</v>
      </c>
      <c r="L314">
        <v>70</v>
      </c>
      <c r="M314" t="str">
        <f>VLOOKUP(K314,CAT_JOUEUR,2,FALSE)</f>
        <v>Contact famille</v>
      </c>
      <c r="N314">
        <v>212</v>
      </c>
      <c r="O314">
        <v>70</v>
      </c>
      <c r="P314" t="str">
        <f>VLOOKUP(N314,CAT_JOUEUR,2,FALSE)</f>
        <v>Contact famille</v>
      </c>
      <c r="V314" t="s">
        <v>89</v>
      </c>
      <c r="AO314" t="s">
        <v>3960</v>
      </c>
      <c r="AQ314" s="2" t="s">
        <v>3958</v>
      </c>
    </row>
    <row r="315" spans="1:67" x14ac:dyDescent="0.2">
      <c r="A315" t="s">
        <v>1857</v>
      </c>
      <c r="B315" t="s">
        <v>1858</v>
      </c>
      <c r="D315" t="s">
        <v>72</v>
      </c>
      <c r="E315" t="s">
        <v>96</v>
      </c>
      <c r="F315" t="s">
        <v>1859</v>
      </c>
      <c r="G315" t="s">
        <v>816</v>
      </c>
      <c r="H315" t="s">
        <v>1706</v>
      </c>
      <c r="I315" t="s">
        <v>1860</v>
      </c>
      <c r="K315">
        <v>212</v>
      </c>
      <c r="L315">
        <f>IFERROR(VLOOKUP(K315,'Tables new'!$A:$C,3,FALSE),"")</f>
        <v>70</v>
      </c>
      <c r="M315" t="str">
        <f>VLOOKUP(K315,CAT_JOUEUR,2,FALSE)</f>
        <v>Contact famille</v>
      </c>
      <c r="N315">
        <v>212</v>
      </c>
      <c r="O315">
        <f>IFERROR(VLOOKUP(N315,'Tables new'!$A:$C,3,FALSE),"")</f>
        <v>70</v>
      </c>
      <c r="P315" t="str">
        <f>VLOOKUP(N315,CAT_JOUEUR,2,FALSE)</f>
        <v>Contact famille</v>
      </c>
      <c r="AH315" t="s">
        <v>78</v>
      </c>
      <c r="AI315">
        <v>43178</v>
      </c>
      <c r="AJ315" t="s">
        <v>78</v>
      </c>
      <c r="AK315" t="s">
        <v>78</v>
      </c>
      <c r="AL315" t="s">
        <v>79</v>
      </c>
      <c r="AN315" t="s">
        <v>1861</v>
      </c>
      <c r="AP315" t="s">
        <v>1862</v>
      </c>
      <c r="AQ315" t="s">
        <v>1863</v>
      </c>
      <c r="AY315" t="s">
        <v>637</v>
      </c>
      <c r="BA315" t="s">
        <v>136</v>
      </c>
      <c r="BB315" t="s">
        <v>137</v>
      </c>
      <c r="BC315" t="s">
        <v>694</v>
      </c>
      <c r="BD315" t="s">
        <v>638</v>
      </c>
      <c r="BO315" t="s">
        <v>93</v>
      </c>
    </row>
    <row r="316" spans="1:67" x14ac:dyDescent="0.2">
      <c r="A316" t="s">
        <v>1864</v>
      </c>
      <c r="B316" t="s">
        <v>1865</v>
      </c>
      <c r="D316" t="s">
        <v>72</v>
      </c>
      <c r="E316" t="s">
        <v>123</v>
      </c>
      <c r="F316" t="s">
        <v>124</v>
      </c>
      <c r="G316" t="s">
        <v>125</v>
      </c>
      <c r="H316" t="s">
        <v>126</v>
      </c>
      <c r="I316" t="s">
        <v>127</v>
      </c>
      <c r="K316">
        <v>212</v>
      </c>
      <c r="L316">
        <f>IFERROR(VLOOKUP(K316,'Tables new'!$A:$C,3,FALSE),"")</f>
        <v>70</v>
      </c>
      <c r="M316" t="str">
        <f>VLOOKUP(K316,CAT_JOUEUR,2,FALSE)</f>
        <v>Contact famille</v>
      </c>
      <c r="N316">
        <v>212</v>
      </c>
      <c r="O316">
        <f>IFERROR(VLOOKUP(N316,'Tables new'!$A:$C,3,FALSE),"")</f>
        <v>70</v>
      </c>
      <c r="P316" t="str">
        <f>VLOOKUP(N316,CAT_JOUEUR,2,FALSE)</f>
        <v>Contact famille</v>
      </c>
      <c r="T316" t="s">
        <v>89</v>
      </c>
      <c r="AH316" t="s">
        <v>78</v>
      </c>
      <c r="AI316" t="s">
        <v>78</v>
      </c>
      <c r="AJ316" t="s">
        <v>78</v>
      </c>
      <c r="AK316" t="s">
        <v>78</v>
      </c>
      <c r="AL316" t="s">
        <v>79</v>
      </c>
      <c r="AP316">
        <v>661113163</v>
      </c>
      <c r="AQ316" t="s">
        <v>1866</v>
      </c>
    </row>
    <row r="317" spans="1:67" x14ac:dyDescent="0.2">
      <c r="A317" t="s">
        <v>1867</v>
      </c>
      <c r="B317" t="s">
        <v>1868</v>
      </c>
      <c r="D317" t="s">
        <v>72</v>
      </c>
      <c r="E317" t="s">
        <v>123</v>
      </c>
      <c r="F317" t="s">
        <v>124</v>
      </c>
      <c r="G317" t="s">
        <v>125</v>
      </c>
      <c r="H317" t="s">
        <v>126</v>
      </c>
      <c r="I317" t="s">
        <v>127</v>
      </c>
      <c r="K317">
        <v>6</v>
      </c>
      <c r="L317">
        <f>IFERROR(VLOOKUP(K317,'Tables new'!$A:$C,3,FALSE),"")</f>
        <v>15</v>
      </c>
      <c r="M317" t="str">
        <f>VLOOKUP(K317,CAT_JOUEUR,2,FALSE)</f>
        <v>U 13 H</v>
      </c>
      <c r="N317">
        <v>6</v>
      </c>
      <c r="O317">
        <f>IFERROR(VLOOKUP(N317,'Tables new'!$A:$C,3,FALSE),"")</f>
        <v>15</v>
      </c>
      <c r="P317" t="str">
        <f>VLOOKUP(N317,CAT_JOUEUR,2,FALSE)</f>
        <v>U 13 H</v>
      </c>
      <c r="T317" t="s">
        <v>113</v>
      </c>
      <c r="AA317" t="s">
        <v>1869</v>
      </c>
      <c r="AF317" t="s">
        <v>1870</v>
      </c>
      <c r="AH317">
        <v>46164</v>
      </c>
      <c r="AI317">
        <v>46161</v>
      </c>
      <c r="AJ317">
        <v>2026</v>
      </c>
      <c r="AK317">
        <v>41895</v>
      </c>
      <c r="AL317" t="s">
        <v>1871</v>
      </c>
      <c r="AO317" t="s">
        <v>1872</v>
      </c>
      <c r="AP317" t="s">
        <v>1873</v>
      </c>
      <c r="AQ317" t="s">
        <v>1866</v>
      </c>
    </row>
    <row r="318" spans="1:67" x14ac:dyDescent="0.2">
      <c r="A318" t="s">
        <v>1874</v>
      </c>
      <c r="B318" t="s">
        <v>1875</v>
      </c>
      <c r="D318" t="s">
        <v>72</v>
      </c>
      <c r="E318" t="s">
        <v>96</v>
      </c>
      <c r="F318" t="s">
        <v>1876</v>
      </c>
      <c r="G318" t="s">
        <v>1043</v>
      </c>
      <c r="H318" t="s">
        <v>1044</v>
      </c>
      <c r="I318" t="s">
        <v>1877</v>
      </c>
      <c r="K318">
        <v>5</v>
      </c>
      <c r="L318">
        <f>IFERROR(VLOOKUP(K318,'Tables new'!$A:$C,3,FALSE),"")</f>
        <v>14</v>
      </c>
      <c r="M318" t="str">
        <f>VLOOKUP(K318,CAT_JOUEUR,2,FALSE)</f>
        <v>U 15 H</v>
      </c>
      <c r="N318">
        <v>5</v>
      </c>
      <c r="O318">
        <f>IFERROR(VLOOKUP(N318,'Tables new'!$A:$C,3,FALSE),"")</f>
        <v>14</v>
      </c>
      <c r="P318" t="str">
        <f>VLOOKUP(N318,CAT_JOUEUR,2,FALSE)</f>
        <v>U 15 H</v>
      </c>
      <c r="S318" t="s">
        <v>113</v>
      </c>
      <c r="AA318" t="s">
        <v>1878</v>
      </c>
      <c r="AH318">
        <v>43865</v>
      </c>
      <c r="AI318">
        <v>43848</v>
      </c>
      <c r="AJ318">
        <v>2028</v>
      </c>
      <c r="AK318">
        <v>41284</v>
      </c>
      <c r="AL318" t="s">
        <v>1879</v>
      </c>
      <c r="AN318" t="s">
        <v>1880</v>
      </c>
      <c r="AO318" t="s">
        <v>1881</v>
      </c>
      <c r="AP318" t="s">
        <v>1882</v>
      </c>
      <c r="AQ318" t="s">
        <v>1883</v>
      </c>
      <c r="BD318" t="s">
        <v>783</v>
      </c>
    </row>
    <row r="319" spans="1:67" x14ac:dyDescent="0.2">
      <c r="A319" t="s">
        <v>1874</v>
      </c>
      <c r="B319" t="s">
        <v>1119</v>
      </c>
      <c r="D319" t="s">
        <v>72</v>
      </c>
      <c r="E319" t="s">
        <v>96</v>
      </c>
      <c r="F319" t="s">
        <v>1876</v>
      </c>
      <c r="G319" t="s">
        <v>1043</v>
      </c>
      <c r="H319" t="s">
        <v>1044</v>
      </c>
      <c r="I319" t="s">
        <v>1877</v>
      </c>
      <c r="K319">
        <v>6</v>
      </c>
      <c r="L319">
        <f>IFERROR(VLOOKUP(K319,'Tables new'!$A:$C,3,FALSE),"")</f>
        <v>15</v>
      </c>
      <c r="M319" t="str">
        <f>VLOOKUP(K319,CAT_JOUEUR,2,FALSE)</f>
        <v>U 13 H</v>
      </c>
      <c r="N319">
        <v>6</v>
      </c>
      <c r="O319">
        <f>IFERROR(VLOOKUP(N319,'Tables new'!$A:$C,3,FALSE),"")</f>
        <v>15</v>
      </c>
      <c r="P319" t="str">
        <f>VLOOKUP(N319,CAT_JOUEUR,2,FALSE)</f>
        <v>U 13 H</v>
      </c>
      <c r="T319" t="s">
        <v>113</v>
      </c>
      <c r="AA319" t="s">
        <v>1884</v>
      </c>
      <c r="AH319">
        <v>43865</v>
      </c>
      <c r="AI319">
        <v>43848</v>
      </c>
      <c r="AJ319">
        <v>2027</v>
      </c>
      <c r="AK319">
        <v>42240</v>
      </c>
      <c r="AL319" t="s">
        <v>1885</v>
      </c>
      <c r="AN319" t="s">
        <v>1880</v>
      </c>
      <c r="AO319" t="s">
        <v>1881</v>
      </c>
      <c r="AP319" t="s">
        <v>1882</v>
      </c>
      <c r="AQ319" t="s">
        <v>1883</v>
      </c>
      <c r="BD319" t="s">
        <v>783</v>
      </c>
    </row>
    <row r="320" spans="1:67" x14ac:dyDescent="0.2">
      <c r="A320" t="s">
        <v>1874</v>
      </c>
      <c r="B320" t="s">
        <v>1886</v>
      </c>
      <c r="D320" t="s">
        <v>72</v>
      </c>
      <c r="E320" t="s">
        <v>96</v>
      </c>
      <c r="F320" t="s">
        <v>1876</v>
      </c>
      <c r="G320" t="s">
        <v>1043</v>
      </c>
      <c r="H320" t="s">
        <v>1044</v>
      </c>
      <c r="I320" t="s">
        <v>1877</v>
      </c>
      <c r="K320">
        <v>212</v>
      </c>
      <c r="L320">
        <f>IFERROR(VLOOKUP(K320,'Tables new'!$A:$C,3,FALSE),"")</f>
        <v>70</v>
      </c>
      <c r="M320" t="str">
        <f>VLOOKUP(K320,CAT_JOUEUR,2,FALSE)</f>
        <v>Contact famille</v>
      </c>
      <c r="N320">
        <v>212</v>
      </c>
      <c r="O320">
        <f>IFERROR(VLOOKUP(N320,'Tables new'!$A:$C,3,FALSE),"")</f>
        <v>70</v>
      </c>
      <c r="P320" t="str">
        <f>VLOOKUP(N320,CAT_JOUEUR,2,FALSE)</f>
        <v>Contact famille</v>
      </c>
      <c r="S320" t="s">
        <v>89</v>
      </c>
      <c r="T320" t="s">
        <v>89</v>
      </c>
      <c r="AH320" t="s">
        <v>78</v>
      </c>
      <c r="AI320" t="s">
        <v>78</v>
      </c>
      <c r="AJ320" t="s">
        <v>78</v>
      </c>
      <c r="AK320" t="s">
        <v>78</v>
      </c>
      <c r="AL320" t="s">
        <v>79</v>
      </c>
      <c r="AN320" t="s">
        <v>1880</v>
      </c>
      <c r="AP320" t="s">
        <v>1887</v>
      </c>
    </row>
    <row r="321" spans="1:67" x14ac:dyDescent="0.2">
      <c r="A321" t="s">
        <v>1888</v>
      </c>
      <c r="B321" t="s">
        <v>1889</v>
      </c>
      <c r="D321" t="s">
        <v>72</v>
      </c>
      <c r="E321" t="s">
        <v>96</v>
      </c>
      <c r="F321" t="s">
        <v>1890</v>
      </c>
      <c r="G321" t="s">
        <v>1891</v>
      </c>
      <c r="H321" t="s">
        <v>1892</v>
      </c>
      <c r="I321" t="s">
        <v>145</v>
      </c>
      <c r="K321">
        <v>2</v>
      </c>
      <c r="L321">
        <f>IFERROR(VLOOKUP(K321,'Tables new'!$A:$C,3,FALSE),"")</f>
        <v>11</v>
      </c>
      <c r="M321" t="str">
        <f>VLOOKUP(K321,CAT_JOUEUR,2,FALSE)</f>
        <v>Seniors - HO</v>
      </c>
      <c r="N321">
        <v>2</v>
      </c>
      <c r="O321">
        <f>IFERROR(VLOOKUP(N321,'Tables new'!$A:$C,3,FALSE),"")</f>
        <v>11</v>
      </c>
      <c r="P321" t="str">
        <f>VLOOKUP(N321,CAT_JOUEUR,2,FALSE)</f>
        <v>Seniors - HO</v>
      </c>
      <c r="AA321" t="s">
        <v>1893</v>
      </c>
      <c r="AH321">
        <v>44061</v>
      </c>
      <c r="AI321">
        <v>44042</v>
      </c>
      <c r="AJ321">
        <v>2027</v>
      </c>
      <c r="AK321">
        <v>35599</v>
      </c>
      <c r="AL321" t="s">
        <v>1894</v>
      </c>
      <c r="AP321" t="s">
        <v>1895</v>
      </c>
      <c r="AQ321" t="s">
        <v>1896</v>
      </c>
    </row>
    <row r="322" spans="1:67" x14ac:dyDescent="0.2">
      <c r="A322" t="s">
        <v>1897</v>
      </c>
      <c r="B322" t="s">
        <v>1898</v>
      </c>
      <c r="D322" t="s">
        <v>72</v>
      </c>
      <c r="E322" t="s">
        <v>96</v>
      </c>
      <c r="F322" t="s">
        <v>1899</v>
      </c>
      <c r="G322" t="s">
        <v>299</v>
      </c>
      <c r="H322" t="s">
        <v>300</v>
      </c>
      <c r="I322" t="s">
        <v>236</v>
      </c>
      <c r="J322" t="s">
        <v>237</v>
      </c>
      <c r="K322">
        <v>252</v>
      </c>
      <c r="L322">
        <f>IFERROR(VLOOKUP(K322,'Tables new'!$A:$C,3,FALSE),"")</f>
        <v>85</v>
      </c>
      <c r="M322" t="str">
        <f>VLOOKUP(K322,CAT_JOUEUR,2,FALSE)</f>
        <v>Arrêt jeune (garder licence)</v>
      </c>
      <c r="N322">
        <v>7</v>
      </c>
      <c r="O322">
        <f>IFERROR(VLOOKUP(N322,'Tables new'!$A:$C,3,FALSE),"")</f>
        <v>16</v>
      </c>
      <c r="P322" t="str">
        <f>VLOOKUP(N322,CAT_JOUEUR,2,FALSE)</f>
        <v>U 11 H</v>
      </c>
      <c r="U322" t="s">
        <v>113</v>
      </c>
      <c r="AA322" t="s">
        <v>1900</v>
      </c>
      <c r="AH322">
        <v>44516</v>
      </c>
      <c r="AI322">
        <v>44485</v>
      </c>
      <c r="AJ322">
        <v>2029</v>
      </c>
      <c r="AK322">
        <v>42952</v>
      </c>
      <c r="AL322" t="s">
        <v>1901</v>
      </c>
      <c r="AO322" t="s">
        <v>1902</v>
      </c>
      <c r="AP322" t="s">
        <v>1903</v>
      </c>
      <c r="AQ322" t="s">
        <v>1904</v>
      </c>
      <c r="BM322" t="s">
        <v>822</v>
      </c>
    </row>
    <row r="323" spans="1:67" x14ac:dyDescent="0.2">
      <c r="A323" t="s">
        <v>1897</v>
      </c>
      <c r="B323" t="s">
        <v>1905</v>
      </c>
      <c r="D323" t="s">
        <v>72</v>
      </c>
      <c r="E323" t="s">
        <v>96</v>
      </c>
      <c r="F323" t="s">
        <v>1906</v>
      </c>
      <c r="G323" t="s">
        <v>583</v>
      </c>
      <c r="H323" t="s">
        <v>1352</v>
      </c>
      <c r="I323" t="s">
        <v>1907</v>
      </c>
      <c r="K323">
        <v>212</v>
      </c>
      <c r="L323">
        <f>IFERROR(VLOOKUP(K323,'Tables new'!$A:$C,3,FALSE),"")</f>
        <v>70</v>
      </c>
      <c r="M323" t="str">
        <f>VLOOKUP(K323,CAT_JOUEUR,2,FALSE)</f>
        <v>Contact famille</v>
      </c>
      <c r="N323">
        <v>212</v>
      </c>
      <c r="O323">
        <f>IFERROR(VLOOKUP(N323,'Tables new'!$A:$C,3,FALSE),"")</f>
        <v>70</v>
      </c>
      <c r="P323" t="str">
        <f>VLOOKUP(N323,CAT_JOUEUR,2,FALSE)</f>
        <v>Contact famille</v>
      </c>
      <c r="W323" t="s">
        <v>89</v>
      </c>
      <c r="AH323" t="s">
        <v>78</v>
      </c>
      <c r="AI323" t="s">
        <v>78</v>
      </c>
      <c r="AJ323" t="s">
        <v>78</v>
      </c>
      <c r="AK323" t="s">
        <v>78</v>
      </c>
      <c r="AL323" t="s">
        <v>79</v>
      </c>
      <c r="AP323">
        <v>691930390</v>
      </c>
      <c r="AQ323" t="s">
        <v>1908</v>
      </c>
    </row>
    <row r="324" spans="1:67" x14ac:dyDescent="0.2">
      <c r="A324" t="s">
        <v>1897</v>
      </c>
      <c r="B324" t="s">
        <v>1909</v>
      </c>
      <c r="D324" t="s">
        <v>72</v>
      </c>
      <c r="E324" t="s">
        <v>96</v>
      </c>
      <c r="F324" t="s">
        <v>768</v>
      </c>
      <c r="G324" t="s">
        <v>769</v>
      </c>
      <c r="H324" t="s">
        <v>132</v>
      </c>
      <c r="I324" t="s">
        <v>770</v>
      </c>
      <c r="K324">
        <v>212</v>
      </c>
      <c r="L324">
        <f>IFERROR(VLOOKUP(K324,'Tables new'!$A:$C,3,FALSE),"")</f>
        <v>70</v>
      </c>
      <c r="M324" t="str">
        <f>VLOOKUP(K324,CAT_JOUEUR,2,FALSE)</f>
        <v>Contact famille</v>
      </c>
      <c r="N324">
        <v>212</v>
      </c>
      <c r="O324">
        <f>IFERROR(VLOOKUP(N324,'Tables new'!$A:$C,3,FALSE),"")</f>
        <v>70</v>
      </c>
      <c r="P324" t="str">
        <f>VLOOKUP(N324,CAT_JOUEUR,2,FALSE)</f>
        <v>Contact famille</v>
      </c>
      <c r="V324" t="s">
        <v>89</v>
      </c>
      <c r="AH324" t="s">
        <v>78</v>
      </c>
      <c r="AI324" t="s">
        <v>78</v>
      </c>
      <c r="AJ324" t="s">
        <v>78</v>
      </c>
      <c r="AK324" t="s">
        <v>78</v>
      </c>
      <c r="AL324" t="s">
        <v>79</v>
      </c>
    </row>
    <row r="325" spans="1:67" x14ac:dyDescent="0.2">
      <c r="A325" t="s">
        <v>1897</v>
      </c>
      <c r="B325" t="s">
        <v>1910</v>
      </c>
      <c r="D325" t="s">
        <v>72</v>
      </c>
      <c r="E325" t="s">
        <v>96</v>
      </c>
      <c r="F325" t="s">
        <v>1899</v>
      </c>
      <c r="G325" t="s">
        <v>299</v>
      </c>
      <c r="H325" t="s">
        <v>300</v>
      </c>
      <c r="I325" t="s">
        <v>236</v>
      </c>
      <c r="J325" t="s">
        <v>237</v>
      </c>
      <c r="K325">
        <v>252</v>
      </c>
      <c r="L325">
        <f>IFERROR(VLOOKUP(K325,'Tables new'!$A:$C,3,FALSE),"")</f>
        <v>85</v>
      </c>
      <c r="M325" t="str">
        <f>VLOOKUP(K325,CAT_JOUEUR,2,FALSE)</f>
        <v>Arrêt jeune (garder licence)</v>
      </c>
      <c r="N325">
        <v>6</v>
      </c>
      <c r="O325">
        <f>IFERROR(VLOOKUP(N325,'Tables new'!$A:$C,3,FALSE),"")</f>
        <v>15</v>
      </c>
      <c r="P325" t="str">
        <f>VLOOKUP(N325,CAT_JOUEUR,2,FALSE)</f>
        <v>U 13 H</v>
      </c>
      <c r="T325" t="s">
        <v>113</v>
      </c>
      <c r="AA325" t="s">
        <v>1911</v>
      </c>
      <c r="AH325">
        <v>43892</v>
      </c>
      <c r="AI325">
        <v>43871</v>
      </c>
      <c r="AJ325">
        <v>2027</v>
      </c>
      <c r="AK325">
        <v>42233</v>
      </c>
      <c r="AL325" t="s">
        <v>1912</v>
      </c>
      <c r="AO325" t="s">
        <v>1902</v>
      </c>
      <c r="AP325" t="s">
        <v>1903</v>
      </c>
      <c r="AQ325" t="s">
        <v>1904</v>
      </c>
      <c r="BD325">
        <v>100</v>
      </c>
      <c r="BM325" t="s">
        <v>822</v>
      </c>
    </row>
    <row r="326" spans="1:67" x14ac:dyDescent="0.2">
      <c r="A326" t="s">
        <v>1897</v>
      </c>
      <c r="B326" t="s">
        <v>1641</v>
      </c>
      <c r="D326" t="s">
        <v>72</v>
      </c>
      <c r="E326" t="s">
        <v>96</v>
      </c>
      <c r="F326" t="s">
        <v>1906</v>
      </c>
      <c r="G326" t="s">
        <v>583</v>
      </c>
      <c r="H326" t="s">
        <v>1352</v>
      </c>
      <c r="I326" t="s">
        <v>1907</v>
      </c>
      <c r="K326">
        <v>21</v>
      </c>
      <c r="L326">
        <f>IFERROR(VLOOKUP(K326,'Tables new'!$A:$C,3,FALSE),"")</f>
        <v>18</v>
      </c>
      <c r="M326" t="str">
        <f>VLOOKUP(K326,CAT_JOUEUR,2,FALSE)</f>
        <v>U7 Mixte</v>
      </c>
      <c r="N326">
        <v>21</v>
      </c>
      <c r="O326">
        <f>IFERROR(VLOOKUP(N326,'Tables new'!$A:$C,3,FALSE),"")</f>
        <v>18</v>
      </c>
      <c r="P326" t="str">
        <f>VLOOKUP(N326,CAT_JOUEUR,2,FALSE)</f>
        <v>U7 Mixte</v>
      </c>
      <c r="W326" t="s">
        <v>113</v>
      </c>
      <c r="AA326" t="s">
        <v>1913</v>
      </c>
      <c r="AH326">
        <v>44992</v>
      </c>
      <c r="AI326">
        <v>44961</v>
      </c>
      <c r="AJ326">
        <v>2027</v>
      </c>
      <c r="AK326">
        <v>43869</v>
      </c>
      <c r="AL326" t="s">
        <v>1914</v>
      </c>
      <c r="AO326" t="s">
        <v>1915</v>
      </c>
      <c r="AP326" t="s">
        <v>1916</v>
      </c>
      <c r="AQ326" t="s">
        <v>1908</v>
      </c>
    </row>
    <row r="327" spans="1:67" x14ac:dyDescent="0.2">
      <c r="A327" t="s">
        <v>1917</v>
      </c>
      <c r="B327" t="s">
        <v>1918</v>
      </c>
      <c r="D327" t="s">
        <v>72</v>
      </c>
      <c r="E327" t="s">
        <v>96</v>
      </c>
      <c r="F327" t="s">
        <v>857</v>
      </c>
      <c r="G327" t="s">
        <v>107</v>
      </c>
      <c r="H327" t="s">
        <v>108</v>
      </c>
      <c r="I327" t="s">
        <v>858</v>
      </c>
      <c r="K327">
        <v>21</v>
      </c>
      <c r="L327">
        <f>IFERROR(VLOOKUP(K327,'Tables new'!$A:$C,3,FALSE),"")</f>
        <v>18</v>
      </c>
      <c r="M327" t="str">
        <f>VLOOKUP(K327,CAT_JOUEUR,2,FALSE)</f>
        <v>U7 Mixte</v>
      </c>
      <c r="N327">
        <v>21</v>
      </c>
      <c r="O327">
        <f>IFERROR(VLOOKUP(N327,'Tables new'!$A:$C,3,FALSE),"")</f>
        <v>18</v>
      </c>
      <c r="P327" t="str">
        <f>VLOOKUP(N327,CAT_JOUEUR,2,FALSE)</f>
        <v>U7 Mixte</v>
      </c>
      <c r="W327" t="s">
        <v>113</v>
      </c>
      <c r="AA327" t="s">
        <v>1919</v>
      </c>
      <c r="AH327">
        <v>44540</v>
      </c>
      <c r="AI327">
        <v>44511</v>
      </c>
      <c r="AJ327">
        <v>2027</v>
      </c>
      <c r="AK327">
        <v>43953</v>
      </c>
      <c r="AL327" t="s">
        <v>1920</v>
      </c>
      <c r="AO327" t="s">
        <v>1921</v>
      </c>
      <c r="AP327" t="s">
        <v>1922</v>
      </c>
      <c r="AQ327" t="s">
        <v>1923</v>
      </c>
      <c r="BM327" t="s">
        <v>822</v>
      </c>
    </row>
    <row r="328" spans="1:67" x14ac:dyDescent="0.2">
      <c r="A328" t="s">
        <v>1917</v>
      </c>
      <c r="B328" t="s">
        <v>1924</v>
      </c>
      <c r="D328" t="s">
        <v>72</v>
      </c>
      <c r="E328" t="s">
        <v>96</v>
      </c>
      <c r="F328" t="s">
        <v>857</v>
      </c>
      <c r="G328" t="s">
        <v>107</v>
      </c>
      <c r="H328" t="s">
        <v>108</v>
      </c>
      <c r="I328" t="s">
        <v>858</v>
      </c>
      <c r="K328">
        <v>212</v>
      </c>
      <c r="L328">
        <f>IFERROR(VLOOKUP(K328,'Tables new'!$A:$C,3,FALSE),"")</f>
        <v>70</v>
      </c>
      <c r="M328" t="str">
        <f>VLOOKUP(K328,CAT_JOUEUR,2,FALSE)</f>
        <v>Contact famille</v>
      </c>
      <c r="N328">
        <v>212</v>
      </c>
      <c r="O328">
        <f>IFERROR(VLOOKUP(N328,'Tables new'!$A:$C,3,FALSE),"")</f>
        <v>70</v>
      </c>
      <c r="P328" t="str">
        <f>VLOOKUP(N328,CAT_JOUEUR,2,FALSE)</f>
        <v>Contact famille</v>
      </c>
      <c r="W328" t="s">
        <v>89</v>
      </c>
      <c r="AF328" t="s">
        <v>916</v>
      </c>
      <c r="AH328">
        <v>43354</v>
      </c>
      <c r="AI328">
        <v>43354</v>
      </c>
      <c r="AJ328" t="s">
        <v>78</v>
      </c>
      <c r="AK328">
        <v>31500</v>
      </c>
      <c r="AL328" t="s">
        <v>1925</v>
      </c>
      <c r="AP328">
        <v>621466686</v>
      </c>
      <c r="AQ328" t="s">
        <v>1926</v>
      </c>
      <c r="AV328" t="s">
        <v>468</v>
      </c>
      <c r="AY328" t="s">
        <v>1388</v>
      </c>
      <c r="BA328" t="s">
        <v>136</v>
      </c>
      <c r="BB328" t="s">
        <v>137</v>
      </c>
      <c r="BC328" t="s">
        <v>138</v>
      </c>
      <c r="BD328">
        <v>50</v>
      </c>
    </row>
    <row r="329" spans="1:67" x14ac:dyDescent="0.2">
      <c r="A329" t="s">
        <v>1917</v>
      </c>
      <c r="B329" t="s">
        <v>1909</v>
      </c>
      <c r="D329" t="s">
        <v>72</v>
      </c>
      <c r="E329" t="s">
        <v>96</v>
      </c>
      <c r="F329" t="s">
        <v>1927</v>
      </c>
      <c r="G329" t="s">
        <v>1928</v>
      </c>
      <c r="H329" t="s">
        <v>1929</v>
      </c>
      <c r="I329" t="s">
        <v>145</v>
      </c>
      <c r="K329">
        <v>9</v>
      </c>
      <c r="L329">
        <f>IFERROR(VLOOKUP(K329,'Tables new'!$A:$C,3,FALSE),"")</f>
        <v>20</v>
      </c>
      <c r="M329" t="str">
        <f>VLOOKUP(K329,CAT_JOUEUR,2,FALSE)</f>
        <v>Vétérans - HO</v>
      </c>
      <c r="N329">
        <v>9</v>
      </c>
      <c r="O329">
        <f>IFERROR(VLOOKUP(N329,'Tables new'!$A:$C,3,FALSE),"")</f>
        <v>20</v>
      </c>
      <c r="P329" t="str">
        <f>VLOOKUP(N329,CAT_JOUEUR,2,FALSE)</f>
        <v>Vétérans - HO</v>
      </c>
      <c r="AA329" t="s">
        <v>1930</v>
      </c>
      <c r="AH329">
        <v>35754</v>
      </c>
      <c r="AI329">
        <v>35754</v>
      </c>
      <c r="AJ329">
        <v>2028</v>
      </c>
      <c r="AK329">
        <v>30607</v>
      </c>
      <c r="AL329" t="s">
        <v>1931</v>
      </c>
      <c r="AN329" t="s">
        <v>1932</v>
      </c>
      <c r="AP329" t="s">
        <v>1933</v>
      </c>
      <c r="AQ329" t="s">
        <v>1934</v>
      </c>
      <c r="AY329" t="s">
        <v>442</v>
      </c>
      <c r="BA329" t="s">
        <v>136</v>
      </c>
      <c r="BB329" t="s">
        <v>271</v>
      </c>
      <c r="BD329">
        <v>200</v>
      </c>
      <c r="BO329" t="s">
        <v>443</v>
      </c>
    </row>
    <row r="330" spans="1:67" x14ac:dyDescent="0.2">
      <c r="A330" t="s">
        <v>1935</v>
      </c>
      <c r="B330" t="s">
        <v>1936</v>
      </c>
      <c r="D330" t="s">
        <v>72</v>
      </c>
      <c r="E330" t="s">
        <v>1220</v>
      </c>
      <c r="F330" t="s">
        <v>1221</v>
      </c>
      <c r="G330" t="s">
        <v>1222</v>
      </c>
      <c r="H330" t="s">
        <v>132</v>
      </c>
      <c r="I330" t="s">
        <v>1937</v>
      </c>
      <c r="K330">
        <v>17</v>
      </c>
      <c r="L330">
        <f>IFERROR(VLOOKUP(K330,'Tables new'!$A:$C,3,FALSE),"")</f>
        <v>36</v>
      </c>
      <c r="M330" t="str">
        <f>VLOOKUP(K330,CAT_JOUEUR,2,FALSE)</f>
        <v>U 11 F</v>
      </c>
      <c r="N330">
        <v>17</v>
      </c>
      <c r="O330">
        <f>IFERROR(VLOOKUP(N330,'Tables new'!$A:$C,3,FALSE),"")</f>
        <v>36</v>
      </c>
      <c r="P330" t="str">
        <f>VLOOKUP(N330,CAT_JOUEUR,2,FALSE)</f>
        <v>U 11 F</v>
      </c>
      <c r="U330" t="s">
        <v>113</v>
      </c>
      <c r="AA330" t="s">
        <v>1938</v>
      </c>
      <c r="AF330" t="s">
        <v>223</v>
      </c>
      <c r="AH330">
        <v>46050</v>
      </c>
      <c r="AI330">
        <v>46040</v>
      </c>
      <c r="AJ330">
        <v>2029</v>
      </c>
      <c r="AK330">
        <v>42814</v>
      </c>
      <c r="AL330" t="s">
        <v>1230</v>
      </c>
      <c r="AP330">
        <v>661115656</v>
      </c>
      <c r="AQ330" t="s">
        <v>1225</v>
      </c>
    </row>
    <row r="331" spans="1:67" x14ac:dyDescent="0.2">
      <c r="A331" t="s">
        <v>1939</v>
      </c>
      <c r="B331" t="s">
        <v>1940</v>
      </c>
      <c r="D331" t="s">
        <v>72</v>
      </c>
      <c r="E331" t="s">
        <v>1220</v>
      </c>
      <c r="F331" t="s">
        <v>1227</v>
      </c>
      <c r="G331" t="s">
        <v>1222</v>
      </c>
      <c r="H331" t="s">
        <v>132</v>
      </c>
      <c r="I331" t="s">
        <v>1937</v>
      </c>
      <c r="K331">
        <v>212</v>
      </c>
      <c r="L331">
        <f>IFERROR(VLOOKUP(K331,'Tables new'!$A:$C,3,FALSE),"")</f>
        <v>70</v>
      </c>
      <c r="M331" t="str">
        <f>VLOOKUP(K331,CAT_JOUEUR,2,FALSE)</f>
        <v>Contact famille</v>
      </c>
      <c r="N331">
        <v>212</v>
      </c>
      <c r="O331">
        <f>IFERROR(VLOOKUP(N331,'Tables new'!$A:$C,3,FALSE),"")</f>
        <v>70</v>
      </c>
      <c r="P331" t="str">
        <f>VLOOKUP(N331,CAT_JOUEUR,2,FALSE)</f>
        <v>Contact famille</v>
      </c>
      <c r="U331" t="s">
        <v>89</v>
      </c>
      <c r="AH331" t="s">
        <v>78</v>
      </c>
      <c r="AI331" t="s">
        <v>78</v>
      </c>
      <c r="AJ331" t="s">
        <v>78</v>
      </c>
      <c r="AK331" t="s">
        <v>78</v>
      </c>
      <c r="AL331" t="s">
        <v>79</v>
      </c>
      <c r="AP331">
        <v>661115657</v>
      </c>
    </row>
    <row r="332" spans="1:67" x14ac:dyDescent="0.2">
      <c r="A332" t="s">
        <v>1941</v>
      </c>
      <c r="B332" t="s">
        <v>1942</v>
      </c>
      <c r="D332" t="s">
        <v>72</v>
      </c>
      <c r="E332" t="s">
        <v>96</v>
      </c>
      <c r="F332" t="s">
        <v>1943</v>
      </c>
      <c r="G332" t="s">
        <v>1944</v>
      </c>
      <c r="H332" t="s">
        <v>357</v>
      </c>
      <c r="I332" t="s">
        <v>236</v>
      </c>
      <c r="J332" t="s">
        <v>1945</v>
      </c>
      <c r="K332">
        <v>252</v>
      </c>
      <c r="L332">
        <f>IFERROR(VLOOKUP(K332,'Tables new'!$A:$C,3,FALSE),"")</f>
        <v>85</v>
      </c>
      <c r="M332" t="str">
        <f>VLOOKUP(K332,CAT_JOUEUR,2,FALSE)</f>
        <v>Arrêt jeune (garder licence)</v>
      </c>
      <c r="N332">
        <v>6</v>
      </c>
      <c r="O332">
        <f>IFERROR(VLOOKUP(N332,'Tables new'!$A:$C,3,FALSE),"")</f>
        <v>15</v>
      </c>
      <c r="P332" t="str">
        <f>VLOOKUP(N332,CAT_JOUEUR,2,FALSE)</f>
        <v>U 13 H</v>
      </c>
      <c r="T332" t="s">
        <v>113</v>
      </c>
      <c r="AA332" t="s">
        <v>1946</v>
      </c>
      <c r="AH332">
        <v>45552</v>
      </c>
      <c r="AI332">
        <v>45513</v>
      </c>
      <c r="AJ332">
        <v>2026</v>
      </c>
      <c r="AK332">
        <v>41947</v>
      </c>
      <c r="AL332" t="s">
        <v>1947</v>
      </c>
      <c r="AO332" t="s">
        <v>1948</v>
      </c>
      <c r="AP332" t="s">
        <v>1949</v>
      </c>
      <c r="AQ332" t="s">
        <v>1950</v>
      </c>
    </row>
    <row r="333" spans="1:67" x14ac:dyDescent="0.2">
      <c r="A333" t="s">
        <v>1951</v>
      </c>
      <c r="B333" t="s">
        <v>1952</v>
      </c>
      <c r="D333" t="s">
        <v>72</v>
      </c>
      <c r="E333" t="s">
        <v>96</v>
      </c>
      <c r="F333" t="s">
        <v>632</v>
      </c>
      <c r="G333" t="s">
        <v>633</v>
      </c>
      <c r="H333" t="s">
        <v>300</v>
      </c>
      <c r="I333" t="s">
        <v>634</v>
      </c>
      <c r="K333">
        <v>5</v>
      </c>
      <c r="L333">
        <f>IFERROR(VLOOKUP(K333,'Tables new'!$A:$C,3,FALSE),"")</f>
        <v>14</v>
      </c>
      <c r="M333" t="str">
        <f>VLOOKUP(K333,CAT_JOUEUR,2,FALSE)</f>
        <v>U 15 H</v>
      </c>
      <c r="N333">
        <v>5</v>
      </c>
      <c r="O333">
        <f>IFERROR(VLOOKUP(N333,'Tables new'!$A:$C,3,FALSE),"")</f>
        <v>14</v>
      </c>
      <c r="P333" t="str">
        <f>VLOOKUP(N333,CAT_JOUEUR,2,FALSE)</f>
        <v>U 15 H</v>
      </c>
      <c r="S333" t="s">
        <v>113</v>
      </c>
      <c r="AA333" t="s">
        <v>1953</v>
      </c>
      <c r="AH333">
        <v>43587</v>
      </c>
      <c r="AI333">
        <v>43531</v>
      </c>
      <c r="AJ333">
        <v>2028</v>
      </c>
      <c r="AK333">
        <v>41374</v>
      </c>
      <c r="AL333" t="s">
        <v>1954</v>
      </c>
      <c r="AO333" t="s">
        <v>1955</v>
      </c>
      <c r="AP333" t="s">
        <v>1956</v>
      </c>
      <c r="AQ333" t="s">
        <v>636</v>
      </c>
      <c r="AY333" t="s">
        <v>91</v>
      </c>
      <c r="BA333" t="s">
        <v>136</v>
      </c>
      <c r="BB333" t="s">
        <v>271</v>
      </c>
      <c r="BD333">
        <v>250</v>
      </c>
    </row>
    <row r="334" spans="1:67" x14ac:dyDescent="0.2">
      <c r="A334" t="s">
        <v>1951</v>
      </c>
      <c r="B334" t="s">
        <v>1957</v>
      </c>
      <c r="D334" t="s">
        <v>72</v>
      </c>
      <c r="E334" t="s">
        <v>96</v>
      </c>
      <c r="F334" t="s">
        <v>632</v>
      </c>
      <c r="G334" t="s">
        <v>633</v>
      </c>
      <c r="H334" t="s">
        <v>300</v>
      </c>
      <c r="I334" t="s">
        <v>634</v>
      </c>
      <c r="K334">
        <v>6</v>
      </c>
      <c r="L334">
        <f>IFERROR(VLOOKUP(K334,'Tables new'!$A:$C,3,FALSE),"")</f>
        <v>15</v>
      </c>
      <c r="M334" t="str">
        <f>VLOOKUP(K334,CAT_JOUEUR,2,FALSE)</f>
        <v>U 13 H</v>
      </c>
      <c r="N334">
        <v>6</v>
      </c>
      <c r="O334">
        <f>IFERROR(VLOOKUP(N334,'Tables new'!$A:$C,3,FALSE),"")</f>
        <v>15</v>
      </c>
      <c r="P334" t="str">
        <f>VLOOKUP(N334,CAT_JOUEUR,2,FALSE)</f>
        <v>U 13 H</v>
      </c>
      <c r="T334" t="s">
        <v>113</v>
      </c>
      <c r="AA334" t="s">
        <v>1958</v>
      </c>
      <c r="AH334">
        <v>44627</v>
      </c>
      <c r="AI334">
        <v>44584</v>
      </c>
      <c r="AJ334">
        <v>2027</v>
      </c>
      <c r="AK334">
        <v>42076</v>
      </c>
      <c r="AL334" t="s">
        <v>1959</v>
      </c>
      <c r="AO334" t="s">
        <v>1955</v>
      </c>
      <c r="AP334" t="s">
        <v>1956</v>
      </c>
      <c r="AQ334" t="s">
        <v>636</v>
      </c>
    </row>
    <row r="335" spans="1:67" x14ac:dyDescent="0.2">
      <c r="A335" t="s">
        <v>1951</v>
      </c>
      <c r="B335" t="s">
        <v>1960</v>
      </c>
      <c r="D335" t="s">
        <v>72</v>
      </c>
      <c r="E335" t="s">
        <v>96</v>
      </c>
      <c r="F335" t="s">
        <v>632</v>
      </c>
      <c r="G335" t="s">
        <v>633</v>
      </c>
      <c r="H335" t="s">
        <v>300</v>
      </c>
      <c r="I335" t="s">
        <v>634</v>
      </c>
      <c r="K335">
        <v>150</v>
      </c>
      <c r="L335">
        <f>IFERROR(VLOOKUP(K335,'Tables new'!$A:$C,3,FALSE),"")</f>
        <v>1</v>
      </c>
      <c r="M335" t="str">
        <f>VLOOKUP(K335,CAT_JOUEUR,2,FALSE)</f>
        <v>comité</v>
      </c>
      <c r="N335">
        <v>1</v>
      </c>
      <c r="O335">
        <f>IFERROR(VLOOKUP(N335,'Tables new'!$A:$C,3,FALSE),"")</f>
        <v>2</v>
      </c>
      <c r="P335" t="str">
        <f>VLOOKUP(N335,CAT_JOUEUR,2,FALSE)</f>
        <v>Officiel H</v>
      </c>
      <c r="S335" t="s">
        <v>89</v>
      </c>
      <c r="T335" t="s">
        <v>89</v>
      </c>
      <c r="AB335" t="s">
        <v>1961</v>
      </c>
      <c r="AC335" t="s">
        <v>1961</v>
      </c>
      <c r="AH335">
        <v>45201</v>
      </c>
      <c r="AI335">
        <v>43531</v>
      </c>
      <c r="AJ335" t="s">
        <v>78</v>
      </c>
      <c r="AK335">
        <v>30905</v>
      </c>
      <c r="AL335" t="s">
        <v>1962</v>
      </c>
      <c r="AP335" t="s">
        <v>1963</v>
      </c>
      <c r="AQ335" t="s">
        <v>1964</v>
      </c>
      <c r="AU335" t="s">
        <v>1965</v>
      </c>
      <c r="AY335" t="s">
        <v>91</v>
      </c>
      <c r="BA335" t="s">
        <v>136</v>
      </c>
      <c r="BB335" t="s">
        <v>271</v>
      </c>
      <c r="BD335" t="s">
        <v>638</v>
      </c>
    </row>
    <row r="336" spans="1:67" x14ac:dyDescent="0.2">
      <c r="A336" t="s">
        <v>1966</v>
      </c>
      <c r="B336" t="s">
        <v>602</v>
      </c>
      <c r="D336" t="s">
        <v>72</v>
      </c>
      <c r="E336" t="s">
        <v>96</v>
      </c>
      <c r="F336" t="s">
        <v>1833</v>
      </c>
      <c r="G336" t="s">
        <v>375</v>
      </c>
      <c r="H336" t="s">
        <v>376</v>
      </c>
      <c r="I336" t="s">
        <v>1834</v>
      </c>
      <c r="K336">
        <v>6</v>
      </c>
      <c r="L336">
        <f>IFERROR(VLOOKUP(K336,'Tables new'!$A:$C,3,FALSE),"")</f>
        <v>15</v>
      </c>
      <c r="M336" t="str">
        <f>VLOOKUP(K336,CAT_JOUEUR,2,FALSE)</f>
        <v>U 13 H</v>
      </c>
      <c r="N336">
        <v>6</v>
      </c>
      <c r="O336">
        <f>IFERROR(VLOOKUP(N336,'Tables new'!$A:$C,3,FALSE),"")</f>
        <v>15</v>
      </c>
      <c r="P336" t="str">
        <f>VLOOKUP(N336,CAT_JOUEUR,2,FALSE)</f>
        <v>U 13 H</v>
      </c>
      <c r="T336" t="s">
        <v>113</v>
      </c>
      <c r="AA336" t="s">
        <v>1967</v>
      </c>
      <c r="AH336">
        <v>43564</v>
      </c>
      <c r="AI336">
        <v>43531</v>
      </c>
      <c r="AJ336">
        <v>2029</v>
      </c>
      <c r="AK336">
        <v>41955</v>
      </c>
      <c r="AL336" t="s">
        <v>1968</v>
      </c>
      <c r="AN336" t="s">
        <v>1837</v>
      </c>
      <c r="AP336" t="s">
        <v>1838</v>
      </c>
      <c r="AQ336" t="s">
        <v>1839</v>
      </c>
      <c r="AY336" t="s">
        <v>91</v>
      </c>
      <c r="BA336" t="s">
        <v>136</v>
      </c>
      <c r="BB336" t="s">
        <v>271</v>
      </c>
      <c r="BD336">
        <v>100</v>
      </c>
    </row>
    <row r="337" spans="1:56" x14ac:dyDescent="0.2">
      <c r="A337" t="s">
        <v>1966</v>
      </c>
      <c r="B337" t="s">
        <v>1193</v>
      </c>
      <c r="D337" t="s">
        <v>72</v>
      </c>
      <c r="E337" t="s">
        <v>96</v>
      </c>
      <c r="F337" t="s">
        <v>1833</v>
      </c>
      <c r="G337" t="s">
        <v>375</v>
      </c>
      <c r="H337" t="s">
        <v>376</v>
      </c>
      <c r="I337" t="s">
        <v>1834</v>
      </c>
      <c r="K337">
        <v>5</v>
      </c>
      <c r="L337">
        <f>IFERROR(VLOOKUP(K337,'Tables new'!$A:$C,3,FALSE),"")</f>
        <v>14</v>
      </c>
      <c r="M337" t="str">
        <f>VLOOKUP(K337,CAT_JOUEUR,2,FALSE)</f>
        <v>U 15 H</v>
      </c>
      <c r="N337">
        <v>5</v>
      </c>
      <c r="O337">
        <f>IFERROR(VLOOKUP(N337,'Tables new'!$A:$C,3,FALSE),"")</f>
        <v>14</v>
      </c>
      <c r="P337" t="str">
        <f>VLOOKUP(N337,CAT_JOUEUR,2,FALSE)</f>
        <v>U 15 H</v>
      </c>
      <c r="S337" t="s">
        <v>113</v>
      </c>
      <c r="AA337" t="s">
        <v>1969</v>
      </c>
      <c r="AH337">
        <v>43564</v>
      </c>
      <c r="AI337">
        <v>43531</v>
      </c>
      <c r="AJ337">
        <v>2028</v>
      </c>
      <c r="AK337">
        <v>41479</v>
      </c>
      <c r="AL337" t="s">
        <v>1970</v>
      </c>
      <c r="AN337" t="s">
        <v>1837</v>
      </c>
      <c r="AP337" t="s">
        <v>1838</v>
      </c>
      <c r="AQ337" t="s">
        <v>1839</v>
      </c>
      <c r="AY337" t="s">
        <v>91</v>
      </c>
      <c r="BA337" t="s">
        <v>136</v>
      </c>
      <c r="BB337" t="s">
        <v>271</v>
      </c>
      <c r="BD337">
        <v>100</v>
      </c>
    </row>
    <row r="338" spans="1:56" x14ac:dyDescent="0.2">
      <c r="A338" t="s">
        <v>1966</v>
      </c>
      <c r="B338" t="s">
        <v>1971</v>
      </c>
      <c r="D338" t="s">
        <v>72</v>
      </c>
      <c r="E338" t="s">
        <v>96</v>
      </c>
      <c r="F338" t="s">
        <v>1833</v>
      </c>
      <c r="G338" t="s">
        <v>375</v>
      </c>
      <c r="H338" t="s">
        <v>376</v>
      </c>
      <c r="I338" t="s">
        <v>1834</v>
      </c>
      <c r="K338">
        <v>9</v>
      </c>
      <c r="L338">
        <f>IFERROR(VLOOKUP(K338,'Tables new'!$A:$C,3,FALSE),"")</f>
        <v>20</v>
      </c>
      <c r="M338" t="str">
        <f>VLOOKUP(K338,CAT_JOUEUR,2,FALSE)</f>
        <v>Vétérans - HO</v>
      </c>
      <c r="N338">
        <v>9</v>
      </c>
      <c r="O338">
        <f>IFERROR(VLOOKUP(N338,'Tables new'!$A:$C,3,FALSE),"")</f>
        <v>20</v>
      </c>
      <c r="P338" t="str">
        <f>VLOOKUP(N338,CAT_JOUEUR,2,FALSE)</f>
        <v>Vétérans - HO</v>
      </c>
      <c r="S338" t="s">
        <v>89</v>
      </c>
      <c r="T338" t="s">
        <v>89</v>
      </c>
      <c r="AA338" t="s">
        <v>1972</v>
      </c>
      <c r="AB338" t="s">
        <v>1972</v>
      </c>
      <c r="AC338" t="s">
        <v>1972</v>
      </c>
      <c r="AF338" t="s">
        <v>1091</v>
      </c>
      <c r="AH338">
        <v>44818</v>
      </c>
      <c r="AI338">
        <v>43531</v>
      </c>
      <c r="AJ338">
        <v>2025</v>
      </c>
      <c r="AK338">
        <v>31077</v>
      </c>
      <c r="AL338" t="s">
        <v>1973</v>
      </c>
      <c r="AN338" t="s">
        <v>1837</v>
      </c>
      <c r="AP338" t="s">
        <v>1838</v>
      </c>
      <c r="AQ338" t="s">
        <v>1974</v>
      </c>
      <c r="AY338" t="s">
        <v>91</v>
      </c>
      <c r="BA338" t="s">
        <v>136</v>
      </c>
      <c r="BB338" t="s">
        <v>271</v>
      </c>
      <c r="BD338" t="s">
        <v>139</v>
      </c>
    </row>
    <row r="339" spans="1:56" x14ac:dyDescent="0.2">
      <c r="A339" t="s">
        <v>1975</v>
      </c>
      <c r="B339" t="s">
        <v>1128</v>
      </c>
      <c r="D339" t="s">
        <v>72</v>
      </c>
      <c r="E339" t="s">
        <v>398</v>
      </c>
      <c r="F339" t="s">
        <v>1804</v>
      </c>
      <c r="G339" t="s">
        <v>1805</v>
      </c>
      <c r="H339" t="s">
        <v>1242</v>
      </c>
      <c r="I339" t="s">
        <v>1806</v>
      </c>
      <c r="K339">
        <v>212</v>
      </c>
      <c r="L339">
        <f>IFERROR(VLOOKUP(K339,'Tables new'!$A:$C,3,FALSE),"")</f>
        <v>70</v>
      </c>
      <c r="M339" t="str">
        <f>VLOOKUP(K339,CAT_JOUEUR,2,FALSE)</f>
        <v>Contact famille</v>
      </c>
      <c r="N339">
        <v>212</v>
      </c>
      <c r="O339">
        <f>IFERROR(VLOOKUP(N339,'Tables new'!$A:$C,3,FALSE),"")</f>
        <v>70</v>
      </c>
      <c r="P339" t="str">
        <f>VLOOKUP(N339,CAT_JOUEUR,2,FALSE)</f>
        <v>Contact famille</v>
      </c>
      <c r="U339" t="s">
        <v>89</v>
      </c>
      <c r="AH339" t="s">
        <v>78</v>
      </c>
      <c r="AI339" t="s">
        <v>78</v>
      </c>
      <c r="AJ339" t="s">
        <v>78</v>
      </c>
      <c r="AK339">
        <v>28521</v>
      </c>
      <c r="AL339" t="s">
        <v>1976</v>
      </c>
    </row>
    <row r="340" spans="1:56" x14ac:dyDescent="0.2">
      <c r="A340" t="s">
        <v>1977</v>
      </c>
      <c r="B340" t="s">
        <v>1585</v>
      </c>
      <c r="D340" t="s">
        <v>72</v>
      </c>
      <c r="E340" t="s">
        <v>981</v>
      </c>
      <c r="F340" t="s">
        <v>982</v>
      </c>
      <c r="G340" t="s">
        <v>568</v>
      </c>
      <c r="H340" t="s">
        <v>885</v>
      </c>
      <c r="I340" t="s">
        <v>983</v>
      </c>
      <c r="K340">
        <v>21</v>
      </c>
      <c r="L340">
        <f>IFERROR(VLOOKUP(K340,'Tables new'!$A:$C,3,FALSE),"")</f>
        <v>18</v>
      </c>
      <c r="M340" t="str">
        <f>VLOOKUP(K340,CAT_JOUEUR,2,FALSE)</f>
        <v>U7 Mixte</v>
      </c>
      <c r="N340">
        <v>21</v>
      </c>
      <c r="O340">
        <f>IFERROR(VLOOKUP(N340,'Tables new'!$A:$C,3,FALSE),"")</f>
        <v>18</v>
      </c>
      <c r="P340" t="str">
        <f>VLOOKUP(N340,CAT_JOUEUR,2,FALSE)</f>
        <v>U7 Mixte</v>
      </c>
      <c r="W340" t="s">
        <v>113</v>
      </c>
      <c r="AA340" t="s">
        <v>1978</v>
      </c>
      <c r="AF340" t="s">
        <v>223</v>
      </c>
      <c r="AH340">
        <v>45951</v>
      </c>
      <c r="AI340">
        <v>45716</v>
      </c>
      <c r="AJ340">
        <v>2028</v>
      </c>
      <c r="AK340">
        <v>44456</v>
      </c>
      <c r="AL340" t="s">
        <v>1979</v>
      </c>
      <c r="AO340" t="s">
        <v>1980</v>
      </c>
      <c r="AP340" t="s">
        <v>1981</v>
      </c>
      <c r="AQ340" t="s">
        <v>984</v>
      </c>
    </row>
    <row r="341" spans="1:56" x14ac:dyDescent="0.2">
      <c r="A341" t="s">
        <v>1982</v>
      </c>
      <c r="B341" t="s">
        <v>1983</v>
      </c>
      <c r="D341" t="s">
        <v>72</v>
      </c>
      <c r="E341" t="s">
        <v>981</v>
      </c>
      <c r="F341" t="s">
        <v>982</v>
      </c>
      <c r="G341" t="s">
        <v>568</v>
      </c>
      <c r="H341" t="s">
        <v>885</v>
      </c>
      <c r="I341" t="s">
        <v>983</v>
      </c>
      <c r="K341">
        <v>212</v>
      </c>
      <c r="L341">
        <f>IFERROR(VLOOKUP(K341,'Tables new'!$A:$C,3,FALSE),"")</f>
        <v>70</v>
      </c>
      <c r="M341" t="str">
        <f>VLOOKUP(K341,CAT_JOUEUR,2,FALSE)</f>
        <v>Contact famille</v>
      </c>
      <c r="N341">
        <v>212</v>
      </c>
      <c r="O341">
        <f>IFERROR(VLOOKUP(N341,'Tables new'!$A:$C,3,FALSE),"")</f>
        <v>70</v>
      </c>
      <c r="P341" t="str">
        <f>VLOOKUP(N341,CAT_JOUEUR,2,FALSE)</f>
        <v>Contact famille</v>
      </c>
      <c r="W341" t="s">
        <v>89</v>
      </c>
      <c r="AE341" t="s">
        <v>208</v>
      </c>
      <c r="AH341" t="s">
        <v>78</v>
      </c>
      <c r="AI341" t="s">
        <v>78</v>
      </c>
      <c r="AJ341" t="s">
        <v>78</v>
      </c>
      <c r="AK341" t="s">
        <v>78</v>
      </c>
      <c r="AL341" t="s">
        <v>79</v>
      </c>
      <c r="AP341">
        <v>691982030</v>
      </c>
      <c r="AQ341" t="s">
        <v>984</v>
      </c>
    </row>
    <row r="342" spans="1:56" x14ac:dyDescent="0.2">
      <c r="A342" t="s">
        <v>1984</v>
      </c>
      <c r="B342" t="s">
        <v>1349</v>
      </c>
      <c r="D342" t="s">
        <v>72</v>
      </c>
      <c r="E342" t="s">
        <v>96</v>
      </c>
      <c r="F342" t="s">
        <v>1985</v>
      </c>
      <c r="G342" t="s">
        <v>1061</v>
      </c>
      <c r="H342" t="s">
        <v>1062</v>
      </c>
      <c r="I342" t="s">
        <v>1986</v>
      </c>
      <c r="K342">
        <v>5</v>
      </c>
      <c r="L342">
        <f>IFERROR(VLOOKUP(K342,'Tables new'!$A:$C,3,FALSE),"")</f>
        <v>14</v>
      </c>
      <c r="M342" t="str">
        <f>VLOOKUP(K342,CAT_JOUEUR,2,FALSE)</f>
        <v>U 15 H</v>
      </c>
      <c r="N342">
        <v>5</v>
      </c>
      <c r="O342">
        <f>IFERROR(VLOOKUP(N342,'Tables new'!$A:$C,3,FALSE),"")</f>
        <v>14</v>
      </c>
      <c r="P342" t="str">
        <f>VLOOKUP(N342,CAT_JOUEUR,2,FALSE)</f>
        <v>U 15 H</v>
      </c>
      <c r="S342" t="s">
        <v>113</v>
      </c>
      <c r="AA342" t="s">
        <v>1987</v>
      </c>
      <c r="AF342" t="s">
        <v>182</v>
      </c>
      <c r="AH342">
        <v>46202</v>
      </c>
      <c r="AI342">
        <v>46195</v>
      </c>
      <c r="AJ342">
        <v>2028</v>
      </c>
      <c r="AK342">
        <v>41586</v>
      </c>
      <c r="AL342" t="s">
        <v>1988</v>
      </c>
      <c r="AO342" t="s">
        <v>1989</v>
      </c>
      <c r="AP342" t="s">
        <v>1990</v>
      </c>
      <c r="AQ342" t="s">
        <v>1991</v>
      </c>
    </row>
    <row r="343" spans="1:56" x14ac:dyDescent="0.2">
      <c r="A343" t="s">
        <v>1984</v>
      </c>
      <c r="B343" t="s">
        <v>1992</v>
      </c>
      <c r="D343" t="s">
        <v>72</v>
      </c>
      <c r="E343" t="s">
        <v>96</v>
      </c>
      <c r="F343" t="s">
        <v>1985</v>
      </c>
      <c r="G343" t="s">
        <v>1061</v>
      </c>
      <c r="H343" t="s">
        <v>1062</v>
      </c>
      <c r="I343" t="s">
        <v>1986</v>
      </c>
      <c r="K343">
        <v>212</v>
      </c>
      <c r="L343">
        <f>IFERROR(VLOOKUP(K343,'Tables new'!$A:$C,3,FALSE),"")</f>
        <v>70</v>
      </c>
      <c r="M343" t="str">
        <f>VLOOKUP(K343,CAT_JOUEUR,2,FALSE)</f>
        <v>Contact famille</v>
      </c>
      <c r="N343">
        <v>212</v>
      </c>
      <c r="O343">
        <f>IFERROR(VLOOKUP(N343,'Tables new'!$A:$C,3,FALSE),"")</f>
        <v>70</v>
      </c>
      <c r="P343" t="str">
        <f>VLOOKUP(N343,CAT_JOUEUR,2,FALSE)</f>
        <v>Contact famille</v>
      </c>
      <c r="S343" t="s">
        <v>89</v>
      </c>
      <c r="AH343" t="s">
        <v>78</v>
      </c>
      <c r="AI343" t="s">
        <v>78</v>
      </c>
      <c r="AJ343" t="s">
        <v>78</v>
      </c>
      <c r="AK343" t="s">
        <v>78</v>
      </c>
      <c r="AL343" t="s">
        <v>79</v>
      </c>
      <c r="AP343">
        <v>621198606</v>
      </c>
    </row>
    <row r="344" spans="1:56" x14ac:dyDescent="0.2">
      <c r="A344" t="s">
        <v>1993</v>
      </c>
      <c r="B344" t="s">
        <v>1994</v>
      </c>
      <c r="D344" t="s">
        <v>72</v>
      </c>
      <c r="E344" t="s">
        <v>96</v>
      </c>
      <c r="F344" t="s">
        <v>1995</v>
      </c>
      <c r="G344" t="s">
        <v>1996</v>
      </c>
      <c r="H344" t="s">
        <v>126</v>
      </c>
      <c r="I344" t="s">
        <v>145</v>
      </c>
      <c r="K344">
        <v>1</v>
      </c>
      <c r="L344">
        <f>IFERROR(VLOOKUP(K344,'Tables new'!$A:$C,3,FALSE),"")</f>
        <v>2</v>
      </c>
      <c r="M344" t="str">
        <f>VLOOKUP(K344,CAT_JOUEUR,2,FALSE)</f>
        <v>Officiel H</v>
      </c>
      <c r="N344">
        <v>1</v>
      </c>
      <c r="O344">
        <f>IFERROR(VLOOKUP(N344,'Tables new'!$A:$C,3,FALSE),"")</f>
        <v>2</v>
      </c>
      <c r="P344" t="str">
        <f>VLOOKUP(N344,CAT_JOUEUR,2,FALSE)</f>
        <v>Officiel H</v>
      </c>
      <c r="AE344" t="s">
        <v>1997</v>
      </c>
      <c r="AF344" t="s">
        <v>182</v>
      </c>
      <c r="AH344">
        <v>46209</v>
      </c>
      <c r="AI344">
        <v>46204</v>
      </c>
      <c r="AJ344" t="s">
        <v>78</v>
      </c>
      <c r="AK344">
        <v>33180</v>
      </c>
      <c r="AL344" t="s">
        <v>1998</v>
      </c>
      <c r="AP344">
        <v>691849175</v>
      </c>
      <c r="AQ344" t="s">
        <v>1999</v>
      </c>
    </row>
    <row r="345" spans="1:56" x14ac:dyDescent="0.2">
      <c r="A345" t="s">
        <v>2000</v>
      </c>
      <c r="B345" t="s">
        <v>2001</v>
      </c>
      <c r="D345" t="s">
        <v>72</v>
      </c>
      <c r="E345" t="s">
        <v>123</v>
      </c>
      <c r="F345" t="s">
        <v>2002</v>
      </c>
      <c r="G345" t="s">
        <v>2003</v>
      </c>
      <c r="H345" t="s">
        <v>792</v>
      </c>
      <c r="I345" t="s">
        <v>145</v>
      </c>
      <c r="K345">
        <v>2</v>
      </c>
      <c r="L345">
        <f>IFERROR(VLOOKUP(K345,'Tables new'!$A:$C,3,FALSE),"")</f>
        <v>11</v>
      </c>
      <c r="M345" t="str">
        <f>VLOOKUP(K345,CAT_JOUEUR,2,FALSE)</f>
        <v>Seniors - HO</v>
      </c>
      <c r="N345">
        <v>2</v>
      </c>
      <c r="O345">
        <f>IFERROR(VLOOKUP(N345,'Tables new'!$A:$C,3,FALSE),"")</f>
        <v>11</v>
      </c>
      <c r="P345" t="str">
        <f>VLOOKUP(N345,CAT_JOUEUR,2,FALSE)</f>
        <v>Seniors - HO</v>
      </c>
      <c r="AA345" t="s">
        <v>2004</v>
      </c>
      <c r="AH345">
        <v>45387</v>
      </c>
      <c r="AI345">
        <v>45378</v>
      </c>
      <c r="AJ345">
        <v>2033</v>
      </c>
      <c r="AK345">
        <v>37845</v>
      </c>
      <c r="AL345" t="s">
        <v>2005</v>
      </c>
      <c r="AP345">
        <v>691585223</v>
      </c>
      <c r="AQ345" t="s">
        <v>2006</v>
      </c>
    </row>
    <row r="346" spans="1:56" x14ac:dyDescent="0.2">
      <c r="A346" t="s">
        <v>2007</v>
      </c>
      <c r="B346" t="s">
        <v>2008</v>
      </c>
      <c r="D346" t="s">
        <v>72</v>
      </c>
      <c r="E346" t="s">
        <v>96</v>
      </c>
      <c r="F346" t="s">
        <v>2009</v>
      </c>
      <c r="G346" t="s">
        <v>551</v>
      </c>
      <c r="H346" t="s">
        <v>108</v>
      </c>
      <c r="I346" t="s">
        <v>2010</v>
      </c>
      <c r="K346">
        <v>212</v>
      </c>
      <c r="L346">
        <f>IFERROR(VLOOKUP(K346,'Tables new'!$A:$C,3,FALSE),"")</f>
        <v>70</v>
      </c>
      <c r="M346" t="str">
        <f>VLOOKUP(K346,CAT_JOUEUR,2,FALSE)</f>
        <v>Contact famille</v>
      </c>
      <c r="N346">
        <v>212</v>
      </c>
      <c r="O346">
        <f>IFERROR(VLOOKUP(N346,'Tables new'!$A:$C,3,FALSE),"")</f>
        <v>70</v>
      </c>
      <c r="P346" t="str">
        <f>VLOOKUP(N346,CAT_JOUEUR,2,FALSE)</f>
        <v>Contact famille</v>
      </c>
      <c r="W346" t="s">
        <v>89</v>
      </c>
      <c r="AH346" t="s">
        <v>78</v>
      </c>
      <c r="AI346" t="s">
        <v>78</v>
      </c>
      <c r="AJ346" t="s">
        <v>78</v>
      </c>
      <c r="AK346">
        <v>27736</v>
      </c>
      <c r="AL346" t="s">
        <v>2011</v>
      </c>
      <c r="AN346" t="s">
        <v>2012</v>
      </c>
      <c r="AP346">
        <v>691456576</v>
      </c>
      <c r="AQ346" t="s">
        <v>2013</v>
      </c>
    </row>
    <row r="347" spans="1:56" x14ac:dyDescent="0.2">
      <c r="A347" t="s">
        <v>2014</v>
      </c>
      <c r="B347" t="s">
        <v>2015</v>
      </c>
      <c r="D347" t="s">
        <v>72</v>
      </c>
      <c r="E347" t="s">
        <v>96</v>
      </c>
      <c r="F347" t="s">
        <v>2016</v>
      </c>
      <c r="G347" t="s">
        <v>2017</v>
      </c>
      <c r="H347" t="s">
        <v>1062</v>
      </c>
      <c r="I347" t="s">
        <v>1063</v>
      </c>
      <c r="K347">
        <v>15</v>
      </c>
      <c r="L347">
        <f>IFERROR(VLOOKUP(K347,'Tables new'!$A:$C,3,FALSE),"")</f>
        <v>35</v>
      </c>
      <c r="M347" t="str">
        <f>VLOOKUP(K347,CAT_JOUEUR,2,FALSE)</f>
        <v>U 13 F</v>
      </c>
      <c r="N347">
        <v>15</v>
      </c>
      <c r="O347">
        <f>IFERROR(VLOOKUP(N347,'Tables new'!$A:$C,3,FALSE),"")</f>
        <v>35</v>
      </c>
      <c r="P347" t="str">
        <f>VLOOKUP(N347,CAT_JOUEUR,2,FALSE)</f>
        <v>U 13 F</v>
      </c>
      <c r="Z347" t="s">
        <v>113</v>
      </c>
      <c r="AA347" t="s">
        <v>2018</v>
      </c>
      <c r="AF347" t="s">
        <v>223</v>
      </c>
      <c r="AH347">
        <v>45911</v>
      </c>
      <c r="AI347">
        <v>45859</v>
      </c>
      <c r="AJ347">
        <v>2029</v>
      </c>
      <c r="AK347">
        <v>41911</v>
      </c>
      <c r="AL347" t="s">
        <v>2019</v>
      </c>
      <c r="AO347" t="s">
        <v>2020</v>
      </c>
      <c r="AP347" t="s">
        <v>2021</v>
      </c>
      <c r="AQ347" t="s">
        <v>1064</v>
      </c>
    </row>
    <row r="348" spans="1:56" x14ac:dyDescent="0.2">
      <c r="A348" t="s">
        <v>2014</v>
      </c>
      <c r="B348" t="s">
        <v>644</v>
      </c>
      <c r="D348" t="s">
        <v>72</v>
      </c>
      <c r="E348" t="s">
        <v>96</v>
      </c>
      <c r="F348" t="s">
        <v>2016</v>
      </c>
      <c r="G348" t="s">
        <v>2022</v>
      </c>
      <c r="H348" t="s">
        <v>1062</v>
      </c>
      <c r="I348" t="s">
        <v>1063</v>
      </c>
      <c r="K348">
        <v>212</v>
      </c>
      <c r="L348">
        <f>IFERROR(VLOOKUP(K348,'Tables new'!$A:$C,3,FALSE),"")</f>
        <v>70</v>
      </c>
      <c r="M348" t="str">
        <f>VLOOKUP(K348,CAT_JOUEUR,2,FALSE)</f>
        <v>Contact famille</v>
      </c>
      <c r="N348">
        <v>212</v>
      </c>
      <c r="O348">
        <f>IFERROR(VLOOKUP(N348,'Tables new'!$A:$C,3,FALSE),"")</f>
        <v>70</v>
      </c>
      <c r="P348" t="str">
        <f>VLOOKUP(N348,CAT_JOUEUR,2,FALSE)</f>
        <v>Contact famille</v>
      </c>
      <c r="Z348" t="s">
        <v>89</v>
      </c>
      <c r="AH348" t="s">
        <v>78</v>
      </c>
      <c r="AI348" t="s">
        <v>78</v>
      </c>
      <c r="AJ348" t="s">
        <v>78</v>
      </c>
      <c r="AK348" t="s">
        <v>78</v>
      </c>
      <c r="AL348" t="s">
        <v>79</v>
      </c>
      <c r="AP348">
        <v>691237686</v>
      </c>
      <c r="AQ348" t="s">
        <v>2023</v>
      </c>
    </row>
    <row r="349" spans="1:56" x14ac:dyDescent="0.2">
      <c r="A349" t="s">
        <v>2024</v>
      </c>
      <c r="B349" t="s">
        <v>1574</v>
      </c>
      <c r="D349" t="s">
        <v>72</v>
      </c>
      <c r="E349" t="s">
        <v>96</v>
      </c>
      <c r="F349" t="s">
        <v>1155</v>
      </c>
      <c r="G349" t="s">
        <v>455</v>
      </c>
      <c r="H349" t="s">
        <v>456</v>
      </c>
      <c r="I349" t="s">
        <v>1156</v>
      </c>
      <c r="K349">
        <v>212</v>
      </c>
      <c r="L349">
        <f>IFERROR(VLOOKUP(K349,'Tables new'!$A:$C,3,FALSE),"")</f>
        <v>70</v>
      </c>
      <c r="M349" t="str">
        <f>VLOOKUP(K349,CAT_JOUEUR,2,FALSE)</f>
        <v>Contact famille</v>
      </c>
      <c r="N349">
        <v>212</v>
      </c>
      <c r="O349">
        <f>IFERROR(VLOOKUP(N349,'Tables new'!$A:$C,3,FALSE),"")</f>
        <v>70</v>
      </c>
      <c r="P349" t="str">
        <f>VLOOKUP(N349,CAT_JOUEUR,2,FALSE)</f>
        <v>Contact famille</v>
      </c>
      <c r="T349" t="s">
        <v>89</v>
      </c>
      <c r="V349" t="s">
        <v>89</v>
      </c>
      <c r="AB349" t="s">
        <v>2025</v>
      </c>
      <c r="AC349" t="s">
        <v>2025</v>
      </c>
      <c r="AF349" t="s">
        <v>223</v>
      </c>
      <c r="AH349">
        <v>45950</v>
      </c>
      <c r="AI349">
        <v>43382</v>
      </c>
      <c r="AJ349" t="s">
        <v>78</v>
      </c>
      <c r="AK349">
        <v>31015</v>
      </c>
      <c r="AL349" t="s">
        <v>2026</v>
      </c>
      <c r="AP349">
        <v>621730324</v>
      </c>
      <c r="AQ349" t="s">
        <v>1166</v>
      </c>
    </row>
    <row r="350" spans="1:56" x14ac:dyDescent="0.2">
      <c r="A350" t="s">
        <v>2024</v>
      </c>
      <c r="B350" t="s">
        <v>283</v>
      </c>
      <c r="D350" t="s">
        <v>72</v>
      </c>
      <c r="E350" t="s">
        <v>96</v>
      </c>
      <c r="F350" t="s">
        <v>2027</v>
      </c>
      <c r="G350" t="s">
        <v>599</v>
      </c>
      <c r="H350" t="s">
        <v>132</v>
      </c>
      <c r="I350" t="s">
        <v>2028</v>
      </c>
      <c r="K350">
        <v>1</v>
      </c>
      <c r="L350">
        <f>IFERROR(VLOOKUP(K350,'Tables new'!$A:$C,3,FALSE),"")</f>
        <v>2</v>
      </c>
      <c r="M350" t="str">
        <f>VLOOKUP(K350,CAT_JOUEUR,2,FALSE)</f>
        <v>Officiel H</v>
      </c>
      <c r="N350">
        <v>1</v>
      </c>
      <c r="O350">
        <f>IFERROR(VLOOKUP(N350,'Tables new'!$A:$C,3,FALSE),"")</f>
        <v>2</v>
      </c>
      <c r="P350" t="str">
        <f>VLOOKUP(N350,CAT_JOUEUR,2,FALSE)</f>
        <v>Officiel H</v>
      </c>
      <c r="S350" t="s">
        <v>89</v>
      </c>
      <c r="T350" t="s">
        <v>89</v>
      </c>
      <c r="AB350" t="s">
        <v>2029</v>
      </c>
      <c r="AC350" t="s">
        <v>2029</v>
      </c>
      <c r="AH350">
        <v>45195</v>
      </c>
      <c r="AI350">
        <v>43382</v>
      </c>
      <c r="AJ350" t="s">
        <v>78</v>
      </c>
      <c r="AK350">
        <v>29384</v>
      </c>
      <c r="AL350" t="s">
        <v>2030</v>
      </c>
      <c r="AN350" t="s">
        <v>2031</v>
      </c>
      <c r="AP350" t="s">
        <v>2032</v>
      </c>
      <c r="AQ350" t="s">
        <v>2033</v>
      </c>
      <c r="AV350" t="s">
        <v>468</v>
      </c>
      <c r="AY350" t="s">
        <v>637</v>
      </c>
      <c r="BA350" t="s">
        <v>136</v>
      </c>
      <c r="BB350" t="s">
        <v>271</v>
      </c>
      <c r="BD350" t="s">
        <v>139</v>
      </c>
    </row>
    <row r="351" spans="1:56" x14ac:dyDescent="0.2">
      <c r="A351" t="s">
        <v>2024</v>
      </c>
      <c r="B351" t="s">
        <v>2034</v>
      </c>
      <c r="D351" t="s">
        <v>72</v>
      </c>
      <c r="E351" t="s">
        <v>96</v>
      </c>
      <c r="F351" t="s">
        <v>2027</v>
      </c>
      <c r="G351" t="s">
        <v>599</v>
      </c>
      <c r="H351" t="s">
        <v>132</v>
      </c>
      <c r="I351" t="s">
        <v>2028</v>
      </c>
      <c r="K351">
        <v>6</v>
      </c>
      <c r="L351">
        <f>IFERROR(VLOOKUP(K351,'Tables new'!$A:$C,3,FALSE),"")</f>
        <v>15</v>
      </c>
      <c r="M351" t="str">
        <f>VLOOKUP(K351,CAT_JOUEUR,2,FALSE)</f>
        <v>U 13 H</v>
      </c>
      <c r="N351">
        <v>6</v>
      </c>
      <c r="O351">
        <f>IFERROR(VLOOKUP(N351,'Tables new'!$A:$C,3,FALSE),"")</f>
        <v>15</v>
      </c>
      <c r="P351" t="str">
        <f>VLOOKUP(N351,CAT_JOUEUR,2,FALSE)</f>
        <v>U 13 H</v>
      </c>
      <c r="T351" t="s">
        <v>113</v>
      </c>
      <c r="AA351" t="s">
        <v>2035</v>
      </c>
      <c r="AH351">
        <v>44872</v>
      </c>
      <c r="AI351">
        <v>44805</v>
      </c>
      <c r="AJ351">
        <v>2027</v>
      </c>
      <c r="AK351">
        <v>42236</v>
      </c>
      <c r="AL351" t="s">
        <v>2036</v>
      </c>
      <c r="AN351" t="s">
        <v>2031</v>
      </c>
      <c r="AO351" t="s">
        <v>2037</v>
      </c>
      <c r="AP351" t="s">
        <v>2038</v>
      </c>
      <c r="AQ351" t="s">
        <v>2039</v>
      </c>
    </row>
    <row r="352" spans="1:56" x14ac:dyDescent="0.2">
      <c r="A352" t="s">
        <v>2024</v>
      </c>
      <c r="B352" t="s">
        <v>2040</v>
      </c>
      <c r="D352" t="s">
        <v>72</v>
      </c>
      <c r="E352" t="s">
        <v>96</v>
      </c>
      <c r="F352" t="s">
        <v>2027</v>
      </c>
      <c r="G352" t="s">
        <v>599</v>
      </c>
      <c r="H352" t="s">
        <v>132</v>
      </c>
      <c r="I352" t="s">
        <v>2028</v>
      </c>
      <c r="K352">
        <v>5</v>
      </c>
      <c r="L352">
        <f>IFERROR(VLOOKUP(K352,'Tables new'!$A:$C,3,FALSE),"")</f>
        <v>14</v>
      </c>
      <c r="M352" t="str">
        <f>VLOOKUP(K352,CAT_JOUEUR,2,FALSE)</f>
        <v>U 15 H</v>
      </c>
      <c r="N352">
        <v>5</v>
      </c>
      <c r="O352">
        <f>IFERROR(VLOOKUP(N352,'Tables new'!$A:$C,3,FALSE),"")</f>
        <v>14</v>
      </c>
      <c r="P352" t="str">
        <f>VLOOKUP(N352,CAT_JOUEUR,2,FALSE)</f>
        <v>U 15 H</v>
      </c>
      <c r="S352" t="s">
        <v>113</v>
      </c>
      <c r="AA352" t="s">
        <v>2041</v>
      </c>
      <c r="AH352">
        <v>43424</v>
      </c>
      <c r="AI352">
        <v>43382</v>
      </c>
      <c r="AJ352">
        <v>2026</v>
      </c>
      <c r="AK352">
        <v>41192</v>
      </c>
      <c r="AL352" t="s">
        <v>2042</v>
      </c>
      <c r="AN352" t="s">
        <v>2031</v>
      </c>
      <c r="AO352" t="s">
        <v>2037</v>
      </c>
      <c r="AP352" t="s">
        <v>2038</v>
      </c>
      <c r="AQ352" t="s">
        <v>2039</v>
      </c>
      <c r="AY352" t="s">
        <v>91</v>
      </c>
      <c r="BA352" t="s">
        <v>136</v>
      </c>
      <c r="BB352" t="s">
        <v>271</v>
      </c>
      <c r="BD352">
        <v>100</v>
      </c>
    </row>
    <row r="353" spans="1:67" x14ac:dyDescent="0.2">
      <c r="A353" t="s">
        <v>2043</v>
      </c>
      <c r="B353" t="s">
        <v>2044</v>
      </c>
      <c r="D353" t="s">
        <v>2045</v>
      </c>
      <c r="E353" t="s">
        <v>446</v>
      </c>
      <c r="F353" t="s">
        <v>2046</v>
      </c>
      <c r="G353" t="s">
        <v>2047</v>
      </c>
      <c r="H353" t="s">
        <v>828</v>
      </c>
      <c r="I353" t="s">
        <v>2048</v>
      </c>
      <c r="K353">
        <v>212</v>
      </c>
      <c r="L353">
        <f>IFERROR(VLOOKUP(K353,'Tables new'!$A:$C,3,FALSE),"")</f>
        <v>70</v>
      </c>
      <c r="M353" t="str">
        <f>VLOOKUP(K353,CAT_JOUEUR,2,FALSE)</f>
        <v>Contact famille</v>
      </c>
      <c r="N353">
        <v>212</v>
      </c>
      <c r="O353">
        <f>IFERROR(VLOOKUP(N353,'Tables new'!$A:$C,3,FALSE),"")</f>
        <v>70</v>
      </c>
      <c r="P353" t="str">
        <f>VLOOKUP(N353,CAT_JOUEUR,2,FALSE)</f>
        <v>Contact famille</v>
      </c>
      <c r="W353" t="s">
        <v>89</v>
      </c>
      <c r="AH353" t="s">
        <v>78</v>
      </c>
      <c r="AI353" t="s">
        <v>78</v>
      </c>
      <c r="AJ353" t="s">
        <v>78</v>
      </c>
      <c r="AK353" t="s">
        <v>78</v>
      </c>
      <c r="AL353" t="s">
        <v>79</v>
      </c>
      <c r="AP353">
        <v>691202532</v>
      </c>
      <c r="AQ353" t="s">
        <v>2049</v>
      </c>
    </row>
    <row r="354" spans="1:67" x14ac:dyDescent="0.2">
      <c r="A354" t="s">
        <v>2050</v>
      </c>
      <c r="B354" t="s">
        <v>1742</v>
      </c>
      <c r="D354" t="s">
        <v>72</v>
      </c>
      <c r="E354" t="s">
        <v>96</v>
      </c>
      <c r="F354" t="s">
        <v>2051</v>
      </c>
      <c r="G354" t="s">
        <v>2052</v>
      </c>
      <c r="H354" t="s">
        <v>486</v>
      </c>
      <c r="I354" t="s">
        <v>2053</v>
      </c>
      <c r="K354">
        <v>212</v>
      </c>
      <c r="L354">
        <f>IFERROR(VLOOKUP(K354,'Tables new'!$A:$C,3,FALSE),"")</f>
        <v>70</v>
      </c>
      <c r="M354" t="str">
        <f>VLOOKUP(K354,CAT_JOUEUR,2,FALSE)</f>
        <v>Contact famille</v>
      </c>
      <c r="N354">
        <v>212</v>
      </c>
      <c r="O354">
        <f>IFERROR(VLOOKUP(N354,'Tables new'!$A:$C,3,FALSE),"")</f>
        <v>70</v>
      </c>
      <c r="P354" t="str">
        <f>VLOOKUP(N354,CAT_JOUEUR,2,FALSE)</f>
        <v>Contact famille</v>
      </c>
      <c r="V354" t="s">
        <v>89</v>
      </c>
      <c r="W354" t="s">
        <v>89</v>
      </c>
      <c r="AH354" t="s">
        <v>78</v>
      </c>
      <c r="AI354" t="s">
        <v>78</v>
      </c>
      <c r="AJ354" t="s">
        <v>78</v>
      </c>
      <c r="AK354" t="s">
        <v>78</v>
      </c>
      <c r="AL354" t="s">
        <v>79</v>
      </c>
      <c r="AP354">
        <v>691842609</v>
      </c>
      <c r="AQ354" t="s">
        <v>2054</v>
      </c>
    </row>
    <row r="355" spans="1:67" x14ac:dyDescent="0.2">
      <c r="A355" t="s">
        <v>2050</v>
      </c>
      <c r="B355" t="s">
        <v>2055</v>
      </c>
      <c r="D355" t="s">
        <v>72</v>
      </c>
      <c r="E355" t="s">
        <v>96</v>
      </c>
      <c r="F355" t="s">
        <v>2051</v>
      </c>
      <c r="G355" t="s">
        <v>2052</v>
      </c>
      <c r="H355" t="s">
        <v>486</v>
      </c>
      <c r="I355" t="s">
        <v>2053</v>
      </c>
      <c r="K355">
        <v>21</v>
      </c>
      <c r="L355">
        <f>IFERROR(VLOOKUP(K355,'Tables new'!$A:$C,3,FALSE),"")</f>
        <v>18</v>
      </c>
      <c r="M355" t="str">
        <f>VLOOKUP(K355,CAT_JOUEUR,2,FALSE)</f>
        <v>U7 Mixte</v>
      </c>
      <c r="N355">
        <v>21</v>
      </c>
      <c r="O355">
        <f>IFERROR(VLOOKUP(N355,'Tables new'!$A:$C,3,FALSE),"")</f>
        <v>18</v>
      </c>
      <c r="P355" t="str">
        <f>VLOOKUP(N355,CAT_JOUEUR,2,FALSE)</f>
        <v>U7 Mixte</v>
      </c>
      <c r="W355" t="s">
        <v>113</v>
      </c>
      <c r="AA355" t="s">
        <v>2056</v>
      </c>
      <c r="AF355" t="s">
        <v>223</v>
      </c>
      <c r="AH355">
        <v>45945</v>
      </c>
      <c r="AI355">
        <v>45940</v>
      </c>
      <c r="AJ355">
        <v>2029</v>
      </c>
      <c r="AK355">
        <v>44582</v>
      </c>
      <c r="AL355" t="s">
        <v>2057</v>
      </c>
      <c r="AO355" t="s">
        <v>2058</v>
      </c>
      <c r="AP355" t="s">
        <v>2059</v>
      </c>
      <c r="AQ355" t="s">
        <v>2060</v>
      </c>
    </row>
    <row r="356" spans="1:67" x14ac:dyDescent="0.2">
      <c r="A356" t="s">
        <v>2061</v>
      </c>
      <c r="B356" t="s">
        <v>2062</v>
      </c>
      <c r="D356" t="s">
        <v>72</v>
      </c>
      <c r="E356" t="s">
        <v>96</v>
      </c>
      <c r="F356" t="s">
        <v>2051</v>
      </c>
      <c r="G356" t="s">
        <v>2052</v>
      </c>
      <c r="H356" t="s">
        <v>486</v>
      </c>
      <c r="I356" t="s">
        <v>2053</v>
      </c>
      <c r="K356">
        <v>8</v>
      </c>
      <c r="L356">
        <f>IFERROR(VLOOKUP(K356,'Tables new'!$A:$C,3,FALSE),"")</f>
        <v>17</v>
      </c>
      <c r="M356" t="str">
        <f>VLOOKUP(K356,CAT_JOUEUR,2,FALSE)</f>
        <v>U 9 H</v>
      </c>
      <c r="N356">
        <v>8</v>
      </c>
      <c r="O356">
        <f>IFERROR(VLOOKUP(N356,'Tables new'!$A:$C,3,FALSE),"")</f>
        <v>17</v>
      </c>
      <c r="P356" t="str">
        <f>VLOOKUP(N356,CAT_JOUEUR,2,FALSE)</f>
        <v>U 9 H</v>
      </c>
      <c r="V356" t="s">
        <v>113</v>
      </c>
      <c r="AA356" t="s">
        <v>2063</v>
      </c>
      <c r="AF356" t="s">
        <v>223</v>
      </c>
      <c r="AH356">
        <v>45966</v>
      </c>
      <c r="AI356">
        <v>45962</v>
      </c>
      <c r="AJ356">
        <v>2031</v>
      </c>
      <c r="AK356">
        <v>43745</v>
      </c>
      <c r="AL356" t="s">
        <v>2064</v>
      </c>
      <c r="AO356" t="s">
        <v>2058</v>
      </c>
      <c r="AP356" t="s">
        <v>2059</v>
      </c>
      <c r="AQ356" t="s">
        <v>2060</v>
      </c>
    </row>
    <row r="357" spans="1:67" x14ac:dyDescent="0.2">
      <c r="A357" t="s">
        <v>2065</v>
      </c>
      <c r="B357" t="s">
        <v>528</v>
      </c>
      <c r="D357" t="s">
        <v>72</v>
      </c>
      <c r="E357" t="s">
        <v>96</v>
      </c>
      <c r="F357" t="s">
        <v>2066</v>
      </c>
      <c r="G357" t="s">
        <v>2067</v>
      </c>
      <c r="H357" t="s">
        <v>2068</v>
      </c>
      <c r="I357" t="s">
        <v>2069</v>
      </c>
      <c r="K357">
        <v>212</v>
      </c>
      <c r="L357">
        <f>IFERROR(VLOOKUP(K357,'Tables new'!$A:$C,3,FALSE),"")</f>
        <v>70</v>
      </c>
      <c r="M357" t="str">
        <f>VLOOKUP(K357,CAT_JOUEUR,2,FALSE)</f>
        <v>Contact famille</v>
      </c>
      <c r="N357">
        <v>212</v>
      </c>
      <c r="O357">
        <f>IFERROR(VLOOKUP(N357,'Tables new'!$A:$C,3,FALSE),"")</f>
        <v>70</v>
      </c>
      <c r="P357" t="str">
        <f>VLOOKUP(N357,CAT_JOUEUR,2,FALSE)</f>
        <v>Contact famille</v>
      </c>
      <c r="V357" t="s">
        <v>89</v>
      </c>
      <c r="AH357" t="s">
        <v>78</v>
      </c>
      <c r="AI357" t="s">
        <v>78</v>
      </c>
      <c r="AJ357" t="s">
        <v>78</v>
      </c>
      <c r="AK357" t="s">
        <v>78</v>
      </c>
      <c r="AL357" t="s">
        <v>79</v>
      </c>
      <c r="AP357">
        <v>621239604</v>
      </c>
      <c r="AQ357" t="s">
        <v>2070</v>
      </c>
    </row>
    <row r="358" spans="1:67" x14ac:dyDescent="0.2">
      <c r="A358" t="s">
        <v>2071</v>
      </c>
      <c r="B358" t="s">
        <v>2072</v>
      </c>
      <c r="D358" t="s">
        <v>72</v>
      </c>
      <c r="E358" t="s">
        <v>96</v>
      </c>
      <c r="F358" t="s">
        <v>2066</v>
      </c>
      <c r="G358" t="s">
        <v>2067</v>
      </c>
      <c r="H358" t="s">
        <v>2068</v>
      </c>
      <c r="I358" t="s">
        <v>2069</v>
      </c>
      <c r="K358">
        <v>8</v>
      </c>
      <c r="L358">
        <f>IFERROR(VLOOKUP(K358,'Tables new'!$A:$C,3,FALSE),"")</f>
        <v>17</v>
      </c>
      <c r="M358" t="str">
        <f>VLOOKUP(K358,CAT_JOUEUR,2,FALSE)</f>
        <v>U 9 H</v>
      </c>
      <c r="N358">
        <v>8</v>
      </c>
      <c r="O358">
        <f>IFERROR(VLOOKUP(N358,'Tables new'!$A:$C,3,FALSE),"")</f>
        <v>17</v>
      </c>
      <c r="P358" t="str">
        <f>VLOOKUP(N358,CAT_JOUEUR,2,FALSE)</f>
        <v>U 9 H</v>
      </c>
      <c r="V358" t="s">
        <v>113</v>
      </c>
      <c r="AA358" t="s">
        <v>2073</v>
      </c>
      <c r="AF358" t="s">
        <v>208</v>
      </c>
      <c r="AH358">
        <v>45223</v>
      </c>
      <c r="AI358">
        <v>45105</v>
      </c>
      <c r="AJ358">
        <v>2025</v>
      </c>
      <c r="AK358">
        <v>43186</v>
      </c>
      <c r="AL358" t="s">
        <v>2074</v>
      </c>
      <c r="AO358" t="s">
        <v>2075</v>
      </c>
      <c r="AP358" t="s">
        <v>2076</v>
      </c>
      <c r="AQ358" t="s">
        <v>2070</v>
      </c>
    </row>
    <row r="359" spans="1:67" x14ac:dyDescent="0.2">
      <c r="A359" t="s">
        <v>2077</v>
      </c>
      <c r="B359" t="s">
        <v>2078</v>
      </c>
      <c r="D359" t="s">
        <v>72</v>
      </c>
      <c r="E359" t="s">
        <v>96</v>
      </c>
      <c r="F359" t="s">
        <v>2079</v>
      </c>
      <c r="G359" t="s">
        <v>2080</v>
      </c>
      <c r="H359" t="s">
        <v>277</v>
      </c>
      <c r="I359" t="s">
        <v>145</v>
      </c>
      <c r="K359">
        <v>19</v>
      </c>
      <c r="L359">
        <f>IFERROR(VLOOKUP(K359,'Tables new'!$A:$C,3,FALSE),"")</f>
        <v>38</v>
      </c>
      <c r="M359" t="str">
        <f>VLOOKUP(K359,CAT_JOUEUR,2,FALSE)</f>
        <v>Vétérans - FE</v>
      </c>
      <c r="N359">
        <v>19</v>
      </c>
      <c r="O359">
        <f>IFERROR(VLOOKUP(N359,'Tables new'!$A:$C,3,FALSE),"")</f>
        <v>38</v>
      </c>
      <c r="P359" t="str">
        <f>VLOOKUP(N359,CAT_JOUEUR,2,FALSE)</f>
        <v>Vétérans - FE</v>
      </c>
      <c r="AA359" t="s">
        <v>2081</v>
      </c>
      <c r="AH359">
        <v>43892</v>
      </c>
      <c r="AI359">
        <v>43857</v>
      </c>
      <c r="AJ359">
        <v>2029</v>
      </c>
      <c r="AK359">
        <v>28944</v>
      </c>
      <c r="AL359" t="s">
        <v>2082</v>
      </c>
      <c r="AP359" t="s">
        <v>2083</v>
      </c>
      <c r="AQ359" t="s">
        <v>2084</v>
      </c>
      <c r="AY359" t="s">
        <v>442</v>
      </c>
      <c r="BA359" t="s">
        <v>92</v>
      </c>
      <c r="BB359" t="s">
        <v>92</v>
      </c>
      <c r="BD359">
        <v>50</v>
      </c>
    </row>
    <row r="360" spans="1:67" x14ac:dyDescent="0.2">
      <c r="A360" t="s">
        <v>2085</v>
      </c>
      <c r="B360" t="s">
        <v>2086</v>
      </c>
      <c r="D360" t="s">
        <v>72</v>
      </c>
      <c r="E360" t="s">
        <v>96</v>
      </c>
      <c r="F360" t="s">
        <v>2087</v>
      </c>
      <c r="G360" t="s">
        <v>2088</v>
      </c>
      <c r="H360" t="s">
        <v>2089</v>
      </c>
      <c r="I360" t="s">
        <v>145</v>
      </c>
      <c r="K360">
        <v>2</v>
      </c>
      <c r="L360">
        <f>IFERROR(VLOOKUP(K360,'Tables new'!$A:$C,3,FALSE),"")</f>
        <v>11</v>
      </c>
      <c r="M360" t="str">
        <f>VLOOKUP(K360,CAT_JOUEUR,2,FALSE)</f>
        <v>Seniors - HO</v>
      </c>
      <c r="N360">
        <v>2</v>
      </c>
      <c r="O360">
        <f>IFERROR(VLOOKUP(N360,'Tables new'!$A:$C,3,FALSE),"")</f>
        <v>11</v>
      </c>
      <c r="P360" t="str">
        <f>VLOOKUP(N360,CAT_JOUEUR,2,FALSE)</f>
        <v>Seniors - HO</v>
      </c>
      <c r="AA360" t="s">
        <v>2090</v>
      </c>
      <c r="AB360" t="s">
        <v>2091</v>
      </c>
      <c r="AH360">
        <v>36910</v>
      </c>
      <c r="AI360">
        <v>36910</v>
      </c>
      <c r="AJ360">
        <v>2029</v>
      </c>
      <c r="AK360">
        <v>32873</v>
      </c>
      <c r="AL360" t="s">
        <v>2092</v>
      </c>
      <c r="AN360" t="s">
        <v>2093</v>
      </c>
      <c r="AP360" t="s">
        <v>2094</v>
      </c>
      <c r="AQ360" t="s">
        <v>2095</v>
      </c>
      <c r="AT360" t="s">
        <v>1117</v>
      </c>
      <c r="AY360" t="s">
        <v>442</v>
      </c>
      <c r="BA360" t="s">
        <v>136</v>
      </c>
      <c r="BB360" t="s">
        <v>271</v>
      </c>
      <c r="BC360" t="s">
        <v>1330</v>
      </c>
      <c r="BD360">
        <v>50</v>
      </c>
      <c r="BF360" t="s">
        <v>2096</v>
      </c>
      <c r="BO360" t="s">
        <v>1400</v>
      </c>
    </row>
    <row r="361" spans="1:67" x14ac:dyDescent="0.2">
      <c r="A361" t="s">
        <v>2097</v>
      </c>
      <c r="B361" t="s">
        <v>2098</v>
      </c>
      <c r="D361" t="s">
        <v>72</v>
      </c>
      <c r="E361" t="s">
        <v>96</v>
      </c>
      <c r="F361" t="s">
        <v>2099</v>
      </c>
      <c r="G361" t="s">
        <v>2100</v>
      </c>
      <c r="H361" t="s">
        <v>885</v>
      </c>
      <c r="I361" t="s">
        <v>2101</v>
      </c>
      <c r="K361">
        <v>212</v>
      </c>
      <c r="L361">
        <f>IFERROR(VLOOKUP(K361,'Tables new'!$A:$C,3,FALSE),"")</f>
        <v>70</v>
      </c>
      <c r="M361" t="str">
        <f>VLOOKUP(K361,CAT_JOUEUR,2,FALSE)</f>
        <v>Contact famille</v>
      </c>
      <c r="N361">
        <v>212</v>
      </c>
      <c r="O361">
        <f>IFERROR(VLOOKUP(N361,'Tables new'!$A:$C,3,FALSE),"")</f>
        <v>70</v>
      </c>
      <c r="P361" t="str">
        <f>VLOOKUP(N361,CAT_JOUEUR,2,FALSE)</f>
        <v>Contact famille</v>
      </c>
      <c r="Y361" t="s">
        <v>89</v>
      </c>
      <c r="AH361" t="s">
        <v>78</v>
      </c>
      <c r="AI361" t="s">
        <v>78</v>
      </c>
      <c r="AJ361" t="s">
        <v>78</v>
      </c>
      <c r="AK361" t="s">
        <v>78</v>
      </c>
      <c r="AL361" t="s">
        <v>79</v>
      </c>
      <c r="AN361" t="s">
        <v>2102</v>
      </c>
      <c r="AP361" t="s">
        <v>2103</v>
      </c>
      <c r="AQ361" t="s">
        <v>2104</v>
      </c>
      <c r="AY361" t="s">
        <v>91</v>
      </c>
      <c r="BA361" t="s">
        <v>136</v>
      </c>
      <c r="BB361" t="s">
        <v>137</v>
      </c>
      <c r="BD361" t="s">
        <v>139</v>
      </c>
    </row>
    <row r="362" spans="1:67" x14ac:dyDescent="0.2">
      <c r="A362" t="s">
        <v>2097</v>
      </c>
      <c r="B362" t="s">
        <v>1234</v>
      </c>
      <c r="D362" t="s">
        <v>72</v>
      </c>
      <c r="E362" t="s">
        <v>96</v>
      </c>
      <c r="F362" t="s">
        <v>2105</v>
      </c>
      <c r="G362" t="s">
        <v>431</v>
      </c>
      <c r="H362" t="s">
        <v>432</v>
      </c>
      <c r="I362" t="s">
        <v>2106</v>
      </c>
      <c r="K362">
        <v>212</v>
      </c>
      <c r="L362">
        <f>IFERROR(VLOOKUP(K362,'Tables new'!$A:$C,3,FALSE),"")</f>
        <v>70</v>
      </c>
      <c r="M362" t="str">
        <f>VLOOKUP(K362,CAT_JOUEUR,2,FALSE)</f>
        <v>Contact famille</v>
      </c>
      <c r="N362">
        <v>212</v>
      </c>
      <c r="O362">
        <f>IFERROR(VLOOKUP(N362,'Tables new'!$A:$C,3,FALSE),"")</f>
        <v>70</v>
      </c>
      <c r="P362" t="str">
        <f>VLOOKUP(N362,CAT_JOUEUR,2,FALSE)</f>
        <v>Contact famille</v>
      </c>
      <c r="AH362" t="s">
        <v>78</v>
      </c>
      <c r="AI362" t="s">
        <v>78</v>
      </c>
      <c r="AJ362" t="s">
        <v>78</v>
      </c>
      <c r="AK362" t="s">
        <v>78</v>
      </c>
      <c r="AL362" t="s">
        <v>79</v>
      </c>
      <c r="AP362" t="s">
        <v>2107</v>
      </c>
      <c r="AQ362" t="s">
        <v>2108</v>
      </c>
    </row>
    <row r="363" spans="1:67" x14ac:dyDescent="0.2">
      <c r="A363" t="s">
        <v>2109</v>
      </c>
      <c r="B363" t="s">
        <v>2110</v>
      </c>
      <c r="D363" t="s">
        <v>72</v>
      </c>
      <c r="E363" t="s">
        <v>96</v>
      </c>
      <c r="F363" t="s">
        <v>689</v>
      </c>
      <c r="G363" t="s">
        <v>690</v>
      </c>
      <c r="H363" t="s">
        <v>559</v>
      </c>
      <c r="I363" t="s">
        <v>691</v>
      </c>
      <c r="K363">
        <v>150</v>
      </c>
      <c r="L363">
        <f>IFERROR(VLOOKUP(K363,'Tables new'!$A:$C,3,FALSE),"")</f>
        <v>1</v>
      </c>
      <c r="M363" t="str">
        <f>VLOOKUP(K363,CAT_JOUEUR,2,FALSE)</f>
        <v>comité</v>
      </c>
      <c r="N363">
        <v>1</v>
      </c>
      <c r="O363">
        <f>IFERROR(VLOOKUP(N363,'Tables new'!$A:$C,3,FALSE),"")</f>
        <v>2</v>
      </c>
      <c r="P363" t="str">
        <f>VLOOKUP(N363,CAT_JOUEUR,2,FALSE)</f>
        <v>Officiel H</v>
      </c>
      <c r="AB363" t="s">
        <v>2111</v>
      </c>
      <c r="AC363" t="s">
        <v>2111</v>
      </c>
      <c r="AH363">
        <v>35359</v>
      </c>
      <c r="AI363">
        <v>35359</v>
      </c>
      <c r="AJ363" t="s">
        <v>534</v>
      </c>
      <c r="AK363">
        <v>19545</v>
      </c>
      <c r="AL363" t="s">
        <v>2112</v>
      </c>
      <c r="AM363" t="s">
        <v>473</v>
      </c>
      <c r="AP363" t="s">
        <v>2113</v>
      </c>
      <c r="AQ363" t="s">
        <v>2114</v>
      </c>
      <c r="AU363" t="s">
        <v>2115</v>
      </c>
      <c r="AY363" t="s">
        <v>637</v>
      </c>
      <c r="BA363" t="s">
        <v>136</v>
      </c>
      <c r="BB363" t="s">
        <v>137</v>
      </c>
      <c r="BC363" t="s">
        <v>694</v>
      </c>
      <c r="BD363">
        <v>175</v>
      </c>
      <c r="BO363" t="s">
        <v>921</v>
      </c>
    </row>
    <row r="364" spans="1:67" x14ac:dyDescent="0.2">
      <c r="A364" t="s">
        <v>2109</v>
      </c>
      <c r="B364" t="s">
        <v>1128</v>
      </c>
      <c r="D364" t="s">
        <v>72</v>
      </c>
      <c r="E364" t="s">
        <v>96</v>
      </c>
      <c r="F364" t="s">
        <v>2116</v>
      </c>
      <c r="G364" t="s">
        <v>2067</v>
      </c>
      <c r="H364" t="s">
        <v>2068</v>
      </c>
      <c r="I364" t="s">
        <v>145</v>
      </c>
      <c r="K364">
        <v>9</v>
      </c>
      <c r="L364">
        <f>IFERROR(VLOOKUP(K364,'Tables new'!$A:$C,3,FALSE),"")</f>
        <v>20</v>
      </c>
      <c r="M364" t="str">
        <f>VLOOKUP(K364,CAT_JOUEUR,2,FALSE)</f>
        <v>Vétérans - HO</v>
      </c>
      <c r="N364">
        <v>9</v>
      </c>
      <c r="O364">
        <f>IFERROR(VLOOKUP(N364,'Tables new'!$A:$C,3,FALSE),"")</f>
        <v>20</v>
      </c>
      <c r="P364" t="str">
        <f>VLOOKUP(N364,CAT_JOUEUR,2,FALSE)</f>
        <v>Vétérans - HO</v>
      </c>
      <c r="AA364" t="s">
        <v>2117</v>
      </c>
      <c r="AF364" t="s">
        <v>182</v>
      </c>
      <c r="AH364">
        <v>46193</v>
      </c>
      <c r="AI364">
        <v>41565</v>
      </c>
      <c r="AJ364">
        <v>2031</v>
      </c>
      <c r="AK364">
        <v>33288</v>
      </c>
      <c r="AL364" t="s">
        <v>2118</v>
      </c>
      <c r="AP364">
        <v>691824057</v>
      </c>
      <c r="AQ364" t="s">
        <v>2119</v>
      </c>
      <c r="AV364" t="s">
        <v>468</v>
      </c>
    </row>
    <row r="365" spans="1:67" x14ac:dyDescent="0.2">
      <c r="A365" t="s">
        <v>2120</v>
      </c>
      <c r="B365" t="s">
        <v>2121</v>
      </c>
      <c r="D365" t="s">
        <v>72</v>
      </c>
      <c r="E365" t="s">
        <v>2122</v>
      </c>
      <c r="F365" t="s">
        <v>2123</v>
      </c>
      <c r="G365" t="s">
        <v>2124</v>
      </c>
      <c r="H365" t="s">
        <v>417</v>
      </c>
      <c r="I365" t="s">
        <v>2125</v>
      </c>
      <c r="K365">
        <v>212</v>
      </c>
      <c r="L365">
        <f>IFERROR(VLOOKUP(K365,'Tables new'!$A:$C,3,FALSE),"")</f>
        <v>70</v>
      </c>
      <c r="M365" t="str">
        <f>VLOOKUP(K365,CAT_JOUEUR,2,FALSE)</f>
        <v>Contact famille</v>
      </c>
      <c r="N365">
        <v>212</v>
      </c>
      <c r="O365">
        <f>IFERROR(VLOOKUP(N365,'Tables new'!$A:$C,3,FALSE),"")</f>
        <v>70</v>
      </c>
      <c r="P365" t="str">
        <f>VLOOKUP(N365,CAT_JOUEUR,2,FALSE)</f>
        <v>Contact famille</v>
      </c>
      <c r="V365" t="s">
        <v>89</v>
      </c>
      <c r="AH365" t="s">
        <v>78</v>
      </c>
      <c r="AI365" t="s">
        <v>78</v>
      </c>
      <c r="AJ365" t="s">
        <v>78</v>
      </c>
      <c r="AK365" t="s">
        <v>78</v>
      </c>
      <c r="AL365" t="s">
        <v>79</v>
      </c>
    </row>
    <row r="366" spans="1:67" x14ac:dyDescent="0.2">
      <c r="A366" t="s">
        <v>2120</v>
      </c>
      <c r="B366" t="s">
        <v>2126</v>
      </c>
      <c r="D366" t="s">
        <v>72</v>
      </c>
      <c r="E366" t="s">
        <v>2122</v>
      </c>
      <c r="F366" t="s">
        <v>2123</v>
      </c>
      <c r="G366" t="s">
        <v>2124</v>
      </c>
      <c r="H366" t="s">
        <v>417</v>
      </c>
      <c r="I366" t="s">
        <v>2125</v>
      </c>
      <c r="K366">
        <v>8</v>
      </c>
      <c r="L366">
        <f>IFERROR(VLOOKUP(K366,'Tables new'!$A:$C,3,FALSE),"")</f>
        <v>17</v>
      </c>
      <c r="M366" t="str">
        <f>VLOOKUP(K366,CAT_JOUEUR,2,FALSE)</f>
        <v>U 9 H</v>
      </c>
      <c r="N366">
        <v>8</v>
      </c>
      <c r="O366">
        <f>IFERROR(VLOOKUP(N366,'Tables new'!$A:$C,3,FALSE),"")</f>
        <v>17</v>
      </c>
      <c r="P366" t="str">
        <f>VLOOKUP(N366,CAT_JOUEUR,2,FALSE)</f>
        <v>U 9 H</v>
      </c>
      <c r="V366" t="s">
        <v>113</v>
      </c>
      <c r="AA366" t="s">
        <v>2127</v>
      </c>
      <c r="AF366" t="s">
        <v>223</v>
      </c>
      <c r="AH366">
        <v>46086</v>
      </c>
      <c r="AI366">
        <v>46055</v>
      </c>
      <c r="AJ366">
        <v>2031</v>
      </c>
      <c r="AK366">
        <v>43622</v>
      </c>
      <c r="AL366" t="s">
        <v>2128</v>
      </c>
      <c r="AP366">
        <v>621508660</v>
      </c>
      <c r="AQ366" t="s">
        <v>2129</v>
      </c>
    </row>
    <row r="367" spans="1:67" x14ac:dyDescent="0.2">
      <c r="A367" t="s">
        <v>2130</v>
      </c>
      <c r="B367" t="s">
        <v>2131</v>
      </c>
      <c r="D367" t="s">
        <v>72</v>
      </c>
      <c r="E367" t="s">
        <v>2122</v>
      </c>
      <c r="F367" t="s">
        <v>2123</v>
      </c>
      <c r="G367" t="s">
        <v>2124</v>
      </c>
      <c r="H367" t="s">
        <v>417</v>
      </c>
      <c r="I367" t="s">
        <v>2125</v>
      </c>
      <c r="K367">
        <v>212</v>
      </c>
      <c r="L367">
        <f>IFERROR(VLOOKUP(K367,'Tables new'!$A:$C,3,FALSE),"")</f>
        <v>70</v>
      </c>
      <c r="M367" t="str">
        <f>VLOOKUP(K367,CAT_JOUEUR,2,FALSE)</f>
        <v>Contact famille</v>
      </c>
      <c r="N367">
        <v>212</v>
      </c>
      <c r="O367">
        <f>IFERROR(VLOOKUP(N367,'Tables new'!$A:$C,3,FALSE),"")</f>
        <v>70</v>
      </c>
      <c r="P367" t="str">
        <f>VLOOKUP(N367,CAT_JOUEUR,2,FALSE)</f>
        <v>Contact famille</v>
      </c>
      <c r="V367" t="s">
        <v>89</v>
      </c>
      <c r="AH367" t="s">
        <v>78</v>
      </c>
      <c r="AI367" t="s">
        <v>78</v>
      </c>
      <c r="AJ367" t="s">
        <v>78</v>
      </c>
      <c r="AK367" t="s">
        <v>78</v>
      </c>
      <c r="AL367" t="s">
        <v>79</v>
      </c>
      <c r="AP367">
        <v>621508660</v>
      </c>
      <c r="AQ367" t="s">
        <v>2129</v>
      </c>
    </row>
    <row r="368" spans="1:67" x14ac:dyDescent="0.2">
      <c r="A368" t="s">
        <v>2132</v>
      </c>
      <c r="B368" t="s">
        <v>2133</v>
      </c>
      <c r="D368" t="s">
        <v>72</v>
      </c>
      <c r="E368" t="s">
        <v>96</v>
      </c>
      <c r="F368" t="s">
        <v>2134</v>
      </c>
      <c r="G368" t="s">
        <v>2135</v>
      </c>
      <c r="H368" t="s">
        <v>647</v>
      </c>
      <c r="I368" t="s">
        <v>2136</v>
      </c>
      <c r="K368">
        <v>3</v>
      </c>
      <c r="L368">
        <f>IFERROR(VLOOKUP(K368,'Tables new'!$A:$C,3,FALSE),"")</f>
        <v>12</v>
      </c>
      <c r="M368" t="str">
        <f>VLOOKUP(K368,CAT_JOUEUR,2,FALSE)</f>
        <v>U 21 HO</v>
      </c>
      <c r="N368">
        <v>3</v>
      </c>
      <c r="O368">
        <f>IFERROR(VLOOKUP(N368,'Tables new'!$A:$C,3,FALSE),"")</f>
        <v>12</v>
      </c>
      <c r="P368" t="str">
        <f>VLOOKUP(N368,CAT_JOUEUR,2,FALSE)</f>
        <v>U 21 HO</v>
      </c>
      <c r="AA368" t="s">
        <v>2137</v>
      </c>
      <c r="AH368">
        <v>43538</v>
      </c>
      <c r="AI368">
        <v>43516</v>
      </c>
      <c r="AJ368">
        <v>2027</v>
      </c>
      <c r="AK368">
        <v>39355</v>
      </c>
      <c r="AL368" t="s">
        <v>2138</v>
      </c>
      <c r="AO368" t="s">
        <v>2139</v>
      </c>
      <c r="AP368" t="s">
        <v>2140</v>
      </c>
      <c r="AQ368" t="s">
        <v>2141</v>
      </c>
      <c r="AY368" t="s">
        <v>91</v>
      </c>
      <c r="BA368" t="s">
        <v>136</v>
      </c>
      <c r="BB368" t="s">
        <v>137</v>
      </c>
      <c r="BC368" t="s">
        <v>138</v>
      </c>
      <c r="BD368">
        <v>100</v>
      </c>
    </row>
    <row r="369" spans="1:67" x14ac:dyDescent="0.2">
      <c r="A369" t="s">
        <v>2132</v>
      </c>
      <c r="B369" t="s">
        <v>1321</v>
      </c>
      <c r="D369" t="s">
        <v>72</v>
      </c>
      <c r="E369" t="s">
        <v>96</v>
      </c>
      <c r="F369" t="s">
        <v>2134</v>
      </c>
      <c r="G369" t="s">
        <v>2135</v>
      </c>
      <c r="H369" t="s">
        <v>647</v>
      </c>
      <c r="I369" t="s">
        <v>2136</v>
      </c>
      <c r="K369">
        <v>212</v>
      </c>
      <c r="L369">
        <f>IFERROR(VLOOKUP(K369,'Tables new'!$A:$C,3,FALSE),"")</f>
        <v>70</v>
      </c>
      <c r="M369" t="str">
        <f>VLOOKUP(K369,CAT_JOUEUR,2,FALSE)</f>
        <v>Contact famille</v>
      </c>
      <c r="N369">
        <v>212</v>
      </c>
      <c r="O369">
        <f>IFERROR(VLOOKUP(N369,'Tables new'!$A:$C,3,FALSE),"")</f>
        <v>70</v>
      </c>
      <c r="P369" t="str">
        <f>VLOOKUP(N369,CAT_JOUEUR,2,FALSE)</f>
        <v>Contact famille</v>
      </c>
      <c r="AH369" t="s">
        <v>78</v>
      </c>
      <c r="AI369">
        <v>43516</v>
      </c>
      <c r="AJ369" t="s">
        <v>78</v>
      </c>
      <c r="AK369" t="s">
        <v>78</v>
      </c>
      <c r="AL369" t="s">
        <v>79</v>
      </c>
      <c r="AP369" t="s">
        <v>2142</v>
      </c>
      <c r="AQ369" t="s">
        <v>2141</v>
      </c>
      <c r="AY369" t="s">
        <v>91</v>
      </c>
      <c r="BA369" t="s">
        <v>136</v>
      </c>
      <c r="BB369" t="s">
        <v>137</v>
      </c>
      <c r="BD369" t="s">
        <v>139</v>
      </c>
    </row>
    <row r="370" spans="1:67" x14ac:dyDescent="0.2">
      <c r="A370" t="s">
        <v>2143</v>
      </c>
      <c r="B370" t="s">
        <v>397</v>
      </c>
      <c r="D370" t="s">
        <v>72</v>
      </c>
      <c r="E370" t="s">
        <v>96</v>
      </c>
      <c r="F370" t="s">
        <v>1000</v>
      </c>
      <c r="G370" t="s">
        <v>1001</v>
      </c>
      <c r="H370" t="s">
        <v>144</v>
      </c>
      <c r="I370" t="s">
        <v>1002</v>
      </c>
      <c r="K370">
        <v>212</v>
      </c>
      <c r="L370">
        <f>IFERROR(VLOOKUP(K370,'Tables new'!$A:$C,3,FALSE),"")</f>
        <v>70</v>
      </c>
      <c r="M370" t="str">
        <f>VLOOKUP(K370,CAT_JOUEUR,2,FALSE)</f>
        <v>Contact famille</v>
      </c>
      <c r="N370">
        <v>212</v>
      </c>
      <c r="O370">
        <f>IFERROR(VLOOKUP(N370,'Tables new'!$A:$C,3,FALSE),"")</f>
        <v>70</v>
      </c>
      <c r="P370" t="str">
        <f>VLOOKUP(N370,CAT_JOUEUR,2,FALSE)</f>
        <v>Contact famille</v>
      </c>
      <c r="AH370" t="s">
        <v>78</v>
      </c>
      <c r="AI370" t="s">
        <v>78</v>
      </c>
      <c r="AJ370" t="s">
        <v>78</v>
      </c>
      <c r="AK370" t="s">
        <v>78</v>
      </c>
      <c r="AL370" t="s">
        <v>79</v>
      </c>
      <c r="AP370">
        <v>661874186</v>
      </c>
      <c r="AQ370" t="s">
        <v>2144</v>
      </c>
    </row>
    <row r="371" spans="1:67" x14ac:dyDescent="0.2">
      <c r="A371" t="s">
        <v>2143</v>
      </c>
      <c r="B371" t="s">
        <v>2145</v>
      </c>
      <c r="D371" t="s">
        <v>72</v>
      </c>
      <c r="E371" t="s">
        <v>96</v>
      </c>
      <c r="F371" t="s">
        <v>1000</v>
      </c>
      <c r="G371" t="s">
        <v>1001</v>
      </c>
      <c r="H371" t="s">
        <v>144</v>
      </c>
      <c r="I371" t="s">
        <v>1002</v>
      </c>
      <c r="K371">
        <v>3</v>
      </c>
      <c r="L371">
        <f>IFERROR(VLOOKUP(K371,'Tables new'!$A:$C,3,FALSE),"")</f>
        <v>12</v>
      </c>
      <c r="M371" t="str">
        <f>VLOOKUP(K371,CAT_JOUEUR,2,FALSE)</f>
        <v>U 21 HO</v>
      </c>
      <c r="N371">
        <v>3</v>
      </c>
      <c r="O371">
        <f>IFERROR(VLOOKUP(N371,'Tables new'!$A:$C,3,FALSE),"")</f>
        <v>12</v>
      </c>
      <c r="P371" t="str">
        <f>VLOOKUP(N371,CAT_JOUEUR,2,FALSE)</f>
        <v>U 21 HO</v>
      </c>
      <c r="AA371" t="s">
        <v>2146</v>
      </c>
      <c r="AH371">
        <v>42340</v>
      </c>
      <c r="AI371">
        <v>45558</v>
      </c>
      <c r="AJ371">
        <v>2027</v>
      </c>
      <c r="AK371">
        <v>39438</v>
      </c>
      <c r="AL371" t="s">
        <v>2147</v>
      </c>
      <c r="AN371">
        <v>621578731</v>
      </c>
      <c r="AO371" t="s">
        <v>2148</v>
      </c>
      <c r="AP371" t="s">
        <v>2149</v>
      </c>
      <c r="AQ371" t="s">
        <v>2150</v>
      </c>
    </row>
    <row r="372" spans="1:67" x14ac:dyDescent="0.2">
      <c r="A372" t="s">
        <v>2151</v>
      </c>
      <c r="B372" t="s">
        <v>2152</v>
      </c>
      <c r="D372" t="s">
        <v>72</v>
      </c>
      <c r="E372" t="s">
        <v>981</v>
      </c>
      <c r="F372" t="s">
        <v>1815</v>
      </c>
      <c r="G372" t="s">
        <v>416</v>
      </c>
      <c r="H372" t="s">
        <v>192</v>
      </c>
      <c r="I372" t="s">
        <v>1816</v>
      </c>
      <c r="K372">
        <v>7</v>
      </c>
      <c r="L372">
        <f>IFERROR(VLOOKUP(K372,'Tables new'!$A:$C,3,FALSE),"")</f>
        <v>16</v>
      </c>
      <c r="M372" t="str">
        <f>VLOOKUP(K372,CAT_JOUEUR,2,FALSE)</f>
        <v>U 11 H</v>
      </c>
      <c r="N372">
        <v>7</v>
      </c>
      <c r="O372">
        <f>IFERROR(VLOOKUP(N372,'Tables new'!$A:$C,3,FALSE),"")</f>
        <v>16</v>
      </c>
      <c r="P372" t="str">
        <f>VLOOKUP(N372,CAT_JOUEUR,2,FALSE)</f>
        <v>U 11 H</v>
      </c>
      <c r="U372" t="s">
        <v>113</v>
      </c>
      <c r="AA372" t="s">
        <v>2153</v>
      </c>
      <c r="AH372">
        <v>45560</v>
      </c>
      <c r="AI372">
        <v>45544</v>
      </c>
      <c r="AJ372">
        <v>2029</v>
      </c>
      <c r="AK372">
        <v>42804</v>
      </c>
      <c r="AL372" t="s">
        <v>2154</v>
      </c>
      <c r="AO372" t="s">
        <v>2155</v>
      </c>
      <c r="AP372" t="s">
        <v>2156</v>
      </c>
      <c r="AQ372" t="s">
        <v>1817</v>
      </c>
    </row>
    <row r="373" spans="1:67" x14ac:dyDescent="0.2">
      <c r="A373" t="s">
        <v>2157</v>
      </c>
      <c r="B373" t="s">
        <v>2158</v>
      </c>
      <c r="D373" t="s">
        <v>72</v>
      </c>
      <c r="E373" t="s">
        <v>981</v>
      </c>
      <c r="F373" t="s">
        <v>1815</v>
      </c>
      <c r="G373" t="s">
        <v>416</v>
      </c>
      <c r="H373" t="s">
        <v>192</v>
      </c>
      <c r="I373" t="s">
        <v>1816</v>
      </c>
      <c r="K373">
        <v>212</v>
      </c>
      <c r="L373">
        <f>IFERROR(VLOOKUP(K373,'Tables new'!$A:$C,3,FALSE),"")</f>
        <v>70</v>
      </c>
      <c r="M373" t="str">
        <f>VLOOKUP(K373,CAT_JOUEUR,2,FALSE)</f>
        <v>Contact famille</v>
      </c>
      <c r="N373">
        <v>212</v>
      </c>
      <c r="O373">
        <f>IFERROR(VLOOKUP(N373,'Tables new'!$A:$C,3,FALSE),"")</f>
        <v>70</v>
      </c>
      <c r="P373" t="str">
        <f>VLOOKUP(N373,CAT_JOUEUR,2,FALSE)</f>
        <v>Contact famille</v>
      </c>
      <c r="U373" t="s">
        <v>89</v>
      </c>
      <c r="AH373" t="s">
        <v>78</v>
      </c>
      <c r="AI373" t="s">
        <v>78</v>
      </c>
      <c r="AJ373" t="s">
        <v>78</v>
      </c>
      <c r="AK373" t="s">
        <v>78</v>
      </c>
      <c r="AL373" t="s">
        <v>79</v>
      </c>
      <c r="AP373">
        <v>661118095</v>
      </c>
      <c r="AQ373" t="s">
        <v>2159</v>
      </c>
    </row>
    <row r="374" spans="1:67" x14ac:dyDescent="0.2">
      <c r="A374" t="s">
        <v>2160</v>
      </c>
      <c r="B374" t="s">
        <v>697</v>
      </c>
      <c r="D374" t="s">
        <v>72</v>
      </c>
      <c r="E374" t="s">
        <v>96</v>
      </c>
      <c r="F374" t="s">
        <v>2161</v>
      </c>
      <c r="G374" t="s">
        <v>705</v>
      </c>
      <c r="H374" t="s">
        <v>108</v>
      </c>
      <c r="I374" t="s">
        <v>2162</v>
      </c>
      <c r="K374">
        <v>212</v>
      </c>
      <c r="L374">
        <f>IFERROR(VLOOKUP(K374,'Tables new'!$A:$C,3,FALSE),"")</f>
        <v>70</v>
      </c>
      <c r="M374" t="str">
        <f>VLOOKUP(K374,CAT_JOUEUR,2,FALSE)</f>
        <v>Contact famille</v>
      </c>
      <c r="N374">
        <v>212</v>
      </c>
      <c r="O374">
        <f>IFERROR(VLOOKUP(N374,'Tables new'!$A:$C,3,FALSE),"")</f>
        <v>70</v>
      </c>
      <c r="P374" t="str">
        <f>VLOOKUP(N374,CAT_JOUEUR,2,FALSE)</f>
        <v>Contact famille</v>
      </c>
      <c r="V374" t="s">
        <v>89</v>
      </c>
      <c r="W374" t="s">
        <v>89</v>
      </c>
      <c r="AI374" t="s">
        <v>78</v>
      </c>
      <c r="AJ374" t="s">
        <v>78</v>
      </c>
      <c r="AK374" t="s">
        <v>78</v>
      </c>
      <c r="AL374" t="s">
        <v>79</v>
      </c>
      <c r="AP374">
        <v>691951984</v>
      </c>
      <c r="AQ374" t="s">
        <v>2163</v>
      </c>
    </row>
    <row r="375" spans="1:67" x14ac:dyDescent="0.2">
      <c r="A375" t="s">
        <v>2164</v>
      </c>
      <c r="B375" t="s">
        <v>631</v>
      </c>
      <c r="D375" t="s">
        <v>72</v>
      </c>
      <c r="E375" t="s">
        <v>96</v>
      </c>
      <c r="F375" t="s">
        <v>374</v>
      </c>
      <c r="G375" t="s">
        <v>375</v>
      </c>
      <c r="H375" t="s">
        <v>376</v>
      </c>
      <c r="I375" t="s">
        <v>377</v>
      </c>
      <c r="K375">
        <v>212</v>
      </c>
      <c r="L375">
        <f>IFERROR(VLOOKUP(K375,'Tables new'!$A:$C,3,FALSE),"")</f>
        <v>70</v>
      </c>
      <c r="M375" t="str">
        <f>VLOOKUP(K375,CAT_JOUEUR,2,FALSE)</f>
        <v>Contact famille</v>
      </c>
      <c r="N375">
        <v>212</v>
      </c>
      <c r="O375">
        <f>IFERROR(VLOOKUP(N375,'Tables new'!$A:$C,3,FALSE),"")</f>
        <v>70</v>
      </c>
      <c r="P375" t="str">
        <f>VLOOKUP(N375,CAT_JOUEUR,2,FALSE)</f>
        <v>Contact famille</v>
      </c>
      <c r="S375" t="s">
        <v>89</v>
      </c>
      <c r="AH375" t="s">
        <v>78</v>
      </c>
      <c r="AI375" t="s">
        <v>78</v>
      </c>
      <c r="AJ375" t="s">
        <v>78</v>
      </c>
      <c r="AK375" t="s">
        <v>78</v>
      </c>
      <c r="AL375" t="s">
        <v>79</v>
      </c>
      <c r="AO375" t="s">
        <v>2165</v>
      </c>
      <c r="AP375">
        <v>661810220</v>
      </c>
      <c r="AQ375" t="s">
        <v>378</v>
      </c>
    </row>
    <row r="376" spans="1:67" x14ac:dyDescent="0.2">
      <c r="A376" t="s">
        <v>2166</v>
      </c>
      <c r="B376" t="s">
        <v>2167</v>
      </c>
      <c r="D376" t="s">
        <v>72</v>
      </c>
      <c r="E376" t="s">
        <v>96</v>
      </c>
      <c r="F376" t="s">
        <v>698</v>
      </c>
      <c r="G376" t="s">
        <v>299</v>
      </c>
      <c r="H376" t="s">
        <v>300</v>
      </c>
      <c r="I376" t="s">
        <v>699</v>
      </c>
      <c r="K376">
        <v>17</v>
      </c>
      <c r="L376">
        <f>IFERROR(VLOOKUP(K376,'Tables new'!$A:$C,3,FALSE),"")</f>
        <v>36</v>
      </c>
      <c r="M376" t="str">
        <f>VLOOKUP(K376,CAT_JOUEUR,2,FALSE)</f>
        <v>U 11 F</v>
      </c>
      <c r="N376">
        <v>17</v>
      </c>
      <c r="O376">
        <f>IFERROR(VLOOKUP(N376,'Tables new'!$A:$C,3,FALSE),"")</f>
        <v>36</v>
      </c>
      <c r="P376" t="str">
        <f>VLOOKUP(N376,CAT_JOUEUR,2,FALSE)</f>
        <v>U 11 F</v>
      </c>
      <c r="U376" t="s">
        <v>113</v>
      </c>
      <c r="AA376" t="s">
        <v>2168</v>
      </c>
      <c r="AH376">
        <v>45552</v>
      </c>
      <c r="AI376">
        <v>45505</v>
      </c>
      <c r="AJ376">
        <v>2028</v>
      </c>
      <c r="AK376">
        <v>42416</v>
      </c>
      <c r="AL376" t="s">
        <v>2169</v>
      </c>
      <c r="AO376" t="s">
        <v>2170</v>
      </c>
      <c r="AP376" t="s">
        <v>2171</v>
      </c>
      <c r="AQ376" t="s">
        <v>700</v>
      </c>
    </row>
    <row r="377" spans="1:67" x14ac:dyDescent="0.2">
      <c r="A377" t="s">
        <v>2166</v>
      </c>
      <c r="B377" t="s">
        <v>2172</v>
      </c>
      <c r="D377" t="s">
        <v>72</v>
      </c>
      <c r="E377" t="s">
        <v>96</v>
      </c>
      <c r="F377" t="s">
        <v>698</v>
      </c>
      <c r="G377" t="s">
        <v>299</v>
      </c>
      <c r="H377" t="s">
        <v>300</v>
      </c>
      <c r="I377" t="s">
        <v>699</v>
      </c>
      <c r="K377">
        <v>5</v>
      </c>
      <c r="L377">
        <f>IFERROR(VLOOKUP(K377,'Tables new'!$A:$C,3,FALSE),"")</f>
        <v>14</v>
      </c>
      <c r="M377" t="str">
        <f>VLOOKUP(K377,CAT_JOUEUR,2,FALSE)</f>
        <v>U 15 H</v>
      </c>
      <c r="N377">
        <v>5</v>
      </c>
      <c r="O377">
        <f>IFERROR(VLOOKUP(N377,'Tables new'!$A:$C,3,FALSE),"")</f>
        <v>14</v>
      </c>
      <c r="P377" t="str">
        <f>VLOOKUP(N377,CAT_JOUEUR,2,FALSE)</f>
        <v>U 15 H</v>
      </c>
      <c r="S377" t="s">
        <v>113</v>
      </c>
      <c r="AA377" t="s">
        <v>2173</v>
      </c>
      <c r="AH377">
        <v>45776</v>
      </c>
      <c r="AI377">
        <v>45734</v>
      </c>
      <c r="AJ377">
        <v>2029</v>
      </c>
      <c r="AK377">
        <v>41950</v>
      </c>
      <c r="AL377" t="s">
        <v>2174</v>
      </c>
      <c r="AO377" t="s">
        <v>2170</v>
      </c>
      <c r="AP377" t="s">
        <v>2171</v>
      </c>
      <c r="AQ377" t="s">
        <v>700</v>
      </c>
    </row>
    <row r="378" spans="1:67" x14ac:dyDescent="0.2">
      <c r="A378" t="s">
        <v>2175</v>
      </c>
      <c r="B378" t="s">
        <v>2176</v>
      </c>
      <c r="D378" t="s">
        <v>72</v>
      </c>
      <c r="E378" t="s">
        <v>96</v>
      </c>
      <c r="F378" t="s">
        <v>698</v>
      </c>
      <c r="G378" t="s">
        <v>299</v>
      </c>
      <c r="H378" t="s">
        <v>300</v>
      </c>
      <c r="I378" t="s">
        <v>699</v>
      </c>
      <c r="K378">
        <v>212</v>
      </c>
      <c r="L378">
        <f>IFERROR(VLOOKUP(K378,'Tables new'!$A:$C,3,FALSE),"")</f>
        <v>70</v>
      </c>
      <c r="M378" t="str">
        <f>VLOOKUP(K378,CAT_JOUEUR,2,FALSE)</f>
        <v>Contact famille</v>
      </c>
      <c r="N378">
        <v>212</v>
      </c>
      <c r="O378">
        <f>IFERROR(VLOOKUP(N378,'Tables new'!$A:$C,3,FALSE),"")</f>
        <v>70</v>
      </c>
      <c r="P378" t="str">
        <f>VLOOKUP(N378,CAT_JOUEUR,2,FALSE)</f>
        <v>Contact famille</v>
      </c>
      <c r="S378" t="s">
        <v>89</v>
      </c>
      <c r="U378" t="s">
        <v>89</v>
      </c>
      <c r="AH378" t="s">
        <v>78</v>
      </c>
      <c r="AI378" t="s">
        <v>78</v>
      </c>
      <c r="AJ378" t="s">
        <v>78</v>
      </c>
      <c r="AK378" t="s">
        <v>78</v>
      </c>
      <c r="AL378" t="s">
        <v>79</v>
      </c>
      <c r="AP378">
        <v>661166999</v>
      </c>
      <c r="AQ378" t="s">
        <v>2177</v>
      </c>
    </row>
    <row r="379" spans="1:67" x14ac:dyDescent="0.2">
      <c r="A379" t="s">
        <v>2178</v>
      </c>
      <c r="B379" t="s">
        <v>297</v>
      </c>
      <c r="D379" t="s">
        <v>72</v>
      </c>
      <c r="E379" t="s">
        <v>96</v>
      </c>
      <c r="F379" t="s">
        <v>1793</v>
      </c>
      <c r="G379" t="s">
        <v>1358</v>
      </c>
      <c r="H379" t="s">
        <v>584</v>
      </c>
      <c r="I379" t="s">
        <v>1794</v>
      </c>
      <c r="K379">
        <v>212</v>
      </c>
      <c r="L379">
        <f>IFERROR(VLOOKUP(K379,'Tables new'!$A:$C,3,FALSE),"")</f>
        <v>70</v>
      </c>
      <c r="M379" t="str">
        <f>VLOOKUP(K379,CAT_JOUEUR,2,FALSE)</f>
        <v>Contact famille</v>
      </c>
      <c r="N379">
        <v>212</v>
      </c>
      <c r="O379">
        <f>IFERROR(VLOOKUP(N379,'Tables new'!$A:$C,3,FALSE),"")</f>
        <v>70</v>
      </c>
      <c r="P379" t="str">
        <f>VLOOKUP(N379,CAT_JOUEUR,2,FALSE)</f>
        <v>Contact famille</v>
      </c>
      <c r="Z379" t="s">
        <v>89</v>
      </c>
      <c r="AH379" t="s">
        <v>78</v>
      </c>
      <c r="AI379" t="s">
        <v>78</v>
      </c>
      <c r="AJ379" t="s">
        <v>78</v>
      </c>
      <c r="AK379" t="s">
        <v>78</v>
      </c>
      <c r="AL379" t="s">
        <v>79</v>
      </c>
      <c r="AP379">
        <v>691233822</v>
      </c>
      <c r="AQ379" t="s">
        <v>1799</v>
      </c>
    </row>
    <row r="380" spans="1:67" x14ac:dyDescent="0.2">
      <c r="A380" t="s">
        <v>2179</v>
      </c>
      <c r="B380" t="s">
        <v>2180</v>
      </c>
      <c r="D380" t="s">
        <v>72</v>
      </c>
      <c r="E380" t="s">
        <v>96</v>
      </c>
      <c r="F380" t="s">
        <v>1429</v>
      </c>
      <c r="G380" t="s">
        <v>1068</v>
      </c>
      <c r="H380" t="s">
        <v>1069</v>
      </c>
      <c r="I380" t="s">
        <v>1430</v>
      </c>
      <c r="K380">
        <v>212</v>
      </c>
      <c r="L380">
        <f>IFERROR(VLOOKUP(K380,'Tables new'!$A:$C,3,FALSE),"")</f>
        <v>70</v>
      </c>
      <c r="M380" t="str">
        <f>VLOOKUP(K380,CAT_JOUEUR,2,FALSE)</f>
        <v>Contact famille</v>
      </c>
      <c r="N380">
        <v>212</v>
      </c>
      <c r="O380">
        <f>IFERROR(VLOOKUP(N380,'Tables new'!$A:$C,3,FALSE),"")</f>
        <v>70</v>
      </c>
      <c r="P380" t="str">
        <f>VLOOKUP(N380,CAT_JOUEUR,2,FALSE)</f>
        <v>Contact famille</v>
      </c>
      <c r="Q380" t="s">
        <v>89</v>
      </c>
      <c r="AH380" t="s">
        <v>78</v>
      </c>
      <c r="AI380" t="s">
        <v>78</v>
      </c>
      <c r="AJ380" t="s">
        <v>78</v>
      </c>
      <c r="AK380" t="s">
        <v>78</v>
      </c>
      <c r="AL380" t="s">
        <v>79</v>
      </c>
      <c r="AP380">
        <v>621373017</v>
      </c>
      <c r="AQ380" t="s">
        <v>1433</v>
      </c>
    </row>
    <row r="381" spans="1:67" x14ac:dyDescent="0.2">
      <c r="A381" t="s">
        <v>2179</v>
      </c>
      <c r="B381" t="s">
        <v>2181</v>
      </c>
      <c r="D381" t="s">
        <v>72</v>
      </c>
      <c r="E381" t="s">
        <v>96</v>
      </c>
      <c r="F381" t="s">
        <v>1621</v>
      </c>
      <c r="G381" t="s">
        <v>448</v>
      </c>
      <c r="H381" t="s">
        <v>300</v>
      </c>
      <c r="I381" t="s">
        <v>1622</v>
      </c>
      <c r="K381">
        <v>5</v>
      </c>
      <c r="L381">
        <f>IFERROR(VLOOKUP(K381,'Tables new'!$A:$C,3,FALSE),"")</f>
        <v>14</v>
      </c>
      <c r="M381" t="str">
        <f>VLOOKUP(K381,CAT_JOUEUR,2,FALSE)</f>
        <v>U 15 H</v>
      </c>
      <c r="N381">
        <v>5</v>
      </c>
      <c r="O381">
        <f>IFERROR(VLOOKUP(N381,'Tables new'!$A:$C,3,FALSE),"")</f>
        <v>14</v>
      </c>
      <c r="P381" t="str">
        <f>VLOOKUP(N381,CAT_JOUEUR,2,FALSE)</f>
        <v>U 15 H</v>
      </c>
      <c r="S381" t="s">
        <v>113</v>
      </c>
      <c r="AA381" t="s">
        <v>2182</v>
      </c>
      <c r="AH381">
        <v>43817</v>
      </c>
      <c r="AI381">
        <v>43794</v>
      </c>
      <c r="AJ381">
        <v>2025</v>
      </c>
      <c r="AK381">
        <v>41486</v>
      </c>
      <c r="AL381" t="s">
        <v>2183</v>
      </c>
      <c r="AO381" t="s">
        <v>2184</v>
      </c>
      <c r="AP381" t="s">
        <v>2185</v>
      </c>
      <c r="AQ381" t="s">
        <v>1624</v>
      </c>
      <c r="AY381" t="s">
        <v>781</v>
      </c>
      <c r="BA381" t="s">
        <v>782</v>
      </c>
      <c r="BD381" t="s">
        <v>783</v>
      </c>
    </row>
    <row r="382" spans="1:67" x14ac:dyDescent="0.2">
      <c r="A382" t="s">
        <v>2179</v>
      </c>
      <c r="B382" t="s">
        <v>1128</v>
      </c>
      <c r="D382" t="s">
        <v>72</v>
      </c>
      <c r="E382" t="s">
        <v>1848</v>
      </c>
      <c r="F382" t="s">
        <v>1621</v>
      </c>
      <c r="G382" t="s">
        <v>448</v>
      </c>
      <c r="H382" t="s">
        <v>300</v>
      </c>
      <c r="I382" t="s">
        <v>1622</v>
      </c>
      <c r="K382">
        <v>212</v>
      </c>
      <c r="L382">
        <f>IFERROR(VLOOKUP(K382,'Tables new'!$A:$C,3,FALSE),"")</f>
        <v>70</v>
      </c>
      <c r="M382" t="str">
        <f>VLOOKUP(K382,CAT_JOUEUR,2,FALSE)</f>
        <v>Contact famille</v>
      </c>
      <c r="N382">
        <v>212</v>
      </c>
      <c r="O382">
        <f>IFERROR(VLOOKUP(N382,'Tables new'!$A:$C,3,FALSE),"")</f>
        <v>70</v>
      </c>
      <c r="P382" t="str">
        <f>VLOOKUP(N382,CAT_JOUEUR,2,FALSE)</f>
        <v>Contact famille</v>
      </c>
      <c r="S382" t="s">
        <v>89</v>
      </c>
      <c r="AH382" t="s">
        <v>78</v>
      </c>
      <c r="AI382" t="s">
        <v>78</v>
      </c>
      <c r="AJ382" t="s">
        <v>78</v>
      </c>
      <c r="AK382" t="s">
        <v>78</v>
      </c>
      <c r="AL382" t="s">
        <v>79</v>
      </c>
      <c r="AP382" t="s">
        <v>2186</v>
      </c>
      <c r="AY382" t="s">
        <v>781</v>
      </c>
      <c r="BA382" t="s">
        <v>92</v>
      </c>
    </row>
    <row r="383" spans="1:67" x14ac:dyDescent="0.2">
      <c r="A383" t="s">
        <v>2187</v>
      </c>
      <c r="B383" t="s">
        <v>2188</v>
      </c>
      <c r="D383" t="s">
        <v>72</v>
      </c>
      <c r="E383" t="s">
        <v>123</v>
      </c>
      <c r="F383" t="s">
        <v>2189</v>
      </c>
      <c r="G383" t="s">
        <v>2124</v>
      </c>
      <c r="H383" t="s">
        <v>417</v>
      </c>
      <c r="I383" t="s">
        <v>145</v>
      </c>
      <c r="K383">
        <v>2</v>
      </c>
      <c r="L383">
        <f>IFERROR(VLOOKUP(K383,'Tables new'!$A:$C,3,FALSE),"")</f>
        <v>11</v>
      </c>
      <c r="M383" t="str">
        <f>VLOOKUP(K383,CAT_JOUEUR,2,FALSE)</f>
        <v>Seniors - HO</v>
      </c>
      <c r="N383">
        <v>2</v>
      </c>
      <c r="O383">
        <f>IFERROR(VLOOKUP(N383,'Tables new'!$A:$C,3,FALSE),"")</f>
        <v>11</v>
      </c>
      <c r="P383" t="str">
        <f>VLOOKUP(N383,CAT_JOUEUR,2,FALSE)</f>
        <v>Seniors - HO</v>
      </c>
      <c r="AA383" t="s">
        <v>2190</v>
      </c>
      <c r="AH383">
        <v>42338</v>
      </c>
      <c r="AI383">
        <v>42338</v>
      </c>
      <c r="AJ383">
        <v>2026</v>
      </c>
      <c r="AK383">
        <v>38203</v>
      </c>
      <c r="AL383" t="s">
        <v>2191</v>
      </c>
      <c r="AN383" t="s">
        <v>2192</v>
      </c>
      <c r="AP383" t="s">
        <v>2193</v>
      </c>
      <c r="AQ383" t="s">
        <v>2194</v>
      </c>
      <c r="AY383" t="s">
        <v>442</v>
      </c>
      <c r="BA383" t="s">
        <v>136</v>
      </c>
      <c r="BB383" t="s">
        <v>271</v>
      </c>
      <c r="BC383" t="s">
        <v>1330</v>
      </c>
      <c r="BD383">
        <v>100</v>
      </c>
      <c r="BO383" t="s">
        <v>1668</v>
      </c>
    </row>
    <row r="384" spans="1:67" x14ac:dyDescent="0.2">
      <c r="A384" t="s">
        <v>2195</v>
      </c>
      <c r="B384" t="s">
        <v>2196</v>
      </c>
      <c r="D384" t="s">
        <v>72</v>
      </c>
      <c r="E384" t="s">
        <v>96</v>
      </c>
      <c r="F384" t="s">
        <v>2197</v>
      </c>
      <c r="G384" t="s">
        <v>988</v>
      </c>
      <c r="H384" t="s">
        <v>989</v>
      </c>
      <c r="I384" t="s">
        <v>2198</v>
      </c>
      <c r="K384">
        <v>212</v>
      </c>
      <c r="L384">
        <f>IFERROR(VLOOKUP(K384,'Tables new'!$A:$C,3,FALSE),"")</f>
        <v>70</v>
      </c>
      <c r="M384" t="str">
        <f>VLOOKUP(K384,CAT_JOUEUR,2,FALSE)</f>
        <v>Contact famille</v>
      </c>
      <c r="N384">
        <v>212</v>
      </c>
      <c r="O384">
        <f>IFERROR(VLOOKUP(N384,'Tables new'!$A:$C,3,FALSE),"")</f>
        <v>70</v>
      </c>
      <c r="P384" t="str">
        <f>VLOOKUP(N384,CAT_JOUEUR,2,FALSE)</f>
        <v>Contact famille</v>
      </c>
      <c r="R384" t="s">
        <v>89</v>
      </c>
      <c r="AH384" t="s">
        <v>78</v>
      </c>
      <c r="AI384" t="s">
        <v>78</v>
      </c>
      <c r="AJ384" t="s">
        <v>78</v>
      </c>
      <c r="AK384" t="s">
        <v>78</v>
      </c>
      <c r="AL384" t="s">
        <v>79</v>
      </c>
      <c r="AP384">
        <v>661620125</v>
      </c>
      <c r="AQ384" t="s">
        <v>2199</v>
      </c>
    </row>
    <row r="385" spans="1:67" x14ac:dyDescent="0.2">
      <c r="A385" t="s">
        <v>2200</v>
      </c>
      <c r="B385" t="s">
        <v>2201</v>
      </c>
      <c r="D385" t="s">
        <v>72</v>
      </c>
      <c r="E385" t="s">
        <v>96</v>
      </c>
      <c r="F385" t="s">
        <v>2202</v>
      </c>
      <c r="G385" t="s">
        <v>2203</v>
      </c>
      <c r="H385" t="s">
        <v>132</v>
      </c>
      <c r="I385" t="s">
        <v>2204</v>
      </c>
      <c r="K385">
        <v>212</v>
      </c>
      <c r="L385">
        <f>IFERROR(VLOOKUP(K385,'Tables new'!$A:$C,3,FALSE),"")</f>
        <v>70</v>
      </c>
      <c r="M385" t="str">
        <f>VLOOKUP(K385,CAT_JOUEUR,2,FALSE)</f>
        <v>Contact famille</v>
      </c>
      <c r="N385">
        <v>212</v>
      </c>
      <c r="O385">
        <f>IFERROR(VLOOKUP(N385,'Tables new'!$A:$C,3,FALSE),"")</f>
        <v>70</v>
      </c>
      <c r="P385" t="str">
        <f>VLOOKUP(N385,CAT_JOUEUR,2,FALSE)</f>
        <v>Contact famille</v>
      </c>
      <c r="Z385" t="s">
        <v>89</v>
      </c>
      <c r="AH385" t="s">
        <v>78</v>
      </c>
      <c r="AI385" t="s">
        <v>78</v>
      </c>
      <c r="AJ385" t="s">
        <v>78</v>
      </c>
      <c r="AK385" t="s">
        <v>78</v>
      </c>
      <c r="AL385" t="s">
        <v>79</v>
      </c>
      <c r="AP385">
        <v>691044071</v>
      </c>
      <c r="AQ385" t="s">
        <v>2205</v>
      </c>
    </row>
    <row r="386" spans="1:67" x14ac:dyDescent="0.2">
      <c r="A386" t="s">
        <v>2200</v>
      </c>
      <c r="B386" t="s">
        <v>2206</v>
      </c>
      <c r="D386" t="s">
        <v>72</v>
      </c>
      <c r="E386" t="s">
        <v>96</v>
      </c>
      <c r="F386" t="s">
        <v>2202</v>
      </c>
      <c r="G386" t="s">
        <v>2203</v>
      </c>
      <c r="H386" t="s">
        <v>132</v>
      </c>
      <c r="I386" t="s">
        <v>2204</v>
      </c>
      <c r="K386">
        <v>15</v>
      </c>
      <c r="L386">
        <f>IFERROR(VLOOKUP(K386,'Tables new'!$A:$C,3,FALSE),"")</f>
        <v>35</v>
      </c>
      <c r="M386" t="str">
        <f>VLOOKUP(K386,CAT_JOUEUR,2,FALSE)</f>
        <v>U 13 F</v>
      </c>
      <c r="N386">
        <v>15</v>
      </c>
      <c r="O386">
        <f>IFERROR(VLOOKUP(N386,'Tables new'!$A:$C,3,FALSE),"")</f>
        <v>35</v>
      </c>
      <c r="P386" t="str">
        <f>VLOOKUP(N386,CAT_JOUEUR,2,FALSE)</f>
        <v>U 13 F</v>
      </c>
      <c r="Z386" t="s">
        <v>113</v>
      </c>
      <c r="AA386" t="s">
        <v>2207</v>
      </c>
      <c r="AF386" t="s">
        <v>2208</v>
      </c>
      <c r="AH386">
        <v>45989</v>
      </c>
      <c r="AI386">
        <v>45981</v>
      </c>
      <c r="AJ386">
        <v>2026</v>
      </c>
      <c r="AK386">
        <v>41732</v>
      </c>
      <c r="AL386" t="s">
        <v>2209</v>
      </c>
      <c r="AP386">
        <v>691044071</v>
      </c>
      <c r="AQ386" t="s">
        <v>2205</v>
      </c>
    </row>
    <row r="387" spans="1:67" x14ac:dyDescent="0.2">
      <c r="A387" t="s">
        <v>2210</v>
      </c>
      <c r="B387" t="s">
        <v>2196</v>
      </c>
      <c r="D387" t="s">
        <v>72</v>
      </c>
      <c r="E387" t="s">
        <v>96</v>
      </c>
      <c r="F387" t="s">
        <v>2211</v>
      </c>
      <c r="G387" t="s">
        <v>1248</v>
      </c>
      <c r="H387" t="s">
        <v>1249</v>
      </c>
      <c r="I387" t="s">
        <v>145</v>
      </c>
      <c r="K387">
        <v>12</v>
      </c>
      <c r="L387">
        <v>31</v>
      </c>
      <c r="M387" t="s">
        <v>265</v>
      </c>
      <c r="N387">
        <v>12</v>
      </c>
      <c r="O387">
        <f>IFERROR(VLOOKUP(N387,'Tables new'!$A:$C,3,FALSE),"")</f>
        <v>31</v>
      </c>
      <c r="P387" t="str">
        <f>VLOOKUP(N387,CAT_JOUEUR,2,FALSE)</f>
        <v>Femmes</v>
      </c>
      <c r="AA387" t="s">
        <v>2212</v>
      </c>
      <c r="AH387">
        <v>44258</v>
      </c>
      <c r="AI387">
        <v>44253</v>
      </c>
      <c r="AJ387">
        <v>2024</v>
      </c>
      <c r="AK387">
        <v>33677</v>
      </c>
      <c r="AL387" t="s">
        <v>2213</v>
      </c>
      <c r="AP387" t="s">
        <v>2214</v>
      </c>
      <c r="AQ387" t="s">
        <v>2215</v>
      </c>
    </row>
    <row r="388" spans="1:67" x14ac:dyDescent="0.2">
      <c r="A388" t="s">
        <v>2216</v>
      </c>
      <c r="B388" t="s">
        <v>2217</v>
      </c>
      <c r="D388" t="s">
        <v>72</v>
      </c>
      <c r="E388" t="s">
        <v>2218</v>
      </c>
      <c r="F388" t="s">
        <v>2219</v>
      </c>
      <c r="G388" t="s">
        <v>1581</v>
      </c>
      <c r="H388" t="s">
        <v>885</v>
      </c>
      <c r="I388" t="s">
        <v>2220</v>
      </c>
      <c r="K388">
        <v>212</v>
      </c>
      <c r="L388">
        <f>IFERROR(VLOOKUP(K388,'Tables new'!$A:$C,3,FALSE),"")</f>
        <v>70</v>
      </c>
      <c r="M388" t="str">
        <f>VLOOKUP(K388,CAT_JOUEUR,2,FALSE)</f>
        <v>Contact famille</v>
      </c>
      <c r="N388">
        <v>212</v>
      </c>
      <c r="O388">
        <f>IFERROR(VLOOKUP(N388,'Tables new'!$A:$C,3,FALSE),"")</f>
        <v>70</v>
      </c>
      <c r="P388" t="str">
        <f>VLOOKUP(N388,CAT_JOUEUR,2,FALSE)</f>
        <v>Contact famille</v>
      </c>
      <c r="V388" t="s">
        <v>89</v>
      </c>
      <c r="W388" t="s">
        <v>89</v>
      </c>
      <c r="AH388" t="s">
        <v>78</v>
      </c>
      <c r="AI388" t="s">
        <v>78</v>
      </c>
      <c r="AJ388" t="s">
        <v>78</v>
      </c>
      <c r="AK388" t="s">
        <v>2221</v>
      </c>
      <c r="AL388" t="s">
        <v>79</v>
      </c>
      <c r="AO388" t="s">
        <v>208</v>
      </c>
      <c r="AP388">
        <v>691661744</v>
      </c>
      <c r="AQ388" t="s">
        <v>2222</v>
      </c>
    </row>
    <row r="389" spans="1:67" x14ac:dyDescent="0.2">
      <c r="A389" t="s">
        <v>2223</v>
      </c>
      <c r="B389" t="s">
        <v>2224</v>
      </c>
      <c r="D389" t="s">
        <v>72</v>
      </c>
      <c r="E389" t="s">
        <v>96</v>
      </c>
      <c r="F389" t="s">
        <v>2219</v>
      </c>
      <c r="G389" t="s">
        <v>1581</v>
      </c>
      <c r="H389" t="s">
        <v>885</v>
      </c>
      <c r="I389" t="s">
        <v>2220</v>
      </c>
      <c r="K389">
        <v>21</v>
      </c>
      <c r="L389">
        <f>IFERROR(VLOOKUP(K389,'Tables new'!$A:$C,3,FALSE),"")</f>
        <v>18</v>
      </c>
      <c r="M389" t="str">
        <f>VLOOKUP(K389,CAT_JOUEUR,2,FALSE)</f>
        <v>U7 Mixte</v>
      </c>
      <c r="N389">
        <v>21</v>
      </c>
      <c r="O389">
        <f>IFERROR(VLOOKUP(N389,'Tables new'!$A:$C,3,FALSE),"")</f>
        <v>18</v>
      </c>
      <c r="P389" t="str">
        <f>VLOOKUP(N389,CAT_JOUEUR,2,FALSE)</f>
        <v>U7 Mixte</v>
      </c>
      <c r="W389" t="s">
        <v>113</v>
      </c>
      <c r="AA389" t="s">
        <v>2225</v>
      </c>
      <c r="AH389">
        <v>45474</v>
      </c>
      <c r="AI389">
        <v>45348</v>
      </c>
      <c r="AJ389">
        <v>2028</v>
      </c>
      <c r="AK389">
        <v>44217</v>
      </c>
      <c r="AL389" t="s">
        <v>2226</v>
      </c>
      <c r="AO389" t="s">
        <v>2227</v>
      </c>
      <c r="AP389" t="s">
        <v>2228</v>
      </c>
      <c r="AQ389" t="s">
        <v>2229</v>
      </c>
    </row>
    <row r="390" spans="1:67" x14ac:dyDescent="0.2">
      <c r="A390" t="s">
        <v>2223</v>
      </c>
      <c r="B390" t="s">
        <v>1190</v>
      </c>
      <c r="D390" t="s">
        <v>72</v>
      </c>
      <c r="E390" t="s">
        <v>96</v>
      </c>
      <c r="F390" t="s">
        <v>2219</v>
      </c>
      <c r="G390" t="s">
        <v>1581</v>
      </c>
      <c r="H390" t="s">
        <v>885</v>
      </c>
      <c r="I390" t="s">
        <v>2220</v>
      </c>
      <c r="K390">
        <v>18</v>
      </c>
      <c r="L390">
        <f>IFERROR(VLOOKUP(K390,'Tables new'!$A:$C,3,FALSE),"")</f>
        <v>37</v>
      </c>
      <c r="M390" t="str">
        <f>VLOOKUP(K390,CAT_JOUEUR,2,FALSE)</f>
        <v>U 9 F</v>
      </c>
      <c r="N390">
        <v>18</v>
      </c>
      <c r="O390">
        <f>IFERROR(VLOOKUP(N390,'Tables new'!$A:$C,3,FALSE),"")</f>
        <v>37</v>
      </c>
      <c r="P390" t="str">
        <f>VLOOKUP(N390,CAT_JOUEUR,2,FALSE)</f>
        <v>U 9 F</v>
      </c>
      <c r="V390" t="s">
        <v>113</v>
      </c>
      <c r="AA390" t="s">
        <v>2230</v>
      </c>
      <c r="AH390">
        <v>44494</v>
      </c>
      <c r="AI390">
        <v>44477</v>
      </c>
      <c r="AJ390">
        <v>2030</v>
      </c>
      <c r="AK390">
        <v>43352</v>
      </c>
      <c r="AL390" t="s">
        <v>2231</v>
      </c>
      <c r="AO390" t="s">
        <v>2227</v>
      </c>
      <c r="AP390" t="s">
        <v>2228</v>
      </c>
      <c r="AQ390" t="s">
        <v>2229</v>
      </c>
    </row>
    <row r="391" spans="1:67" x14ac:dyDescent="0.2">
      <c r="A391" t="s">
        <v>2232</v>
      </c>
      <c r="B391" t="s">
        <v>2233</v>
      </c>
      <c r="D391" t="s">
        <v>72</v>
      </c>
      <c r="E391" t="s">
        <v>789</v>
      </c>
      <c r="F391" t="s">
        <v>2234</v>
      </c>
      <c r="G391" t="s">
        <v>2135</v>
      </c>
      <c r="H391" t="s">
        <v>647</v>
      </c>
      <c r="I391" t="s">
        <v>2235</v>
      </c>
      <c r="K391">
        <v>212</v>
      </c>
      <c r="L391">
        <f>IFERROR(VLOOKUP(K391,'Tables new'!$A:$C,3,FALSE),"")</f>
        <v>70</v>
      </c>
      <c r="M391" t="str">
        <f>VLOOKUP(K391,CAT_JOUEUR,2,FALSE)</f>
        <v>Contact famille</v>
      </c>
      <c r="N391">
        <v>212</v>
      </c>
      <c r="O391">
        <f>IFERROR(VLOOKUP(N391,'Tables new'!$A:$C,3,FALSE),"")</f>
        <v>70</v>
      </c>
      <c r="P391" t="str">
        <f>VLOOKUP(N391,CAT_JOUEUR,2,FALSE)</f>
        <v>Contact famille</v>
      </c>
      <c r="T391" t="s">
        <v>89</v>
      </c>
      <c r="AH391" t="s">
        <v>78</v>
      </c>
      <c r="AI391" t="s">
        <v>78</v>
      </c>
      <c r="AJ391" t="s">
        <v>78</v>
      </c>
      <c r="AK391" t="s">
        <v>78</v>
      </c>
      <c r="AL391" t="s">
        <v>79</v>
      </c>
    </row>
    <row r="392" spans="1:67" x14ac:dyDescent="0.2">
      <c r="A392" t="s">
        <v>2232</v>
      </c>
      <c r="B392" t="s">
        <v>2236</v>
      </c>
      <c r="D392" t="s">
        <v>72</v>
      </c>
      <c r="E392" t="s">
        <v>789</v>
      </c>
      <c r="F392" t="s">
        <v>2234</v>
      </c>
      <c r="G392" t="s">
        <v>2135</v>
      </c>
      <c r="H392" t="s">
        <v>647</v>
      </c>
      <c r="I392" t="s">
        <v>2235</v>
      </c>
      <c r="K392">
        <v>212</v>
      </c>
      <c r="L392">
        <f>IFERROR(VLOOKUP(K392,'Tables new'!$A:$C,3,FALSE),"")</f>
        <v>70</v>
      </c>
      <c r="M392" t="str">
        <f>VLOOKUP(K392,CAT_JOUEUR,2,FALSE)</f>
        <v>Contact famille</v>
      </c>
      <c r="N392">
        <v>212</v>
      </c>
      <c r="O392">
        <f>IFERROR(VLOOKUP(N392,'Tables new'!$A:$C,3,FALSE),"")</f>
        <v>70</v>
      </c>
      <c r="P392" t="str">
        <f>VLOOKUP(N392,CAT_JOUEUR,2,FALSE)</f>
        <v>Contact famille</v>
      </c>
      <c r="T392" t="s">
        <v>89</v>
      </c>
      <c r="AH392" t="s">
        <v>78</v>
      </c>
      <c r="AI392" t="s">
        <v>78</v>
      </c>
      <c r="AJ392" t="s">
        <v>78</v>
      </c>
      <c r="AK392" t="s">
        <v>78</v>
      </c>
      <c r="AL392" t="s">
        <v>79</v>
      </c>
      <c r="AP392" t="s">
        <v>2237</v>
      </c>
      <c r="AQ392" t="s">
        <v>2238</v>
      </c>
    </row>
    <row r="393" spans="1:67" x14ac:dyDescent="0.2">
      <c r="A393" t="s">
        <v>2232</v>
      </c>
      <c r="B393" t="s">
        <v>2239</v>
      </c>
      <c r="D393" t="s">
        <v>72</v>
      </c>
      <c r="E393" t="s">
        <v>789</v>
      </c>
      <c r="F393" t="s">
        <v>2234</v>
      </c>
      <c r="G393" t="s">
        <v>2135</v>
      </c>
      <c r="H393" t="s">
        <v>647</v>
      </c>
      <c r="I393" t="s">
        <v>2235</v>
      </c>
      <c r="K393">
        <v>6</v>
      </c>
      <c r="L393">
        <f>IFERROR(VLOOKUP(K393,'Tables new'!$A:$C,3,FALSE),"")</f>
        <v>15</v>
      </c>
      <c r="M393" t="str">
        <f>VLOOKUP(K393,CAT_JOUEUR,2,FALSE)</f>
        <v>U 13 H</v>
      </c>
      <c r="N393">
        <v>6</v>
      </c>
      <c r="O393">
        <f>IFERROR(VLOOKUP(N393,'Tables new'!$A:$C,3,FALSE),"")</f>
        <v>15</v>
      </c>
      <c r="P393" t="str">
        <f>VLOOKUP(N393,CAT_JOUEUR,2,FALSE)</f>
        <v>U 13 H</v>
      </c>
      <c r="T393" t="s">
        <v>113</v>
      </c>
      <c r="AA393" t="s">
        <v>2240</v>
      </c>
      <c r="AF393" t="s">
        <v>223</v>
      </c>
      <c r="AH393">
        <v>46036</v>
      </c>
      <c r="AI393">
        <v>46030</v>
      </c>
      <c r="AJ393">
        <v>2027</v>
      </c>
      <c r="AK393">
        <v>42053</v>
      </c>
      <c r="AL393" t="s">
        <v>2241</v>
      </c>
      <c r="AP393" t="s">
        <v>2237</v>
      </c>
      <c r="AQ393" t="s">
        <v>2238</v>
      </c>
    </row>
    <row r="394" spans="1:67" x14ac:dyDescent="0.2">
      <c r="A394" t="s">
        <v>2242</v>
      </c>
      <c r="B394" t="s">
        <v>2243</v>
      </c>
      <c r="D394" t="s">
        <v>72</v>
      </c>
      <c r="E394" t="s">
        <v>96</v>
      </c>
      <c r="F394" t="s">
        <v>1591</v>
      </c>
      <c r="G394" t="s">
        <v>1581</v>
      </c>
      <c r="H394" t="s">
        <v>885</v>
      </c>
      <c r="I394" t="s">
        <v>1592</v>
      </c>
      <c r="K394">
        <v>212</v>
      </c>
      <c r="L394">
        <f>IFERROR(VLOOKUP(K394,'Tables new'!$A:$C,3,FALSE),"")</f>
        <v>70</v>
      </c>
      <c r="M394" t="str">
        <f>VLOOKUP(K394,CAT_JOUEUR,2,FALSE)</f>
        <v>Contact famille</v>
      </c>
      <c r="N394">
        <v>212</v>
      </c>
      <c r="O394">
        <f>IFERROR(VLOOKUP(N394,'Tables new'!$A:$C,3,FALSE),"")</f>
        <v>70</v>
      </c>
      <c r="P394" t="str">
        <f>VLOOKUP(N394,CAT_JOUEUR,2,FALSE)</f>
        <v>Contact famille</v>
      </c>
      <c r="V394" t="s">
        <v>89</v>
      </c>
      <c r="W394" t="s">
        <v>89</v>
      </c>
      <c r="AH394" t="s">
        <v>78</v>
      </c>
      <c r="AI394">
        <v>44118</v>
      </c>
      <c r="AJ394" t="s">
        <v>78</v>
      </c>
      <c r="AK394">
        <v>30689</v>
      </c>
      <c r="AL394" t="s">
        <v>2244</v>
      </c>
      <c r="AP394" t="s">
        <v>2245</v>
      </c>
      <c r="AQ394" t="s">
        <v>1597</v>
      </c>
    </row>
    <row r="395" spans="1:67" x14ac:dyDescent="0.2">
      <c r="A395" t="s">
        <v>2246</v>
      </c>
      <c r="B395" t="s">
        <v>2247</v>
      </c>
      <c r="D395" t="s">
        <v>832</v>
      </c>
      <c r="E395" t="s">
        <v>833</v>
      </c>
      <c r="F395" t="s">
        <v>834</v>
      </c>
      <c r="G395" t="s">
        <v>835</v>
      </c>
      <c r="H395" t="s">
        <v>836</v>
      </c>
      <c r="I395" t="s">
        <v>837</v>
      </c>
      <c r="K395">
        <v>212</v>
      </c>
      <c r="L395">
        <f>IFERROR(VLOOKUP(K395,'Tables new'!$A:$C,3,FALSE),"")</f>
        <v>70</v>
      </c>
      <c r="M395" t="str">
        <f>VLOOKUP(K395,CAT_JOUEUR,2,FALSE)</f>
        <v>Contact famille</v>
      </c>
      <c r="N395">
        <v>212</v>
      </c>
      <c r="O395">
        <f>IFERROR(VLOOKUP(N395,'Tables new'!$A:$C,3,FALSE),"")</f>
        <v>70</v>
      </c>
      <c r="P395" t="str">
        <f>VLOOKUP(N395,CAT_JOUEUR,2,FALSE)</f>
        <v>Contact famille</v>
      </c>
      <c r="V395" t="s">
        <v>89</v>
      </c>
      <c r="AH395" t="s">
        <v>78</v>
      </c>
      <c r="AI395" t="s">
        <v>78</v>
      </c>
      <c r="AJ395" t="s">
        <v>78</v>
      </c>
      <c r="AK395" t="s">
        <v>78</v>
      </c>
      <c r="AL395" t="s">
        <v>78</v>
      </c>
      <c r="AP395">
        <v>621322578</v>
      </c>
      <c r="AQ395" t="s">
        <v>2248</v>
      </c>
    </row>
    <row r="396" spans="1:67" x14ac:dyDescent="0.2">
      <c r="A396" t="s">
        <v>2249</v>
      </c>
      <c r="B396" t="s">
        <v>2250</v>
      </c>
      <c r="D396" t="s">
        <v>72</v>
      </c>
      <c r="E396" t="s">
        <v>261</v>
      </c>
      <c r="F396" t="s">
        <v>774</v>
      </c>
      <c r="G396" t="s">
        <v>775</v>
      </c>
      <c r="H396" t="s">
        <v>132</v>
      </c>
      <c r="I396" t="s">
        <v>776</v>
      </c>
      <c r="K396">
        <v>212</v>
      </c>
      <c r="L396">
        <f>IFERROR(VLOOKUP(K396,'Tables new'!$A:$C,3,FALSE),"")</f>
        <v>70</v>
      </c>
      <c r="M396" t="str">
        <f>VLOOKUP(K396,CAT_JOUEUR,2,FALSE)</f>
        <v>Contact famille</v>
      </c>
      <c r="N396">
        <v>212</v>
      </c>
      <c r="O396">
        <f>IFERROR(VLOOKUP(N396,'Tables new'!$A:$C,3,FALSE),"")</f>
        <v>70</v>
      </c>
      <c r="P396" t="str">
        <f>VLOOKUP(N396,CAT_JOUEUR,2,FALSE)</f>
        <v>Contact famille</v>
      </c>
      <c r="AH396" t="s">
        <v>78</v>
      </c>
      <c r="AI396" t="s">
        <v>78</v>
      </c>
      <c r="AJ396" t="s">
        <v>78</v>
      </c>
      <c r="AK396" t="s">
        <v>78</v>
      </c>
      <c r="AL396" t="s">
        <v>79</v>
      </c>
      <c r="AP396" t="s">
        <v>2251</v>
      </c>
      <c r="AY396" t="s">
        <v>781</v>
      </c>
      <c r="BA396" t="s">
        <v>92</v>
      </c>
    </row>
    <row r="397" spans="1:67" x14ac:dyDescent="0.2">
      <c r="A397" t="s">
        <v>2252</v>
      </c>
      <c r="B397" t="s">
        <v>2253</v>
      </c>
      <c r="D397" t="s">
        <v>1334</v>
      </c>
      <c r="E397" t="s">
        <v>1334</v>
      </c>
      <c r="F397" t="s">
        <v>1335</v>
      </c>
      <c r="G397" t="s">
        <v>367</v>
      </c>
      <c r="H397" t="s">
        <v>108</v>
      </c>
      <c r="I397" t="s">
        <v>1336</v>
      </c>
      <c r="K397">
        <v>212</v>
      </c>
      <c r="L397">
        <f>IFERROR(VLOOKUP(K397,'Tables new'!$A:$C,3,FALSE),"")</f>
        <v>70</v>
      </c>
      <c r="M397" t="str">
        <f>VLOOKUP(K397,CAT_JOUEUR,2,FALSE)</f>
        <v>Contact famille</v>
      </c>
      <c r="N397">
        <v>212</v>
      </c>
      <c r="O397">
        <f>IFERROR(VLOOKUP(N397,'Tables new'!$A:$C,3,FALSE),"")</f>
        <v>70</v>
      </c>
      <c r="P397" t="str">
        <f>VLOOKUP(N397,CAT_JOUEUR,2,FALSE)</f>
        <v>Contact famille</v>
      </c>
      <c r="U397" t="s">
        <v>89</v>
      </c>
      <c r="AH397" t="s">
        <v>78</v>
      </c>
      <c r="AI397" t="s">
        <v>78</v>
      </c>
      <c r="AJ397" t="s">
        <v>78</v>
      </c>
      <c r="AK397" t="s">
        <v>78</v>
      </c>
      <c r="AL397" t="s">
        <v>79</v>
      </c>
      <c r="AP397">
        <v>691833590</v>
      </c>
      <c r="AQ397" t="s">
        <v>1339</v>
      </c>
    </row>
    <row r="398" spans="1:67" x14ac:dyDescent="0.2">
      <c r="A398" t="s">
        <v>2254</v>
      </c>
      <c r="B398" t="s">
        <v>2255</v>
      </c>
      <c r="D398" t="s">
        <v>72</v>
      </c>
      <c r="E398" t="s">
        <v>96</v>
      </c>
      <c r="F398" t="s">
        <v>1611</v>
      </c>
      <c r="G398" t="s">
        <v>1612</v>
      </c>
      <c r="H398" t="s">
        <v>336</v>
      </c>
      <c r="I398" t="s">
        <v>1613</v>
      </c>
      <c r="K398">
        <v>212</v>
      </c>
      <c r="L398">
        <f>IFERROR(VLOOKUP(K398,'Tables new'!$A:$C,3,FALSE),"")</f>
        <v>70</v>
      </c>
      <c r="M398" t="str">
        <f>VLOOKUP(K398,CAT_JOUEUR,2,FALSE)</f>
        <v>Contact famille</v>
      </c>
      <c r="N398">
        <v>212</v>
      </c>
      <c r="O398">
        <f>IFERROR(VLOOKUP(N398,'Tables new'!$A:$C,3,FALSE),"")</f>
        <v>70</v>
      </c>
      <c r="P398" t="str">
        <f>VLOOKUP(N398,CAT_JOUEUR,2,FALSE)</f>
        <v>Contact famille</v>
      </c>
      <c r="U398" t="s">
        <v>89</v>
      </c>
      <c r="Z398" t="s">
        <v>89</v>
      </c>
      <c r="AH398" t="s">
        <v>78</v>
      </c>
      <c r="AI398">
        <v>44092</v>
      </c>
      <c r="AJ398" t="s">
        <v>78</v>
      </c>
      <c r="AK398" t="s">
        <v>78</v>
      </c>
      <c r="AL398" t="s">
        <v>78</v>
      </c>
      <c r="AP398" t="s">
        <v>2256</v>
      </c>
      <c r="AQ398" t="s">
        <v>1617</v>
      </c>
    </row>
    <row r="399" spans="1:67" x14ac:dyDescent="0.2">
      <c r="A399" t="s">
        <v>2257</v>
      </c>
      <c r="B399" t="s">
        <v>2258</v>
      </c>
      <c r="D399" t="s">
        <v>72</v>
      </c>
      <c r="E399" t="s">
        <v>2259</v>
      </c>
      <c r="F399" t="s">
        <v>2260</v>
      </c>
      <c r="G399" t="s">
        <v>2261</v>
      </c>
      <c r="H399" t="s">
        <v>1186</v>
      </c>
      <c r="I399" t="s">
        <v>145</v>
      </c>
      <c r="K399">
        <v>2</v>
      </c>
      <c r="L399">
        <f>IFERROR(VLOOKUP(K399,'Tables new'!$A:$C,3,FALSE),"")</f>
        <v>11</v>
      </c>
      <c r="M399" t="str">
        <f>VLOOKUP(K399,CAT_JOUEUR,2,FALSE)</f>
        <v>Seniors - HO</v>
      </c>
      <c r="N399">
        <v>2</v>
      </c>
      <c r="O399">
        <f>IFERROR(VLOOKUP(N399,'Tables new'!$A:$C,3,FALSE),"")</f>
        <v>11</v>
      </c>
      <c r="P399" t="str">
        <f>VLOOKUP(N399,CAT_JOUEUR,2,FALSE)</f>
        <v>Seniors - HO</v>
      </c>
      <c r="AA399" t="s">
        <v>2262</v>
      </c>
      <c r="AF399" t="s">
        <v>440</v>
      </c>
      <c r="AH399">
        <v>45238</v>
      </c>
      <c r="AI399">
        <v>45205</v>
      </c>
      <c r="AJ399">
        <v>2024</v>
      </c>
      <c r="AK399">
        <v>33905</v>
      </c>
      <c r="AL399" t="s">
        <v>2263</v>
      </c>
      <c r="AP399">
        <v>621623759</v>
      </c>
      <c r="AQ399" t="s">
        <v>2264</v>
      </c>
    </row>
    <row r="400" spans="1:67" x14ac:dyDescent="0.2">
      <c r="A400" t="s">
        <v>2265</v>
      </c>
      <c r="B400" t="s">
        <v>1035</v>
      </c>
      <c r="D400" t="s">
        <v>72</v>
      </c>
      <c r="E400" t="s">
        <v>96</v>
      </c>
      <c r="F400" t="s">
        <v>2266</v>
      </c>
      <c r="G400" t="s">
        <v>2267</v>
      </c>
      <c r="H400" t="s">
        <v>2268</v>
      </c>
      <c r="I400" t="s">
        <v>145</v>
      </c>
      <c r="K400">
        <v>2</v>
      </c>
      <c r="L400">
        <f>IFERROR(VLOOKUP(K400,'Tables new'!$A:$C,3,FALSE),"")</f>
        <v>11</v>
      </c>
      <c r="M400" t="str">
        <f>VLOOKUP(K400,CAT_JOUEUR,2,FALSE)</f>
        <v>Seniors - HO</v>
      </c>
      <c r="N400">
        <v>2</v>
      </c>
      <c r="O400">
        <f>IFERROR(VLOOKUP(N400,'Tables new'!$A:$C,3,FALSE),"")</f>
        <v>11</v>
      </c>
      <c r="P400" t="str">
        <f>VLOOKUP(N400,CAT_JOUEUR,2,FALSE)</f>
        <v>Seniors - HO</v>
      </c>
      <c r="AA400" t="s">
        <v>2269</v>
      </c>
      <c r="AH400">
        <v>39141</v>
      </c>
      <c r="AI400">
        <v>39141</v>
      </c>
      <c r="AJ400">
        <v>2025</v>
      </c>
      <c r="AK400">
        <v>34930</v>
      </c>
      <c r="AL400" t="s">
        <v>2270</v>
      </c>
      <c r="AN400" t="s">
        <v>2271</v>
      </c>
      <c r="AO400" t="s">
        <v>2272</v>
      </c>
      <c r="AP400" t="s">
        <v>2273</v>
      </c>
      <c r="AQ400" t="s">
        <v>2274</v>
      </c>
      <c r="AY400" t="s">
        <v>91</v>
      </c>
      <c r="BA400" t="s">
        <v>136</v>
      </c>
      <c r="BB400" t="s">
        <v>137</v>
      </c>
      <c r="BC400" t="s">
        <v>694</v>
      </c>
      <c r="BD400" t="s">
        <v>638</v>
      </c>
      <c r="BO400" t="s">
        <v>1400</v>
      </c>
    </row>
    <row r="401" spans="1:67" x14ac:dyDescent="0.2">
      <c r="A401" t="s">
        <v>2265</v>
      </c>
      <c r="B401" t="s">
        <v>2275</v>
      </c>
      <c r="D401" t="s">
        <v>72</v>
      </c>
      <c r="E401" t="s">
        <v>96</v>
      </c>
      <c r="F401" t="s">
        <v>2276</v>
      </c>
      <c r="G401" t="s">
        <v>2277</v>
      </c>
      <c r="H401" t="s">
        <v>132</v>
      </c>
      <c r="I401" t="s">
        <v>236</v>
      </c>
      <c r="J401" t="s">
        <v>237</v>
      </c>
      <c r="K401">
        <v>252</v>
      </c>
      <c r="L401">
        <f>IFERROR(VLOOKUP(K401,'Tables new'!$A:$C,3,FALSE),"")</f>
        <v>85</v>
      </c>
      <c r="M401" t="str">
        <f>VLOOKUP(K401,CAT_JOUEUR,2,FALSE)</f>
        <v>Arrêt jeune (garder licence)</v>
      </c>
      <c r="N401">
        <v>6</v>
      </c>
      <c r="O401">
        <f>IFERROR(VLOOKUP(N401,'Tables new'!$A:$C,3,FALSE),"")</f>
        <v>15</v>
      </c>
      <c r="P401" t="str">
        <f>VLOOKUP(N401,CAT_JOUEUR,2,FALSE)</f>
        <v>U 13 H</v>
      </c>
      <c r="T401" t="s">
        <v>113</v>
      </c>
      <c r="AA401" t="s">
        <v>2278</v>
      </c>
      <c r="AF401" t="s">
        <v>2279</v>
      </c>
      <c r="AH401">
        <v>43892</v>
      </c>
      <c r="AI401">
        <v>43801</v>
      </c>
      <c r="AJ401">
        <v>2021</v>
      </c>
      <c r="AK401">
        <v>41907</v>
      </c>
      <c r="AL401" t="s">
        <v>2280</v>
      </c>
      <c r="AN401" t="s">
        <v>2271</v>
      </c>
      <c r="AO401" t="s">
        <v>2281</v>
      </c>
      <c r="AP401" t="s">
        <v>2282</v>
      </c>
      <c r="AQ401" t="s">
        <v>2283</v>
      </c>
      <c r="BD401" t="s">
        <v>783</v>
      </c>
    </row>
    <row r="402" spans="1:67" x14ac:dyDescent="0.2">
      <c r="A402" t="s">
        <v>2284</v>
      </c>
      <c r="B402" t="s">
        <v>2285</v>
      </c>
      <c r="D402" t="s">
        <v>72</v>
      </c>
      <c r="E402" t="s">
        <v>2286</v>
      </c>
      <c r="F402" t="s">
        <v>2287</v>
      </c>
      <c r="G402" t="s">
        <v>2288</v>
      </c>
      <c r="H402" t="s">
        <v>277</v>
      </c>
      <c r="I402" t="s">
        <v>2289</v>
      </c>
      <c r="K402">
        <v>212</v>
      </c>
      <c r="L402">
        <f>IFERROR(VLOOKUP(K402,'Tables new'!$A:$C,3,FALSE),"")</f>
        <v>70</v>
      </c>
      <c r="M402" t="str">
        <f>VLOOKUP(K402,CAT_JOUEUR,2,FALSE)</f>
        <v>Contact famille</v>
      </c>
      <c r="N402">
        <v>212</v>
      </c>
      <c r="O402">
        <f>IFERROR(VLOOKUP(N402,'Tables new'!$A:$C,3,FALSE),"")</f>
        <v>70</v>
      </c>
      <c r="P402" t="str">
        <f>VLOOKUP(N402,CAT_JOUEUR,2,FALSE)</f>
        <v>Contact famille</v>
      </c>
      <c r="Y402" t="s">
        <v>89</v>
      </c>
      <c r="AH402" t="s">
        <v>78</v>
      </c>
      <c r="AI402" t="s">
        <v>78</v>
      </c>
      <c r="AJ402" t="s">
        <v>78</v>
      </c>
      <c r="AK402" t="s">
        <v>78</v>
      </c>
      <c r="AL402" t="s">
        <v>79</v>
      </c>
    </row>
    <row r="403" spans="1:67" x14ac:dyDescent="0.2">
      <c r="A403" t="s">
        <v>2284</v>
      </c>
      <c r="B403" t="s">
        <v>2290</v>
      </c>
      <c r="D403" t="s">
        <v>72</v>
      </c>
      <c r="E403" t="s">
        <v>2291</v>
      </c>
      <c r="F403" t="s">
        <v>2287</v>
      </c>
      <c r="G403" t="s">
        <v>2288</v>
      </c>
      <c r="H403" t="s">
        <v>277</v>
      </c>
      <c r="I403" t="s">
        <v>2289</v>
      </c>
      <c r="K403">
        <v>16</v>
      </c>
      <c r="L403">
        <f>IFERROR(VLOOKUP(K403,'Tables new'!$A:$C,3,FALSE),"")</f>
        <v>34</v>
      </c>
      <c r="M403" t="str">
        <f>VLOOKUP(K403,CAT_JOUEUR,2,FALSE)</f>
        <v>U15 F</v>
      </c>
      <c r="N403">
        <v>16</v>
      </c>
      <c r="O403">
        <f>IFERROR(VLOOKUP(N403,'Tables new'!$A:$C,3,FALSE),"")</f>
        <v>34</v>
      </c>
      <c r="P403" t="str">
        <f>VLOOKUP(N403,CAT_JOUEUR,2,FALSE)</f>
        <v>U15 F</v>
      </c>
      <c r="Y403" t="s">
        <v>113</v>
      </c>
      <c r="AA403" t="s">
        <v>2292</v>
      </c>
      <c r="AH403">
        <v>45236</v>
      </c>
      <c r="AI403">
        <v>45193</v>
      </c>
      <c r="AJ403">
        <v>2024</v>
      </c>
      <c r="AK403">
        <v>41033</v>
      </c>
      <c r="AL403" t="s">
        <v>2293</v>
      </c>
      <c r="AP403" t="s">
        <v>2294</v>
      </c>
      <c r="AQ403" t="s">
        <v>2295</v>
      </c>
    </row>
    <row r="404" spans="1:67" x14ac:dyDescent="0.2">
      <c r="A404" t="s">
        <v>2296</v>
      </c>
      <c r="B404" t="s">
        <v>2297</v>
      </c>
      <c r="D404" t="s">
        <v>83</v>
      </c>
      <c r="E404" t="s">
        <v>2298</v>
      </c>
      <c r="F404" t="s">
        <v>2299</v>
      </c>
      <c r="G404" t="s">
        <v>2300</v>
      </c>
      <c r="H404" t="s">
        <v>1242</v>
      </c>
      <c r="I404" t="s">
        <v>145</v>
      </c>
      <c r="K404">
        <v>11</v>
      </c>
      <c r="L404">
        <f>IFERROR(VLOOKUP(K404,'Tables new'!$A:$C,3,FALSE),"")</f>
        <v>4</v>
      </c>
      <c r="M404" t="str">
        <f>VLOOKUP(K404,CAT_JOUEUR,2,FALSE)</f>
        <v>Officiel FE</v>
      </c>
      <c r="N404">
        <v>11</v>
      </c>
      <c r="O404">
        <f>IFERROR(VLOOKUP(N404,'Tables new'!$A:$C,3,FALSE),"")</f>
        <v>4</v>
      </c>
      <c r="P404" t="str">
        <f>VLOOKUP(N404,CAT_JOUEUR,2,FALSE)</f>
        <v>Officiel FE</v>
      </c>
      <c r="AB404" t="s">
        <v>2301</v>
      </c>
      <c r="AH404">
        <v>45544</v>
      </c>
      <c r="AI404">
        <v>37289</v>
      </c>
      <c r="AJ404" t="s">
        <v>78</v>
      </c>
      <c r="AK404">
        <v>27812</v>
      </c>
      <c r="AL404" t="s">
        <v>2302</v>
      </c>
      <c r="AP404">
        <v>621432718</v>
      </c>
      <c r="AQ404" t="s">
        <v>2303</v>
      </c>
      <c r="AV404" t="s">
        <v>468</v>
      </c>
    </row>
    <row r="405" spans="1:67" x14ac:dyDescent="0.2">
      <c r="A405" t="s">
        <v>2304</v>
      </c>
      <c r="B405" t="s">
        <v>2305</v>
      </c>
      <c r="D405" t="s">
        <v>72</v>
      </c>
      <c r="E405" t="s">
        <v>943</v>
      </c>
      <c r="F405" t="s">
        <v>944</v>
      </c>
      <c r="G405" t="s">
        <v>299</v>
      </c>
      <c r="H405" t="s">
        <v>300</v>
      </c>
      <c r="I405" t="s">
        <v>945</v>
      </c>
      <c r="K405">
        <v>212</v>
      </c>
      <c r="L405">
        <f>IFERROR(VLOOKUP(K405,'Tables new'!$A:$C,3,FALSE),"")</f>
        <v>70</v>
      </c>
      <c r="M405" t="str">
        <f>VLOOKUP(K405,CAT_JOUEUR,2,FALSE)</f>
        <v>Contact famille</v>
      </c>
      <c r="N405">
        <v>212</v>
      </c>
      <c r="O405">
        <f>IFERROR(VLOOKUP(N405,'Tables new'!$A:$C,3,FALSE),"")</f>
        <v>70</v>
      </c>
      <c r="P405" t="str">
        <f>VLOOKUP(N405,CAT_JOUEUR,2,FALSE)</f>
        <v>Contact famille</v>
      </c>
      <c r="V405" t="s">
        <v>89</v>
      </c>
      <c r="W405" t="s">
        <v>89</v>
      </c>
      <c r="AH405" t="s">
        <v>78</v>
      </c>
      <c r="AI405" t="s">
        <v>78</v>
      </c>
      <c r="AJ405" t="s">
        <v>78</v>
      </c>
      <c r="AK405" t="s">
        <v>78</v>
      </c>
      <c r="AL405" t="s">
        <v>79</v>
      </c>
    </row>
    <row r="406" spans="1:67" x14ac:dyDescent="0.2">
      <c r="A406" t="s">
        <v>2306</v>
      </c>
      <c r="B406" t="s">
        <v>189</v>
      </c>
      <c r="D406" t="s">
        <v>72</v>
      </c>
      <c r="E406" t="s">
        <v>261</v>
      </c>
      <c r="F406" t="s">
        <v>2307</v>
      </c>
      <c r="G406" t="s">
        <v>1262</v>
      </c>
      <c r="H406" t="s">
        <v>126</v>
      </c>
      <c r="I406" t="s">
        <v>2308</v>
      </c>
      <c r="K406">
        <v>212</v>
      </c>
      <c r="L406">
        <f>IFERROR(VLOOKUP(K406,'Tables new'!$A:$C,3,FALSE),"")</f>
        <v>70</v>
      </c>
      <c r="M406" t="str">
        <f>VLOOKUP(K406,CAT_JOUEUR,2,FALSE)</f>
        <v>Contact famille</v>
      </c>
      <c r="N406">
        <v>212</v>
      </c>
      <c r="O406">
        <f>IFERROR(VLOOKUP(N406,'Tables new'!$A:$C,3,FALSE),"")</f>
        <v>70</v>
      </c>
      <c r="P406" t="str">
        <f>VLOOKUP(N406,CAT_JOUEUR,2,FALSE)</f>
        <v>Contact famille</v>
      </c>
      <c r="V406" t="s">
        <v>89</v>
      </c>
      <c r="AH406" t="s">
        <v>78</v>
      </c>
      <c r="AI406" t="s">
        <v>78</v>
      </c>
      <c r="AJ406" t="s">
        <v>78</v>
      </c>
      <c r="AK406" t="s">
        <v>78</v>
      </c>
      <c r="AL406" t="s">
        <v>79</v>
      </c>
      <c r="AP406">
        <v>691130785</v>
      </c>
      <c r="AQ406" t="s">
        <v>2309</v>
      </c>
    </row>
    <row r="407" spans="1:67" x14ac:dyDescent="0.2">
      <c r="A407" t="s">
        <v>2306</v>
      </c>
      <c r="B407" t="s">
        <v>741</v>
      </c>
      <c r="D407" t="s">
        <v>72</v>
      </c>
      <c r="E407" t="s">
        <v>261</v>
      </c>
      <c r="F407" t="s">
        <v>987</v>
      </c>
      <c r="G407" t="s">
        <v>988</v>
      </c>
      <c r="H407" t="s">
        <v>989</v>
      </c>
      <c r="I407" t="s">
        <v>990</v>
      </c>
      <c r="K407">
        <v>212</v>
      </c>
      <c r="L407">
        <f>IFERROR(VLOOKUP(K407,'Tables new'!$A:$C,3,FALSE),"")</f>
        <v>70</v>
      </c>
      <c r="M407" t="str">
        <f>VLOOKUP(K407,CAT_JOUEUR,2,FALSE)</f>
        <v>Contact famille</v>
      </c>
      <c r="N407">
        <v>212</v>
      </c>
      <c r="O407">
        <f>IFERROR(VLOOKUP(N407,'Tables new'!$A:$C,3,FALSE),"")</f>
        <v>70</v>
      </c>
      <c r="P407" t="str">
        <f>VLOOKUP(N407,CAT_JOUEUR,2,FALSE)</f>
        <v>Contact famille</v>
      </c>
      <c r="AH407" t="s">
        <v>78</v>
      </c>
      <c r="AI407" t="s">
        <v>78</v>
      </c>
      <c r="AJ407" t="s">
        <v>78</v>
      </c>
      <c r="AK407" t="s">
        <v>78</v>
      </c>
      <c r="AL407" t="s">
        <v>79</v>
      </c>
      <c r="AP407" t="s">
        <v>996</v>
      </c>
      <c r="AQ407" t="s">
        <v>997</v>
      </c>
      <c r="AY407" t="s">
        <v>781</v>
      </c>
      <c r="BB407" t="s">
        <v>137</v>
      </c>
      <c r="BC407" t="s">
        <v>138</v>
      </c>
      <c r="BD407">
        <v>20</v>
      </c>
    </row>
    <row r="408" spans="1:67" x14ac:dyDescent="0.2">
      <c r="A408" t="s">
        <v>2310</v>
      </c>
      <c r="B408" t="s">
        <v>2311</v>
      </c>
      <c r="D408" t="s">
        <v>72</v>
      </c>
      <c r="E408" t="s">
        <v>261</v>
      </c>
      <c r="F408" t="s">
        <v>2307</v>
      </c>
      <c r="G408" t="s">
        <v>1262</v>
      </c>
      <c r="H408" t="s">
        <v>126</v>
      </c>
      <c r="I408" t="s">
        <v>2308</v>
      </c>
      <c r="K408">
        <v>18</v>
      </c>
      <c r="L408">
        <f>IFERROR(VLOOKUP(K408,'Tables new'!$A:$C,3,FALSE),"")</f>
        <v>37</v>
      </c>
      <c r="M408" t="str">
        <f>VLOOKUP(K408,CAT_JOUEUR,2,FALSE)</f>
        <v>U 9 F</v>
      </c>
      <c r="N408">
        <v>18</v>
      </c>
      <c r="O408">
        <f>IFERROR(VLOOKUP(N408,'Tables new'!$A:$C,3,FALSE),"")</f>
        <v>37</v>
      </c>
      <c r="P408" t="str">
        <f>VLOOKUP(N408,CAT_JOUEUR,2,FALSE)</f>
        <v>U 9 F</v>
      </c>
      <c r="V408" t="s">
        <v>113</v>
      </c>
      <c r="AA408" t="s">
        <v>2312</v>
      </c>
      <c r="AF408" t="s">
        <v>208</v>
      </c>
      <c r="AH408">
        <v>44943</v>
      </c>
      <c r="AI408">
        <v>44936</v>
      </c>
      <c r="AJ408">
        <v>2025</v>
      </c>
      <c r="AK408">
        <v>43314</v>
      </c>
      <c r="AL408" t="s">
        <v>2313</v>
      </c>
      <c r="AO408" t="s">
        <v>2314</v>
      </c>
      <c r="AP408" t="s">
        <v>2315</v>
      </c>
      <c r="AQ408" t="s">
        <v>2316</v>
      </c>
    </row>
    <row r="409" spans="1:67" x14ac:dyDescent="0.2">
      <c r="A409" t="s">
        <v>2317</v>
      </c>
      <c r="B409" t="s">
        <v>2318</v>
      </c>
      <c r="D409" t="s">
        <v>72</v>
      </c>
      <c r="E409" t="s">
        <v>96</v>
      </c>
      <c r="F409" t="s">
        <v>2319</v>
      </c>
      <c r="G409" t="s">
        <v>2320</v>
      </c>
      <c r="H409" t="s">
        <v>2321</v>
      </c>
      <c r="I409" t="s">
        <v>145</v>
      </c>
      <c r="K409">
        <v>2</v>
      </c>
      <c r="L409">
        <f>IFERROR(VLOOKUP(K409,'Tables new'!$A:$C,3,FALSE),"")</f>
        <v>11</v>
      </c>
      <c r="M409" t="str">
        <f>VLOOKUP(K409,CAT_JOUEUR,2,FALSE)</f>
        <v>Seniors - HO</v>
      </c>
      <c r="N409">
        <v>2</v>
      </c>
      <c r="O409">
        <f>IFERROR(VLOOKUP(N409,'Tables new'!$A:$C,3,FALSE),"")</f>
        <v>11</v>
      </c>
      <c r="P409" t="str">
        <f>VLOOKUP(N409,CAT_JOUEUR,2,FALSE)</f>
        <v>Seniors - HO</v>
      </c>
      <c r="AA409" t="s">
        <v>2322</v>
      </c>
      <c r="AC409" t="s">
        <v>2322</v>
      </c>
      <c r="AH409">
        <v>44939</v>
      </c>
      <c r="AI409">
        <v>44872</v>
      </c>
      <c r="AJ409">
        <v>2032</v>
      </c>
      <c r="AK409">
        <v>37308</v>
      </c>
      <c r="AL409" t="s">
        <v>2323</v>
      </c>
      <c r="AP409">
        <v>621344151</v>
      </c>
      <c r="AQ409" t="s">
        <v>2324</v>
      </c>
    </row>
    <row r="410" spans="1:67" x14ac:dyDescent="0.2">
      <c r="A410" t="s">
        <v>2325</v>
      </c>
      <c r="B410" t="s">
        <v>414</v>
      </c>
      <c r="D410" t="s">
        <v>72</v>
      </c>
      <c r="E410" t="s">
        <v>96</v>
      </c>
      <c r="F410" t="s">
        <v>1067</v>
      </c>
      <c r="G410" t="s">
        <v>1068</v>
      </c>
      <c r="H410" t="s">
        <v>1069</v>
      </c>
      <c r="I410" t="s">
        <v>1070</v>
      </c>
      <c r="K410">
        <v>212</v>
      </c>
      <c r="L410">
        <f>IFERROR(VLOOKUP(K410,'Tables new'!$A:$C,3,FALSE),"")</f>
        <v>70</v>
      </c>
      <c r="M410" t="str">
        <f>VLOOKUP(K410,CAT_JOUEUR,2,FALSE)</f>
        <v>Contact famille</v>
      </c>
      <c r="N410">
        <v>212</v>
      </c>
      <c r="O410">
        <f>IFERROR(VLOOKUP(N410,'Tables new'!$A:$C,3,FALSE),"")</f>
        <v>70</v>
      </c>
      <c r="P410" t="str">
        <f>VLOOKUP(N410,CAT_JOUEUR,2,FALSE)</f>
        <v>Contact famille</v>
      </c>
      <c r="AH410" t="s">
        <v>78</v>
      </c>
      <c r="AI410" t="s">
        <v>78</v>
      </c>
      <c r="AJ410" t="s">
        <v>78</v>
      </c>
      <c r="AK410">
        <v>26728</v>
      </c>
      <c r="AL410" t="s">
        <v>79</v>
      </c>
      <c r="AP410" t="s">
        <v>2326</v>
      </c>
      <c r="AQ410" t="s">
        <v>2327</v>
      </c>
      <c r="AY410" t="s">
        <v>91</v>
      </c>
      <c r="BA410" t="s">
        <v>136</v>
      </c>
      <c r="BB410" t="s">
        <v>137</v>
      </c>
      <c r="BC410" t="s">
        <v>694</v>
      </c>
      <c r="BD410" t="s">
        <v>638</v>
      </c>
      <c r="BO410" t="s">
        <v>93</v>
      </c>
    </row>
    <row r="411" spans="1:67" x14ac:dyDescent="0.2">
      <c r="A411" t="s">
        <v>2328</v>
      </c>
      <c r="B411" t="s">
        <v>2329</v>
      </c>
      <c r="D411" t="s">
        <v>72</v>
      </c>
      <c r="E411" t="s">
        <v>398</v>
      </c>
      <c r="F411" t="s">
        <v>2330</v>
      </c>
      <c r="G411" t="s">
        <v>131</v>
      </c>
      <c r="H411" t="s">
        <v>132</v>
      </c>
      <c r="I411" t="s">
        <v>2331</v>
      </c>
      <c r="K411">
        <v>15</v>
      </c>
      <c r="L411">
        <f>IFERROR(VLOOKUP(K411,'Tables new'!$A:$C,3,FALSE),"")</f>
        <v>35</v>
      </c>
      <c r="M411" t="str">
        <f>VLOOKUP(K411,CAT_JOUEUR,2,FALSE)</f>
        <v>U 13 F</v>
      </c>
      <c r="N411">
        <v>15</v>
      </c>
      <c r="O411">
        <f>IFERROR(VLOOKUP(N411,'Tables new'!$A:$C,3,FALSE),"")</f>
        <v>35</v>
      </c>
      <c r="P411" t="str">
        <f>VLOOKUP(N411,CAT_JOUEUR,2,FALSE)</f>
        <v>U 13 F</v>
      </c>
      <c r="Z411" t="s">
        <v>113</v>
      </c>
      <c r="AA411" t="s">
        <v>155</v>
      </c>
      <c r="AF411" t="s">
        <v>223</v>
      </c>
      <c r="AI411">
        <v>45863</v>
      </c>
      <c r="AJ411">
        <v>2027</v>
      </c>
      <c r="AK411">
        <v>42014</v>
      </c>
      <c r="AL411" t="s">
        <v>2332</v>
      </c>
      <c r="AO411" t="s">
        <v>2333</v>
      </c>
      <c r="AP411" t="s">
        <v>2334</v>
      </c>
      <c r="AQ411" t="s">
        <v>2335</v>
      </c>
    </row>
    <row r="412" spans="1:67" x14ac:dyDescent="0.2">
      <c r="A412" t="s">
        <v>2328</v>
      </c>
      <c r="B412" t="s">
        <v>2336</v>
      </c>
      <c r="D412" t="s">
        <v>72</v>
      </c>
      <c r="E412" t="s">
        <v>398</v>
      </c>
      <c r="F412" t="s">
        <v>2330</v>
      </c>
      <c r="G412" t="s">
        <v>131</v>
      </c>
      <c r="H412" t="s">
        <v>132</v>
      </c>
      <c r="I412" t="s">
        <v>2331</v>
      </c>
      <c r="K412">
        <v>7</v>
      </c>
      <c r="L412">
        <f>IFERROR(VLOOKUP(K412,'Tables new'!$A:$C,3,FALSE),"")</f>
        <v>16</v>
      </c>
      <c r="M412" t="str">
        <f>VLOOKUP(K412,CAT_JOUEUR,2,FALSE)</f>
        <v>U 11 H</v>
      </c>
      <c r="N412">
        <v>7</v>
      </c>
      <c r="O412">
        <f>IFERROR(VLOOKUP(N412,'Tables new'!$A:$C,3,FALSE),"")</f>
        <v>16</v>
      </c>
      <c r="P412" t="str">
        <f>VLOOKUP(N412,CAT_JOUEUR,2,FALSE)</f>
        <v>U 11 H</v>
      </c>
      <c r="U412" t="s">
        <v>113</v>
      </c>
      <c r="AA412" t="s">
        <v>2337</v>
      </c>
      <c r="AF412" t="s">
        <v>223</v>
      </c>
      <c r="AH412">
        <v>45946</v>
      </c>
      <c r="AI412">
        <v>45932</v>
      </c>
      <c r="AJ412">
        <v>2028</v>
      </c>
      <c r="AK412">
        <v>42567</v>
      </c>
      <c r="AL412" t="s">
        <v>2338</v>
      </c>
      <c r="AO412" t="s">
        <v>2333</v>
      </c>
      <c r="AP412" t="s">
        <v>2334</v>
      </c>
      <c r="AQ412" t="s">
        <v>2335</v>
      </c>
    </row>
    <row r="413" spans="1:67" x14ac:dyDescent="0.2">
      <c r="A413" t="s">
        <v>2328</v>
      </c>
      <c r="B413" t="s">
        <v>2339</v>
      </c>
      <c r="D413" t="s">
        <v>72</v>
      </c>
      <c r="E413" t="s">
        <v>398</v>
      </c>
      <c r="F413" t="s">
        <v>2330</v>
      </c>
      <c r="G413" t="s">
        <v>131</v>
      </c>
      <c r="H413" t="s">
        <v>132</v>
      </c>
      <c r="I413" t="s">
        <v>2331</v>
      </c>
      <c r="K413">
        <v>212</v>
      </c>
      <c r="L413">
        <f>IFERROR(VLOOKUP(K413,'Tables new'!$A:$C,3,FALSE),"")</f>
        <v>70</v>
      </c>
      <c r="M413" t="str">
        <f>VLOOKUP(K413,CAT_JOUEUR,2,FALSE)</f>
        <v>Contact famille</v>
      </c>
      <c r="N413">
        <v>212</v>
      </c>
      <c r="O413">
        <f>IFERROR(VLOOKUP(N413,'Tables new'!$A:$C,3,FALSE),"")</f>
        <v>70</v>
      </c>
      <c r="P413" t="str">
        <f>VLOOKUP(N413,CAT_JOUEUR,2,FALSE)</f>
        <v>Contact famille</v>
      </c>
      <c r="U413" t="s">
        <v>89</v>
      </c>
      <c r="Z413" t="s">
        <v>89</v>
      </c>
      <c r="AH413" t="s">
        <v>78</v>
      </c>
      <c r="AI413" t="s">
        <v>78</v>
      </c>
      <c r="AJ413" t="s">
        <v>78</v>
      </c>
      <c r="AK413" t="s">
        <v>78</v>
      </c>
      <c r="AL413" t="s">
        <v>79</v>
      </c>
      <c r="AP413">
        <v>661792917</v>
      </c>
      <c r="AQ413" t="s">
        <v>2335</v>
      </c>
    </row>
    <row r="414" spans="1:67" x14ac:dyDescent="0.2">
      <c r="A414" t="s">
        <v>2328</v>
      </c>
      <c r="B414" t="s">
        <v>1076</v>
      </c>
      <c r="D414" t="s">
        <v>72</v>
      </c>
      <c r="E414" t="s">
        <v>398</v>
      </c>
      <c r="F414" t="s">
        <v>2330</v>
      </c>
      <c r="G414" t="s">
        <v>131</v>
      </c>
      <c r="H414" t="s">
        <v>132</v>
      </c>
      <c r="I414" t="s">
        <v>2331</v>
      </c>
      <c r="K414">
        <v>212</v>
      </c>
      <c r="L414">
        <f>IFERROR(VLOOKUP(K414,'Tables new'!$A:$C,3,FALSE),"")</f>
        <v>70</v>
      </c>
      <c r="M414" t="str">
        <f>VLOOKUP(K414,CAT_JOUEUR,2,FALSE)</f>
        <v>Contact famille</v>
      </c>
      <c r="N414">
        <v>212</v>
      </c>
      <c r="O414">
        <f>IFERROR(VLOOKUP(N414,'Tables new'!$A:$C,3,FALSE),"")</f>
        <v>70</v>
      </c>
      <c r="P414" t="str">
        <f>VLOOKUP(N414,CAT_JOUEUR,2,FALSE)</f>
        <v>Contact famille</v>
      </c>
      <c r="U414" t="s">
        <v>89</v>
      </c>
      <c r="Z414" t="s">
        <v>89</v>
      </c>
      <c r="AH414" t="s">
        <v>78</v>
      </c>
      <c r="AI414" t="s">
        <v>78</v>
      </c>
      <c r="AJ414" t="s">
        <v>78</v>
      </c>
      <c r="AK414" t="s">
        <v>78</v>
      </c>
      <c r="AL414" t="s">
        <v>79</v>
      </c>
      <c r="AP414">
        <v>401412833</v>
      </c>
      <c r="AQ414" t="s">
        <v>2340</v>
      </c>
    </row>
    <row r="415" spans="1:67" x14ac:dyDescent="0.2">
      <c r="A415" t="s">
        <v>2341</v>
      </c>
      <c r="B415" t="s">
        <v>2342</v>
      </c>
      <c r="D415" t="s">
        <v>72</v>
      </c>
      <c r="E415" t="s">
        <v>398</v>
      </c>
      <c r="F415" t="s">
        <v>2343</v>
      </c>
      <c r="G415" t="s">
        <v>112</v>
      </c>
      <c r="H415" t="s">
        <v>108</v>
      </c>
      <c r="I415" t="s">
        <v>2344</v>
      </c>
      <c r="K415">
        <v>212</v>
      </c>
      <c r="L415">
        <f>IFERROR(VLOOKUP(K415,'Tables new'!$A:$C,3,FALSE),"")</f>
        <v>70</v>
      </c>
      <c r="M415" t="str">
        <f>VLOOKUP(K415,CAT_JOUEUR,2,FALSE)</f>
        <v>Contact famille</v>
      </c>
      <c r="N415">
        <v>212</v>
      </c>
      <c r="O415">
        <f>IFERROR(VLOOKUP(N415,'Tables new'!$A:$C,3,FALSE),"")</f>
        <v>70</v>
      </c>
      <c r="P415" t="str">
        <f>VLOOKUP(N415,CAT_JOUEUR,2,FALSE)</f>
        <v>Contact famille</v>
      </c>
      <c r="W415" t="s">
        <v>89</v>
      </c>
      <c r="AH415" t="s">
        <v>78</v>
      </c>
      <c r="AI415" t="s">
        <v>78</v>
      </c>
      <c r="AJ415" t="s">
        <v>78</v>
      </c>
      <c r="AK415" t="s">
        <v>78</v>
      </c>
      <c r="AL415" t="s">
        <v>79</v>
      </c>
      <c r="AP415">
        <v>691114419</v>
      </c>
      <c r="AQ415" t="s">
        <v>2345</v>
      </c>
    </row>
    <row r="416" spans="1:67" x14ac:dyDescent="0.2">
      <c r="A416" t="s">
        <v>2346</v>
      </c>
      <c r="B416" t="s">
        <v>2347</v>
      </c>
      <c r="D416" t="s">
        <v>72</v>
      </c>
      <c r="E416" t="s">
        <v>96</v>
      </c>
      <c r="F416" t="s">
        <v>1371</v>
      </c>
      <c r="G416" t="s">
        <v>684</v>
      </c>
      <c r="H416" t="s">
        <v>132</v>
      </c>
      <c r="I416" t="s">
        <v>1372</v>
      </c>
      <c r="K416">
        <v>17</v>
      </c>
      <c r="L416">
        <f>IFERROR(VLOOKUP(K416,'Tables new'!$A:$C,3,FALSE),"")</f>
        <v>36</v>
      </c>
      <c r="M416" t="str">
        <f>VLOOKUP(K416,CAT_JOUEUR,2,FALSE)</f>
        <v>U 11 F</v>
      </c>
      <c r="N416">
        <v>17</v>
      </c>
      <c r="O416">
        <f>IFERROR(VLOOKUP(N416,'Tables new'!$A:$C,3,FALSE),"")</f>
        <v>36</v>
      </c>
      <c r="P416" t="str">
        <f>VLOOKUP(N416,CAT_JOUEUR,2,FALSE)</f>
        <v>U 11 F</v>
      </c>
      <c r="U416" t="s">
        <v>113</v>
      </c>
      <c r="AA416" t="s">
        <v>2348</v>
      </c>
      <c r="AF416" t="s">
        <v>223</v>
      </c>
      <c r="AH416">
        <v>45952</v>
      </c>
      <c r="AI416">
        <v>45938</v>
      </c>
      <c r="AJ416">
        <v>2028</v>
      </c>
      <c r="AK416">
        <v>42573</v>
      </c>
      <c r="AL416" t="s">
        <v>2349</v>
      </c>
      <c r="AO416" t="s">
        <v>2350</v>
      </c>
      <c r="AP416" t="s">
        <v>2351</v>
      </c>
      <c r="AQ416" t="s">
        <v>1373</v>
      </c>
    </row>
    <row r="417" spans="1:67" x14ac:dyDescent="0.2">
      <c r="A417" t="s">
        <v>2346</v>
      </c>
      <c r="B417" t="s">
        <v>211</v>
      </c>
      <c r="D417" t="s">
        <v>72</v>
      </c>
      <c r="E417" t="s">
        <v>96</v>
      </c>
      <c r="F417" t="s">
        <v>1371</v>
      </c>
      <c r="G417" t="s">
        <v>684</v>
      </c>
      <c r="H417" t="s">
        <v>132</v>
      </c>
      <c r="I417" t="s">
        <v>1372</v>
      </c>
      <c r="K417">
        <v>212</v>
      </c>
      <c r="L417">
        <f>IFERROR(VLOOKUP(K417,'Tables new'!$A:$C,3,FALSE),"")</f>
        <v>70</v>
      </c>
      <c r="M417" t="str">
        <f>VLOOKUP(K417,CAT_JOUEUR,2,FALSE)</f>
        <v>Contact famille</v>
      </c>
      <c r="N417">
        <v>212</v>
      </c>
      <c r="O417">
        <f>IFERROR(VLOOKUP(N417,'Tables new'!$A:$C,3,FALSE),"")</f>
        <v>70</v>
      </c>
      <c r="P417" t="str">
        <f>VLOOKUP(N417,CAT_JOUEUR,2,FALSE)</f>
        <v>Contact famille</v>
      </c>
      <c r="U417" t="s">
        <v>89</v>
      </c>
      <c r="AH417" t="s">
        <v>78</v>
      </c>
      <c r="AI417" t="s">
        <v>78</v>
      </c>
      <c r="AJ417" t="s">
        <v>78</v>
      </c>
      <c r="AK417" t="s">
        <v>78</v>
      </c>
      <c r="AL417" t="s">
        <v>79</v>
      </c>
      <c r="AP417">
        <v>661737558</v>
      </c>
      <c r="AQ417" t="s">
        <v>1373</v>
      </c>
    </row>
    <row r="418" spans="1:67" x14ac:dyDescent="0.2">
      <c r="A418" t="s">
        <v>2352</v>
      </c>
      <c r="B418" t="s">
        <v>2353</v>
      </c>
      <c r="D418" t="s">
        <v>83</v>
      </c>
      <c r="E418" t="s">
        <v>508</v>
      </c>
      <c r="F418" t="s">
        <v>2354</v>
      </c>
      <c r="G418" t="s">
        <v>2355</v>
      </c>
      <c r="H418" t="s">
        <v>647</v>
      </c>
      <c r="I418" t="s">
        <v>2356</v>
      </c>
      <c r="K418">
        <v>11</v>
      </c>
      <c r="L418">
        <f>IFERROR(VLOOKUP(K418,'Tables new'!$A:$C,3,FALSE),"")</f>
        <v>4</v>
      </c>
      <c r="M418" t="str">
        <f>VLOOKUP(K418,CAT_JOUEUR,2,FALSE)</f>
        <v>Officiel FE</v>
      </c>
      <c r="N418">
        <v>11</v>
      </c>
      <c r="O418">
        <f>IFERROR(VLOOKUP(N418,'Tables new'!$A:$C,3,FALSE),"")</f>
        <v>4</v>
      </c>
      <c r="P418" t="str">
        <f>VLOOKUP(N418,CAT_JOUEUR,2,FALSE)</f>
        <v>Officiel FE</v>
      </c>
      <c r="R418" t="s">
        <v>89</v>
      </c>
      <c r="AB418" t="s">
        <v>2357</v>
      </c>
      <c r="AC418" t="s">
        <v>2357</v>
      </c>
      <c r="AH418">
        <v>45194</v>
      </c>
      <c r="AI418">
        <v>43803</v>
      </c>
      <c r="AJ418" t="s">
        <v>78</v>
      </c>
      <c r="AK418">
        <v>28106</v>
      </c>
      <c r="AL418" t="s">
        <v>2358</v>
      </c>
      <c r="AN418" t="s">
        <v>2359</v>
      </c>
      <c r="AO418" t="s">
        <v>208</v>
      </c>
      <c r="AP418" t="s">
        <v>2360</v>
      </c>
      <c r="AQ418" t="s">
        <v>2361</v>
      </c>
      <c r="AR418" t="s">
        <v>208</v>
      </c>
      <c r="AV418" t="s">
        <v>468</v>
      </c>
      <c r="AY418" t="s">
        <v>781</v>
      </c>
      <c r="BA418" t="s">
        <v>782</v>
      </c>
      <c r="BD418" t="s">
        <v>139</v>
      </c>
    </row>
    <row r="419" spans="1:67" x14ac:dyDescent="0.2">
      <c r="A419" t="s">
        <v>2352</v>
      </c>
      <c r="B419" t="s">
        <v>2362</v>
      </c>
      <c r="D419" t="s">
        <v>83</v>
      </c>
      <c r="E419" t="s">
        <v>446</v>
      </c>
      <c r="F419" t="s">
        <v>2354</v>
      </c>
      <c r="G419" t="s">
        <v>2355</v>
      </c>
      <c r="H419" t="s">
        <v>647</v>
      </c>
      <c r="I419" t="s">
        <v>2356</v>
      </c>
      <c r="K419">
        <v>212</v>
      </c>
      <c r="L419">
        <f>IFERROR(VLOOKUP(K419,'Tables new'!$A:$C,3,FALSE),"")</f>
        <v>70</v>
      </c>
      <c r="M419" t="str">
        <f>VLOOKUP(K419,CAT_JOUEUR,2,FALSE)</f>
        <v>Contact famille</v>
      </c>
      <c r="N419">
        <v>212</v>
      </c>
      <c r="O419">
        <f>IFERROR(VLOOKUP(N419,'Tables new'!$A:$C,3,FALSE),"")</f>
        <v>70</v>
      </c>
      <c r="P419" t="str">
        <f>VLOOKUP(N419,CAT_JOUEUR,2,FALSE)</f>
        <v>Contact famille</v>
      </c>
      <c r="R419" t="s">
        <v>89</v>
      </c>
      <c r="AH419" t="s">
        <v>78</v>
      </c>
      <c r="AI419" t="s">
        <v>78</v>
      </c>
      <c r="AJ419" t="s">
        <v>78</v>
      </c>
      <c r="AK419" t="s">
        <v>78</v>
      </c>
      <c r="AL419" t="s">
        <v>79</v>
      </c>
      <c r="AN419" t="s">
        <v>2359</v>
      </c>
      <c r="AY419" t="s">
        <v>781</v>
      </c>
      <c r="BA419" t="s">
        <v>92</v>
      </c>
      <c r="BD419" t="s">
        <v>139</v>
      </c>
    </row>
    <row r="420" spans="1:67" x14ac:dyDescent="0.2">
      <c r="A420" t="s">
        <v>2352</v>
      </c>
      <c r="B420" t="s">
        <v>2363</v>
      </c>
      <c r="D420" t="s">
        <v>83</v>
      </c>
      <c r="E420" t="s">
        <v>508</v>
      </c>
      <c r="F420" t="s">
        <v>2354</v>
      </c>
      <c r="G420" t="s">
        <v>2355</v>
      </c>
      <c r="H420" t="s">
        <v>647</v>
      </c>
      <c r="I420" t="s">
        <v>2356</v>
      </c>
      <c r="K420">
        <v>4</v>
      </c>
      <c r="L420">
        <f>IFERROR(VLOOKUP(K420,'Tables new'!$A:$C,3,FALSE),"")</f>
        <v>13</v>
      </c>
      <c r="M420" t="str">
        <f>VLOOKUP(K420,CAT_JOUEUR,2,FALSE)</f>
        <v>U 17 H</v>
      </c>
      <c r="N420">
        <v>4</v>
      </c>
      <c r="O420">
        <f>IFERROR(VLOOKUP(N420,'Tables new'!$A:$C,3,FALSE),"")</f>
        <v>13</v>
      </c>
      <c r="P420" t="str">
        <f>VLOOKUP(N420,CAT_JOUEUR,2,FALSE)</f>
        <v>U 17 H</v>
      </c>
      <c r="R420" t="s">
        <v>113</v>
      </c>
      <c r="AA420" t="s">
        <v>2364</v>
      </c>
      <c r="AH420">
        <v>43789</v>
      </c>
      <c r="AI420">
        <v>43773</v>
      </c>
      <c r="AJ420">
        <v>2031</v>
      </c>
      <c r="AK420">
        <v>40675</v>
      </c>
      <c r="AL420" t="s">
        <v>2365</v>
      </c>
      <c r="AN420" t="s">
        <v>2359</v>
      </c>
      <c r="AP420" t="s">
        <v>2366</v>
      </c>
      <c r="AQ420" t="s">
        <v>2361</v>
      </c>
      <c r="AY420" t="s">
        <v>781</v>
      </c>
      <c r="BA420" t="s">
        <v>782</v>
      </c>
      <c r="BD420">
        <v>50</v>
      </c>
    </row>
    <row r="421" spans="1:67" x14ac:dyDescent="0.2">
      <c r="A421" t="s">
        <v>2367</v>
      </c>
      <c r="B421" t="s">
        <v>2368</v>
      </c>
      <c r="D421" t="s">
        <v>72</v>
      </c>
      <c r="E421" t="s">
        <v>96</v>
      </c>
      <c r="F421" t="s">
        <v>1005</v>
      </c>
      <c r="G421" t="s">
        <v>1006</v>
      </c>
      <c r="H421" t="s">
        <v>300</v>
      </c>
      <c r="I421" t="s">
        <v>1007</v>
      </c>
      <c r="K421">
        <v>212</v>
      </c>
      <c r="L421">
        <f>IFERROR(VLOOKUP(K421,'Tables new'!$A:$C,3,FALSE),"")</f>
        <v>70</v>
      </c>
      <c r="M421" t="str">
        <f>VLOOKUP(K421,CAT_JOUEUR,2,FALSE)</f>
        <v>Contact famille</v>
      </c>
      <c r="N421">
        <v>212</v>
      </c>
      <c r="O421">
        <f>IFERROR(VLOOKUP(N421,'Tables new'!$A:$C,3,FALSE),"")</f>
        <v>70</v>
      </c>
      <c r="P421" t="str">
        <f>VLOOKUP(N421,CAT_JOUEUR,2,FALSE)</f>
        <v>Contact famille</v>
      </c>
      <c r="S421" t="s">
        <v>89</v>
      </c>
      <c r="AH421" t="s">
        <v>78</v>
      </c>
      <c r="AI421" t="s">
        <v>78</v>
      </c>
      <c r="AJ421" t="s">
        <v>78</v>
      </c>
      <c r="AK421" t="s">
        <v>78</v>
      </c>
      <c r="AL421" t="s">
        <v>79</v>
      </c>
      <c r="AQ421" t="s">
        <v>1008</v>
      </c>
    </row>
    <row r="422" spans="1:67" x14ac:dyDescent="0.2">
      <c r="A422" t="s">
        <v>2369</v>
      </c>
      <c r="B422" t="s">
        <v>2370</v>
      </c>
      <c r="D422" t="s">
        <v>72</v>
      </c>
      <c r="E422" t="s">
        <v>398</v>
      </c>
      <c r="F422" t="s">
        <v>85</v>
      </c>
      <c r="G422" t="s">
        <v>86</v>
      </c>
      <c r="H422" t="s">
        <v>87</v>
      </c>
      <c r="I422" t="s">
        <v>88</v>
      </c>
      <c r="K422">
        <v>212</v>
      </c>
      <c r="L422">
        <f>IFERROR(VLOOKUP(K422,'Tables new'!$A:$C,3,FALSE),"")</f>
        <v>70</v>
      </c>
      <c r="M422" t="str">
        <f>VLOOKUP(K422,CAT_JOUEUR,2,FALSE)</f>
        <v>Contact famille</v>
      </c>
      <c r="N422">
        <v>212</v>
      </c>
      <c r="O422">
        <f>IFERROR(VLOOKUP(N422,'Tables new'!$A:$C,3,FALSE),"")</f>
        <v>70</v>
      </c>
      <c r="P422" t="str">
        <f>VLOOKUP(N422,CAT_JOUEUR,2,FALSE)</f>
        <v>Contact famille</v>
      </c>
      <c r="X422" t="s">
        <v>89</v>
      </c>
      <c r="AH422" t="s">
        <v>78</v>
      </c>
      <c r="AI422">
        <v>43078</v>
      </c>
      <c r="AJ422" t="s">
        <v>78</v>
      </c>
      <c r="AK422" t="s">
        <v>78</v>
      </c>
      <c r="AL422" t="s">
        <v>79</v>
      </c>
      <c r="AY422" t="s">
        <v>91</v>
      </c>
      <c r="BA422" t="s">
        <v>136</v>
      </c>
      <c r="BB422" t="s">
        <v>271</v>
      </c>
      <c r="BO422" t="s">
        <v>2371</v>
      </c>
    </row>
    <row r="423" spans="1:67" x14ac:dyDescent="0.2">
      <c r="A423" t="s">
        <v>2369</v>
      </c>
      <c r="B423" t="s">
        <v>2372</v>
      </c>
      <c r="D423" t="s">
        <v>72</v>
      </c>
      <c r="E423" t="s">
        <v>96</v>
      </c>
      <c r="F423" t="s">
        <v>85</v>
      </c>
      <c r="G423" t="s">
        <v>86</v>
      </c>
      <c r="H423" t="s">
        <v>87</v>
      </c>
      <c r="I423" t="s">
        <v>88</v>
      </c>
      <c r="K423">
        <v>14</v>
      </c>
      <c r="L423">
        <f>IFERROR(VLOOKUP(K423,'Tables new'!$A:$C,3,FALSE),"")</f>
        <v>33</v>
      </c>
      <c r="M423" t="str">
        <f>VLOOKUP(K423,CAT_JOUEUR,2,FALSE)</f>
        <v>U 17 FE</v>
      </c>
      <c r="N423">
        <v>14</v>
      </c>
      <c r="O423">
        <f>IFERROR(VLOOKUP(N423,'Tables new'!$A:$C,3,FALSE),"")</f>
        <v>33</v>
      </c>
      <c r="P423" t="str">
        <f>VLOOKUP(N423,CAT_JOUEUR,2,FALSE)</f>
        <v>U 17 FE</v>
      </c>
      <c r="X423" t="s">
        <v>113</v>
      </c>
      <c r="AA423" t="s">
        <v>2373</v>
      </c>
      <c r="AB423" t="s">
        <v>208</v>
      </c>
      <c r="AH423">
        <v>43136</v>
      </c>
      <c r="AI423">
        <v>43078</v>
      </c>
      <c r="AJ423">
        <v>2020</v>
      </c>
      <c r="AK423">
        <v>40635</v>
      </c>
      <c r="AL423" t="s">
        <v>2374</v>
      </c>
      <c r="AO423" t="s">
        <v>208</v>
      </c>
      <c r="AP423" t="s">
        <v>2375</v>
      </c>
      <c r="AY423" t="s">
        <v>91</v>
      </c>
      <c r="BA423" t="s">
        <v>92</v>
      </c>
      <c r="BB423" t="s">
        <v>92</v>
      </c>
      <c r="BO423" t="s">
        <v>2376</v>
      </c>
    </row>
    <row r="424" spans="1:67" x14ac:dyDescent="0.2">
      <c r="A424" t="s">
        <v>2377</v>
      </c>
      <c r="B424" t="s">
        <v>2378</v>
      </c>
      <c r="D424" t="s">
        <v>72</v>
      </c>
      <c r="E424" t="s">
        <v>96</v>
      </c>
      <c r="F424" t="s">
        <v>2051</v>
      </c>
      <c r="G424" t="s">
        <v>2052</v>
      </c>
      <c r="H424" t="s">
        <v>486</v>
      </c>
      <c r="I424" t="s">
        <v>2053</v>
      </c>
      <c r="K424">
        <v>212</v>
      </c>
      <c r="L424">
        <f>IFERROR(VLOOKUP(K424,'Tables new'!$A:$C,3,FALSE),"")</f>
        <v>70</v>
      </c>
      <c r="M424" t="str">
        <f>VLOOKUP(K424,CAT_JOUEUR,2,FALSE)</f>
        <v>Contact famille</v>
      </c>
      <c r="N424">
        <v>212</v>
      </c>
      <c r="O424">
        <f>IFERROR(VLOOKUP(N424,'Tables new'!$A:$C,3,FALSE),"")</f>
        <v>70</v>
      </c>
      <c r="P424" t="str">
        <f>VLOOKUP(N424,CAT_JOUEUR,2,FALSE)</f>
        <v>Contact famille</v>
      </c>
      <c r="V424" t="s">
        <v>89</v>
      </c>
      <c r="W424" t="s">
        <v>89</v>
      </c>
      <c r="AH424" t="s">
        <v>78</v>
      </c>
      <c r="AI424" t="s">
        <v>78</v>
      </c>
      <c r="AJ424" t="s">
        <v>78</v>
      </c>
      <c r="AK424" t="s">
        <v>78</v>
      </c>
      <c r="AL424" t="s">
        <v>79</v>
      </c>
      <c r="AP424">
        <v>691286840</v>
      </c>
      <c r="AQ424" t="s">
        <v>2060</v>
      </c>
    </row>
    <row r="425" spans="1:67" x14ac:dyDescent="0.2">
      <c r="A425" t="s">
        <v>2379</v>
      </c>
      <c r="B425" t="s">
        <v>2380</v>
      </c>
      <c r="D425" t="s">
        <v>72</v>
      </c>
      <c r="E425" t="s">
        <v>96</v>
      </c>
      <c r="F425" t="s">
        <v>1724</v>
      </c>
      <c r="G425" t="s">
        <v>409</v>
      </c>
      <c r="H425" t="s">
        <v>235</v>
      </c>
      <c r="I425" t="s">
        <v>1725</v>
      </c>
      <c r="K425">
        <v>212</v>
      </c>
      <c r="L425">
        <f>IFERROR(VLOOKUP(K425,'Tables new'!$A:$C,3,FALSE),"")</f>
        <v>70</v>
      </c>
      <c r="M425" t="str">
        <f>VLOOKUP(K425,CAT_JOUEUR,2,FALSE)</f>
        <v>Contact famille</v>
      </c>
      <c r="N425">
        <v>212</v>
      </c>
      <c r="O425">
        <f>IFERROR(VLOOKUP(N425,'Tables new'!$A:$C,3,FALSE),"")</f>
        <v>70</v>
      </c>
      <c r="P425" t="str">
        <f>VLOOKUP(N425,CAT_JOUEUR,2,FALSE)</f>
        <v>Contact famille</v>
      </c>
      <c r="W425" t="s">
        <v>89</v>
      </c>
      <c r="AH425" t="s">
        <v>78</v>
      </c>
      <c r="AI425" t="s">
        <v>78</v>
      </c>
      <c r="AJ425" t="s">
        <v>78</v>
      </c>
      <c r="AK425" t="s">
        <v>78</v>
      </c>
      <c r="AL425" t="s">
        <v>79</v>
      </c>
      <c r="AP425">
        <v>691714662</v>
      </c>
      <c r="AQ425" t="s">
        <v>2381</v>
      </c>
    </row>
    <row r="426" spans="1:67" x14ac:dyDescent="0.2">
      <c r="A426" t="s">
        <v>2382</v>
      </c>
      <c r="B426" t="s">
        <v>759</v>
      </c>
      <c r="D426" t="s">
        <v>72</v>
      </c>
      <c r="E426" t="s">
        <v>96</v>
      </c>
      <c r="F426" t="s">
        <v>1586</v>
      </c>
      <c r="G426" t="s">
        <v>1587</v>
      </c>
      <c r="H426" t="s">
        <v>417</v>
      </c>
      <c r="I426" t="s">
        <v>1588</v>
      </c>
      <c r="K426">
        <v>212</v>
      </c>
      <c r="L426">
        <f>IFERROR(VLOOKUP(K426,'Tables new'!$A:$C,3,FALSE),"")</f>
        <v>70</v>
      </c>
      <c r="M426" t="str">
        <f>VLOOKUP(K426,CAT_JOUEUR,2,FALSE)</f>
        <v>Contact famille</v>
      </c>
      <c r="N426">
        <v>212</v>
      </c>
      <c r="O426">
        <f>IFERROR(VLOOKUP(N426,'Tables new'!$A:$C,3,FALSE),"")</f>
        <v>70</v>
      </c>
      <c r="P426" t="str">
        <f>VLOOKUP(N426,CAT_JOUEUR,2,FALSE)</f>
        <v>Contact famille</v>
      </c>
      <c r="W426" t="s">
        <v>89</v>
      </c>
      <c r="AH426" t="s">
        <v>78</v>
      </c>
      <c r="AI426" t="s">
        <v>78</v>
      </c>
      <c r="AJ426" t="s">
        <v>78</v>
      </c>
      <c r="AK426" t="s">
        <v>78</v>
      </c>
      <c r="AL426" t="s">
        <v>79</v>
      </c>
      <c r="AP426">
        <v>661911537</v>
      </c>
      <c r="AQ426" t="s">
        <v>2383</v>
      </c>
    </row>
    <row r="427" spans="1:67" x14ac:dyDescent="0.2">
      <c r="A427" t="s">
        <v>2382</v>
      </c>
      <c r="B427" t="s">
        <v>2384</v>
      </c>
      <c r="D427" t="s">
        <v>72</v>
      </c>
      <c r="E427" t="s">
        <v>96</v>
      </c>
      <c r="F427" t="s">
        <v>1586</v>
      </c>
      <c r="G427" t="s">
        <v>1587</v>
      </c>
      <c r="H427" t="s">
        <v>417</v>
      </c>
      <c r="I427" t="s">
        <v>1588</v>
      </c>
      <c r="K427">
        <v>21</v>
      </c>
      <c r="L427">
        <f>IFERROR(VLOOKUP(K427,'Tables new'!$A:$C,3,FALSE),"")</f>
        <v>18</v>
      </c>
      <c r="M427" t="str">
        <f>VLOOKUP(K427,CAT_JOUEUR,2,FALSE)</f>
        <v>U7 Mixte</v>
      </c>
      <c r="N427">
        <v>21</v>
      </c>
      <c r="O427">
        <f>IFERROR(VLOOKUP(N427,'Tables new'!$A:$C,3,FALSE),"")</f>
        <v>18</v>
      </c>
      <c r="P427" t="str">
        <f>VLOOKUP(N427,CAT_JOUEUR,2,FALSE)</f>
        <v>U7 Mixte</v>
      </c>
      <c r="W427" t="s">
        <v>113</v>
      </c>
      <c r="AA427" t="s">
        <v>2385</v>
      </c>
      <c r="AH427">
        <v>45278</v>
      </c>
      <c r="AI427">
        <v>45236</v>
      </c>
      <c r="AJ427">
        <v>2027</v>
      </c>
      <c r="AK427">
        <v>44142</v>
      </c>
      <c r="AL427" t="s">
        <v>2386</v>
      </c>
      <c r="AP427" t="s">
        <v>2387</v>
      </c>
      <c r="AQ427" t="s">
        <v>2383</v>
      </c>
    </row>
    <row r="428" spans="1:67" x14ac:dyDescent="0.2">
      <c r="A428" t="s">
        <v>2388</v>
      </c>
      <c r="B428" t="s">
        <v>2389</v>
      </c>
      <c r="D428" t="s">
        <v>72</v>
      </c>
      <c r="E428" t="s">
        <v>96</v>
      </c>
      <c r="F428" t="s">
        <v>550</v>
      </c>
      <c r="G428" t="s">
        <v>551</v>
      </c>
      <c r="H428" t="s">
        <v>108</v>
      </c>
      <c r="I428" t="s">
        <v>552</v>
      </c>
      <c r="K428">
        <v>9</v>
      </c>
      <c r="L428">
        <f>IFERROR(VLOOKUP(K428,'Tables new'!$A:$C,3,FALSE),"")</f>
        <v>20</v>
      </c>
      <c r="M428" t="str">
        <f>VLOOKUP(K428,CAT_JOUEUR,2,FALSE)</f>
        <v>Vétérans - HO</v>
      </c>
      <c r="N428">
        <v>9</v>
      </c>
      <c r="O428">
        <f>IFERROR(VLOOKUP(N428,'Tables new'!$A:$C,3,FALSE),"")</f>
        <v>20</v>
      </c>
      <c r="P428" t="str">
        <f>VLOOKUP(N428,CAT_JOUEUR,2,FALSE)</f>
        <v>Vétérans - HO</v>
      </c>
      <c r="U428" t="s">
        <v>89</v>
      </c>
      <c r="W428" t="s">
        <v>89</v>
      </c>
      <c r="AA428" t="s">
        <v>2390</v>
      </c>
      <c r="AH428">
        <v>35052</v>
      </c>
      <c r="AI428">
        <v>35052</v>
      </c>
      <c r="AJ428">
        <v>2030</v>
      </c>
      <c r="AK428">
        <v>31091</v>
      </c>
      <c r="AL428" t="s">
        <v>2391</v>
      </c>
      <c r="AP428" t="s">
        <v>2392</v>
      </c>
      <c r="AQ428" t="s">
        <v>2393</v>
      </c>
      <c r="AR428" t="s">
        <v>2394</v>
      </c>
      <c r="AY428" t="s">
        <v>442</v>
      </c>
      <c r="BA428" t="s">
        <v>136</v>
      </c>
      <c r="BB428" t="s">
        <v>137</v>
      </c>
      <c r="BC428" t="s">
        <v>138</v>
      </c>
      <c r="BD428">
        <v>200</v>
      </c>
      <c r="BO428" t="s">
        <v>1400</v>
      </c>
    </row>
    <row r="429" spans="1:67" x14ac:dyDescent="0.2">
      <c r="A429" t="s">
        <v>2388</v>
      </c>
      <c r="B429" t="s">
        <v>2275</v>
      </c>
      <c r="D429" t="s">
        <v>72</v>
      </c>
      <c r="E429" t="s">
        <v>96</v>
      </c>
      <c r="F429" t="s">
        <v>550</v>
      </c>
      <c r="G429" t="s">
        <v>551</v>
      </c>
      <c r="H429" t="s">
        <v>108</v>
      </c>
      <c r="I429" t="s">
        <v>552</v>
      </c>
      <c r="K429">
        <v>7</v>
      </c>
      <c r="L429">
        <f>IFERROR(VLOOKUP(K429,'Tables new'!$A:$C,3,FALSE),"")</f>
        <v>16</v>
      </c>
      <c r="M429" t="str">
        <f>VLOOKUP(K429,CAT_JOUEUR,2,FALSE)</f>
        <v>U 11 H</v>
      </c>
      <c r="N429">
        <v>7</v>
      </c>
      <c r="O429">
        <f>IFERROR(VLOOKUP(N429,'Tables new'!$A:$C,3,FALSE),"")</f>
        <v>16</v>
      </c>
      <c r="P429" t="str">
        <f>VLOOKUP(N429,CAT_JOUEUR,2,FALSE)</f>
        <v>U 11 H</v>
      </c>
      <c r="U429" t="s">
        <v>113</v>
      </c>
      <c r="AA429" t="s">
        <v>2395</v>
      </c>
      <c r="AH429">
        <v>44580</v>
      </c>
      <c r="AI429">
        <v>44440</v>
      </c>
      <c r="AJ429">
        <v>2029</v>
      </c>
      <c r="AK429">
        <v>43048</v>
      </c>
      <c r="AL429" t="s">
        <v>2396</v>
      </c>
      <c r="AO429" t="s">
        <v>2397</v>
      </c>
      <c r="AP429" t="s">
        <v>2398</v>
      </c>
      <c r="AQ429" t="s">
        <v>2393</v>
      </c>
      <c r="BM429" t="s">
        <v>822</v>
      </c>
    </row>
    <row r="430" spans="1:67" x14ac:dyDescent="0.2">
      <c r="A430" t="s">
        <v>2388</v>
      </c>
      <c r="B430" t="s">
        <v>2399</v>
      </c>
      <c r="D430" t="s">
        <v>72</v>
      </c>
      <c r="E430" t="s">
        <v>96</v>
      </c>
      <c r="F430" t="s">
        <v>550</v>
      </c>
      <c r="G430" t="s">
        <v>551</v>
      </c>
      <c r="H430" t="s">
        <v>108</v>
      </c>
      <c r="I430" t="s">
        <v>552</v>
      </c>
      <c r="K430">
        <v>21</v>
      </c>
      <c r="L430">
        <f>IFERROR(VLOOKUP(K430,'Tables new'!$A:$C,3,FALSE),"")</f>
        <v>18</v>
      </c>
      <c r="M430" t="str">
        <f>VLOOKUP(K430,CAT_JOUEUR,2,FALSE)</f>
        <v>U7 Mixte</v>
      </c>
      <c r="N430">
        <v>21</v>
      </c>
      <c r="O430">
        <f>IFERROR(VLOOKUP(N430,'Tables new'!$A:$C,3,FALSE),"")</f>
        <v>18</v>
      </c>
      <c r="P430" t="str">
        <f>VLOOKUP(N430,CAT_JOUEUR,2,FALSE)</f>
        <v>U7 Mixte</v>
      </c>
      <c r="W430" t="s">
        <v>113</v>
      </c>
      <c r="AA430" t="s">
        <v>2400</v>
      </c>
      <c r="AF430" t="s">
        <v>223</v>
      </c>
      <c r="AH430">
        <v>45923</v>
      </c>
      <c r="AI430">
        <v>45909</v>
      </c>
      <c r="AJ430">
        <v>2029</v>
      </c>
      <c r="AK430">
        <v>44750</v>
      </c>
      <c r="AL430" t="s">
        <v>2401</v>
      </c>
      <c r="AO430" t="s">
        <v>2397</v>
      </c>
      <c r="AP430" t="s">
        <v>2398</v>
      </c>
      <c r="AQ430" t="s">
        <v>2393</v>
      </c>
    </row>
    <row r="431" spans="1:67" x14ac:dyDescent="0.2">
      <c r="A431" t="s">
        <v>2402</v>
      </c>
      <c r="B431" t="s">
        <v>176</v>
      </c>
      <c r="D431" t="s">
        <v>72</v>
      </c>
      <c r="E431" t="s">
        <v>96</v>
      </c>
      <c r="F431" t="s">
        <v>2403</v>
      </c>
      <c r="G431" t="s">
        <v>827</v>
      </c>
      <c r="H431" t="s">
        <v>828</v>
      </c>
      <c r="I431" t="s">
        <v>2404</v>
      </c>
      <c r="K431">
        <v>12</v>
      </c>
      <c r="L431">
        <v>31</v>
      </c>
      <c r="M431" t="s">
        <v>265</v>
      </c>
      <c r="N431">
        <v>12</v>
      </c>
      <c r="O431">
        <f>IFERROR(VLOOKUP(N431,'Tables new'!$A:$C,3,FALSE),"")</f>
        <v>31</v>
      </c>
      <c r="P431" t="str">
        <f>VLOOKUP(N431,CAT_JOUEUR,2,FALSE)</f>
        <v>Femmes</v>
      </c>
      <c r="AA431" t="s">
        <v>2405</v>
      </c>
      <c r="AC431" t="s">
        <v>2405</v>
      </c>
      <c r="AH431">
        <v>40638</v>
      </c>
      <c r="AI431">
        <v>40638</v>
      </c>
      <c r="AJ431">
        <v>2030</v>
      </c>
      <c r="AK431">
        <v>36668</v>
      </c>
      <c r="AL431" t="s">
        <v>2406</v>
      </c>
      <c r="AN431" t="s">
        <v>2407</v>
      </c>
      <c r="AP431" t="s">
        <v>2408</v>
      </c>
      <c r="AQ431" t="s">
        <v>2409</v>
      </c>
      <c r="AY431" t="s">
        <v>91</v>
      </c>
      <c r="BA431" t="s">
        <v>136</v>
      </c>
      <c r="BB431" t="s">
        <v>271</v>
      </c>
      <c r="BD431">
        <v>50</v>
      </c>
      <c r="BO431" t="s">
        <v>740</v>
      </c>
    </row>
    <row r="432" spans="1:67" x14ac:dyDescent="0.2">
      <c r="A432" t="s">
        <v>2410</v>
      </c>
      <c r="B432" t="s">
        <v>2411</v>
      </c>
      <c r="D432" t="s">
        <v>72</v>
      </c>
      <c r="E432" t="s">
        <v>96</v>
      </c>
      <c r="F432" t="s">
        <v>2412</v>
      </c>
      <c r="G432" t="s">
        <v>551</v>
      </c>
      <c r="H432" t="s">
        <v>108</v>
      </c>
      <c r="I432" t="s">
        <v>2413</v>
      </c>
      <c r="K432">
        <v>8</v>
      </c>
      <c r="L432">
        <f>IFERROR(VLOOKUP(K432,'Tables new'!$A:$C,3,FALSE),"")</f>
        <v>17</v>
      </c>
      <c r="M432" t="str">
        <f>VLOOKUP(K432,CAT_JOUEUR,2,FALSE)</f>
        <v>U 9 H</v>
      </c>
      <c r="N432">
        <v>8</v>
      </c>
      <c r="O432">
        <f>IFERROR(VLOOKUP(N432,'Tables new'!$A:$C,3,FALSE),"")</f>
        <v>17</v>
      </c>
      <c r="P432" t="str">
        <f>VLOOKUP(N432,CAT_JOUEUR,2,FALSE)</f>
        <v>U 9 H</v>
      </c>
      <c r="V432" t="s">
        <v>113</v>
      </c>
      <c r="AA432" t="s">
        <v>2414</v>
      </c>
      <c r="AF432" t="s">
        <v>223</v>
      </c>
      <c r="AH432">
        <v>46003</v>
      </c>
      <c r="AI432">
        <v>45989</v>
      </c>
      <c r="AJ432">
        <v>2030</v>
      </c>
      <c r="AK432">
        <v>43223</v>
      </c>
      <c r="AL432" t="s">
        <v>2415</v>
      </c>
      <c r="AP432">
        <v>661611520</v>
      </c>
      <c r="AQ432" t="s">
        <v>2416</v>
      </c>
    </row>
    <row r="433" spans="1:56" x14ac:dyDescent="0.2">
      <c r="A433" t="s">
        <v>2410</v>
      </c>
      <c r="B433" t="s">
        <v>2417</v>
      </c>
      <c r="D433" t="s">
        <v>72</v>
      </c>
      <c r="E433" t="s">
        <v>96</v>
      </c>
      <c r="F433" t="s">
        <v>2412</v>
      </c>
      <c r="G433" t="s">
        <v>551</v>
      </c>
      <c r="H433" t="s">
        <v>108</v>
      </c>
      <c r="I433" t="s">
        <v>2413</v>
      </c>
      <c r="K433">
        <v>212</v>
      </c>
      <c r="L433">
        <f>IFERROR(VLOOKUP(K433,'Tables new'!$A:$C,3,FALSE),"")</f>
        <v>70</v>
      </c>
      <c r="M433" t="str">
        <f>VLOOKUP(K433,CAT_JOUEUR,2,FALSE)</f>
        <v>Contact famille</v>
      </c>
      <c r="N433">
        <v>212</v>
      </c>
      <c r="O433">
        <f>IFERROR(VLOOKUP(N433,'Tables new'!$A:$C,3,FALSE),"")</f>
        <v>70</v>
      </c>
      <c r="P433" t="str">
        <f>VLOOKUP(N433,CAT_JOUEUR,2,FALSE)</f>
        <v>Contact famille</v>
      </c>
      <c r="V433" t="s">
        <v>89</v>
      </c>
      <c r="AH433" t="s">
        <v>78</v>
      </c>
      <c r="AI433" t="s">
        <v>78</v>
      </c>
      <c r="AJ433" t="s">
        <v>78</v>
      </c>
      <c r="AK433" t="s">
        <v>78</v>
      </c>
      <c r="AL433" t="s">
        <v>79</v>
      </c>
      <c r="AP433">
        <v>661611520</v>
      </c>
      <c r="AQ433" t="s">
        <v>2418</v>
      </c>
    </row>
    <row r="434" spans="1:56" x14ac:dyDescent="0.2">
      <c r="A434" t="s">
        <v>2419</v>
      </c>
      <c r="B434" t="s">
        <v>2420</v>
      </c>
      <c r="D434" t="s">
        <v>72</v>
      </c>
      <c r="E434" t="s">
        <v>96</v>
      </c>
      <c r="F434" t="s">
        <v>2412</v>
      </c>
      <c r="G434" t="s">
        <v>551</v>
      </c>
      <c r="H434" t="s">
        <v>108</v>
      </c>
      <c r="I434" t="s">
        <v>2413</v>
      </c>
      <c r="K434">
        <v>212</v>
      </c>
      <c r="L434">
        <f>IFERROR(VLOOKUP(K434,'Tables new'!$A:$C,3,FALSE),"")</f>
        <v>70</v>
      </c>
      <c r="M434" t="str">
        <f>VLOOKUP(K434,CAT_JOUEUR,2,FALSE)</f>
        <v>Contact famille</v>
      </c>
      <c r="N434">
        <v>212</v>
      </c>
      <c r="O434">
        <f>IFERROR(VLOOKUP(N434,'Tables new'!$A:$C,3,FALSE),"")</f>
        <v>70</v>
      </c>
      <c r="P434" t="str">
        <f>VLOOKUP(N434,CAT_JOUEUR,2,FALSE)</f>
        <v>Contact famille</v>
      </c>
      <c r="V434" t="s">
        <v>89</v>
      </c>
      <c r="AH434" t="s">
        <v>78</v>
      </c>
      <c r="AI434" t="s">
        <v>78</v>
      </c>
      <c r="AJ434" t="s">
        <v>78</v>
      </c>
      <c r="AK434" t="s">
        <v>78</v>
      </c>
      <c r="AL434" t="s">
        <v>79</v>
      </c>
      <c r="AQ434" t="s">
        <v>2416</v>
      </c>
    </row>
    <row r="435" spans="1:56" x14ac:dyDescent="0.2">
      <c r="A435" t="s">
        <v>2421</v>
      </c>
      <c r="B435" t="s">
        <v>947</v>
      </c>
      <c r="D435" t="s">
        <v>72</v>
      </c>
      <c r="E435" t="s">
        <v>96</v>
      </c>
      <c r="F435" t="s">
        <v>1580</v>
      </c>
      <c r="G435" t="s">
        <v>1581</v>
      </c>
      <c r="H435" t="s">
        <v>885</v>
      </c>
      <c r="I435" t="s">
        <v>1582</v>
      </c>
      <c r="K435">
        <v>21</v>
      </c>
      <c r="L435">
        <f>IFERROR(VLOOKUP(K435,'Tables new'!$A:$C,3,FALSE),"")</f>
        <v>18</v>
      </c>
      <c r="M435" t="str">
        <f>VLOOKUP(K435,CAT_JOUEUR,2,FALSE)</f>
        <v>U7 Mixte</v>
      </c>
      <c r="N435">
        <v>21</v>
      </c>
      <c r="O435">
        <f>IFERROR(VLOOKUP(N435,'Tables new'!$A:$C,3,FALSE),"")</f>
        <v>18</v>
      </c>
      <c r="P435" t="str">
        <f>VLOOKUP(N435,CAT_JOUEUR,2,FALSE)</f>
        <v>U7 Mixte</v>
      </c>
      <c r="W435" t="s">
        <v>113</v>
      </c>
      <c r="AA435" t="s">
        <v>2422</v>
      </c>
      <c r="AF435" t="s">
        <v>223</v>
      </c>
      <c r="AH435">
        <v>46134</v>
      </c>
      <c r="AI435">
        <v>46131</v>
      </c>
      <c r="AJ435">
        <v>2028</v>
      </c>
      <c r="AK435">
        <v>44349</v>
      </c>
      <c r="AL435" t="s">
        <v>2423</v>
      </c>
      <c r="AO435" t="s">
        <v>2424</v>
      </c>
      <c r="AP435" t="s">
        <v>2425</v>
      </c>
      <c r="AQ435" t="s">
        <v>1583</v>
      </c>
    </row>
    <row r="436" spans="1:56" x14ac:dyDescent="0.2">
      <c r="A436" t="s">
        <v>2421</v>
      </c>
      <c r="B436" t="s">
        <v>1119</v>
      </c>
      <c r="D436" t="s">
        <v>72</v>
      </c>
      <c r="E436" t="s">
        <v>96</v>
      </c>
      <c r="F436" t="s">
        <v>1580</v>
      </c>
      <c r="G436" t="s">
        <v>1581</v>
      </c>
      <c r="H436" t="s">
        <v>885</v>
      </c>
      <c r="I436" t="s">
        <v>1582</v>
      </c>
      <c r="K436">
        <v>212</v>
      </c>
      <c r="L436">
        <f>IFERROR(VLOOKUP(K436,'Tables new'!$A:$C,3,FALSE),"")</f>
        <v>70</v>
      </c>
      <c r="M436" t="str">
        <f>VLOOKUP(K436,CAT_JOUEUR,2,FALSE)</f>
        <v>Contact famille</v>
      </c>
      <c r="N436">
        <v>212</v>
      </c>
      <c r="O436">
        <f>IFERROR(VLOOKUP(N436,'Tables new'!$A:$C,3,FALSE),"")</f>
        <v>70</v>
      </c>
      <c r="P436" t="str">
        <f>VLOOKUP(N436,CAT_JOUEUR,2,FALSE)</f>
        <v>Contact famille</v>
      </c>
      <c r="W436" t="s">
        <v>89</v>
      </c>
      <c r="AH436" t="s">
        <v>78</v>
      </c>
      <c r="AI436" t="s">
        <v>78</v>
      </c>
      <c r="AJ436" t="s">
        <v>78</v>
      </c>
      <c r="AK436" t="s">
        <v>78</v>
      </c>
      <c r="AL436" t="s">
        <v>79</v>
      </c>
      <c r="AP436">
        <v>621708686</v>
      </c>
    </row>
    <row r="437" spans="1:56" x14ac:dyDescent="0.2">
      <c r="A437" t="s">
        <v>2426</v>
      </c>
      <c r="B437" t="s">
        <v>297</v>
      </c>
      <c r="D437" t="s">
        <v>72</v>
      </c>
      <c r="E437" t="s">
        <v>96</v>
      </c>
      <c r="F437" t="s">
        <v>1299</v>
      </c>
      <c r="G437" t="s">
        <v>1300</v>
      </c>
      <c r="H437" t="s">
        <v>108</v>
      </c>
      <c r="I437" t="s">
        <v>1301</v>
      </c>
      <c r="K437">
        <v>16</v>
      </c>
      <c r="L437">
        <f>IFERROR(VLOOKUP(K437,'Tables new'!$A:$C,3,FALSE),"")</f>
        <v>34</v>
      </c>
      <c r="M437" t="str">
        <f>VLOOKUP(K437,CAT_JOUEUR,2,FALSE)</f>
        <v>U15 F</v>
      </c>
      <c r="N437">
        <v>16</v>
      </c>
      <c r="O437">
        <f>IFERROR(VLOOKUP(N437,'Tables new'!$A:$C,3,FALSE),"")</f>
        <v>34</v>
      </c>
      <c r="P437" t="str">
        <f>VLOOKUP(N437,CAT_JOUEUR,2,FALSE)</f>
        <v>U15 F</v>
      </c>
      <c r="Y437" t="s">
        <v>113</v>
      </c>
      <c r="AA437" t="s">
        <v>2427</v>
      </c>
      <c r="AH437">
        <v>43817</v>
      </c>
      <c r="AI437">
        <v>43803</v>
      </c>
      <c r="AJ437">
        <v>2023</v>
      </c>
      <c r="AK437">
        <v>41550</v>
      </c>
      <c r="AL437" t="s">
        <v>2428</v>
      </c>
      <c r="AN437" t="s">
        <v>1302</v>
      </c>
      <c r="AO437" t="s">
        <v>2429</v>
      </c>
      <c r="AP437" t="s">
        <v>2430</v>
      </c>
      <c r="AQ437" t="s">
        <v>1304</v>
      </c>
      <c r="BD437" t="s">
        <v>783</v>
      </c>
    </row>
    <row r="438" spans="1:56" x14ac:dyDescent="0.2">
      <c r="A438" t="s">
        <v>2426</v>
      </c>
      <c r="B438" t="s">
        <v>319</v>
      </c>
      <c r="D438" t="s">
        <v>72</v>
      </c>
      <c r="E438" t="s">
        <v>96</v>
      </c>
      <c r="F438" t="s">
        <v>1299</v>
      </c>
      <c r="G438" t="s">
        <v>1300</v>
      </c>
      <c r="H438" t="s">
        <v>108</v>
      </c>
      <c r="I438" t="s">
        <v>1301</v>
      </c>
      <c r="K438">
        <v>7</v>
      </c>
      <c r="L438">
        <f>IFERROR(VLOOKUP(K438,'Tables new'!$A:$C,3,FALSE),"")</f>
        <v>16</v>
      </c>
      <c r="M438" t="str">
        <f>VLOOKUP(K438,CAT_JOUEUR,2,FALSE)</f>
        <v>U 11 H</v>
      </c>
      <c r="N438">
        <v>7</v>
      </c>
      <c r="O438">
        <f>IFERROR(VLOOKUP(N438,'Tables new'!$A:$C,3,FALSE),"")</f>
        <v>16</v>
      </c>
      <c r="P438" t="str">
        <f>VLOOKUP(N438,CAT_JOUEUR,2,FALSE)</f>
        <v>U 11 H</v>
      </c>
      <c r="U438" t="s">
        <v>113</v>
      </c>
      <c r="AC438" t="s">
        <v>208</v>
      </c>
      <c r="AF438" t="s">
        <v>2431</v>
      </c>
      <c r="AI438">
        <v>43803</v>
      </c>
      <c r="AJ438">
        <v>2023</v>
      </c>
      <c r="AK438">
        <v>42383</v>
      </c>
      <c r="AL438" t="s">
        <v>2432</v>
      </c>
      <c r="AM438" t="s">
        <v>208</v>
      </c>
      <c r="AN438" t="s">
        <v>1302</v>
      </c>
      <c r="AO438" t="s">
        <v>2429</v>
      </c>
      <c r="AP438" t="s">
        <v>2430</v>
      </c>
      <c r="AQ438" t="s">
        <v>1304</v>
      </c>
      <c r="BD438" t="s">
        <v>783</v>
      </c>
    </row>
    <row r="439" spans="1:56" x14ac:dyDescent="0.2">
      <c r="A439" t="s">
        <v>2426</v>
      </c>
      <c r="B439" t="s">
        <v>2433</v>
      </c>
      <c r="D439" t="s">
        <v>72</v>
      </c>
      <c r="E439" t="s">
        <v>96</v>
      </c>
      <c r="F439" t="s">
        <v>1299</v>
      </c>
      <c r="G439" t="s">
        <v>1300</v>
      </c>
      <c r="H439" t="s">
        <v>108</v>
      </c>
      <c r="I439" t="s">
        <v>1301</v>
      </c>
      <c r="K439">
        <v>212</v>
      </c>
      <c r="L439">
        <f>IFERROR(VLOOKUP(K439,'Tables new'!$A:$C,3,FALSE),"")</f>
        <v>70</v>
      </c>
      <c r="M439" t="str">
        <f>VLOOKUP(K439,CAT_JOUEUR,2,FALSE)</f>
        <v>Contact famille</v>
      </c>
      <c r="N439">
        <v>212</v>
      </c>
      <c r="O439">
        <f>IFERROR(VLOOKUP(N439,'Tables new'!$A:$C,3,FALSE),"")</f>
        <v>70</v>
      </c>
      <c r="P439" t="str">
        <f>VLOOKUP(N439,CAT_JOUEUR,2,FALSE)</f>
        <v>Contact famille</v>
      </c>
      <c r="U439" t="s">
        <v>89</v>
      </c>
      <c r="Y439" t="s">
        <v>89</v>
      </c>
      <c r="AH439" t="s">
        <v>78</v>
      </c>
      <c r="AI439" t="s">
        <v>78</v>
      </c>
      <c r="AJ439" t="s">
        <v>78</v>
      </c>
      <c r="AK439" t="s">
        <v>78</v>
      </c>
      <c r="AL439" t="s">
        <v>79</v>
      </c>
      <c r="AN439" t="s">
        <v>1302</v>
      </c>
      <c r="AP439" t="s">
        <v>2434</v>
      </c>
    </row>
    <row r="440" spans="1:56" x14ac:dyDescent="0.2">
      <c r="A440" t="s">
        <v>2435</v>
      </c>
      <c r="B440" t="s">
        <v>2436</v>
      </c>
      <c r="D440" t="s">
        <v>72</v>
      </c>
      <c r="E440" t="s">
        <v>96</v>
      </c>
      <c r="F440" t="s">
        <v>1876</v>
      </c>
      <c r="G440" t="s">
        <v>1043</v>
      </c>
      <c r="H440" t="s">
        <v>1044</v>
      </c>
      <c r="I440" t="s">
        <v>1877</v>
      </c>
      <c r="K440">
        <v>212</v>
      </c>
      <c r="L440">
        <f>IFERROR(VLOOKUP(K440,'Tables new'!$A:$C,3,FALSE),"")</f>
        <v>70</v>
      </c>
      <c r="M440" t="str">
        <f>VLOOKUP(K440,CAT_JOUEUR,2,FALSE)</f>
        <v>Contact famille</v>
      </c>
      <c r="N440">
        <v>212</v>
      </c>
      <c r="O440">
        <f>IFERROR(VLOOKUP(N440,'Tables new'!$A:$C,3,FALSE),"")</f>
        <v>70</v>
      </c>
      <c r="P440" t="str">
        <f>VLOOKUP(N440,CAT_JOUEUR,2,FALSE)</f>
        <v>Contact famille</v>
      </c>
      <c r="S440" t="s">
        <v>89</v>
      </c>
      <c r="T440" t="s">
        <v>89</v>
      </c>
      <c r="AH440" t="s">
        <v>78</v>
      </c>
      <c r="AJ440" t="s">
        <v>78</v>
      </c>
      <c r="AK440" t="s">
        <v>78</v>
      </c>
      <c r="AN440" t="s">
        <v>1880</v>
      </c>
      <c r="AP440" t="s">
        <v>2437</v>
      </c>
      <c r="AQ440" t="s">
        <v>1883</v>
      </c>
    </row>
    <row r="441" spans="1:56" x14ac:dyDescent="0.2">
      <c r="A441" t="s">
        <v>2438</v>
      </c>
      <c r="B441" t="s">
        <v>2439</v>
      </c>
      <c r="D441" t="s">
        <v>72</v>
      </c>
      <c r="E441" t="s">
        <v>261</v>
      </c>
      <c r="F441" t="s">
        <v>2307</v>
      </c>
      <c r="G441" t="s">
        <v>1262</v>
      </c>
      <c r="H441" t="s">
        <v>126</v>
      </c>
      <c r="I441" t="s">
        <v>2308</v>
      </c>
      <c r="K441">
        <v>212</v>
      </c>
      <c r="L441">
        <f>IFERROR(VLOOKUP(K441,'Tables new'!$A:$C,3,FALSE),"")</f>
        <v>70</v>
      </c>
      <c r="M441" t="str">
        <f>VLOOKUP(K441,CAT_JOUEUR,2,FALSE)</f>
        <v>Contact famille</v>
      </c>
      <c r="N441">
        <v>212</v>
      </c>
      <c r="O441">
        <f>IFERROR(VLOOKUP(N441,'Tables new'!$A:$C,3,FALSE),"")</f>
        <v>70</v>
      </c>
      <c r="P441" t="str">
        <f>VLOOKUP(N441,CAT_JOUEUR,2,FALSE)</f>
        <v>Contact famille</v>
      </c>
      <c r="V441" t="s">
        <v>89</v>
      </c>
      <c r="AH441" t="s">
        <v>78</v>
      </c>
      <c r="AI441" t="s">
        <v>78</v>
      </c>
      <c r="AJ441" t="s">
        <v>78</v>
      </c>
      <c r="AK441" t="s">
        <v>78</v>
      </c>
      <c r="AL441" t="s">
        <v>79</v>
      </c>
      <c r="AP441">
        <v>621318311</v>
      </c>
      <c r="AQ441" t="s">
        <v>2316</v>
      </c>
    </row>
    <row r="442" spans="1:56" x14ac:dyDescent="0.2">
      <c r="A442" t="s">
        <v>2440</v>
      </c>
      <c r="B442" t="s">
        <v>2441</v>
      </c>
      <c r="D442" t="s">
        <v>72</v>
      </c>
      <c r="E442" t="s">
        <v>2442</v>
      </c>
      <c r="F442" t="s">
        <v>2443</v>
      </c>
      <c r="G442" t="s">
        <v>2444</v>
      </c>
      <c r="H442" t="s">
        <v>2445</v>
      </c>
      <c r="I442" t="s">
        <v>145</v>
      </c>
      <c r="K442">
        <v>12</v>
      </c>
      <c r="L442">
        <v>70</v>
      </c>
      <c r="M442" t="s">
        <v>265</v>
      </c>
      <c r="N442">
        <v>12</v>
      </c>
      <c r="O442">
        <f>IFERROR(VLOOKUP(N442,'Tables new'!$A:$C,3,FALSE),"")</f>
        <v>31</v>
      </c>
      <c r="P442" t="str">
        <f>VLOOKUP(N442,CAT_JOUEUR,2,FALSE)</f>
        <v>Femmes</v>
      </c>
      <c r="AA442" t="s">
        <v>2446</v>
      </c>
      <c r="AH442">
        <v>45687</v>
      </c>
      <c r="AI442">
        <v>45666</v>
      </c>
      <c r="AJ442">
        <v>2026</v>
      </c>
      <c r="AK442">
        <v>35396</v>
      </c>
      <c r="AL442" t="s">
        <v>2447</v>
      </c>
      <c r="AP442">
        <v>621566421</v>
      </c>
      <c r="AQ442" t="s">
        <v>2448</v>
      </c>
    </row>
    <row r="443" spans="1:56" x14ac:dyDescent="0.2">
      <c r="A443" t="s">
        <v>2449</v>
      </c>
      <c r="B443" t="s">
        <v>2450</v>
      </c>
      <c r="D443" t="s">
        <v>72</v>
      </c>
      <c r="E443" t="s">
        <v>398</v>
      </c>
      <c r="F443" t="s">
        <v>2451</v>
      </c>
      <c r="G443" t="s">
        <v>646</v>
      </c>
      <c r="H443" t="s">
        <v>647</v>
      </c>
      <c r="I443" t="s">
        <v>145</v>
      </c>
      <c r="K443">
        <v>12</v>
      </c>
      <c r="L443">
        <v>31</v>
      </c>
      <c r="M443" t="s">
        <v>265</v>
      </c>
      <c r="N443">
        <v>12</v>
      </c>
      <c r="O443">
        <f>IFERROR(VLOOKUP(N443,'Tables new'!$A:$C,3,FALSE),"")</f>
        <v>31</v>
      </c>
      <c r="P443" t="str">
        <f>VLOOKUP(N443,CAT_JOUEUR,2,FALSE)</f>
        <v>Femmes</v>
      </c>
      <c r="AA443" t="s">
        <v>2452</v>
      </c>
      <c r="AF443" t="s">
        <v>223</v>
      </c>
      <c r="AH443">
        <v>45912</v>
      </c>
      <c r="AI443">
        <v>45909</v>
      </c>
      <c r="AJ443">
        <v>2034</v>
      </c>
      <c r="AK443">
        <v>34469</v>
      </c>
      <c r="AL443" t="s">
        <v>2453</v>
      </c>
      <c r="AO443" t="s">
        <v>2454</v>
      </c>
      <c r="AP443">
        <v>621223235</v>
      </c>
      <c r="AQ443" t="s">
        <v>2455</v>
      </c>
    </row>
    <row r="444" spans="1:56" x14ac:dyDescent="0.2">
      <c r="A444" t="s">
        <v>2456</v>
      </c>
      <c r="B444" t="s">
        <v>2457</v>
      </c>
      <c r="D444" t="s">
        <v>1334</v>
      </c>
      <c r="E444" t="s">
        <v>1334</v>
      </c>
      <c r="I444" t="s">
        <v>2458</v>
      </c>
      <c r="K444">
        <v>212</v>
      </c>
      <c r="L444">
        <f>IFERROR(VLOOKUP(K444,'Tables new'!$A:$C,3,FALSE),"")</f>
        <v>70</v>
      </c>
      <c r="M444" t="str">
        <f>VLOOKUP(K444,CAT_JOUEUR,2,FALSE)</f>
        <v>Contact famille</v>
      </c>
      <c r="N444">
        <v>212</v>
      </c>
      <c r="O444">
        <f>IFERROR(VLOOKUP(N444,'Tables new'!$A:$C,3,FALSE),"")</f>
        <v>70</v>
      </c>
      <c r="P444" t="str">
        <f>VLOOKUP(N444,CAT_JOUEUR,2,FALSE)</f>
        <v>Contact famille</v>
      </c>
      <c r="W444" t="s">
        <v>89</v>
      </c>
      <c r="AH444" t="s">
        <v>78</v>
      </c>
      <c r="AI444" t="s">
        <v>78</v>
      </c>
      <c r="AJ444" t="s">
        <v>78</v>
      </c>
      <c r="AK444" t="s">
        <v>78</v>
      </c>
      <c r="AL444" t="s">
        <v>79</v>
      </c>
      <c r="AQ444" t="s">
        <v>2459</v>
      </c>
    </row>
    <row r="445" spans="1:56" x14ac:dyDescent="0.2">
      <c r="A445" t="s">
        <v>2456</v>
      </c>
      <c r="B445" t="s">
        <v>1066</v>
      </c>
      <c r="D445" t="s">
        <v>1334</v>
      </c>
      <c r="E445" t="s">
        <v>1334</v>
      </c>
      <c r="I445" t="s">
        <v>2458</v>
      </c>
      <c r="K445">
        <v>21</v>
      </c>
      <c r="L445">
        <f>IFERROR(VLOOKUP(K445,'Tables new'!$A:$C,3,FALSE),"")</f>
        <v>18</v>
      </c>
      <c r="M445" t="str">
        <f>VLOOKUP(K445,CAT_JOUEUR,2,FALSE)</f>
        <v>U7 Mixte</v>
      </c>
      <c r="N445">
        <v>21</v>
      </c>
      <c r="O445">
        <f>IFERROR(VLOOKUP(N445,'Tables new'!$A:$C,3,FALSE),"")</f>
        <v>18</v>
      </c>
      <c r="P445" t="str">
        <f>VLOOKUP(N445,CAT_JOUEUR,2,FALSE)</f>
        <v>U7 Mixte</v>
      </c>
      <c r="W445" t="s">
        <v>113</v>
      </c>
      <c r="AA445" t="s">
        <v>155</v>
      </c>
      <c r="AF445" t="s">
        <v>2460</v>
      </c>
      <c r="AI445">
        <v>45940</v>
      </c>
      <c r="AJ445">
        <v>2029</v>
      </c>
      <c r="AK445">
        <v>44817</v>
      </c>
      <c r="AL445" t="s">
        <v>2461</v>
      </c>
      <c r="AQ445" t="s">
        <v>2459</v>
      </c>
    </row>
    <row r="446" spans="1:56" x14ac:dyDescent="0.2">
      <c r="A446" t="s">
        <v>2456</v>
      </c>
      <c r="D446" t="s">
        <v>1334</v>
      </c>
      <c r="E446" t="s">
        <v>1334</v>
      </c>
      <c r="F446" t="s">
        <v>208</v>
      </c>
      <c r="I446" t="s">
        <v>2458</v>
      </c>
      <c r="K446">
        <v>212</v>
      </c>
      <c r="L446">
        <f>IFERROR(VLOOKUP(K446,'Tables new'!$A:$C,3,FALSE),"")</f>
        <v>70</v>
      </c>
      <c r="M446" t="str">
        <f>VLOOKUP(K446,CAT_JOUEUR,2,FALSE)</f>
        <v>Contact famille</v>
      </c>
      <c r="N446">
        <v>212</v>
      </c>
      <c r="O446">
        <f>IFERROR(VLOOKUP(N446,'Tables new'!$A:$C,3,FALSE),"")</f>
        <v>70</v>
      </c>
      <c r="P446" t="str">
        <f>VLOOKUP(N446,CAT_JOUEUR,2,FALSE)</f>
        <v>Contact famille</v>
      </c>
      <c r="W446" t="s">
        <v>89</v>
      </c>
      <c r="AH446" t="s">
        <v>78</v>
      </c>
      <c r="AI446" t="s">
        <v>78</v>
      </c>
      <c r="AJ446" t="s">
        <v>78</v>
      </c>
      <c r="AK446" t="s">
        <v>78</v>
      </c>
      <c r="AL446" t="s">
        <v>79</v>
      </c>
    </row>
    <row r="447" spans="1:56" x14ac:dyDescent="0.2">
      <c r="A447" t="s">
        <v>2462</v>
      </c>
      <c r="B447" t="s">
        <v>2463</v>
      </c>
      <c r="D447" t="s">
        <v>72</v>
      </c>
      <c r="E447" t="s">
        <v>96</v>
      </c>
      <c r="F447" t="s">
        <v>768</v>
      </c>
      <c r="G447" t="s">
        <v>769</v>
      </c>
      <c r="H447" t="s">
        <v>132</v>
      </c>
      <c r="I447" t="s">
        <v>770</v>
      </c>
      <c r="K447">
        <v>8</v>
      </c>
      <c r="L447">
        <f>IFERROR(VLOOKUP(K447,'Tables new'!$A:$C,3,FALSE),"")</f>
        <v>17</v>
      </c>
      <c r="M447" t="str">
        <f>VLOOKUP(K447,CAT_JOUEUR,2,FALSE)</f>
        <v>U 9 H</v>
      </c>
      <c r="N447">
        <v>8</v>
      </c>
      <c r="O447">
        <f>IFERROR(VLOOKUP(N447,'Tables new'!$A:$C,3,FALSE),"")</f>
        <v>17</v>
      </c>
      <c r="P447" t="str">
        <f>VLOOKUP(N447,CAT_JOUEUR,2,FALSE)</f>
        <v>U 9 H</v>
      </c>
      <c r="V447" t="s">
        <v>113</v>
      </c>
      <c r="AA447" t="s">
        <v>2464</v>
      </c>
      <c r="AH447">
        <v>45131</v>
      </c>
      <c r="AI447">
        <v>44887</v>
      </c>
      <c r="AJ447">
        <v>2025</v>
      </c>
      <c r="AK447">
        <v>43338</v>
      </c>
      <c r="AL447" t="s">
        <v>2465</v>
      </c>
      <c r="AP447" t="s">
        <v>2466</v>
      </c>
      <c r="AQ447" t="s">
        <v>771</v>
      </c>
    </row>
    <row r="448" spans="1:56" x14ac:dyDescent="0.2">
      <c r="A448" t="s">
        <v>2467</v>
      </c>
      <c r="B448" t="s">
        <v>1435</v>
      </c>
      <c r="D448" t="s">
        <v>72</v>
      </c>
      <c r="E448" t="s">
        <v>96</v>
      </c>
      <c r="F448" t="s">
        <v>2027</v>
      </c>
      <c r="G448" t="s">
        <v>599</v>
      </c>
      <c r="H448" t="s">
        <v>132</v>
      </c>
      <c r="I448" t="s">
        <v>2028</v>
      </c>
      <c r="K448">
        <v>212</v>
      </c>
      <c r="L448">
        <f>IFERROR(VLOOKUP(K448,'Tables new'!$A:$C,3,FALSE),"")</f>
        <v>70</v>
      </c>
      <c r="M448" t="str">
        <f>VLOOKUP(K448,CAT_JOUEUR,2,FALSE)</f>
        <v>Contact famille</v>
      </c>
      <c r="N448">
        <v>212</v>
      </c>
      <c r="O448">
        <f>IFERROR(VLOOKUP(N448,'Tables new'!$A:$C,3,FALSE),"")</f>
        <v>70</v>
      </c>
      <c r="P448" t="str">
        <f>VLOOKUP(N448,CAT_JOUEUR,2,FALSE)</f>
        <v>Contact famille</v>
      </c>
      <c r="S448" t="s">
        <v>89</v>
      </c>
      <c r="T448" t="s">
        <v>89</v>
      </c>
      <c r="AH448" t="s">
        <v>78</v>
      </c>
      <c r="AI448">
        <v>43382</v>
      </c>
      <c r="AJ448" t="s">
        <v>78</v>
      </c>
      <c r="AK448" t="s">
        <v>78</v>
      </c>
      <c r="AL448" t="s">
        <v>79</v>
      </c>
      <c r="AN448" t="s">
        <v>2031</v>
      </c>
      <c r="AP448" t="s">
        <v>2468</v>
      </c>
      <c r="AQ448" t="s">
        <v>2039</v>
      </c>
      <c r="AR448" t="s">
        <v>2469</v>
      </c>
      <c r="AS448" t="s">
        <v>468</v>
      </c>
      <c r="AY448" t="s">
        <v>637</v>
      </c>
      <c r="BA448" t="s">
        <v>136</v>
      </c>
      <c r="BB448" t="s">
        <v>271</v>
      </c>
      <c r="BD448" t="s">
        <v>139</v>
      </c>
    </row>
    <row r="449" spans="1:67" x14ac:dyDescent="0.2">
      <c r="A449" t="s">
        <v>2470</v>
      </c>
      <c r="B449" t="s">
        <v>2471</v>
      </c>
      <c r="D449" t="s">
        <v>72</v>
      </c>
      <c r="E449" t="s">
        <v>123</v>
      </c>
      <c r="F449" t="s">
        <v>334</v>
      </c>
      <c r="G449" t="s">
        <v>335</v>
      </c>
      <c r="H449" t="s">
        <v>336</v>
      </c>
      <c r="I449" t="s">
        <v>337</v>
      </c>
      <c r="K449">
        <v>3</v>
      </c>
      <c r="L449">
        <f>IFERROR(VLOOKUP(K449,'Tables new'!$A:$C,3,FALSE),"")</f>
        <v>12</v>
      </c>
      <c r="M449" t="str">
        <f>VLOOKUP(K449,CAT_JOUEUR,2,FALSE)</f>
        <v>U 21 HO</v>
      </c>
      <c r="N449">
        <v>3</v>
      </c>
      <c r="O449">
        <f>IFERROR(VLOOKUP(N449,'Tables new'!$A:$C,3,FALSE),"")</f>
        <v>12</v>
      </c>
      <c r="P449" t="str">
        <f>VLOOKUP(N449,CAT_JOUEUR,2,FALSE)</f>
        <v>U 21 HO</v>
      </c>
      <c r="AA449" t="s">
        <v>2472</v>
      </c>
      <c r="AH449">
        <v>42636</v>
      </c>
      <c r="AI449">
        <v>42636</v>
      </c>
      <c r="AJ449">
        <v>2027</v>
      </c>
      <c r="AK449">
        <v>39111</v>
      </c>
      <c r="AL449" t="s">
        <v>2473</v>
      </c>
      <c r="AN449" t="s">
        <v>338</v>
      </c>
      <c r="AP449" t="s">
        <v>339</v>
      </c>
      <c r="AQ449" t="s">
        <v>340</v>
      </c>
      <c r="AY449" t="s">
        <v>91</v>
      </c>
      <c r="BA449" t="s">
        <v>136</v>
      </c>
      <c r="BB449" t="s">
        <v>137</v>
      </c>
      <c r="BD449">
        <v>100</v>
      </c>
      <c r="BO449" t="s">
        <v>1668</v>
      </c>
    </row>
    <row r="450" spans="1:67" x14ac:dyDescent="0.2">
      <c r="A450" t="s">
        <v>2474</v>
      </c>
      <c r="B450" t="s">
        <v>2475</v>
      </c>
      <c r="D450" t="s">
        <v>72</v>
      </c>
      <c r="E450" t="s">
        <v>96</v>
      </c>
      <c r="F450" t="s">
        <v>557</v>
      </c>
      <c r="G450" t="s">
        <v>558</v>
      </c>
      <c r="H450" t="s">
        <v>559</v>
      </c>
      <c r="I450" t="s">
        <v>560</v>
      </c>
      <c r="K450">
        <v>212</v>
      </c>
      <c r="L450">
        <f>IFERROR(VLOOKUP(K450,'Tables new'!$A:$C,3,FALSE),"")</f>
        <v>70</v>
      </c>
      <c r="M450" t="str">
        <f>VLOOKUP(K450,CAT_JOUEUR,2,FALSE)</f>
        <v>Contact famille</v>
      </c>
      <c r="N450">
        <v>212</v>
      </c>
      <c r="O450">
        <f>IFERROR(VLOOKUP(N450,'Tables new'!$A:$C,3,FALSE),"")</f>
        <v>70</v>
      </c>
      <c r="P450" t="str">
        <f>VLOOKUP(N450,CAT_JOUEUR,2,FALSE)</f>
        <v>Contact famille</v>
      </c>
      <c r="V450" t="s">
        <v>89</v>
      </c>
      <c r="AH450" t="s">
        <v>78</v>
      </c>
      <c r="AI450" t="s">
        <v>78</v>
      </c>
      <c r="AJ450" t="s">
        <v>78</v>
      </c>
      <c r="AK450" t="s">
        <v>78</v>
      </c>
      <c r="AL450" t="s">
        <v>79</v>
      </c>
      <c r="AN450" t="s">
        <v>208</v>
      </c>
      <c r="AP450">
        <v>661503206</v>
      </c>
      <c r="AQ450" t="s">
        <v>561</v>
      </c>
    </row>
    <row r="451" spans="1:67" x14ac:dyDescent="0.2">
      <c r="A451" t="s">
        <v>2474</v>
      </c>
      <c r="B451" t="s">
        <v>363</v>
      </c>
      <c r="D451" t="s">
        <v>72</v>
      </c>
      <c r="E451" t="s">
        <v>96</v>
      </c>
      <c r="F451" t="s">
        <v>557</v>
      </c>
      <c r="G451" t="s">
        <v>558</v>
      </c>
      <c r="H451" t="s">
        <v>559</v>
      </c>
      <c r="I451" t="s">
        <v>560</v>
      </c>
      <c r="K451">
        <v>8</v>
      </c>
      <c r="L451">
        <f>IFERROR(VLOOKUP(K451,'Tables new'!$A:$C,3,FALSE),"")</f>
        <v>17</v>
      </c>
      <c r="M451" t="str">
        <f>VLOOKUP(K451,CAT_JOUEUR,2,FALSE)</f>
        <v>U 9 H</v>
      </c>
      <c r="N451">
        <v>8</v>
      </c>
      <c r="O451">
        <f>IFERROR(VLOOKUP(N451,'Tables new'!$A:$C,3,FALSE),"")</f>
        <v>17</v>
      </c>
      <c r="P451" t="str">
        <f>VLOOKUP(N451,CAT_JOUEUR,2,FALSE)</f>
        <v>U 9 H</v>
      </c>
      <c r="V451" t="s">
        <v>113</v>
      </c>
      <c r="AA451" t="s">
        <v>2476</v>
      </c>
      <c r="AH451">
        <v>44494</v>
      </c>
      <c r="AI451">
        <v>44479</v>
      </c>
      <c r="AJ451">
        <v>2025</v>
      </c>
      <c r="AK451">
        <v>43216</v>
      </c>
      <c r="AL451" t="s">
        <v>2477</v>
      </c>
      <c r="AO451" t="s">
        <v>2478</v>
      </c>
      <c r="AP451" t="s">
        <v>2479</v>
      </c>
      <c r="AQ451" t="s">
        <v>561</v>
      </c>
      <c r="BM451" t="s">
        <v>822</v>
      </c>
    </row>
    <row r="452" spans="1:67" x14ac:dyDescent="0.2">
      <c r="A452" t="s">
        <v>2480</v>
      </c>
      <c r="B452" t="s">
        <v>2481</v>
      </c>
      <c r="D452" t="s">
        <v>72</v>
      </c>
      <c r="E452" t="s">
        <v>96</v>
      </c>
      <c r="F452" t="s">
        <v>484</v>
      </c>
      <c r="G452" t="s">
        <v>485</v>
      </c>
      <c r="H452" t="s">
        <v>486</v>
      </c>
      <c r="I452" t="s">
        <v>487</v>
      </c>
      <c r="K452">
        <v>7</v>
      </c>
      <c r="L452">
        <f>IFERROR(VLOOKUP(K452,'Tables new'!$A:$C,3,FALSE),"")</f>
        <v>16</v>
      </c>
      <c r="M452" t="str">
        <f>VLOOKUP(K452,CAT_JOUEUR,2,FALSE)</f>
        <v>U 11 H</v>
      </c>
      <c r="N452">
        <v>7</v>
      </c>
      <c r="O452">
        <f>IFERROR(VLOOKUP(N452,'Tables new'!$A:$C,3,FALSE),"")</f>
        <v>16</v>
      </c>
      <c r="P452" t="str">
        <f>VLOOKUP(N452,CAT_JOUEUR,2,FALSE)</f>
        <v>U 11 H</v>
      </c>
      <c r="U452" t="s">
        <v>113</v>
      </c>
      <c r="AA452" t="s">
        <v>2482</v>
      </c>
      <c r="AH452">
        <v>44102</v>
      </c>
      <c r="AI452">
        <v>44092</v>
      </c>
      <c r="AJ452">
        <v>2023</v>
      </c>
      <c r="AK452">
        <v>42383</v>
      </c>
      <c r="AL452" t="s">
        <v>2483</v>
      </c>
      <c r="AO452" t="s">
        <v>2484</v>
      </c>
      <c r="AP452" t="s">
        <v>2485</v>
      </c>
      <c r="AQ452" t="s">
        <v>2486</v>
      </c>
    </row>
    <row r="453" spans="1:67" x14ac:dyDescent="0.2">
      <c r="A453" t="s">
        <v>2480</v>
      </c>
      <c r="B453" t="s">
        <v>2487</v>
      </c>
      <c r="D453" t="s">
        <v>72</v>
      </c>
      <c r="E453" t="s">
        <v>96</v>
      </c>
      <c r="F453" t="s">
        <v>484</v>
      </c>
      <c r="G453" t="s">
        <v>485</v>
      </c>
      <c r="H453" t="s">
        <v>486</v>
      </c>
      <c r="I453" t="s">
        <v>487</v>
      </c>
      <c r="K453">
        <v>212</v>
      </c>
      <c r="L453">
        <f>IFERROR(VLOOKUP(K453,'Tables new'!$A:$C,3,FALSE),"")</f>
        <v>70</v>
      </c>
      <c r="M453" t="str">
        <f>VLOOKUP(K453,CAT_JOUEUR,2,FALSE)</f>
        <v>Contact famille</v>
      </c>
      <c r="N453">
        <v>212</v>
      </c>
      <c r="O453">
        <f>IFERROR(VLOOKUP(N453,'Tables new'!$A:$C,3,FALSE),"")</f>
        <v>70</v>
      </c>
      <c r="P453" t="str">
        <f>VLOOKUP(N453,CAT_JOUEUR,2,FALSE)</f>
        <v>Contact famille</v>
      </c>
      <c r="S453" t="s">
        <v>89</v>
      </c>
      <c r="U453" t="s">
        <v>89</v>
      </c>
      <c r="AH453" t="s">
        <v>78</v>
      </c>
      <c r="AI453">
        <v>44092</v>
      </c>
      <c r="AJ453" t="s">
        <v>78</v>
      </c>
      <c r="AK453" t="s">
        <v>78</v>
      </c>
      <c r="AL453" t="s">
        <v>78</v>
      </c>
      <c r="AO453" t="s">
        <v>208</v>
      </c>
      <c r="AP453" t="s">
        <v>2488</v>
      </c>
      <c r="AQ453" t="s">
        <v>2486</v>
      </c>
    </row>
    <row r="454" spans="1:67" x14ac:dyDescent="0.2">
      <c r="A454" t="s">
        <v>2480</v>
      </c>
      <c r="B454" t="s">
        <v>2489</v>
      </c>
      <c r="D454" t="s">
        <v>72</v>
      </c>
      <c r="E454" t="s">
        <v>96</v>
      </c>
      <c r="F454" t="s">
        <v>484</v>
      </c>
      <c r="G454" t="s">
        <v>485</v>
      </c>
      <c r="H454" t="s">
        <v>486</v>
      </c>
      <c r="I454" t="s">
        <v>487</v>
      </c>
      <c r="K454">
        <v>5</v>
      </c>
      <c r="L454">
        <f>IFERROR(VLOOKUP(K454,'Tables new'!$A:$C,3,FALSE),"")</f>
        <v>14</v>
      </c>
      <c r="M454" t="str">
        <f>VLOOKUP(K454,CAT_JOUEUR,2,FALSE)</f>
        <v>U 15 H</v>
      </c>
      <c r="N454">
        <v>5</v>
      </c>
      <c r="O454">
        <f>IFERROR(VLOOKUP(N454,'Tables new'!$A:$C,3,FALSE),"")</f>
        <v>14</v>
      </c>
      <c r="P454" t="str">
        <f>VLOOKUP(N454,CAT_JOUEUR,2,FALSE)</f>
        <v>U 15 H</v>
      </c>
      <c r="S454" t="s">
        <v>113</v>
      </c>
      <c r="AA454" t="s">
        <v>2490</v>
      </c>
      <c r="AH454">
        <v>44102</v>
      </c>
      <c r="AI454">
        <v>44092</v>
      </c>
      <c r="AJ454">
        <v>2024</v>
      </c>
      <c r="AK454">
        <v>41098</v>
      </c>
      <c r="AL454" t="s">
        <v>2491</v>
      </c>
      <c r="AO454" t="s">
        <v>2484</v>
      </c>
      <c r="AP454" t="s">
        <v>2485</v>
      </c>
      <c r="AQ454" t="s">
        <v>2486</v>
      </c>
    </row>
    <row r="455" spans="1:67" x14ac:dyDescent="0.2">
      <c r="A455" t="s">
        <v>2492</v>
      </c>
      <c r="B455" t="s">
        <v>2493</v>
      </c>
      <c r="D455" t="s">
        <v>72</v>
      </c>
      <c r="E455" t="s">
        <v>789</v>
      </c>
      <c r="F455" t="s">
        <v>2494</v>
      </c>
      <c r="G455" t="s">
        <v>2495</v>
      </c>
      <c r="H455" t="s">
        <v>1186</v>
      </c>
      <c r="I455" t="s">
        <v>2496</v>
      </c>
      <c r="K455">
        <v>212</v>
      </c>
      <c r="L455">
        <f>IFERROR(VLOOKUP(K455,'Tables new'!$A:$C,3,FALSE),"")</f>
        <v>70</v>
      </c>
      <c r="M455" t="str">
        <f>VLOOKUP(K455,CAT_JOUEUR,2,FALSE)</f>
        <v>Contact famille</v>
      </c>
      <c r="N455">
        <v>212</v>
      </c>
      <c r="O455">
        <f>IFERROR(VLOOKUP(N455,'Tables new'!$A:$C,3,FALSE),"")</f>
        <v>70</v>
      </c>
      <c r="P455" t="str">
        <f>VLOOKUP(N455,CAT_JOUEUR,2,FALSE)</f>
        <v>Contact famille</v>
      </c>
      <c r="T455" t="s">
        <v>89</v>
      </c>
      <c r="AH455" t="s">
        <v>78</v>
      </c>
      <c r="AI455" t="s">
        <v>78</v>
      </c>
      <c r="AJ455" t="s">
        <v>78</v>
      </c>
      <c r="AK455" t="s">
        <v>78</v>
      </c>
      <c r="AL455" t="s">
        <v>79</v>
      </c>
      <c r="AP455">
        <v>691980674</v>
      </c>
      <c r="AQ455" t="s">
        <v>2497</v>
      </c>
    </row>
    <row r="456" spans="1:67" x14ac:dyDescent="0.2">
      <c r="A456" t="s">
        <v>2492</v>
      </c>
      <c r="B456" t="s">
        <v>2498</v>
      </c>
      <c r="D456" t="s">
        <v>72</v>
      </c>
      <c r="E456" t="s">
        <v>789</v>
      </c>
      <c r="F456" t="s">
        <v>2494</v>
      </c>
      <c r="G456" t="s">
        <v>2495</v>
      </c>
      <c r="H456" t="s">
        <v>1186</v>
      </c>
      <c r="I456" t="s">
        <v>2496</v>
      </c>
      <c r="K456">
        <v>6</v>
      </c>
      <c r="L456">
        <f>IFERROR(VLOOKUP(K456,'Tables new'!$A:$C,3,FALSE),"")</f>
        <v>15</v>
      </c>
      <c r="M456" t="str">
        <f>VLOOKUP(K456,CAT_JOUEUR,2,FALSE)</f>
        <v>U 13 H</v>
      </c>
      <c r="N456">
        <v>6</v>
      </c>
      <c r="O456">
        <f>IFERROR(VLOOKUP(N456,'Tables new'!$A:$C,3,FALSE),"")</f>
        <v>15</v>
      </c>
      <c r="P456" t="str">
        <f>VLOOKUP(N456,CAT_JOUEUR,2,FALSE)</f>
        <v>U 13 H</v>
      </c>
      <c r="T456" t="s">
        <v>113</v>
      </c>
      <c r="AA456" t="s">
        <v>2499</v>
      </c>
      <c r="AF456" t="s">
        <v>223</v>
      </c>
      <c r="AH456">
        <v>46043</v>
      </c>
      <c r="AI456">
        <v>46031</v>
      </c>
      <c r="AJ456">
        <v>2027</v>
      </c>
      <c r="AK456">
        <v>42313</v>
      </c>
      <c r="AL456" t="s">
        <v>2500</v>
      </c>
      <c r="AP456">
        <v>691980674</v>
      </c>
      <c r="AQ456" t="s">
        <v>2497</v>
      </c>
    </row>
    <row r="457" spans="1:67" x14ac:dyDescent="0.2">
      <c r="A457" t="s">
        <v>2492</v>
      </c>
      <c r="B457" t="s">
        <v>2501</v>
      </c>
      <c r="D457" t="s">
        <v>72</v>
      </c>
      <c r="E457" t="s">
        <v>789</v>
      </c>
      <c r="F457" t="s">
        <v>2494</v>
      </c>
      <c r="G457" t="s">
        <v>2495</v>
      </c>
      <c r="H457" t="s">
        <v>1186</v>
      </c>
      <c r="I457" t="s">
        <v>2496</v>
      </c>
      <c r="K457">
        <v>212</v>
      </c>
      <c r="L457">
        <f>IFERROR(VLOOKUP(K457,'Tables new'!$A:$C,3,FALSE),"")</f>
        <v>70</v>
      </c>
      <c r="M457" t="str">
        <f>VLOOKUP(K457,CAT_JOUEUR,2,FALSE)</f>
        <v>Contact famille</v>
      </c>
      <c r="N457">
        <v>212</v>
      </c>
      <c r="O457">
        <f>IFERROR(VLOOKUP(N457,'Tables new'!$A:$C,3,FALSE),"")</f>
        <v>70</v>
      </c>
      <c r="P457" t="str">
        <f>VLOOKUP(N457,CAT_JOUEUR,2,FALSE)</f>
        <v>Contact famille</v>
      </c>
      <c r="T457" t="s">
        <v>89</v>
      </c>
      <c r="AH457" t="s">
        <v>78</v>
      </c>
      <c r="AI457" t="s">
        <v>78</v>
      </c>
      <c r="AJ457" t="s">
        <v>78</v>
      </c>
      <c r="AK457" t="s">
        <v>78</v>
      </c>
      <c r="AL457" t="s">
        <v>79</v>
      </c>
      <c r="AP457">
        <v>691980674</v>
      </c>
      <c r="AQ457" t="s">
        <v>2502</v>
      </c>
    </row>
    <row r="458" spans="1:67" x14ac:dyDescent="0.2">
      <c r="A458" t="s">
        <v>2503</v>
      </c>
      <c r="B458" t="s">
        <v>2504</v>
      </c>
      <c r="D458" t="s">
        <v>72</v>
      </c>
      <c r="E458" t="s">
        <v>2505</v>
      </c>
      <c r="F458" t="s">
        <v>2506</v>
      </c>
      <c r="G458" t="s">
        <v>2507</v>
      </c>
      <c r="H458" t="s">
        <v>2321</v>
      </c>
      <c r="I458" t="s">
        <v>145</v>
      </c>
      <c r="K458">
        <v>2</v>
      </c>
      <c r="L458">
        <f>IFERROR(VLOOKUP(K458,'Tables new'!$A:$C,3,FALSE),"")</f>
        <v>11</v>
      </c>
      <c r="M458" t="str">
        <f>VLOOKUP(K458,CAT_JOUEUR,2,FALSE)</f>
        <v>Seniors - HO</v>
      </c>
      <c r="N458">
        <v>2</v>
      </c>
      <c r="O458">
        <f>IFERROR(VLOOKUP(N458,'Tables new'!$A:$C,3,FALSE),"")</f>
        <v>11</v>
      </c>
      <c r="P458" t="str">
        <f>VLOOKUP(N458,CAT_JOUEUR,2,FALSE)</f>
        <v>Seniors - HO</v>
      </c>
      <c r="AA458" t="s">
        <v>2508</v>
      </c>
      <c r="AB458" t="s">
        <v>2508</v>
      </c>
      <c r="AC458" t="s">
        <v>2508</v>
      </c>
      <c r="AF458" t="s">
        <v>2509</v>
      </c>
      <c r="AH458">
        <v>38036</v>
      </c>
      <c r="AI458">
        <v>38036</v>
      </c>
      <c r="AJ458">
        <v>2030</v>
      </c>
      <c r="AK458">
        <v>33198</v>
      </c>
      <c r="AL458" t="s">
        <v>2510</v>
      </c>
      <c r="AM458" t="s">
        <v>473</v>
      </c>
      <c r="AN458" t="s">
        <v>2511</v>
      </c>
      <c r="AP458" t="s">
        <v>2512</v>
      </c>
      <c r="AQ458" t="s">
        <v>2513</v>
      </c>
      <c r="AT458" t="s">
        <v>1117</v>
      </c>
      <c r="AY458" t="s">
        <v>270</v>
      </c>
      <c r="BA458" t="s">
        <v>136</v>
      </c>
      <c r="BB458" t="s">
        <v>137</v>
      </c>
      <c r="BC458" t="s">
        <v>1330</v>
      </c>
      <c r="BD458" t="s">
        <v>2514</v>
      </c>
      <c r="BO458" t="s">
        <v>2515</v>
      </c>
    </row>
    <row r="459" spans="1:67" x14ac:dyDescent="0.2">
      <c r="A459" t="s">
        <v>2516</v>
      </c>
      <c r="B459" t="s">
        <v>2517</v>
      </c>
      <c r="D459" t="s">
        <v>72</v>
      </c>
      <c r="E459" t="s">
        <v>96</v>
      </c>
      <c r="F459" t="s">
        <v>2518</v>
      </c>
      <c r="G459" t="s">
        <v>2519</v>
      </c>
      <c r="H459" t="s">
        <v>144</v>
      </c>
      <c r="I459" t="s">
        <v>145</v>
      </c>
      <c r="K459">
        <v>300</v>
      </c>
      <c r="L459">
        <f>IFERROR(VLOOKUP(K459,'Tables new'!$A:$C,3,FALSE),"")</f>
        <v>90</v>
      </c>
      <c r="M459" t="str">
        <f>VLOOKUP(K459,CAT_JOUEUR,2,FALSE)</f>
        <v>Prêt, sortie Mersch75</v>
      </c>
      <c r="N459">
        <v>12</v>
      </c>
      <c r="O459">
        <f>IFERROR(VLOOKUP(N459,'Tables new'!$A:$C,3,FALSE),"")</f>
        <v>31</v>
      </c>
      <c r="P459" t="str">
        <f>VLOOKUP(N459,CAT_JOUEUR,2,FALSE)</f>
        <v>Femmes</v>
      </c>
      <c r="AA459" t="s">
        <v>2520</v>
      </c>
      <c r="AH459">
        <v>42766</v>
      </c>
      <c r="AI459">
        <v>42757</v>
      </c>
      <c r="AJ459">
        <v>2027</v>
      </c>
      <c r="AK459">
        <v>35561</v>
      </c>
      <c r="AL459" t="s">
        <v>2521</v>
      </c>
      <c r="AN459" t="s">
        <v>2522</v>
      </c>
      <c r="AP459" t="s">
        <v>2523</v>
      </c>
      <c r="AQ459" t="s">
        <v>2524</v>
      </c>
      <c r="AY459" t="s">
        <v>91</v>
      </c>
      <c r="BA459" t="s">
        <v>136</v>
      </c>
      <c r="BB459" t="s">
        <v>271</v>
      </c>
      <c r="BO459" t="s">
        <v>740</v>
      </c>
    </row>
    <row r="460" spans="1:67" x14ac:dyDescent="0.2">
      <c r="A460" t="s">
        <v>2525</v>
      </c>
      <c r="B460" t="s">
        <v>720</v>
      </c>
      <c r="D460" t="s">
        <v>72</v>
      </c>
      <c r="E460" t="s">
        <v>308</v>
      </c>
      <c r="F460" t="s">
        <v>2526</v>
      </c>
      <c r="G460" t="s">
        <v>485</v>
      </c>
      <c r="H460" t="s">
        <v>486</v>
      </c>
      <c r="I460" t="s">
        <v>2527</v>
      </c>
      <c r="K460">
        <v>212</v>
      </c>
      <c r="L460">
        <f>IFERROR(VLOOKUP(K460,'Tables new'!$A:$C,3,FALSE),"")</f>
        <v>70</v>
      </c>
      <c r="M460" t="str">
        <f>VLOOKUP(K460,CAT_JOUEUR,2,FALSE)</f>
        <v>Contact famille</v>
      </c>
      <c r="N460">
        <v>212</v>
      </c>
      <c r="O460">
        <f>IFERROR(VLOOKUP(N460,'Tables new'!$A:$C,3,FALSE),"")</f>
        <v>70</v>
      </c>
      <c r="P460" t="str">
        <f>VLOOKUP(N460,CAT_JOUEUR,2,FALSE)</f>
        <v>Contact famille</v>
      </c>
      <c r="AJ460" t="s">
        <v>78</v>
      </c>
      <c r="AK460" t="s">
        <v>78</v>
      </c>
      <c r="AL460" t="s">
        <v>79</v>
      </c>
      <c r="AN460" t="s">
        <v>2528</v>
      </c>
      <c r="AP460" t="s">
        <v>2529</v>
      </c>
      <c r="AQ460" t="s">
        <v>2530</v>
      </c>
      <c r="AY460" t="s">
        <v>781</v>
      </c>
      <c r="BA460" t="s">
        <v>782</v>
      </c>
    </row>
    <row r="461" spans="1:67" x14ac:dyDescent="0.2">
      <c r="A461" t="s">
        <v>2531</v>
      </c>
      <c r="B461" t="s">
        <v>1886</v>
      </c>
      <c r="D461" t="s">
        <v>72</v>
      </c>
      <c r="E461" t="s">
        <v>96</v>
      </c>
      <c r="F461" t="s">
        <v>1531</v>
      </c>
      <c r="G461" t="s">
        <v>2532</v>
      </c>
      <c r="H461" t="s">
        <v>647</v>
      </c>
      <c r="I461" t="s">
        <v>1533</v>
      </c>
      <c r="K461">
        <v>212</v>
      </c>
      <c r="L461">
        <f>IFERROR(VLOOKUP(K461,'Tables new'!$A:$C,3,FALSE),"")</f>
        <v>70</v>
      </c>
      <c r="M461" t="str">
        <f>VLOOKUP(K461,CAT_JOUEUR,2,FALSE)</f>
        <v>Contact famille</v>
      </c>
      <c r="N461">
        <v>212</v>
      </c>
      <c r="O461">
        <f>IFERROR(VLOOKUP(N461,'Tables new'!$A:$C,3,FALSE),"")</f>
        <v>70</v>
      </c>
      <c r="P461" t="str">
        <f>VLOOKUP(N461,CAT_JOUEUR,2,FALSE)</f>
        <v>Contact famille</v>
      </c>
      <c r="X461" t="s">
        <v>89</v>
      </c>
      <c r="AH461" t="s">
        <v>78</v>
      </c>
      <c r="AI461">
        <v>43495</v>
      </c>
      <c r="AJ461" t="s">
        <v>78</v>
      </c>
      <c r="AK461" t="s">
        <v>78</v>
      </c>
      <c r="AL461" t="s">
        <v>79</v>
      </c>
      <c r="AP461" t="s">
        <v>2533</v>
      </c>
      <c r="AQ461" t="s">
        <v>2534</v>
      </c>
      <c r="AY461" t="s">
        <v>91</v>
      </c>
      <c r="BA461" t="s">
        <v>136</v>
      </c>
      <c r="BB461" t="s">
        <v>137</v>
      </c>
      <c r="BD461" t="s">
        <v>139</v>
      </c>
    </row>
    <row r="462" spans="1:67" x14ac:dyDescent="0.2">
      <c r="A462" t="s">
        <v>2531</v>
      </c>
      <c r="B462" t="s">
        <v>2535</v>
      </c>
      <c r="D462" t="s">
        <v>72</v>
      </c>
      <c r="E462" t="s">
        <v>96</v>
      </c>
      <c r="F462" t="s">
        <v>1531</v>
      </c>
      <c r="G462" t="s">
        <v>2536</v>
      </c>
      <c r="H462" t="s">
        <v>647</v>
      </c>
      <c r="I462" t="s">
        <v>1533</v>
      </c>
      <c r="K462">
        <v>14</v>
      </c>
      <c r="L462">
        <f>IFERROR(VLOOKUP(K462,'Tables new'!$A:$C,3,FALSE),"")</f>
        <v>33</v>
      </c>
      <c r="M462" t="str">
        <f>VLOOKUP(K462,CAT_JOUEUR,2,FALSE)</f>
        <v>U 17 FE</v>
      </c>
      <c r="N462">
        <v>14</v>
      </c>
      <c r="O462">
        <f>IFERROR(VLOOKUP(N462,'Tables new'!$A:$C,3,FALSE),"")</f>
        <v>33</v>
      </c>
      <c r="P462" t="str">
        <f>VLOOKUP(N462,CAT_JOUEUR,2,FALSE)</f>
        <v>U 17 FE</v>
      </c>
      <c r="X462" t="s">
        <v>113</v>
      </c>
      <c r="AA462" t="s">
        <v>2537</v>
      </c>
      <c r="AH462">
        <v>43507</v>
      </c>
      <c r="AI462">
        <v>43495</v>
      </c>
      <c r="AJ462">
        <v>2023</v>
      </c>
      <c r="AK462">
        <v>40765</v>
      </c>
      <c r="AL462" t="s">
        <v>2538</v>
      </c>
      <c r="AO462" t="s">
        <v>2539</v>
      </c>
      <c r="AP462" t="s">
        <v>2540</v>
      </c>
      <c r="AQ462" t="s">
        <v>1535</v>
      </c>
      <c r="AY462" t="s">
        <v>91</v>
      </c>
      <c r="BA462" t="s">
        <v>136</v>
      </c>
      <c r="BB462" t="s">
        <v>137</v>
      </c>
      <c r="BC462" t="s">
        <v>138</v>
      </c>
      <c r="BD462">
        <v>100</v>
      </c>
    </row>
    <row r="463" spans="1:67" x14ac:dyDescent="0.2">
      <c r="A463" t="s">
        <v>2541</v>
      </c>
      <c r="B463" t="s">
        <v>2542</v>
      </c>
      <c r="D463" t="s">
        <v>72</v>
      </c>
      <c r="E463" t="s">
        <v>96</v>
      </c>
      <c r="F463" t="s">
        <v>2197</v>
      </c>
      <c r="G463" t="s">
        <v>988</v>
      </c>
      <c r="H463" t="s">
        <v>989</v>
      </c>
      <c r="I463" t="s">
        <v>2198</v>
      </c>
      <c r="K463">
        <v>4</v>
      </c>
      <c r="L463">
        <f>IFERROR(VLOOKUP(K463,'Tables new'!$A:$C,3,FALSE),"")</f>
        <v>13</v>
      </c>
      <c r="M463" t="str">
        <f>VLOOKUP(K463,CAT_JOUEUR,2,FALSE)</f>
        <v>U 17 H</v>
      </c>
      <c r="N463">
        <v>4</v>
      </c>
      <c r="O463">
        <f>IFERROR(VLOOKUP(N463,'Tables new'!$A:$C,3,FALSE),"")</f>
        <v>13</v>
      </c>
      <c r="P463" t="str">
        <f>VLOOKUP(N463,CAT_JOUEUR,2,FALSE)</f>
        <v>U 17 H</v>
      </c>
      <c r="R463" t="s">
        <v>113</v>
      </c>
      <c r="AA463" t="s">
        <v>155</v>
      </c>
      <c r="AI463">
        <v>45586</v>
      </c>
      <c r="AJ463">
        <v>2026</v>
      </c>
      <c r="AK463">
        <v>40647</v>
      </c>
      <c r="AL463" t="s">
        <v>2543</v>
      </c>
      <c r="AO463" t="s">
        <v>2544</v>
      </c>
      <c r="AP463" t="s">
        <v>2545</v>
      </c>
      <c r="AQ463" t="s">
        <v>2199</v>
      </c>
    </row>
    <row r="464" spans="1:67" x14ac:dyDescent="0.2">
      <c r="A464" t="s">
        <v>2541</v>
      </c>
      <c r="B464" t="s">
        <v>2399</v>
      </c>
      <c r="D464" t="s">
        <v>72</v>
      </c>
      <c r="E464" t="s">
        <v>96</v>
      </c>
      <c r="F464" t="s">
        <v>2197</v>
      </c>
      <c r="G464" t="s">
        <v>988</v>
      </c>
      <c r="H464" t="s">
        <v>989</v>
      </c>
      <c r="I464" t="s">
        <v>2198</v>
      </c>
      <c r="K464">
        <v>212</v>
      </c>
      <c r="L464">
        <f>IFERROR(VLOOKUP(K464,'Tables new'!$A:$C,3,FALSE),"")</f>
        <v>70</v>
      </c>
      <c r="M464" t="str">
        <f>VLOOKUP(K464,CAT_JOUEUR,2,FALSE)</f>
        <v>Contact famille</v>
      </c>
      <c r="N464">
        <v>212</v>
      </c>
      <c r="O464">
        <f>IFERROR(VLOOKUP(N464,'Tables new'!$A:$C,3,FALSE),"")</f>
        <v>70</v>
      </c>
      <c r="P464" t="str">
        <f>VLOOKUP(N464,CAT_JOUEUR,2,FALSE)</f>
        <v>Contact famille</v>
      </c>
      <c r="R464" t="s">
        <v>89</v>
      </c>
      <c r="AH464" t="s">
        <v>78</v>
      </c>
      <c r="AI464" t="s">
        <v>78</v>
      </c>
      <c r="AJ464" t="s">
        <v>78</v>
      </c>
      <c r="AK464" t="s">
        <v>78</v>
      </c>
      <c r="AL464" t="s">
        <v>79</v>
      </c>
      <c r="AP464">
        <v>661790810</v>
      </c>
      <c r="AQ464" t="s">
        <v>2546</v>
      </c>
    </row>
    <row r="465" spans="1:67" x14ac:dyDescent="0.2">
      <c r="A465" t="s">
        <v>2547</v>
      </c>
      <c r="B465" t="s">
        <v>2548</v>
      </c>
      <c r="D465" t="s">
        <v>72</v>
      </c>
      <c r="E465" t="s">
        <v>96</v>
      </c>
      <c r="F465" t="s">
        <v>2549</v>
      </c>
      <c r="G465" t="s">
        <v>2550</v>
      </c>
      <c r="H465" t="s">
        <v>2551</v>
      </c>
      <c r="I465" t="s">
        <v>145</v>
      </c>
      <c r="K465">
        <v>12</v>
      </c>
      <c r="L465">
        <v>70</v>
      </c>
      <c r="M465" t="s">
        <v>265</v>
      </c>
      <c r="N465">
        <v>12</v>
      </c>
      <c r="O465">
        <f>IFERROR(VLOOKUP(N465,'Tables new'!$A:$C,3,FALSE),"")</f>
        <v>31</v>
      </c>
      <c r="P465" t="str">
        <f>VLOOKUP(N465,CAT_JOUEUR,2,FALSE)</f>
        <v>Femmes</v>
      </c>
      <c r="AA465" t="s">
        <v>2552</v>
      </c>
      <c r="AH465">
        <v>44082</v>
      </c>
      <c r="AI465">
        <v>44071</v>
      </c>
      <c r="AJ465">
        <v>2027</v>
      </c>
      <c r="AK465">
        <v>35656</v>
      </c>
      <c r="AL465" t="s">
        <v>2553</v>
      </c>
      <c r="AP465" t="s">
        <v>2554</v>
      </c>
      <c r="AQ465" t="s">
        <v>2555</v>
      </c>
    </row>
    <row r="466" spans="1:67" x14ac:dyDescent="0.2">
      <c r="A466" t="s">
        <v>2556</v>
      </c>
      <c r="B466" t="s">
        <v>2557</v>
      </c>
      <c r="D466" t="s">
        <v>72</v>
      </c>
      <c r="E466" t="s">
        <v>96</v>
      </c>
      <c r="F466" t="s">
        <v>2558</v>
      </c>
      <c r="G466" t="s">
        <v>684</v>
      </c>
      <c r="H466" t="s">
        <v>132</v>
      </c>
      <c r="I466" t="s">
        <v>2559</v>
      </c>
      <c r="K466">
        <v>11</v>
      </c>
      <c r="L466">
        <f>IFERROR(VLOOKUP(K466,'Tables new'!$A:$C,3,FALSE),"")</f>
        <v>4</v>
      </c>
      <c r="M466" t="str">
        <f>VLOOKUP(K466,CAT_JOUEUR,2,FALSE)</f>
        <v>Officiel FE</v>
      </c>
      <c r="N466">
        <v>11</v>
      </c>
      <c r="O466">
        <f>IFERROR(VLOOKUP(N466,'Tables new'!$A:$C,3,FALSE),"")</f>
        <v>4</v>
      </c>
      <c r="P466" t="str">
        <f>VLOOKUP(N466,CAT_JOUEUR,2,FALSE)</f>
        <v>Officiel FE</v>
      </c>
      <c r="R466" t="s">
        <v>89</v>
      </c>
      <c r="AB466" t="s">
        <v>2560</v>
      </c>
      <c r="AC466" t="s">
        <v>2560</v>
      </c>
      <c r="AH466">
        <v>44886</v>
      </c>
      <c r="AI466">
        <v>42860</v>
      </c>
      <c r="AJ466" t="s">
        <v>78</v>
      </c>
      <c r="AK466">
        <v>29480</v>
      </c>
      <c r="AL466" t="s">
        <v>2561</v>
      </c>
      <c r="AO466" t="s">
        <v>2562</v>
      </c>
      <c r="AP466" t="s">
        <v>2563</v>
      </c>
      <c r="AQ466" t="s">
        <v>2564</v>
      </c>
      <c r="AS466" t="s">
        <v>468</v>
      </c>
      <c r="AV466" t="s">
        <v>468</v>
      </c>
      <c r="AY466" t="s">
        <v>637</v>
      </c>
      <c r="BA466" t="s">
        <v>136</v>
      </c>
      <c r="BB466" t="s">
        <v>137</v>
      </c>
      <c r="BC466" t="s">
        <v>694</v>
      </c>
      <c r="BD466" t="s">
        <v>638</v>
      </c>
      <c r="BO466" t="s">
        <v>93</v>
      </c>
    </row>
    <row r="467" spans="1:67" x14ac:dyDescent="0.2">
      <c r="A467" t="s">
        <v>2565</v>
      </c>
      <c r="B467" t="s">
        <v>2566</v>
      </c>
      <c r="D467" t="s">
        <v>72</v>
      </c>
      <c r="E467" t="s">
        <v>96</v>
      </c>
      <c r="F467" t="s">
        <v>2567</v>
      </c>
      <c r="G467" t="s">
        <v>2568</v>
      </c>
      <c r="H467" t="s">
        <v>235</v>
      </c>
      <c r="I467" t="s">
        <v>2569</v>
      </c>
      <c r="K467">
        <v>212</v>
      </c>
      <c r="L467">
        <f>IFERROR(VLOOKUP(K467,'Tables new'!$A:$C,3,FALSE),"")</f>
        <v>70</v>
      </c>
      <c r="M467" t="str">
        <f>VLOOKUP(K467,CAT_JOUEUR,2,FALSE)</f>
        <v>Contact famille</v>
      </c>
      <c r="N467">
        <v>212</v>
      </c>
      <c r="O467">
        <f>IFERROR(VLOOKUP(N467,'Tables new'!$A:$C,3,FALSE),"")</f>
        <v>70</v>
      </c>
      <c r="P467" t="str">
        <f>VLOOKUP(N467,CAT_JOUEUR,2,FALSE)</f>
        <v>Contact famille</v>
      </c>
      <c r="T467" t="s">
        <v>89</v>
      </c>
      <c r="AH467" t="s">
        <v>78</v>
      </c>
      <c r="AI467" t="s">
        <v>78</v>
      </c>
      <c r="AJ467" t="s">
        <v>78</v>
      </c>
      <c r="AK467" t="s">
        <v>78</v>
      </c>
      <c r="AL467" t="s">
        <v>79</v>
      </c>
      <c r="AP467">
        <v>621277037</v>
      </c>
      <c r="AQ467" t="s">
        <v>2570</v>
      </c>
    </row>
    <row r="468" spans="1:67" x14ac:dyDescent="0.2">
      <c r="A468" t="s">
        <v>2565</v>
      </c>
      <c r="B468" t="s">
        <v>2571</v>
      </c>
      <c r="D468" t="s">
        <v>72</v>
      </c>
      <c r="E468" t="s">
        <v>96</v>
      </c>
      <c r="F468" t="s">
        <v>826</v>
      </c>
      <c r="G468" t="s">
        <v>827</v>
      </c>
      <c r="H468" t="s">
        <v>828</v>
      </c>
      <c r="I468" t="s">
        <v>829</v>
      </c>
      <c r="K468">
        <v>21</v>
      </c>
      <c r="L468">
        <f>IFERROR(VLOOKUP(K468,'Tables new'!$A:$C,3,FALSE),"")</f>
        <v>18</v>
      </c>
      <c r="M468" t="str">
        <f>VLOOKUP(K468,CAT_JOUEUR,2,FALSE)</f>
        <v>U7 Mixte</v>
      </c>
      <c r="N468">
        <v>21</v>
      </c>
      <c r="O468">
        <f>IFERROR(VLOOKUP(N468,'Tables new'!$A:$C,3,FALSE),"")</f>
        <v>18</v>
      </c>
      <c r="P468" t="str">
        <f>VLOOKUP(N468,CAT_JOUEUR,2,FALSE)</f>
        <v>U7 Mixte</v>
      </c>
      <c r="W468" t="s">
        <v>113</v>
      </c>
      <c r="AA468" t="s">
        <v>2572</v>
      </c>
      <c r="AH468">
        <v>45245</v>
      </c>
      <c r="AI468">
        <v>45225</v>
      </c>
      <c r="AJ468">
        <v>2027</v>
      </c>
      <c r="AK468">
        <v>43936</v>
      </c>
      <c r="AL468" t="s">
        <v>2573</v>
      </c>
      <c r="AP468" t="s">
        <v>2574</v>
      </c>
      <c r="AQ468" t="s">
        <v>2575</v>
      </c>
    </row>
    <row r="469" spans="1:67" x14ac:dyDescent="0.2">
      <c r="A469" t="s">
        <v>2565</v>
      </c>
      <c r="B469" t="s">
        <v>2576</v>
      </c>
      <c r="D469" t="s">
        <v>72</v>
      </c>
      <c r="E469" t="s">
        <v>96</v>
      </c>
      <c r="F469" t="s">
        <v>826</v>
      </c>
      <c r="G469" t="s">
        <v>827</v>
      </c>
      <c r="H469" t="s">
        <v>828</v>
      </c>
      <c r="I469" t="s">
        <v>829</v>
      </c>
      <c r="K469">
        <v>212</v>
      </c>
      <c r="L469">
        <f>IFERROR(VLOOKUP(K469,'Tables new'!$A:$C,3,FALSE),"")</f>
        <v>70</v>
      </c>
      <c r="M469" t="str">
        <f>VLOOKUP(K469,CAT_JOUEUR,2,FALSE)</f>
        <v>Contact famille</v>
      </c>
      <c r="N469">
        <v>212</v>
      </c>
      <c r="O469">
        <f>IFERROR(VLOOKUP(N469,'Tables new'!$A:$C,3,FALSE),"")</f>
        <v>70</v>
      </c>
      <c r="P469" t="str">
        <f>VLOOKUP(N469,CAT_JOUEUR,2,FALSE)</f>
        <v>Contact famille</v>
      </c>
      <c r="W469" t="s">
        <v>89</v>
      </c>
      <c r="AH469" t="s">
        <v>78</v>
      </c>
      <c r="AI469" t="s">
        <v>78</v>
      </c>
      <c r="AJ469" t="s">
        <v>78</v>
      </c>
      <c r="AK469" t="s">
        <v>78</v>
      </c>
      <c r="AL469" t="s">
        <v>79</v>
      </c>
      <c r="AP469">
        <v>691464348</v>
      </c>
      <c r="AQ469" t="s">
        <v>2575</v>
      </c>
    </row>
    <row r="470" spans="1:67" x14ac:dyDescent="0.2">
      <c r="A470" t="s">
        <v>2565</v>
      </c>
      <c r="B470" t="s">
        <v>170</v>
      </c>
      <c r="D470" t="s">
        <v>72</v>
      </c>
      <c r="E470" t="s">
        <v>96</v>
      </c>
      <c r="F470" t="s">
        <v>2567</v>
      </c>
      <c r="G470" t="s">
        <v>2568</v>
      </c>
      <c r="H470" t="s">
        <v>235</v>
      </c>
      <c r="I470" t="s">
        <v>2569</v>
      </c>
      <c r="K470">
        <v>6</v>
      </c>
      <c r="L470">
        <f>IFERROR(VLOOKUP(K470,'Tables new'!$A:$C,3,FALSE),"")</f>
        <v>15</v>
      </c>
      <c r="M470" t="str">
        <f>VLOOKUP(K470,CAT_JOUEUR,2,FALSE)</f>
        <v>U 13 H</v>
      </c>
      <c r="N470">
        <v>6</v>
      </c>
      <c r="O470">
        <f>IFERROR(VLOOKUP(N470,'Tables new'!$A:$C,3,FALSE),"")</f>
        <v>15</v>
      </c>
      <c r="P470" t="str">
        <f>VLOOKUP(N470,CAT_JOUEUR,2,FALSE)</f>
        <v>U 13 H</v>
      </c>
      <c r="T470" t="s">
        <v>113</v>
      </c>
      <c r="AA470" t="s">
        <v>155</v>
      </c>
      <c r="AF470" t="s">
        <v>223</v>
      </c>
      <c r="AI470">
        <v>45870</v>
      </c>
      <c r="AJ470">
        <v>2027</v>
      </c>
      <c r="AK470">
        <v>42323</v>
      </c>
      <c r="AL470" t="s">
        <v>2577</v>
      </c>
      <c r="AO470" t="s">
        <v>2578</v>
      </c>
      <c r="AP470" t="s">
        <v>2579</v>
      </c>
      <c r="AQ470" t="s">
        <v>2580</v>
      </c>
    </row>
    <row r="471" spans="1:67" x14ac:dyDescent="0.2">
      <c r="A471" t="s">
        <v>2581</v>
      </c>
      <c r="B471" t="s">
        <v>1670</v>
      </c>
      <c r="D471" t="s">
        <v>72</v>
      </c>
      <c r="E471" t="s">
        <v>96</v>
      </c>
      <c r="F471" t="s">
        <v>2567</v>
      </c>
      <c r="G471" t="s">
        <v>2568</v>
      </c>
      <c r="H471" t="s">
        <v>235</v>
      </c>
      <c r="I471" t="s">
        <v>2569</v>
      </c>
      <c r="K471">
        <v>212</v>
      </c>
      <c r="L471">
        <f>IFERROR(VLOOKUP(K471,'Tables new'!$A:$C,3,FALSE),"")</f>
        <v>70</v>
      </c>
      <c r="M471" t="str">
        <f>VLOOKUP(K471,CAT_JOUEUR,2,FALSE)</f>
        <v>Contact famille</v>
      </c>
      <c r="N471">
        <v>212</v>
      </c>
      <c r="O471">
        <f>IFERROR(VLOOKUP(N471,'Tables new'!$A:$C,3,FALSE),"")</f>
        <v>70</v>
      </c>
      <c r="P471" t="str">
        <f>VLOOKUP(N471,CAT_JOUEUR,2,FALSE)</f>
        <v>Contact famille</v>
      </c>
      <c r="T471" t="s">
        <v>89</v>
      </c>
      <c r="AH471" t="s">
        <v>78</v>
      </c>
      <c r="AI471" t="s">
        <v>78</v>
      </c>
      <c r="AJ471" t="s">
        <v>78</v>
      </c>
      <c r="AK471" t="s">
        <v>78</v>
      </c>
      <c r="AL471" t="s">
        <v>79</v>
      </c>
      <c r="AP471">
        <v>691477316</v>
      </c>
      <c r="AQ471" t="s">
        <v>2580</v>
      </c>
    </row>
    <row r="472" spans="1:67" x14ac:dyDescent="0.2">
      <c r="A472" t="s">
        <v>2582</v>
      </c>
      <c r="B472" t="s">
        <v>2583</v>
      </c>
      <c r="D472" t="s">
        <v>72</v>
      </c>
      <c r="E472" t="s">
        <v>96</v>
      </c>
      <c r="F472" t="s">
        <v>415</v>
      </c>
      <c r="G472" t="s">
        <v>416</v>
      </c>
      <c r="H472" t="s">
        <v>417</v>
      </c>
      <c r="I472" t="s">
        <v>236</v>
      </c>
      <c r="J472" t="s">
        <v>237</v>
      </c>
      <c r="K472">
        <v>252</v>
      </c>
      <c r="L472">
        <f>IFERROR(VLOOKUP(K472,'Tables new'!$A:$C,3,FALSE),"")</f>
        <v>85</v>
      </c>
      <c r="M472" t="str">
        <f>VLOOKUP(K472,CAT_JOUEUR,2,FALSE)</f>
        <v>Arrêt jeune (garder licence)</v>
      </c>
      <c r="N472">
        <v>6</v>
      </c>
      <c r="O472">
        <f>IFERROR(VLOOKUP(N472,'Tables new'!$A:$C,3,FALSE),"")</f>
        <v>15</v>
      </c>
      <c r="P472" t="str">
        <f>VLOOKUP(N472,CAT_JOUEUR,2,FALSE)</f>
        <v>U 13 H</v>
      </c>
      <c r="T472" t="s">
        <v>113</v>
      </c>
      <c r="AA472" t="s">
        <v>2584</v>
      </c>
      <c r="AH472">
        <v>43542</v>
      </c>
      <c r="AI472">
        <v>43519</v>
      </c>
      <c r="AJ472">
        <v>2021</v>
      </c>
      <c r="AK472">
        <v>41786</v>
      </c>
      <c r="AL472" t="s">
        <v>2585</v>
      </c>
      <c r="AO472" t="s">
        <v>2586</v>
      </c>
      <c r="AP472" t="s">
        <v>2587</v>
      </c>
      <c r="AQ472" t="s">
        <v>2588</v>
      </c>
      <c r="AY472" t="s">
        <v>91</v>
      </c>
      <c r="BA472" t="s">
        <v>136</v>
      </c>
      <c r="BB472" t="s">
        <v>271</v>
      </c>
    </row>
    <row r="473" spans="1:67" x14ac:dyDescent="0.2">
      <c r="A473" t="s">
        <v>2589</v>
      </c>
      <c r="B473" t="s">
        <v>2590</v>
      </c>
      <c r="D473" t="s">
        <v>72</v>
      </c>
      <c r="E473" t="s">
        <v>96</v>
      </c>
      <c r="F473" t="s">
        <v>514</v>
      </c>
      <c r="G473" t="s">
        <v>515</v>
      </c>
      <c r="H473" t="s">
        <v>516</v>
      </c>
      <c r="I473" t="s">
        <v>517</v>
      </c>
      <c r="K473">
        <v>212</v>
      </c>
      <c r="L473">
        <f>IFERROR(VLOOKUP(K473,'Tables new'!$A:$C,3,FALSE),"")</f>
        <v>70</v>
      </c>
      <c r="M473" t="str">
        <f>VLOOKUP(K473,CAT_JOUEUR,2,FALSE)</f>
        <v>Contact famille</v>
      </c>
      <c r="N473">
        <v>212</v>
      </c>
      <c r="O473">
        <f>IFERROR(VLOOKUP(N473,'Tables new'!$A:$C,3,FALSE),"")</f>
        <v>70</v>
      </c>
      <c r="P473" t="str">
        <f>VLOOKUP(N473,CAT_JOUEUR,2,FALSE)</f>
        <v>Contact famille</v>
      </c>
      <c r="W473" t="s">
        <v>89</v>
      </c>
      <c r="AH473" t="s">
        <v>78</v>
      </c>
      <c r="AI473" t="s">
        <v>78</v>
      </c>
      <c r="AJ473" t="s">
        <v>78</v>
      </c>
      <c r="AK473" t="s">
        <v>78</v>
      </c>
      <c r="AL473" t="s">
        <v>79</v>
      </c>
      <c r="AP473">
        <v>621794842</v>
      </c>
      <c r="AQ473" t="s">
        <v>520</v>
      </c>
    </row>
    <row r="474" spans="1:67" x14ac:dyDescent="0.2">
      <c r="A474" t="s">
        <v>2591</v>
      </c>
      <c r="B474" t="s">
        <v>2592</v>
      </c>
      <c r="D474" t="s">
        <v>72</v>
      </c>
      <c r="E474" t="s">
        <v>96</v>
      </c>
      <c r="F474" t="s">
        <v>1197</v>
      </c>
      <c r="G474" t="s">
        <v>234</v>
      </c>
      <c r="H474" t="s">
        <v>235</v>
      </c>
      <c r="I474" t="s">
        <v>1198</v>
      </c>
      <c r="K474">
        <v>18</v>
      </c>
      <c r="L474">
        <f>IFERROR(VLOOKUP(K474,'Tables new'!$A:$C,3,FALSE),"")</f>
        <v>37</v>
      </c>
      <c r="M474" t="str">
        <f>VLOOKUP(K474,CAT_JOUEUR,2,FALSE)</f>
        <v>U 9 F</v>
      </c>
      <c r="N474">
        <v>18</v>
      </c>
      <c r="O474">
        <f>IFERROR(VLOOKUP(N474,'Tables new'!$A:$C,3,FALSE),"")</f>
        <v>37</v>
      </c>
      <c r="P474" t="str">
        <f>VLOOKUP(N474,CAT_JOUEUR,2,FALSE)</f>
        <v>U 9 F</v>
      </c>
      <c r="V474" t="s">
        <v>113</v>
      </c>
      <c r="AA474" t="s">
        <v>2593</v>
      </c>
      <c r="AH474">
        <v>44984</v>
      </c>
      <c r="AI474">
        <v>44905</v>
      </c>
      <c r="AJ474">
        <v>2026</v>
      </c>
      <c r="AK474">
        <v>43804</v>
      </c>
      <c r="AL474" t="s">
        <v>2594</v>
      </c>
      <c r="AP474" t="s">
        <v>2595</v>
      </c>
      <c r="AQ474" t="s">
        <v>1199</v>
      </c>
    </row>
    <row r="475" spans="1:67" x14ac:dyDescent="0.2">
      <c r="A475" t="s">
        <v>2591</v>
      </c>
      <c r="B475" t="s">
        <v>2596</v>
      </c>
      <c r="D475" t="s">
        <v>72</v>
      </c>
      <c r="E475" t="s">
        <v>96</v>
      </c>
      <c r="F475" t="s">
        <v>1197</v>
      </c>
      <c r="G475" t="s">
        <v>234</v>
      </c>
      <c r="H475" t="s">
        <v>235</v>
      </c>
      <c r="I475" t="s">
        <v>1198</v>
      </c>
      <c r="K475">
        <v>7</v>
      </c>
      <c r="L475">
        <f>IFERROR(VLOOKUP(K475,'Tables new'!$A:$C,3,FALSE),"")</f>
        <v>16</v>
      </c>
      <c r="M475" t="str">
        <f>VLOOKUP(K475,CAT_JOUEUR,2,FALSE)</f>
        <v>U 11 H</v>
      </c>
      <c r="N475">
        <v>7</v>
      </c>
      <c r="O475">
        <f>IFERROR(VLOOKUP(N475,'Tables new'!$A:$C,3,FALSE),"")</f>
        <v>16</v>
      </c>
      <c r="P475" t="str">
        <f>VLOOKUP(N475,CAT_JOUEUR,2,FALSE)</f>
        <v>U 11 H</v>
      </c>
      <c r="U475" t="s">
        <v>113</v>
      </c>
      <c r="AA475" t="s">
        <v>2597</v>
      </c>
      <c r="AH475">
        <v>44984</v>
      </c>
      <c r="AI475">
        <v>44905</v>
      </c>
      <c r="AJ475">
        <v>2024</v>
      </c>
      <c r="AK475">
        <v>42742</v>
      </c>
      <c r="AL475" t="s">
        <v>2598</v>
      </c>
      <c r="AP475" t="s">
        <v>2595</v>
      </c>
      <c r="AQ475" t="s">
        <v>1199</v>
      </c>
    </row>
    <row r="476" spans="1:67" x14ac:dyDescent="0.2">
      <c r="A476" t="s">
        <v>2591</v>
      </c>
      <c r="B476" t="s">
        <v>1803</v>
      </c>
      <c r="D476" t="s">
        <v>72</v>
      </c>
      <c r="E476" t="s">
        <v>96</v>
      </c>
      <c r="F476" t="s">
        <v>1197</v>
      </c>
      <c r="G476" t="s">
        <v>234</v>
      </c>
      <c r="H476" t="s">
        <v>235</v>
      </c>
      <c r="I476" t="s">
        <v>1198</v>
      </c>
      <c r="K476">
        <v>212</v>
      </c>
      <c r="L476">
        <f>IFERROR(VLOOKUP(K476,'Tables new'!$A:$C,3,FALSE),"")</f>
        <v>70</v>
      </c>
      <c r="M476" t="str">
        <f>VLOOKUP(K476,CAT_JOUEUR,2,FALSE)</f>
        <v>Contact famille</v>
      </c>
      <c r="N476">
        <v>212</v>
      </c>
      <c r="O476">
        <f>IFERROR(VLOOKUP(N476,'Tables new'!$A:$C,3,FALSE),"")</f>
        <v>70</v>
      </c>
      <c r="P476" t="str">
        <f>VLOOKUP(N476,CAT_JOUEUR,2,FALSE)</f>
        <v>Contact famille</v>
      </c>
      <c r="U476" t="s">
        <v>89</v>
      </c>
      <c r="V476" t="s">
        <v>89</v>
      </c>
      <c r="AH476" t="s">
        <v>78</v>
      </c>
      <c r="AI476" t="s">
        <v>78</v>
      </c>
      <c r="AJ476" t="s">
        <v>78</v>
      </c>
      <c r="AK476" t="s">
        <v>78</v>
      </c>
      <c r="AL476" t="s">
        <v>79</v>
      </c>
      <c r="AQ476" t="s">
        <v>2599</v>
      </c>
    </row>
    <row r="477" spans="1:67" x14ac:dyDescent="0.2">
      <c r="A477" t="s">
        <v>2600</v>
      </c>
      <c r="B477" t="s">
        <v>2601</v>
      </c>
      <c r="D477" t="s">
        <v>72</v>
      </c>
      <c r="E477" t="s">
        <v>96</v>
      </c>
      <c r="F477" t="s">
        <v>204</v>
      </c>
      <c r="G477" t="s">
        <v>205</v>
      </c>
      <c r="H477" t="s">
        <v>108</v>
      </c>
      <c r="I477" t="s">
        <v>206</v>
      </c>
      <c r="K477">
        <v>212</v>
      </c>
      <c r="L477">
        <f>IFERROR(VLOOKUP(K477,'Tables new'!$A:$C,3,FALSE),"")</f>
        <v>70</v>
      </c>
      <c r="M477" t="str">
        <f>VLOOKUP(K477,CAT_JOUEUR,2,FALSE)</f>
        <v>Contact famille</v>
      </c>
      <c r="N477">
        <v>212</v>
      </c>
      <c r="O477">
        <f>IFERROR(VLOOKUP(N477,'Tables new'!$A:$C,3,FALSE),"")</f>
        <v>70</v>
      </c>
      <c r="P477" t="str">
        <f>VLOOKUP(N477,CAT_JOUEUR,2,FALSE)</f>
        <v>Contact famille</v>
      </c>
      <c r="U477" t="s">
        <v>89</v>
      </c>
      <c r="V477" t="s">
        <v>89</v>
      </c>
      <c r="AH477" t="s">
        <v>78</v>
      </c>
      <c r="AI477" t="s">
        <v>78</v>
      </c>
      <c r="AJ477" t="s">
        <v>78</v>
      </c>
      <c r="AK477" t="s">
        <v>78</v>
      </c>
      <c r="AL477" t="s">
        <v>79</v>
      </c>
      <c r="AP477">
        <v>621371615</v>
      </c>
      <c r="AQ477" t="s">
        <v>210</v>
      </c>
    </row>
    <row r="478" spans="1:67" x14ac:dyDescent="0.2">
      <c r="A478" t="s">
        <v>2602</v>
      </c>
      <c r="B478" t="s">
        <v>2566</v>
      </c>
      <c r="D478" t="s">
        <v>72</v>
      </c>
      <c r="E478" t="s">
        <v>96</v>
      </c>
      <c r="F478" t="s">
        <v>2558</v>
      </c>
      <c r="G478" t="s">
        <v>684</v>
      </c>
      <c r="H478" t="s">
        <v>132</v>
      </c>
      <c r="I478" t="s">
        <v>2559</v>
      </c>
      <c r="K478">
        <v>212</v>
      </c>
      <c r="L478">
        <f>IFERROR(VLOOKUP(K478,'Tables new'!$A:$C,3,FALSE),"")</f>
        <v>70</v>
      </c>
      <c r="M478" t="str">
        <f>VLOOKUP(K478,CAT_JOUEUR,2,FALSE)</f>
        <v>Contact famille</v>
      </c>
      <c r="N478">
        <v>212</v>
      </c>
      <c r="O478">
        <f>IFERROR(VLOOKUP(N478,'Tables new'!$A:$C,3,FALSE),"")</f>
        <v>70</v>
      </c>
      <c r="P478" t="str">
        <f>VLOOKUP(N478,CAT_JOUEUR,2,FALSE)</f>
        <v>Contact famille</v>
      </c>
      <c r="R478" t="s">
        <v>89</v>
      </c>
      <c r="AC478" t="s">
        <v>208</v>
      </c>
      <c r="AH478" t="s">
        <v>78</v>
      </c>
      <c r="AI478">
        <v>42860</v>
      </c>
      <c r="AJ478" t="s">
        <v>534</v>
      </c>
      <c r="AK478" t="s">
        <v>78</v>
      </c>
      <c r="AL478" t="s">
        <v>79</v>
      </c>
      <c r="AP478" t="s">
        <v>2603</v>
      </c>
      <c r="AQ478" t="s">
        <v>2604</v>
      </c>
      <c r="AY478" t="s">
        <v>637</v>
      </c>
      <c r="BA478" t="s">
        <v>136</v>
      </c>
      <c r="BB478" t="s">
        <v>137</v>
      </c>
      <c r="BC478" t="s">
        <v>694</v>
      </c>
      <c r="BD478" t="s">
        <v>638</v>
      </c>
      <c r="BO478" t="s">
        <v>2605</v>
      </c>
    </row>
    <row r="479" spans="1:67" x14ac:dyDescent="0.2">
      <c r="A479" t="s">
        <v>2602</v>
      </c>
      <c r="B479" t="s">
        <v>2606</v>
      </c>
      <c r="D479" t="s">
        <v>72</v>
      </c>
      <c r="E479" t="s">
        <v>96</v>
      </c>
      <c r="F479" t="s">
        <v>2558</v>
      </c>
      <c r="G479" t="s">
        <v>684</v>
      </c>
      <c r="H479" t="s">
        <v>132</v>
      </c>
      <c r="I479" t="s">
        <v>2559</v>
      </c>
      <c r="K479">
        <v>300</v>
      </c>
      <c r="L479">
        <f>IFERROR(VLOOKUP(K479,'Tables new'!$A:$C,3,FALSE),"")</f>
        <v>90</v>
      </c>
      <c r="M479" t="str">
        <f>VLOOKUP(K479,CAT_JOUEUR,2,FALSE)</f>
        <v>Prêt, sortie Mersch75</v>
      </c>
      <c r="N479">
        <v>4</v>
      </c>
      <c r="O479">
        <f>IFERROR(VLOOKUP(N479,'Tables new'!$A:$C,3,FALSE),"")</f>
        <v>13</v>
      </c>
      <c r="P479" t="str">
        <f>VLOOKUP(N479,CAT_JOUEUR,2,FALSE)</f>
        <v>U 17 H</v>
      </c>
      <c r="R479" t="s">
        <v>113</v>
      </c>
      <c r="AA479" t="s">
        <v>2607</v>
      </c>
      <c r="AF479" t="s">
        <v>2608</v>
      </c>
      <c r="AH479">
        <v>42871</v>
      </c>
      <c r="AI479">
        <v>42860</v>
      </c>
      <c r="AJ479">
        <v>2030</v>
      </c>
      <c r="AK479">
        <v>40413</v>
      </c>
      <c r="AL479" t="s">
        <v>2609</v>
      </c>
      <c r="AO479" t="s">
        <v>2610</v>
      </c>
      <c r="AP479" t="s">
        <v>2611</v>
      </c>
      <c r="AQ479" t="s">
        <v>2604</v>
      </c>
      <c r="AY479" t="s">
        <v>91</v>
      </c>
      <c r="BA479" t="s">
        <v>136</v>
      </c>
      <c r="BB479" t="s">
        <v>137</v>
      </c>
      <c r="BC479" t="s">
        <v>694</v>
      </c>
      <c r="BD479">
        <v>250</v>
      </c>
      <c r="BO479" t="s">
        <v>1668</v>
      </c>
    </row>
    <row r="480" spans="1:67" x14ac:dyDescent="0.2">
      <c r="A480" t="s">
        <v>2612</v>
      </c>
      <c r="B480" t="s">
        <v>2613</v>
      </c>
      <c r="D480" t="s">
        <v>83</v>
      </c>
      <c r="E480" t="s">
        <v>84</v>
      </c>
      <c r="F480" t="s">
        <v>1291</v>
      </c>
      <c r="G480" t="s">
        <v>1109</v>
      </c>
      <c r="H480" t="s">
        <v>132</v>
      </c>
      <c r="I480" t="s">
        <v>1288</v>
      </c>
      <c r="K480">
        <v>212</v>
      </c>
      <c r="L480">
        <f>IFERROR(VLOOKUP(K480,'Tables new'!$A:$C,3,FALSE),"")</f>
        <v>70</v>
      </c>
      <c r="M480" t="str">
        <f>VLOOKUP(K480,CAT_JOUEUR,2,FALSE)</f>
        <v>Contact famille</v>
      </c>
      <c r="N480">
        <v>212</v>
      </c>
      <c r="O480">
        <f>IFERROR(VLOOKUP(N480,'Tables new'!$A:$C,3,FALSE),"")</f>
        <v>70</v>
      </c>
      <c r="P480" t="str">
        <f>VLOOKUP(N480,CAT_JOUEUR,2,FALSE)</f>
        <v>Contact famille</v>
      </c>
      <c r="Z480" t="s">
        <v>89</v>
      </c>
      <c r="AH480" t="s">
        <v>78</v>
      </c>
      <c r="AI480" t="s">
        <v>78</v>
      </c>
      <c r="AJ480" t="s">
        <v>78</v>
      </c>
      <c r="AK480" t="s">
        <v>78</v>
      </c>
      <c r="AL480" t="s">
        <v>79</v>
      </c>
      <c r="AP480">
        <v>691102616</v>
      </c>
      <c r="AQ480" t="s">
        <v>2614</v>
      </c>
    </row>
    <row r="481" spans="1:67" x14ac:dyDescent="0.2">
      <c r="A481" t="s">
        <v>2615</v>
      </c>
      <c r="B481" t="s">
        <v>2616</v>
      </c>
      <c r="D481" t="s">
        <v>72</v>
      </c>
      <c r="E481" t="s">
        <v>96</v>
      </c>
      <c r="F481" t="s">
        <v>2617</v>
      </c>
      <c r="G481" t="s">
        <v>2618</v>
      </c>
      <c r="H481" t="s">
        <v>76</v>
      </c>
      <c r="I481" t="s">
        <v>2619</v>
      </c>
      <c r="K481">
        <v>303</v>
      </c>
      <c r="L481">
        <f>IFERROR(VLOOKUP(K481,'Tables new'!$A:$C,3,FALSE),"")</f>
        <v>93</v>
      </c>
      <c r="M481" t="str">
        <f>VLOOKUP(K481,CAT_JOUEUR,2,FALSE)</f>
        <v>Prêt gratuit pas équipe club origine</v>
      </c>
      <c r="N481">
        <v>3</v>
      </c>
      <c r="O481">
        <f>IFERROR(VLOOKUP(N481,'Tables new'!$A:$C,3,FALSE),"")</f>
        <v>12</v>
      </c>
      <c r="P481" t="str">
        <f>VLOOKUP(N481,CAT_JOUEUR,2,FALSE)</f>
        <v>U 21 HO</v>
      </c>
      <c r="AA481" t="s">
        <v>2620</v>
      </c>
      <c r="AB481" t="s">
        <v>155</v>
      </c>
      <c r="AC481" t="s">
        <v>155</v>
      </c>
      <c r="AH481">
        <v>42521</v>
      </c>
      <c r="AI481">
        <v>42521</v>
      </c>
      <c r="AJ481">
        <v>2026</v>
      </c>
      <c r="AK481">
        <v>39058</v>
      </c>
      <c r="AL481" t="s">
        <v>2621</v>
      </c>
      <c r="AN481" t="s">
        <v>2622</v>
      </c>
      <c r="AP481" t="s">
        <v>2623</v>
      </c>
      <c r="AQ481" t="s">
        <v>2624</v>
      </c>
      <c r="AY481" t="s">
        <v>637</v>
      </c>
      <c r="BA481" t="s">
        <v>136</v>
      </c>
      <c r="BB481" t="s">
        <v>137</v>
      </c>
      <c r="BC481" t="s">
        <v>138</v>
      </c>
      <c r="BD481">
        <v>25</v>
      </c>
      <c r="BN481" t="s">
        <v>930</v>
      </c>
      <c r="BO481" t="s">
        <v>1668</v>
      </c>
    </row>
    <row r="482" spans="1:67" x14ac:dyDescent="0.2">
      <c r="A482" t="s">
        <v>2615</v>
      </c>
      <c r="B482" t="s">
        <v>1449</v>
      </c>
      <c r="D482" t="s">
        <v>72</v>
      </c>
      <c r="E482" t="s">
        <v>96</v>
      </c>
      <c r="F482" t="s">
        <v>2617</v>
      </c>
      <c r="G482" t="s">
        <v>2618</v>
      </c>
      <c r="H482" t="s">
        <v>76</v>
      </c>
      <c r="I482" t="s">
        <v>2619</v>
      </c>
      <c r="K482">
        <v>150</v>
      </c>
      <c r="L482">
        <f>IFERROR(VLOOKUP(K482,'Tables new'!$A:$C,3,FALSE),"")</f>
        <v>1</v>
      </c>
      <c r="M482" t="str">
        <f>VLOOKUP(K482,CAT_JOUEUR,2,FALSE)</f>
        <v>comité</v>
      </c>
      <c r="N482">
        <v>1</v>
      </c>
      <c r="O482">
        <f>IFERROR(VLOOKUP(N482,'Tables new'!$A:$C,3,FALSE),"")</f>
        <v>2</v>
      </c>
      <c r="P482" t="str">
        <f>VLOOKUP(N482,CAT_JOUEUR,2,FALSE)</f>
        <v>Officiel H</v>
      </c>
      <c r="AB482" t="s">
        <v>2625</v>
      </c>
      <c r="AC482" t="s">
        <v>2625</v>
      </c>
      <c r="AH482">
        <v>43130</v>
      </c>
      <c r="AI482">
        <v>42521</v>
      </c>
      <c r="AJ482" t="s">
        <v>78</v>
      </c>
      <c r="AK482">
        <v>27796</v>
      </c>
      <c r="AL482" t="s">
        <v>2626</v>
      </c>
      <c r="AO482" t="s">
        <v>208</v>
      </c>
      <c r="AP482" t="s">
        <v>2627</v>
      </c>
      <c r="AQ482" t="s">
        <v>2628</v>
      </c>
      <c r="AS482" t="s">
        <v>468</v>
      </c>
      <c r="AU482" t="s">
        <v>2629</v>
      </c>
      <c r="AY482" t="s">
        <v>637</v>
      </c>
      <c r="BA482" t="s">
        <v>136</v>
      </c>
      <c r="BB482" t="s">
        <v>137</v>
      </c>
      <c r="BC482" t="s">
        <v>138</v>
      </c>
      <c r="BD482">
        <v>50</v>
      </c>
      <c r="BO482" t="s">
        <v>539</v>
      </c>
    </row>
    <row r="483" spans="1:67" x14ac:dyDescent="0.2">
      <c r="A483" t="s">
        <v>2630</v>
      </c>
      <c r="B483" t="s">
        <v>2631</v>
      </c>
      <c r="D483" t="s">
        <v>72</v>
      </c>
      <c r="E483" t="s">
        <v>96</v>
      </c>
      <c r="F483" t="s">
        <v>2617</v>
      </c>
      <c r="G483" t="s">
        <v>2618</v>
      </c>
      <c r="H483" t="s">
        <v>76</v>
      </c>
      <c r="I483" t="s">
        <v>2619</v>
      </c>
      <c r="K483">
        <v>212</v>
      </c>
      <c r="L483">
        <f>IFERROR(VLOOKUP(K483,'Tables new'!$A:$C,3,FALSE),"")</f>
        <v>70</v>
      </c>
      <c r="M483" t="str">
        <f>VLOOKUP(K483,CAT_JOUEUR,2,FALSE)</f>
        <v>Contact famille</v>
      </c>
      <c r="N483">
        <v>212</v>
      </c>
      <c r="O483">
        <f>IFERROR(VLOOKUP(N483,'Tables new'!$A:$C,3,FALSE),"")</f>
        <v>70</v>
      </c>
      <c r="P483" t="str">
        <f>VLOOKUP(N483,CAT_JOUEUR,2,FALSE)</f>
        <v>Contact famille</v>
      </c>
      <c r="AH483" t="s">
        <v>78</v>
      </c>
      <c r="AI483" t="s">
        <v>208</v>
      </c>
      <c r="AJ483" t="s">
        <v>78</v>
      </c>
      <c r="AK483" t="s">
        <v>78</v>
      </c>
      <c r="AL483" t="s">
        <v>79</v>
      </c>
      <c r="AO483" t="s">
        <v>208</v>
      </c>
      <c r="AP483" t="s">
        <v>2632</v>
      </c>
      <c r="AQ483" t="s">
        <v>2624</v>
      </c>
      <c r="AR483" t="s">
        <v>2633</v>
      </c>
      <c r="AY483" t="s">
        <v>637</v>
      </c>
      <c r="BA483" t="s">
        <v>136</v>
      </c>
      <c r="BB483" t="s">
        <v>137</v>
      </c>
      <c r="BD483" t="s">
        <v>139</v>
      </c>
      <c r="BO483" t="s">
        <v>93</v>
      </c>
    </row>
    <row r="484" spans="1:67" x14ac:dyDescent="0.2">
      <c r="A484" t="s">
        <v>2634</v>
      </c>
      <c r="B484" t="s">
        <v>899</v>
      </c>
      <c r="D484" t="s">
        <v>72</v>
      </c>
      <c r="E484" t="s">
        <v>96</v>
      </c>
      <c r="F484" t="s">
        <v>1985</v>
      </c>
      <c r="G484" t="s">
        <v>1061</v>
      </c>
      <c r="H484" t="s">
        <v>1062</v>
      </c>
      <c r="I484" t="s">
        <v>1986</v>
      </c>
      <c r="K484">
        <v>212</v>
      </c>
      <c r="L484">
        <f>IFERROR(VLOOKUP(K484,'Tables new'!$A:$C,3,FALSE),"")</f>
        <v>70</v>
      </c>
      <c r="M484" t="str">
        <f>VLOOKUP(K484,CAT_JOUEUR,2,FALSE)</f>
        <v>Contact famille</v>
      </c>
      <c r="N484">
        <v>212</v>
      </c>
      <c r="O484">
        <f>IFERROR(VLOOKUP(N484,'Tables new'!$A:$C,3,FALSE),"")</f>
        <v>70</v>
      </c>
      <c r="P484" t="str">
        <f>VLOOKUP(N484,CAT_JOUEUR,2,FALSE)</f>
        <v>Contact famille</v>
      </c>
      <c r="S484" t="s">
        <v>89</v>
      </c>
      <c r="AH484" t="s">
        <v>78</v>
      </c>
      <c r="AI484" t="s">
        <v>78</v>
      </c>
      <c r="AJ484" t="s">
        <v>78</v>
      </c>
      <c r="AK484" t="s">
        <v>78</v>
      </c>
      <c r="AL484" t="s">
        <v>79</v>
      </c>
      <c r="AP484">
        <v>661771662</v>
      </c>
      <c r="AQ484" t="s">
        <v>1991</v>
      </c>
    </row>
    <row r="485" spans="1:67" x14ac:dyDescent="0.2">
      <c r="A485" t="s">
        <v>2635</v>
      </c>
      <c r="B485" t="s">
        <v>2636</v>
      </c>
      <c r="D485" t="s">
        <v>72</v>
      </c>
      <c r="E485" t="s">
        <v>96</v>
      </c>
      <c r="F485" t="s">
        <v>1657</v>
      </c>
      <c r="G485" t="s">
        <v>431</v>
      </c>
      <c r="H485" t="s">
        <v>432</v>
      </c>
      <c r="I485" t="s">
        <v>1658</v>
      </c>
      <c r="K485">
        <v>212</v>
      </c>
      <c r="L485">
        <f>IFERROR(VLOOKUP(K485,'Tables new'!$A:$C,3,FALSE),"")</f>
        <v>70</v>
      </c>
      <c r="M485" t="str">
        <f>VLOOKUP(K485,CAT_JOUEUR,2,FALSE)</f>
        <v>Contact famille</v>
      </c>
      <c r="N485">
        <v>212</v>
      </c>
      <c r="O485">
        <f>IFERROR(VLOOKUP(N485,'Tables new'!$A:$C,3,FALSE),"")</f>
        <v>70</v>
      </c>
      <c r="P485" t="str">
        <f>VLOOKUP(N485,CAT_JOUEUR,2,FALSE)</f>
        <v>Contact famille</v>
      </c>
      <c r="W485" t="s">
        <v>89</v>
      </c>
      <c r="AH485" t="s">
        <v>78</v>
      </c>
      <c r="AI485" t="s">
        <v>78</v>
      </c>
      <c r="AJ485" t="s">
        <v>78</v>
      </c>
      <c r="AK485" t="s">
        <v>78</v>
      </c>
      <c r="AL485" t="s">
        <v>79</v>
      </c>
      <c r="AP485">
        <v>621615316</v>
      </c>
      <c r="AQ485" t="s">
        <v>2637</v>
      </c>
    </row>
    <row r="486" spans="1:67" x14ac:dyDescent="0.2">
      <c r="A486" t="s">
        <v>2635</v>
      </c>
      <c r="B486" t="s">
        <v>2638</v>
      </c>
      <c r="D486" t="s">
        <v>72</v>
      </c>
      <c r="E486" t="s">
        <v>96</v>
      </c>
      <c r="F486" t="s">
        <v>1657</v>
      </c>
      <c r="G486" t="s">
        <v>431</v>
      </c>
      <c r="H486" t="s">
        <v>432</v>
      </c>
      <c r="I486" t="s">
        <v>1658</v>
      </c>
      <c r="K486">
        <v>21</v>
      </c>
      <c r="L486">
        <f>IFERROR(VLOOKUP(K486,'Tables new'!$A:$C,3,FALSE),"")</f>
        <v>18</v>
      </c>
      <c r="M486" t="str">
        <f>VLOOKUP(K486,CAT_JOUEUR,2,FALSE)</f>
        <v>U7 Mixte</v>
      </c>
      <c r="N486">
        <v>21</v>
      </c>
      <c r="O486">
        <f>IFERROR(VLOOKUP(N486,'Tables new'!$A:$C,3,FALSE),"")</f>
        <v>18</v>
      </c>
      <c r="P486" t="str">
        <f>VLOOKUP(N486,CAT_JOUEUR,2,FALSE)</f>
        <v>U7 Mixte</v>
      </c>
      <c r="W486" t="s">
        <v>113</v>
      </c>
      <c r="AA486" t="s">
        <v>2639</v>
      </c>
      <c r="AH486">
        <v>45716</v>
      </c>
      <c r="AI486">
        <v>45635</v>
      </c>
      <c r="AJ486">
        <v>2027</v>
      </c>
      <c r="AK486">
        <v>44188</v>
      </c>
      <c r="AL486" t="s">
        <v>2640</v>
      </c>
      <c r="AP486" t="s">
        <v>2641</v>
      </c>
      <c r="AQ486" t="s">
        <v>2637</v>
      </c>
    </row>
    <row r="487" spans="1:67" x14ac:dyDescent="0.2">
      <c r="A487" t="s">
        <v>2642</v>
      </c>
      <c r="B487" t="s">
        <v>2643</v>
      </c>
      <c r="D487" t="s">
        <v>72</v>
      </c>
      <c r="E487" t="s">
        <v>96</v>
      </c>
      <c r="F487" t="s">
        <v>1859</v>
      </c>
      <c r="G487" t="s">
        <v>816</v>
      </c>
      <c r="H487" t="s">
        <v>1706</v>
      </c>
      <c r="I487" t="s">
        <v>1860</v>
      </c>
      <c r="K487">
        <v>2</v>
      </c>
      <c r="L487">
        <f>IFERROR(VLOOKUP(K487,'Tables new'!$A:$C,3,FALSE),"")</f>
        <v>11</v>
      </c>
      <c r="M487" t="str">
        <f>VLOOKUP(K487,CAT_JOUEUR,2,FALSE)</f>
        <v>Seniors - HO</v>
      </c>
      <c r="N487">
        <v>2</v>
      </c>
      <c r="O487">
        <f>IFERROR(VLOOKUP(N487,'Tables new'!$A:$C,3,FALSE),"")</f>
        <v>11</v>
      </c>
      <c r="P487" t="str">
        <f>VLOOKUP(N487,CAT_JOUEUR,2,FALSE)</f>
        <v>Seniors - HO</v>
      </c>
      <c r="AA487" t="s">
        <v>2644</v>
      </c>
      <c r="AH487">
        <v>43228</v>
      </c>
      <c r="AI487">
        <v>43178</v>
      </c>
      <c r="AJ487">
        <v>2035</v>
      </c>
      <c r="AK487">
        <v>38591</v>
      </c>
      <c r="AL487" t="s">
        <v>2645</v>
      </c>
      <c r="AN487" t="s">
        <v>1861</v>
      </c>
      <c r="AP487" t="s">
        <v>2646</v>
      </c>
      <c r="AQ487" t="s">
        <v>1863</v>
      </c>
      <c r="AY487" t="s">
        <v>637</v>
      </c>
      <c r="BA487" t="s">
        <v>136</v>
      </c>
      <c r="BB487" t="s">
        <v>137</v>
      </c>
      <c r="BC487" t="s">
        <v>694</v>
      </c>
      <c r="BD487" t="s">
        <v>638</v>
      </c>
      <c r="BO487" t="s">
        <v>1668</v>
      </c>
    </row>
    <row r="488" spans="1:67" x14ac:dyDescent="0.2">
      <c r="A488" t="s">
        <v>2647</v>
      </c>
      <c r="B488" t="s">
        <v>2648</v>
      </c>
      <c r="D488" t="s">
        <v>72</v>
      </c>
      <c r="E488" t="s">
        <v>123</v>
      </c>
      <c r="F488" t="s">
        <v>2649</v>
      </c>
      <c r="G488" t="s">
        <v>2650</v>
      </c>
      <c r="H488" t="s">
        <v>1186</v>
      </c>
      <c r="I488" t="s">
        <v>145</v>
      </c>
      <c r="K488">
        <v>2</v>
      </c>
      <c r="L488">
        <f>IFERROR(VLOOKUP(K488,'Tables new'!$A:$C,3,FALSE),"")</f>
        <v>11</v>
      </c>
      <c r="M488" t="str">
        <f>VLOOKUP(K488,CAT_JOUEUR,2,FALSE)</f>
        <v>Seniors - HO</v>
      </c>
      <c r="N488">
        <v>2</v>
      </c>
      <c r="O488">
        <f>IFERROR(VLOOKUP(N488,'Tables new'!$A:$C,3,FALSE),"")</f>
        <v>11</v>
      </c>
      <c r="P488" t="str">
        <f>VLOOKUP(N488,CAT_JOUEUR,2,FALSE)</f>
        <v>Seniors - HO</v>
      </c>
      <c r="AA488" t="s">
        <v>2651</v>
      </c>
      <c r="AH488">
        <v>45603</v>
      </c>
      <c r="AI488">
        <v>45556</v>
      </c>
      <c r="AJ488">
        <v>2030</v>
      </c>
      <c r="AK488">
        <v>33009</v>
      </c>
      <c r="AL488" t="s">
        <v>2652</v>
      </c>
      <c r="AP488">
        <v>691145187</v>
      </c>
      <c r="AQ488" t="s">
        <v>2653</v>
      </c>
    </row>
    <row r="489" spans="1:67" x14ac:dyDescent="0.2">
      <c r="A489" t="s">
        <v>2654</v>
      </c>
      <c r="B489" t="s">
        <v>2233</v>
      </c>
      <c r="D489" t="s">
        <v>72</v>
      </c>
      <c r="E489" t="s">
        <v>123</v>
      </c>
      <c r="F489" t="s">
        <v>2655</v>
      </c>
      <c r="G489" t="s">
        <v>633</v>
      </c>
      <c r="H489" t="s">
        <v>300</v>
      </c>
      <c r="I489" t="s">
        <v>2656</v>
      </c>
      <c r="K489">
        <v>12</v>
      </c>
      <c r="L489">
        <v>11</v>
      </c>
      <c r="M489" t="s">
        <v>265</v>
      </c>
      <c r="N489">
        <v>12</v>
      </c>
      <c r="O489">
        <f>IFERROR(VLOOKUP(N489,'Tables new'!$A:$C,3,FALSE),"")</f>
        <v>31</v>
      </c>
      <c r="P489" t="str">
        <f>VLOOKUP(N489,CAT_JOUEUR,2,FALSE)</f>
        <v>Femmes</v>
      </c>
      <c r="AA489" t="s">
        <v>2657</v>
      </c>
      <c r="AH489">
        <v>40637</v>
      </c>
      <c r="AI489">
        <v>40637</v>
      </c>
      <c r="AJ489">
        <v>2029</v>
      </c>
      <c r="AK489">
        <v>36389</v>
      </c>
      <c r="AL489" t="s">
        <v>2658</v>
      </c>
      <c r="AN489" t="s">
        <v>2659</v>
      </c>
      <c r="AP489" t="s">
        <v>2660</v>
      </c>
      <c r="AQ489" t="s">
        <v>2661</v>
      </c>
      <c r="AY489" t="s">
        <v>442</v>
      </c>
      <c r="BA489" t="s">
        <v>136</v>
      </c>
      <c r="BB489" t="s">
        <v>271</v>
      </c>
      <c r="BD489">
        <v>50</v>
      </c>
      <c r="BO489" t="s">
        <v>740</v>
      </c>
    </row>
    <row r="490" spans="1:67" x14ac:dyDescent="0.2">
      <c r="A490" t="s">
        <v>2662</v>
      </c>
      <c r="B490" t="s">
        <v>2008</v>
      </c>
      <c r="D490" t="s">
        <v>72</v>
      </c>
      <c r="E490" t="s">
        <v>96</v>
      </c>
      <c r="F490" t="s">
        <v>2099</v>
      </c>
      <c r="G490" t="s">
        <v>2100</v>
      </c>
      <c r="H490" t="s">
        <v>885</v>
      </c>
      <c r="I490" t="s">
        <v>2101</v>
      </c>
      <c r="K490">
        <v>16</v>
      </c>
      <c r="L490">
        <f>IFERROR(VLOOKUP(K490,'Tables new'!$A:$C,3,FALSE),"")</f>
        <v>34</v>
      </c>
      <c r="M490" t="str">
        <f>VLOOKUP(K490,CAT_JOUEUR,2,FALSE)</f>
        <v>U15 F</v>
      </c>
      <c r="N490">
        <v>16</v>
      </c>
      <c r="O490">
        <f>IFERROR(VLOOKUP(N490,'Tables new'!$A:$C,3,FALSE),"")</f>
        <v>34</v>
      </c>
      <c r="P490" t="str">
        <f>VLOOKUP(N490,CAT_JOUEUR,2,FALSE)</f>
        <v>U15 F</v>
      </c>
      <c r="Y490" t="s">
        <v>113</v>
      </c>
      <c r="AA490" t="s">
        <v>2663</v>
      </c>
      <c r="AH490">
        <v>43538</v>
      </c>
      <c r="AI490">
        <v>43536</v>
      </c>
      <c r="AJ490">
        <v>2027</v>
      </c>
      <c r="AK490">
        <v>41174</v>
      </c>
      <c r="AL490" t="s">
        <v>2664</v>
      </c>
      <c r="AM490" t="s">
        <v>208</v>
      </c>
      <c r="AN490" t="s">
        <v>2102</v>
      </c>
      <c r="AP490" t="s">
        <v>2665</v>
      </c>
      <c r="AQ490" t="s">
        <v>2104</v>
      </c>
      <c r="AY490" t="s">
        <v>91</v>
      </c>
      <c r="BA490" t="s">
        <v>136</v>
      </c>
      <c r="BB490" t="s">
        <v>137</v>
      </c>
      <c r="BC490" t="s">
        <v>138</v>
      </c>
      <c r="BD490">
        <v>100</v>
      </c>
    </row>
    <row r="491" spans="1:67" x14ac:dyDescent="0.2">
      <c r="A491" t="s">
        <v>2666</v>
      </c>
      <c r="B491" t="s">
        <v>2667</v>
      </c>
      <c r="D491" t="s">
        <v>72</v>
      </c>
      <c r="E491" t="s">
        <v>96</v>
      </c>
      <c r="F491" t="s">
        <v>2099</v>
      </c>
      <c r="G491" t="s">
        <v>2100</v>
      </c>
      <c r="H491" t="s">
        <v>885</v>
      </c>
      <c r="I491" t="s">
        <v>2101</v>
      </c>
      <c r="K491">
        <v>212</v>
      </c>
      <c r="L491">
        <f>IFERROR(VLOOKUP(K491,'Tables new'!$A:$C,3,FALSE),"")</f>
        <v>70</v>
      </c>
      <c r="M491" t="str">
        <f>VLOOKUP(K491,CAT_JOUEUR,2,FALSE)</f>
        <v>Contact famille</v>
      </c>
      <c r="N491">
        <v>212</v>
      </c>
      <c r="O491">
        <f>IFERROR(VLOOKUP(N491,'Tables new'!$A:$C,3,FALSE),"")</f>
        <v>70</v>
      </c>
      <c r="P491" t="str">
        <f>VLOOKUP(N491,CAT_JOUEUR,2,FALSE)</f>
        <v>Contact famille</v>
      </c>
      <c r="Y491" t="s">
        <v>89</v>
      </c>
      <c r="AH491" t="s">
        <v>78</v>
      </c>
      <c r="AI491" t="s">
        <v>78</v>
      </c>
      <c r="AJ491" t="s">
        <v>78</v>
      </c>
      <c r="AK491" t="s">
        <v>78</v>
      </c>
      <c r="AL491" t="s">
        <v>79</v>
      </c>
      <c r="AN491" t="s">
        <v>2102</v>
      </c>
      <c r="AP491" t="s">
        <v>2103</v>
      </c>
      <c r="AQ491" t="s">
        <v>2668</v>
      </c>
      <c r="AY491" t="s">
        <v>91</v>
      </c>
      <c r="BA491" t="s">
        <v>136</v>
      </c>
      <c r="BB491" t="s">
        <v>137</v>
      </c>
      <c r="BD491" t="s">
        <v>139</v>
      </c>
    </row>
    <row r="492" spans="1:67" x14ac:dyDescent="0.2">
      <c r="A492" t="s">
        <v>2669</v>
      </c>
      <c r="B492" t="s">
        <v>2670</v>
      </c>
      <c r="D492" t="s">
        <v>72</v>
      </c>
      <c r="E492" t="s">
        <v>96</v>
      </c>
      <c r="F492" t="s">
        <v>2671</v>
      </c>
      <c r="G492" t="s">
        <v>2672</v>
      </c>
      <c r="H492" t="s">
        <v>1393</v>
      </c>
      <c r="I492" t="s">
        <v>2673</v>
      </c>
      <c r="K492">
        <v>6</v>
      </c>
      <c r="L492">
        <f>IFERROR(VLOOKUP(K492,'Tables new'!$A:$C,3,FALSE),"")</f>
        <v>15</v>
      </c>
      <c r="M492" t="str">
        <f>VLOOKUP(K492,CAT_JOUEUR,2,FALSE)</f>
        <v>U 13 H</v>
      </c>
      <c r="N492">
        <v>6</v>
      </c>
      <c r="O492">
        <f>IFERROR(VLOOKUP(N492,'Tables new'!$A:$C,3,FALSE),"")</f>
        <v>15</v>
      </c>
      <c r="P492" t="str">
        <f>VLOOKUP(N492,CAT_JOUEUR,2,FALSE)</f>
        <v>U 13 H</v>
      </c>
      <c r="T492" t="s">
        <v>113</v>
      </c>
      <c r="AA492" t="s">
        <v>2674</v>
      </c>
      <c r="AH492">
        <v>45572</v>
      </c>
      <c r="AI492">
        <v>45567</v>
      </c>
      <c r="AJ492">
        <v>2029</v>
      </c>
      <c r="AK492">
        <v>41801</v>
      </c>
      <c r="AL492" t="s">
        <v>2675</v>
      </c>
      <c r="AO492" t="s">
        <v>2676</v>
      </c>
      <c r="AP492" t="s">
        <v>2677</v>
      </c>
      <c r="AQ492" t="s">
        <v>2678</v>
      </c>
    </row>
    <row r="493" spans="1:67" x14ac:dyDescent="0.2">
      <c r="A493" t="s">
        <v>2669</v>
      </c>
      <c r="B493" t="s">
        <v>2679</v>
      </c>
      <c r="D493" t="s">
        <v>72</v>
      </c>
      <c r="E493" t="s">
        <v>96</v>
      </c>
      <c r="F493" t="s">
        <v>2671</v>
      </c>
      <c r="G493" t="s">
        <v>2672</v>
      </c>
      <c r="H493" t="s">
        <v>1393</v>
      </c>
      <c r="I493" t="s">
        <v>2673</v>
      </c>
      <c r="K493">
        <v>212</v>
      </c>
      <c r="L493">
        <f>IFERROR(VLOOKUP(K493,'Tables new'!$A:$C,3,FALSE),"")</f>
        <v>70</v>
      </c>
      <c r="M493" t="str">
        <f>VLOOKUP(K493,CAT_JOUEUR,2,FALSE)</f>
        <v>Contact famille</v>
      </c>
      <c r="N493">
        <v>212</v>
      </c>
      <c r="O493">
        <f>IFERROR(VLOOKUP(N493,'Tables new'!$A:$C,3,FALSE),"")</f>
        <v>70</v>
      </c>
      <c r="P493" t="str">
        <f>VLOOKUP(N493,CAT_JOUEUR,2,FALSE)</f>
        <v>Contact famille</v>
      </c>
      <c r="T493" t="s">
        <v>89</v>
      </c>
      <c r="AH493" t="s">
        <v>78</v>
      </c>
      <c r="AI493" t="s">
        <v>78</v>
      </c>
      <c r="AJ493" t="s">
        <v>78</v>
      </c>
      <c r="AK493">
        <v>27359</v>
      </c>
      <c r="AL493" t="s">
        <v>2680</v>
      </c>
      <c r="AP493">
        <v>691515871</v>
      </c>
      <c r="AQ493" t="s">
        <v>2681</v>
      </c>
    </row>
    <row r="494" spans="1:67" x14ac:dyDescent="0.2">
      <c r="A494" t="s">
        <v>2669</v>
      </c>
      <c r="B494" t="s">
        <v>2682</v>
      </c>
      <c r="D494" t="s">
        <v>72</v>
      </c>
      <c r="E494" t="s">
        <v>96</v>
      </c>
      <c r="F494" t="s">
        <v>2671</v>
      </c>
      <c r="G494" t="s">
        <v>2672</v>
      </c>
      <c r="H494" t="s">
        <v>1393</v>
      </c>
      <c r="I494" t="s">
        <v>2673</v>
      </c>
      <c r="K494">
        <v>11</v>
      </c>
      <c r="L494">
        <f>IFERROR(VLOOKUP(K494,'Tables new'!$A:$C,3,FALSE),"")</f>
        <v>4</v>
      </c>
      <c r="M494" t="str">
        <f>VLOOKUP(K494,CAT_JOUEUR,2,FALSE)</f>
        <v>Officiel FE</v>
      </c>
      <c r="N494">
        <v>11</v>
      </c>
      <c r="O494">
        <f>IFERROR(VLOOKUP(N494,'Tables new'!$A:$C,3,FALSE),"")</f>
        <v>4</v>
      </c>
      <c r="P494" t="str">
        <f>VLOOKUP(N494,CAT_JOUEUR,2,FALSE)</f>
        <v>Officiel FE</v>
      </c>
      <c r="T494" t="s">
        <v>89</v>
      </c>
      <c r="AB494" t="s">
        <v>2683</v>
      </c>
      <c r="AC494" t="s">
        <v>2683</v>
      </c>
      <c r="AF494" t="s">
        <v>223</v>
      </c>
      <c r="AH494">
        <v>45943</v>
      </c>
      <c r="AI494">
        <v>45567</v>
      </c>
      <c r="AJ494" t="s">
        <v>78</v>
      </c>
      <c r="AK494">
        <v>28559</v>
      </c>
      <c r="AL494" t="s">
        <v>2684</v>
      </c>
      <c r="AP494">
        <v>691458246</v>
      </c>
      <c r="AQ494" t="s">
        <v>2678</v>
      </c>
    </row>
    <row r="495" spans="1:67" x14ac:dyDescent="0.2">
      <c r="A495" t="s">
        <v>2685</v>
      </c>
      <c r="B495" t="s">
        <v>2686</v>
      </c>
      <c r="D495" t="s">
        <v>72</v>
      </c>
      <c r="E495" t="s">
        <v>2687</v>
      </c>
      <c r="F495" t="s">
        <v>130</v>
      </c>
      <c r="G495" t="s">
        <v>131</v>
      </c>
      <c r="H495" t="s">
        <v>132</v>
      </c>
      <c r="I495" t="s">
        <v>133</v>
      </c>
      <c r="K495">
        <v>212</v>
      </c>
      <c r="L495">
        <f>IFERROR(VLOOKUP(K495,'Tables new'!$A:$C,3,FALSE),"")</f>
        <v>70</v>
      </c>
      <c r="M495" t="str">
        <f>VLOOKUP(K495,CAT_JOUEUR,2,FALSE)</f>
        <v>Contact famille</v>
      </c>
      <c r="N495">
        <v>212</v>
      </c>
      <c r="O495">
        <f>IFERROR(VLOOKUP(N495,'Tables new'!$A:$C,3,FALSE),"")</f>
        <v>70</v>
      </c>
      <c r="P495" t="str">
        <f>VLOOKUP(N495,CAT_JOUEUR,2,FALSE)</f>
        <v>Contact famille</v>
      </c>
      <c r="X495" t="s">
        <v>89</v>
      </c>
      <c r="Z495" t="s">
        <v>89</v>
      </c>
      <c r="AH495" t="s">
        <v>78</v>
      </c>
      <c r="AI495">
        <v>43500</v>
      </c>
      <c r="AJ495" t="s">
        <v>78</v>
      </c>
      <c r="AK495" t="s">
        <v>78</v>
      </c>
      <c r="AL495" t="s">
        <v>79</v>
      </c>
      <c r="AP495" t="s">
        <v>2688</v>
      </c>
      <c r="AQ495" t="s">
        <v>2689</v>
      </c>
      <c r="AY495" t="s">
        <v>91</v>
      </c>
      <c r="BA495" t="s">
        <v>136</v>
      </c>
      <c r="BB495" t="s">
        <v>137</v>
      </c>
      <c r="BD495" t="s">
        <v>139</v>
      </c>
    </row>
    <row r="496" spans="1:67" x14ac:dyDescent="0.2">
      <c r="A496" t="s">
        <v>2690</v>
      </c>
      <c r="B496" t="s">
        <v>1449</v>
      </c>
      <c r="D496" t="s">
        <v>72</v>
      </c>
      <c r="E496" t="s">
        <v>96</v>
      </c>
      <c r="F496" t="s">
        <v>2691</v>
      </c>
      <c r="G496" t="s">
        <v>2692</v>
      </c>
      <c r="H496" t="s">
        <v>2693</v>
      </c>
      <c r="I496" t="s">
        <v>145</v>
      </c>
      <c r="K496">
        <v>2</v>
      </c>
      <c r="L496">
        <f>IFERROR(VLOOKUP(K496,'Tables new'!$A:$C,3,FALSE),"")</f>
        <v>11</v>
      </c>
      <c r="M496" t="str">
        <f>VLOOKUP(K496,CAT_JOUEUR,2,FALSE)</f>
        <v>Seniors - HO</v>
      </c>
      <c r="N496">
        <v>2</v>
      </c>
      <c r="O496">
        <f>IFERROR(VLOOKUP(N496,'Tables new'!$A:$C,3,FALSE),"")</f>
        <v>11</v>
      </c>
      <c r="P496" t="str">
        <f>VLOOKUP(N496,CAT_JOUEUR,2,FALSE)</f>
        <v>Seniors - HO</v>
      </c>
      <c r="AA496" t="s">
        <v>2694</v>
      </c>
      <c r="AB496" t="s">
        <v>2695</v>
      </c>
      <c r="AC496" t="s">
        <v>2695</v>
      </c>
      <c r="AH496">
        <v>35668</v>
      </c>
      <c r="AI496">
        <v>35668</v>
      </c>
      <c r="AJ496">
        <v>2026</v>
      </c>
      <c r="AK496">
        <v>33134</v>
      </c>
      <c r="AL496" t="s">
        <v>2696</v>
      </c>
      <c r="AM496" t="s">
        <v>473</v>
      </c>
      <c r="AN496" t="s">
        <v>2697</v>
      </c>
      <c r="AO496" t="s">
        <v>2698</v>
      </c>
      <c r="AP496" t="s">
        <v>2699</v>
      </c>
      <c r="AQ496" t="s">
        <v>2700</v>
      </c>
      <c r="AY496" t="s">
        <v>674</v>
      </c>
      <c r="BA496" t="s">
        <v>136</v>
      </c>
      <c r="BB496" t="s">
        <v>137</v>
      </c>
      <c r="BC496" t="s">
        <v>138</v>
      </c>
      <c r="BD496" t="s">
        <v>783</v>
      </c>
      <c r="BO496" t="s">
        <v>1400</v>
      </c>
    </row>
    <row r="497" spans="1:43" x14ac:dyDescent="0.2">
      <c r="A497" t="s">
        <v>2701</v>
      </c>
      <c r="B497" t="s">
        <v>2702</v>
      </c>
      <c r="D497" t="s">
        <v>72</v>
      </c>
      <c r="E497" t="s">
        <v>398</v>
      </c>
      <c r="F497" t="s">
        <v>2343</v>
      </c>
      <c r="G497" t="s">
        <v>112</v>
      </c>
      <c r="H497" t="s">
        <v>108</v>
      </c>
      <c r="I497" t="s">
        <v>2344</v>
      </c>
      <c r="K497">
        <v>212</v>
      </c>
      <c r="L497">
        <f>IFERROR(VLOOKUP(K497,'Tables new'!$A:$C,3,FALSE),"")</f>
        <v>70</v>
      </c>
      <c r="M497" t="str">
        <f>VLOOKUP(K497,CAT_JOUEUR,2,FALSE)</f>
        <v>Contact famille</v>
      </c>
      <c r="N497">
        <v>212</v>
      </c>
      <c r="O497">
        <f>IFERROR(VLOOKUP(N497,'Tables new'!$A:$C,3,FALSE),"")</f>
        <v>70</v>
      </c>
      <c r="P497" t="str">
        <f>VLOOKUP(N497,CAT_JOUEUR,2,FALSE)</f>
        <v>Contact famille</v>
      </c>
      <c r="W497" t="s">
        <v>89</v>
      </c>
      <c r="AH497" t="s">
        <v>78</v>
      </c>
      <c r="AI497" t="s">
        <v>78</v>
      </c>
      <c r="AJ497" t="s">
        <v>78</v>
      </c>
      <c r="AK497" t="s">
        <v>78</v>
      </c>
      <c r="AL497" t="s">
        <v>79</v>
      </c>
      <c r="AP497">
        <v>661364016</v>
      </c>
      <c r="AQ497" t="s">
        <v>2345</v>
      </c>
    </row>
    <row r="498" spans="1:43" x14ac:dyDescent="0.2">
      <c r="A498" t="s">
        <v>2703</v>
      </c>
      <c r="B498" t="s">
        <v>2704</v>
      </c>
      <c r="D498" t="s">
        <v>72</v>
      </c>
      <c r="E498" t="s">
        <v>398</v>
      </c>
      <c r="F498" t="s">
        <v>2343</v>
      </c>
      <c r="G498" t="s">
        <v>112</v>
      </c>
      <c r="H498" t="s">
        <v>108</v>
      </c>
      <c r="I498" t="s">
        <v>2344</v>
      </c>
      <c r="K498">
        <v>21</v>
      </c>
      <c r="L498">
        <f>IFERROR(VLOOKUP(K498,'Tables new'!$A:$C,3,FALSE),"")</f>
        <v>18</v>
      </c>
      <c r="M498" t="str">
        <f>VLOOKUP(K498,CAT_JOUEUR,2,FALSE)</f>
        <v>U7 Mixte</v>
      </c>
      <c r="N498">
        <v>21</v>
      </c>
      <c r="O498">
        <f>IFERROR(VLOOKUP(N498,'Tables new'!$A:$C,3,FALSE),"")</f>
        <v>18</v>
      </c>
      <c r="P498" t="str">
        <f>VLOOKUP(N498,CAT_JOUEUR,2,FALSE)</f>
        <v>U7 Mixte</v>
      </c>
      <c r="W498" t="s">
        <v>113</v>
      </c>
      <c r="AA498" t="s">
        <v>2705</v>
      </c>
      <c r="AF498" t="s">
        <v>223</v>
      </c>
      <c r="AH498">
        <v>46180</v>
      </c>
      <c r="AI498">
        <v>46164</v>
      </c>
      <c r="AJ498">
        <v>2029</v>
      </c>
      <c r="AK498">
        <v>44846</v>
      </c>
      <c r="AL498" t="s">
        <v>2706</v>
      </c>
      <c r="AO498" t="s">
        <v>2707</v>
      </c>
      <c r="AP498" t="s">
        <v>2708</v>
      </c>
      <c r="AQ498" t="s">
        <v>2345</v>
      </c>
    </row>
    <row r="499" spans="1:43" x14ac:dyDescent="0.2">
      <c r="A499" t="s">
        <v>2709</v>
      </c>
      <c r="B499" t="s">
        <v>2710</v>
      </c>
      <c r="D499" t="s">
        <v>2045</v>
      </c>
      <c r="E499" t="s">
        <v>446</v>
      </c>
      <c r="F499" t="s">
        <v>2046</v>
      </c>
      <c r="G499" t="s">
        <v>2711</v>
      </c>
      <c r="H499" t="s">
        <v>828</v>
      </c>
      <c r="I499" t="s">
        <v>2048</v>
      </c>
      <c r="K499">
        <v>21</v>
      </c>
      <c r="L499">
        <f>IFERROR(VLOOKUP(K499,'Tables new'!$A:$C,3,FALSE),"")</f>
        <v>18</v>
      </c>
      <c r="M499" t="str">
        <f>VLOOKUP(K499,CAT_JOUEUR,2,FALSE)</f>
        <v>U7 Mixte</v>
      </c>
      <c r="N499">
        <v>21</v>
      </c>
      <c r="O499">
        <f>IFERROR(VLOOKUP(N499,'Tables new'!$A:$C,3,FALSE),"")</f>
        <v>18</v>
      </c>
      <c r="P499" t="str">
        <f>VLOOKUP(N499,CAT_JOUEUR,2,FALSE)</f>
        <v>U7 Mixte</v>
      </c>
      <c r="W499" t="s">
        <v>113</v>
      </c>
      <c r="AA499" t="s">
        <v>155</v>
      </c>
      <c r="AF499" t="s">
        <v>2460</v>
      </c>
      <c r="AI499">
        <v>45940</v>
      </c>
      <c r="AJ499">
        <v>2028</v>
      </c>
      <c r="AK499">
        <v>44439</v>
      </c>
      <c r="AL499" t="s">
        <v>2712</v>
      </c>
      <c r="AO499" t="s">
        <v>2713</v>
      </c>
      <c r="AP499" t="s">
        <v>2714</v>
      </c>
      <c r="AQ499" t="s">
        <v>2049</v>
      </c>
    </row>
    <row r="500" spans="1:43" x14ac:dyDescent="0.2">
      <c r="A500" t="s">
        <v>2709</v>
      </c>
      <c r="B500" t="s">
        <v>2715</v>
      </c>
      <c r="D500" t="s">
        <v>2045</v>
      </c>
      <c r="E500" t="s">
        <v>446</v>
      </c>
      <c r="F500" t="s">
        <v>2046</v>
      </c>
      <c r="G500" t="s">
        <v>2716</v>
      </c>
      <c r="H500" t="s">
        <v>828</v>
      </c>
      <c r="I500" t="s">
        <v>2048</v>
      </c>
      <c r="K500">
        <v>212</v>
      </c>
      <c r="L500">
        <f>IFERROR(VLOOKUP(K500,'Tables new'!$A:$C,3,FALSE),"")</f>
        <v>70</v>
      </c>
      <c r="M500" t="str">
        <f>VLOOKUP(K500,CAT_JOUEUR,2,FALSE)</f>
        <v>Contact famille</v>
      </c>
      <c r="N500">
        <v>212</v>
      </c>
      <c r="O500">
        <f>IFERROR(VLOOKUP(N500,'Tables new'!$A:$C,3,FALSE),"")</f>
        <v>70</v>
      </c>
      <c r="P500" t="str">
        <f>VLOOKUP(N500,CAT_JOUEUR,2,FALSE)</f>
        <v>Contact famille</v>
      </c>
      <c r="W500" t="s">
        <v>89</v>
      </c>
      <c r="AH500" t="s">
        <v>78</v>
      </c>
      <c r="AI500" t="s">
        <v>78</v>
      </c>
      <c r="AJ500" t="s">
        <v>78</v>
      </c>
      <c r="AK500" t="s">
        <v>78</v>
      </c>
      <c r="AL500" t="s">
        <v>79</v>
      </c>
      <c r="AP500">
        <v>691237513</v>
      </c>
      <c r="AQ500" t="s">
        <v>2049</v>
      </c>
    </row>
    <row r="501" spans="1:43" x14ac:dyDescent="0.2">
      <c r="A501" t="s">
        <v>2709</v>
      </c>
      <c r="B501" t="s">
        <v>2717</v>
      </c>
      <c r="D501" t="s">
        <v>2045</v>
      </c>
      <c r="E501" t="s">
        <v>446</v>
      </c>
      <c r="F501" t="s">
        <v>2046</v>
      </c>
      <c r="G501" t="s">
        <v>2718</v>
      </c>
      <c r="H501" t="s">
        <v>828</v>
      </c>
      <c r="I501" t="s">
        <v>2048</v>
      </c>
      <c r="K501">
        <v>21</v>
      </c>
      <c r="L501">
        <f>IFERROR(VLOOKUP(K501,'Tables new'!$A:$C,3,FALSE),"")</f>
        <v>18</v>
      </c>
      <c r="M501" t="str">
        <f>VLOOKUP(K501,CAT_JOUEUR,2,FALSE)</f>
        <v>U7 Mixte</v>
      </c>
      <c r="N501">
        <v>21</v>
      </c>
      <c r="O501">
        <f>IFERROR(VLOOKUP(N501,'Tables new'!$A:$C,3,FALSE),"")</f>
        <v>18</v>
      </c>
      <c r="P501" t="str">
        <f>VLOOKUP(N501,CAT_JOUEUR,2,FALSE)</f>
        <v>U7 Mixte</v>
      </c>
      <c r="W501" t="s">
        <v>113</v>
      </c>
      <c r="AA501" t="s">
        <v>155</v>
      </c>
      <c r="AF501" t="s">
        <v>2460</v>
      </c>
      <c r="AI501">
        <v>45940</v>
      </c>
      <c r="AJ501">
        <v>2030</v>
      </c>
      <c r="AK501">
        <v>44963</v>
      </c>
      <c r="AL501" t="s">
        <v>2719</v>
      </c>
      <c r="AO501" t="s">
        <v>2713</v>
      </c>
      <c r="AP501" t="s">
        <v>2714</v>
      </c>
      <c r="AQ501" t="s">
        <v>2049</v>
      </c>
    </row>
    <row r="502" spans="1:43" x14ac:dyDescent="0.2">
      <c r="A502" t="s">
        <v>2720</v>
      </c>
      <c r="B502" t="s">
        <v>407</v>
      </c>
      <c r="D502" t="s">
        <v>72</v>
      </c>
      <c r="E502" t="s">
        <v>96</v>
      </c>
      <c r="F502" t="s">
        <v>1906</v>
      </c>
      <c r="G502" t="s">
        <v>583</v>
      </c>
      <c r="H502" t="s">
        <v>1352</v>
      </c>
      <c r="I502" t="s">
        <v>1907</v>
      </c>
      <c r="K502">
        <v>212</v>
      </c>
      <c r="L502">
        <f>IFERROR(VLOOKUP(K502,'Tables new'!$A:$C,3,FALSE),"")</f>
        <v>70</v>
      </c>
      <c r="M502" t="str">
        <f>VLOOKUP(K502,CAT_JOUEUR,2,FALSE)</f>
        <v>Contact famille</v>
      </c>
      <c r="N502">
        <v>212</v>
      </c>
      <c r="O502">
        <f>IFERROR(VLOOKUP(N502,'Tables new'!$A:$C,3,FALSE),"")</f>
        <v>70</v>
      </c>
      <c r="P502" t="str">
        <f>VLOOKUP(N502,CAT_JOUEUR,2,FALSE)</f>
        <v>Contact famille</v>
      </c>
      <c r="W502" t="s">
        <v>89</v>
      </c>
      <c r="AH502" t="s">
        <v>78</v>
      </c>
      <c r="AI502" t="s">
        <v>78</v>
      </c>
      <c r="AJ502" t="s">
        <v>78</v>
      </c>
      <c r="AK502" t="s">
        <v>78</v>
      </c>
      <c r="AL502" t="s">
        <v>79</v>
      </c>
      <c r="AP502">
        <v>691629882</v>
      </c>
      <c r="AQ502" t="s">
        <v>1908</v>
      </c>
    </row>
    <row r="503" spans="1:43" x14ac:dyDescent="0.2">
      <c r="A503" t="s">
        <v>2721</v>
      </c>
      <c r="B503" t="s">
        <v>2722</v>
      </c>
      <c r="D503" t="s">
        <v>72</v>
      </c>
      <c r="E503" t="s">
        <v>274</v>
      </c>
      <c r="F503" t="s">
        <v>2219</v>
      </c>
      <c r="G503" t="s">
        <v>1581</v>
      </c>
      <c r="H503" t="s">
        <v>885</v>
      </c>
      <c r="I503" t="s">
        <v>2220</v>
      </c>
      <c r="K503">
        <v>212</v>
      </c>
      <c r="L503">
        <f>IFERROR(VLOOKUP(K503,'Tables new'!$A:$C,3,FALSE),"")</f>
        <v>70</v>
      </c>
      <c r="M503" t="str">
        <f>VLOOKUP(K503,CAT_JOUEUR,2,FALSE)</f>
        <v>Contact famille</v>
      </c>
      <c r="N503">
        <v>212</v>
      </c>
      <c r="O503">
        <f>IFERROR(VLOOKUP(N503,'Tables new'!$A:$C,3,FALSE),"")</f>
        <v>70</v>
      </c>
      <c r="P503" t="str">
        <f>VLOOKUP(N503,CAT_JOUEUR,2,FALSE)</f>
        <v>Contact famille</v>
      </c>
      <c r="V503" t="s">
        <v>89</v>
      </c>
      <c r="W503" t="s">
        <v>89</v>
      </c>
      <c r="AH503" t="s">
        <v>78</v>
      </c>
      <c r="AI503" t="s">
        <v>78</v>
      </c>
      <c r="AJ503" t="s">
        <v>78</v>
      </c>
      <c r="AK503" t="s">
        <v>78</v>
      </c>
      <c r="AL503" t="s">
        <v>79</v>
      </c>
      <c r="AP503">
        <v>691614744</v>
      </c>
      <c r="AQ503" t="s">
        <v>2229</v>
      </c>
    </row>
    <row r="504" spans="1:43" x14ac:dyDescent="0.2">
      <c r="A504" t="s">
        <v>2723</v>
      </c>
      <c r="B504" t="s">
        <v>2724</v>
      </c>
      <c r="D504" t="s">
        <v>72</v>
      </c>
      <c r="E504" t="s">
        <v>96</v>
      </c>
      <c r="F504" t="s">
        <v>2725</v>
      </c>
      <c r="G504" t="s">
        <v>2726</v>
      </c>
      <c r="H504" t="s">
        <v>2727</v>
      </c>
      <c r="I504" t="s">
        <v>145</v>
      </c>
      <c r="K504">
        <v>2</v>
      </c>
      <c r="L504">
        <f>IFERROR(VLOOKUP(K504,'Tables new'!$A:$C,3,FALSE),"")</f>
        <v>11</v>
      </c>
      <c r="M504" t="str">
        <f>VLOOKUP(K504,CAT_JOUEUR,2,FALSE)</f>
        <v>Seniors - HO</v>
      </c>
      <c r="N504">
        <v>2</v>
      </c>
      <c r="O504">
        <f>IFERROR(VLOOKUP(N504,'Tables new'!$A:$C,3,FALSE),"")</f>
        <v>11</v>
      </c>
      <c r="P504" t="str">
        <f>VLOOKUP(N504,CAT_JOUEUR,2,FALSE)</f>
        <v>Seniors - HO</v>
      </c>
      <c r="AA504" t="s">
        <v>2728</v>
      </c>
      <c r="AH504">
        <v>40522</v>
      </c>
      <c r="AI504">
        <v>45139</v>
      </c>
      <c r="AJ504">
        <v>2031</v>
      </c>
      <c r="AK504">
        <v>37058</v>
      </c>
      <c r="AL504" t="s">
        <v>2729</v>
      </c>
      <c r="AP504">
        <v>691203081</v>
      </c>
      <c r="AQ504" t="s">
        <v>2730</v>
      </c>
    </row>
    <row r="505" spans="1:43" x14ac:dyDescent="0.2">
      <c r="A505" t="s">
        <v>2731</v>
      </c>
      <c r="B505" t="s">
        <v>2732</v>
      </c>
      <c r="D505" t="s">
        <v>72</v>
      </c>
      <c r="E505" t="s">
        <v>795</v>
      </c>
      <c r="F505" t="s">
        <v>790</v>
      </c>
      <c r="G505" t="s">
        <v>791</v>
      </c>
      <c r="H505" t="s">
        <v>792</v>
      </c>
      <c r="I505" t="s">
        <v>793</v>
      </c>
      <c r="K505">
        <v>212</v>
      </c>
      <c r="L505">
        <f>IFERROR(VLOOKUP(K505,'Tables new'!$A:$C,3,FALSE),"")</f>
        <v>70</v>
      </c>
      <c r="M505" t="str">
        <f>VLOOKUP(K505,CAT_JOUEUR,2,FALSE)</f>
        <v>Contact famille</v>
      </c>
      <c r="O505">
        <f>IFERROR(VLOOKUP(N505,'Tables new'!$A:$C,3,FALSE),"")</f>
        <v>0</v>
      </c>
      <c r="P505" t="str">
        <f>VLOOKUP(N505,CAT_JOUEUR,2,FALSE)</f>
        <v>CAT à compléter</v>
      </c>
      <c r="AH505" t="s">
        <v>78</v>
      </c>
      <c r="AI505" t="s">
        <v>78</v>
      </c>
      <c r="AJ505" t="s">
        <v>78</v>
      </c>
      <c r="AK505" t="s">
        <v>78</v>
      </c>
      <c r="AL505" t="s">
        <v>79</v>
      </c>
      <c r="AP505">
        <v>691303444</v>
      </c>
      <c r="AQ505" t="s">
        <v>2733</v>
      </c>
    </row>
    <row r="506" spans="1:43" x14ac:dyDescent="0.2">
      <c r="A506" t="s">
        <v>2734</v>
      </c>
      <c r="B506" t="s">
        <v>1952</v>
      </c>
      <c r="D506" t="s">
        <v>72</v>
      </c>
      <c r="E506" t="s">
        <v>96</v>
      </c>
      <c r="F506" t="s">
        <v>2443</v>
      </c>
      <c r="G506" t="s">
        <v>2735</v>
      </c>
      <c r="H506" t="s">
        <v>2736</v>
      </c>
      <c r="I506" t="s">
        <v>2737</v>
      </c>
      <c r="K506">
        <v>5</v>
      </c>
      <c r="L506">
        <f>IFERROR(VLOOKUP(K506,'Tables new'!$A:$C,3,FALSE),"")</f>
        <v>14</v>
      </c>
      <c r="M506" t="str">
        <f>VLOOKUP(K506,CAT_JOUEUR,2,FALSE)</f>
        <v>U 15 H</v>
      </c>
      <c r="N506">
        <v>5</v>
      </c>
      <c r="O506">
        <f>IFERROR(VLOOKUP(N506,'Tables new'!$A:$C,3,FALSE),"")</f>
        <v>14</v>
      </c>
      <c r="P506" t="str">
        <f>VLOOKUP(N506,CAT_JOUEUR,2,FALSE)</f>
        <v>U 15 H</v>
      </c>
      <c r="S506" t="s">
        <v>113</v>
      </c>
      <c r="AA506" t="s">
        <v>2738</v>
      </c>
      <c r="AH506">
        <v>45201</v>
      </c>
      <c r="AI506">
        <v>45194</v>
      </c>
      <c r="AJ506">
        <v>2025</v>
      </c>
      <c r="AK506">
        <v>41321</v>
      </c>
      <c r="AL506" t="s">
        <v>2739</v>
      </c>
      <c r="AP506" t="s">
        <v>2740</v>
      </c>
      <c r="AQ506" t="s">
        <v>2741</v>
      </c>
    </row>
    <row r="507" spans="1:43" x14ac:dyDescent="0.2">
      <c r="A507" t="s">
        <v>2734</v>
      </c>
      <c r="B507" t="s">
        <v>211</v>
      </c>
      <c r="D507" t="s">
        <v>72</v>
      </c>
      <c r="E507" t="s">
        <v>96</v>
      </c>
      <c r="F507" t="s">
        <v>2443</v>
      </c>
      <c r="G507" t="s">
        <v>2735</v>
      </c>
      <c r="H507" t="s">
        <v>2736</v>
      </c>
      <c r="I507" t="s">
        <v>2737</v>
      </c>
      <c r="K507">
        <v>212</v>
      </c>
      <c r="L507">
        <f>IFERROR(VLOOKUP(K507,'Tables new'!$A:$C,3,FALSE),"")</f>
        <v>70</v>
      </c>
      <c r="M507" t="str">
        <f>VLOOKUP(K507,CAT_JOUEUR,2,FALSE)</f>
        <v>Contact famille</v>
      </c>
      <c r="N507">
        <v>212</v>
      </c>
      <c r="O507">
        <f>IFERROR(VLOOKUP(N507,'Tables new'!$A:$C,3,FALSE),"")</f>
        <v>70</v>
      </c>
      <c r="P507" t="str">
        <f>VLOOKUP(N507,CAT_JOUEUR,2,FALSE)</f>
        <v>Contact famille</v>
      </c>
      <c r="S507" t="s">
        <v>89</v>
      </c>
      <c r="AH507" t="s">
        <v>78</v>
      </c>
      <c r="AI507" t="s">
        <v>78</v>
      </c>
      <c r="AJ507" t="s">
        <v>78</v>
      </c>
      <c r="AK507" t="s">
        <v>78</v>
      </c>
      <c r="AL507" t="s">
        <v>79</v>
      </c>
      <c r="AP507">
        <v>622734508</v>
      </c>
      <c r="AQ507" t="s">
        <v>2741</v>
      </c>
    </row>
    <row r="508" spans="1:43" x14ac:dyDescent="0.2">
      <c r="A508" t="s">
        <v>2742</v>
      </c>
      <c r="B508" t="s">
        <v>2743</v>
      </c>
      <c r="D508" t="s">
        <v>72</v>
      </c>
      <c r="E508" t="s">
        <v>96</v>
      </c>
      <c r="F508" t="s">
        <v>2744</v>
      </c>
      <c r="G508" t="s">
        <v>2745</v>
      </c>
      <c r="H508" t="s">
        <v>2746</v>
      </c>
      <c r="I508" t="s">
        <v>145</v>
      </c>
      <c r="K508">
        <v>2</v>
      </c>
      <c r="L508">
        <f>IFERROR(VLOOKUP(K508,'Tables new'!$A:$C,3,FALSE),"")</f>
        <v>11</v>
      </c>
      <c r="M508" t="str">
        <f>VLOOKUP(K508,CAT_JOUEUR,2,FALSE)</f>
        <v>Seniors - HO</v>
      </c>
      <c r="N508">
        <v>2</v>
      </c>
      <c r="O508">
        <f>IFERROR(VLOOKUP(N508,'Tables new'!$A:$C,3,FALSE),"")</f>
        <v>11</v>
      </c>
      <c r="P508" t="str">
        <f>VLOOKUP(N508,CAT_JOUEUR,2,FALSE)</f>
        <v>Seniors - HO</v>
      </c>
      <c r="AA508" t="s">
        <v>2747</v>
      </c>
      <c r="AH508">
        <v>44061</v>
      </c>
      <c r="AI508">
        <v>43741</v>
      </c>
      <c r="AJ508">
        <v>2030</v>
      </c>
      <c r="AK508">
        <v>36642</v>
      </c>
      <c r="AL508" t="s">
        <v>2748</v>
      </c>
      <c r="AN508" t="s">
        <v>2749</v>
      </c>
      <c r="AP508" t="s">
        <v>2750</v>
      </c>
      <c r="AQ508" t="s">
        <v>2751</v>
      </c>
    </row>
    <row r="509" spans="1:43" x14ac:dyDescent="0.2">
      <c r="A509" t="s">
        <v>2752</v>
      </c>
      <c r="B509" t="s">
        <v>899</v>
      </c>
      <c r="D509" t="s">
        <v>72</v>
      </c>
      <c r="E509" t="s">
        <v>274</v>
      </c>
      <c r="F509" t="s">
        <v>2287</v>
      </c>
      <c r="G509" t="s">
        <v>2288</v>
      </c>
      <c r="H509" t="s">
        <v>277</v>
      </c>
      <c r="I509" t="s">
        <v>2289</v>
      </c>
      <c r="K509">
        <v>212</v>
      </c>
      <c r="L509">
        <f>IFERROR(VLOOKUP(K509,'Tables new'!$A:$C,3,FALSE),"")</f>
        <v>70</v>
      </c>
      <c r="M509" t="str">
        <f>VLOOKUP(K509,CAT_JOUEUR,2,FALSE)</f>
        <v>Contact famille</v>
      </c>
      <c r="N509">
        <v>212</v>
      </c>
      <c r="O509">
        <f>IFERROR(VLOOKUP(N509,'Tables new'!$A:$C,3,FALSE),"")</f>
        <v>70</v>
      </c>
      <c r="P509" t="str">
        <f>VLOOKUP(N509,CAT_JOUEUR,2,FALSE)</f>
        <v>Contact famille</v>
      </c>
      <c r="Y509" t="s">
        <v>89</v>
      </c>
      <c r="AH509" t="s">
        <v>78</v>
      </c>
      <c r="AI509" t="s">
        <v>78</v>
      </c>
      <c r="AJ509" t="s">
        <v>78</v>
      </c>
      <c r="AK509" t="s">
        <v>78</v>
      </c>
      <c r="AL509" t="s">
        <v>79</v>
      </c>
      <c r="AP509">
        <v>661822408</v>
      </c>
      <c r="AQ509" t="s">
        <v>2295</v>
      </c>
    </row>
    <row r="510" spans="1:43" x14ac:dyDescent="0.2">
      <c r="A510" t="s">
        <v>2753</v>
      </c>
      <c r="B510" t="s">
        <v>1145</v>
      </c>
      <c r="D510" t="s">
        <v>72</v>
      </c>
      <c r="E510" t="s">
        <v>96</v>
      </c>
      <c r="F510" t="s">
        <v>603</v>
      </c>
      <c r="G510" t="s">
        <v>455</v>
      </c>
      <c r="H510" t="s">
        <v>456</v>
      </c>
      <c r="I510" t="s">
        <v>604</v>
      </c>
      <c r="K510">
        <v>212</v>
      </c>
      <c r="L510">
        <f>IFERROR(VLOOKUP(K510,'Tables new'!$A:$C,3,FALSE),"")</f>
        <v>70</v>
      </c>
      <c r="M510" t="str">
        <f>VLOOKUP(K510,CAT_JOUEUR,2,FALSE)</f>
        <v>Contact famille</v>
      </c>
      <c r="N510">
        <v>212</v>
      </c>
      <c r="O510">
        <f>IFERROR(VLOOKUP(N510,'Tables new'!$A:$C,3,FALSE),"")</f>
        <v>70</v>
      </c>
      <c r="P510" t="str">
        <f>VLOOKUP(N510,CAT_JOUEUR,2,FALSE)</f>
        <v>Contact famille</v>
      </c>
      <c r="S510" t="s">
        <v>89</v>
      </c>
      <c r="T510" t="s">
        <v>89</v>
      </c>
      <c r="AH510" t="s">
        <v>78</v>
      </c>
      <c r="AI510" t="s">
        <v>78</v>
      </c>
      <c r="AJ510" t="s">
        <v>78</v>
      </c>
      <c r="AK510" t="s">
        <v>78</v>
      </c>
      <c r="AL510" t="s">
        <v>79</v>
      </c>
      <c r="AN510" t="s">
        <v>607</v>
      </c>
      <c r="AP510">
        <v>621724416</v>
      </c>
      <c r="AQ510" t="s">
        <v>610</v>
      </c>
    </row>
    <row r="511" spans="1:43" x14ac:dyDescent="0.2">
      <c r="A511" t="s">
        <v>2754</v>
      </c>
      <c r="B511" t="s">
        <v>2433</v>
      </c>
      <c r="D511" t="s">
        <v>72</v>
      </c>
      <c r="E511" t="s">
        <v>96</v>
      </c>
      <c r="F511" t="s">
        <v>1855</v>
      </c>
      <c r="G511" t="s">
        <v>431</v>
      </c>
      <c r="H511" t="s">
        <v>432</v>
      </c>
      <c r="I511" t="s">
        <v>1856</v>
      </c>
      <c r="K511">
        <v>212</v>
      </c>
      <c r="L511">
        <f>IFERROR(VLOOKUP(K511,'Tables new'!$A:$C,3,FALSE),"")</f>
        <v>70</v>
      </c>
      <c r="M511" t="str">
        <f>VLOOKUP(K511,CAT_JOUEUR,2,FALSE)</f>
        <v>Contact famille</v>
      </c>
      <c r="N511">
        <v>212</v>
      </c>
      <c r="O511">
        <f>IFERROR(VLOOKUP(N511,'Tables new'!$A:$C,3,FALSE),"")</f>
        <v>70</v>
      </c>
      <c r="P511" t="str">
        <f>VLOOKUP(N511,CAT_JOUEUR,2,FALSE)</f>
        <v>Contact famille</v>
      </c>
      <c r="T511" t="s">
        <v>89</v>
      </c>
      <c r="AH511" t="s">
        <v>78</v>
      </c>
      <c r="AI511" t="s">
        <v>78</v>
      </c>
      <c r="AJ511" t="s">
        <v>78</v>
      </c>
      <c r="AK511" t="s">
        <v>78</v>
      </c>
      <c r="AL511" t="s">
        <v>79</v>
      </c>
      <c r="AP511">
        <v>691457054</v>
      </c>
      <c r="AQ511" t="s">
        <v>2755</v>
      </c>
    </row>
    <row r="512" spans="1:43" x14ac:dyDescent="0.2">
      <c r="A512" t="s">
        <v>2756</v>
      </c>
      <c r="B512" t="s">
        <v>470</v>
      </c>
      <c r="D512" t="s">
        <v>72</v>
      </c>
      <c r="E512" t="s">
        <v>96</v>
      </c>
      <c r="F512" t="s">
        <v>1855</v>
      </c>
      <c r="G512" t="s">
        <v>431</v>
      </c>
      <c r="H512" t="s">
        <v>432</v>
      </c>
      <c r="I512" t="s">
        <v>1856</v>
      </c>
      <c r="K512">
        <v>6</v>
      </c>
      <c r="L512">
        <f>IFERROR(VLOOKUP(K512,'Tables new'!$A:$C,3,FALSE),"")</f>
        <v>15</v>
      </c>
      <c r="M512" t="str">
        <f>VLOOKUP(K512,CAT_JOUEUR,2,FALSE)</f>
        <v>U 13 H</v>
      </c>
      <c r="N512">
        <v>6</v>
      </c>
      <c r="O512">
        <f>IFERROR(VLOOKUP(N512,'Tables new'!$A:$C,3,FALSE),"")</f>
        <v>15</v>
      </c>
      <c r="P512" t="str">
        <f>VLOOKUP(N512,CAT_JOUEUR,2,FALSE)</f>
        <v>U 13 H</v>
      </c>
      <c r="T512" t="s">
        <v>113</v>
      </c>
      <c r="AA512" t="s">
        <v>2757</v>
      </c>
      <c r="AF512" t="s">
        <v>223</v>
      </c>
      <c r="AH512">
        <v>46162</v>
      </c>
      <c r="AI512">
        <v>46161</v>
      </c>
      <c r="AJ512">
        <v>2027</v>
      </c>
      <c r="AK512">
        <v>42208</v>
      </c>
      <c r="AL512" t="s">
        <v>2758</v>
      </c>
      <c r="AO512" t="s">
        <v>2759</v>
      </c>
      <c r="AP512" t="s">
        <v>2760</v>
      </c>
      <c r="AQ512" t="s">
        <v>2755</v>
      </c>
    </row>
    <row r="513" spans="1:67" x14ac:dyDescent="0.2">
      <c r="A513" t="s">
        <v>2761</v>
      </c>
      <c r="B513" t="s">
        <v>2762</v>
      </c>
      <c r="D513" t="s">
        <v>72</v>
      </c>
      <c r="E513" t="s">
        <v>96</v>
      </c>
      <c r="F513" t="s">
        <v>2763</v>
      </c>
      <c r="G513" t="s">
        <v>2764</v>
      </c>
      <c r="H513" t="s">
        <v>2765</v>
      </c>
      <c r="I513" t="s">
        <v>145</v>
      </c>
      <c r="K513">
        <v>12</v>
      </c>
      <c r="L513">
        <v>15</v>
      </c>
      <c r="M513" t="s">
        <v>265</v>
      </c>
      <c r="N513">
        <v>12</v>
      </c>
      <c r="O513">
        <f>IFERROR(VLOOKUP(N513,'Tables new'!$A:$C,3,FALSE),"")</f>
        <v>31</v>
      </c>
      <c r="P513" t="str">
        <f>VLOOKUP(N513,CAT_JOUEUR,2,FALSE)</f>
        <v>Femmes</v>
      </c>
      <c r="AA513" t="s">
        <v>2766</v>
      </c>
      <c r="AH513">
        <v>45785</v>
      </c>
      <c r="AI513">
        <v>45748</v>
      </c>
      <c r="AJ513">
        <v>2033</v>
      </c>
      <c r="AK513">
        <v>37881</v>
      </c>
      <c r="AL513" t="s">
        <v>2767</v>
      </c>
      <c r="AP513">
        <v>621720140</v>
      </c>
      <c r="AQ513" t="s">
        <v>2768</v>
      </c>
    </row>
    <row r="514" spans="1:67" x14ac:dyDescent="0.2">
      <c r="A514" t="s">
        <v>2769</v>
      </c>
      <c r="B514" t="s">
        <v>1942</v>
      </c>
      <c r="D514" t="s">
        <v>72</v>
      </c>
      <c r="E514" t="s">
        <v>96</v>
      </c>
      <c r="F514" t="s">
        <v>2770</v>
      </c>
      <c r="G514" t="s">
        <v>2771</v>
      </c>
      <c r="H514" t="s">
        <v>1242</v>
      </c>
      <c r="I514" t="s">
        <v>145</v>
      </c>
      <c r="K514">
        <v>150</v>
      </c>
      <c r="L514">
        <f>IFERROR(VLOOKUP(K514,'Tables new'!$A:$C,3,FALSE),"")</f>
        <v>1</v>
      </c>
      <c r="M514" t="str">
        <f>VLOOKUP(K514,CAT_JOUEUR,2,FALSE)</f>
        <v>comité</v>
      </c>
      <c r="N514">
        <v>2</v>
      </c>
      <c r="O514">
        <f>IFERROR(VLOOKUP(N514,'Tables new'!$A:$C,3,FALSE),"")</f>
        <v>11</v>
      </c>
      <c r="P514" t="str">
        <f>VLOOKUP(N514,CAT_JOUEUR,2,FALSE)</f>
        <v>Seniors - HO</v>
      </c>
      <c r="AA514" t="s">
        <v>2772</v>
      </c>
      <c r="AC514" t="s">
        <v>2772</v>
      </c>
      <c r="AH514">
        <v>45302</v>
      </c>
      <c r="AI514">
        <v>45108</v>
      </c>
      <c r="AJ514">
        <v>2031</v>
      </c>
      <c r="AK514">
        <v>37229</v>
      </c>
      <c r="AL514" t="s">
        <v>2773</v>
      </c>
      <c r="AP514">
        <v>621702377</v>
      </c>
      <c r="AQ514" t="s">
        <v>2774</v>
      </c>
      <c r="AU514" t="s">
        <v>2775</v>
      </c>
      <c r="AX514" t="s">
        <v>2776</v>
      </c>
    </row>
    <row r="515" spans="1:67" x14ac:dyDescent="0.2">
      <c r="A515" t="s">
        <v>2777</v>
      </c>
      <c r="B515" t="s">
        <v>2778</v>
      </c>
      <c r="D515" t="s">
        <v>72</v>
      </c>
      <c r="E515" t="s">
        <v>96</v>
      </c>
      <c r="F515" t="s">
        <v>2779</v>
      </c>
      <c r="G515" t="s">
        <v>2780</v>
      </c>
      <c r="H515" t="s">
        <v>2781</v>
      </c>
      <c r="I515" t="s">
        <v>2782</v>
      </c>
      <c r="K515">
        <v>1</v>
      </c>
      <c r="L515">
        <f>IFERROR(VLOOKUP(K515,'Tables new'!$A:$C,3,FALSE),"")</f>
        <v>2</v>
      </c>
      <c r="M515" t="str">
        <f>VLOOKUP(K515,CAT_JOUEUR,2,FALSE)</f>
        <v>Officiel H</v>
      </c>
      <c r="N515">
        <v>1</v>
      </c>
      <c r="O515">
        <f>IFERROR(VLOOKUP(N515,'Tables new'!$A:$C,3,FALSE),"")</f>
        <v>2</v>
      </c>
      <c r="P515" t="str">
        <f>VLOOKUP(N515,CAT_JOUEUR,2,FALSE)</f>
        <v>Officiel H</v>
      </c>
      <c r="AB515" t="s">
        <v>2783</v>
      </c>
      <c r="AC515" t="s">
        <v>2783</v>
      </c>
      <c r="AH515">
        <v>40934</v>
      </c>
      <c r="AI515">
        <v>40934</v>
      </c>
      <c r="AJ515" t="s">
        <v>534</v>
      </c>
      <c r="AK515">
        <v>24553</v>
      </c>
      <c r="AL515" t="s">
        <v>79</v>
      </c>
      <c r="AN515" t="s">
        <v>2784</v>
      </c>
      <c r="AP515" t="s">
        <v>2785</v>
      </c>
      <c r="AQ515" t="s">
        <v>2786</v>
      </c>
      <c r="AV515" t="s">
        <v>468</v>
      </c>
      <c r="AY515" t="s">
        <v>637</v>
      </c>
      <c r="BA515" t="s">
        <v>136</v>
      </c>
      <c r="BB515" t="s">
        <v>271</v>
      </c>
      <c r="BC515" t="s">
        <v>1330</v>
      </c>
      <c r="BD515">
        <v>50</v>
      </c>
      <c r="BO515" t="s">
        <v>921</v>
      </c>
    </row>
    <row r="516" spans="1:67" x14ac:dyDescent="0.2">
      <c r="A516" t="s">
        <v>2787</v>
      </c>
      <c r="B516" t="s">
        <v>2788</v>
      </c>
      <c r="D516" t="s">
        <v>72</v>
      </c>
      <c r="E516" t="s">
        <v>96</v>
      </c>
      <c r="F516" t="s">
        <v>151</v>
      </c>
      <c r="G516" t="s">
        <v>152</v>
      </c>
      <c r="H516" t="s">
        <v>153</v>
      </c>
      <c r="I516" t="s">
        <v>154</v>
      </c>
      <c r="K516">
        <v>212</v>
      </c>
      <c r="L516">
        <f>IFERROR(VLOOKUP(K516,'Tables new'!$A:$C,3,FALSE),"")</f>
        <v>70</v>
      </c>
      <c r="M516" t="str">
        <f>VLOOKUP(K516,CAT_JOUEUR,2,FALSE)</f>
        <v>Contact famille</v>
      </c>
      <c r="N516">
        <v>212</v>
      </c>
      <c r="O516">
        <f>IFERROR(VLOOKUP(N516,'Tables new'!$A:$C,3,FALSE),"")</f>
        <v>70</v>
      </c>
      <c r="P516" t="str">
        <f>VLOOKUP(N516,CAT_JOUEUR,2,FALSE)</f>
        <v>Contact famille</v>
      </c>
      <c r="W516" t="s">
        <v>89</v>
      </c>
      <c r="AH516" t="s">
        <v>78</v>
      </c>
      <c r="AI516" t="s">
        <v>78</v>
      </c>
      <c r="AJ516" t="s">
        <v>78</v>
      </c>
      <c r="AK516" t="s">
        <v>78</v>
      </c>
      <c r="AL516" t="s">
        <v>79</v>
      </c>
      <c r="AP516">
        <v>691539588</v>
      </c>
      <c r="AQ516" t="s">
        <v>158</v>
      </c>
    </row>
    <row r="517" spans="1:67" x14ac:dyDescent="0.2">
      <c r="A517" t="s">
        <v>2789</v>
      </c>
      <c r="B517" t="s">
        <v>1173</v>
      </c>
      <c r="D517" t="s">
        <v>72</v>
      </c>
      <c r="E517" t="s">
        <v>96</v>
      </c>
      <c r="F517" t="s">
        <v>651</v>
      </c>
      <c r="G517" t="s">
        <v>2790</v>
      </c>
      <c r="H517" t="s">
        <v>264</v>
      </c>
      <c r="I517" t="s">
        <v>653</v>
      </c>
      <c r="K517">
        <v>212</v>
      </c>
      <c r="L517">
        <f>IFERROR(VLOOKUP(K517,'Tables new'!$A:$C,3,FALSE),"")</f>
        <v>70</v>
      </c>
      <c r="M517" t="str">
        <f>VLOOKUP(K517,CAT_JOUEUR,2,FALSE)</f>
        <v>Contact famille</v>
      </c>
      <c r="N517">
        <v>212</v>
      </c>
      <c r="O517">
        <f>IFERROR(VLOOKUP(N517,'Tables new'!$A:$C,3,FALSE),"")</f>
        <v>70</v>
      </c>
      <c r="P517" t="str">
        <f>VLOOKUP(N517,CAT_JOUEUR,2,FALSE)</f>
        <v>Contact famille</v>
      </c>
      <c r="U517" t="s">
        <v>89</v>
      </c>
      <c r="AH517" t="s">
        <v>78</v>
      </c>
      <c r="AI517" t="s">
        <v>78</v>
      </c>
      <c r="AJ517" t="s">
        <v>78</v>
      </c>
      <c r="AK517" t="s">
        <v>78</v>
      </c>
      <c r="AL517" t="s">
        <v>79</v>
      </c>
      <c r="AP517" t="s">
        <v>2791</v>
      </c>
      <c r="AQ517" t="s">
        <v>655</v>
      </c>
    </row>
    <row r="518" spans="1:67" x14ac:dyDescent="0.2">
      <c r="A518" t="s">
        <v>2792</v>
      </c>
      <c r="B518" t="s">
        <v>2793</v>
      </c>
      <c r="D518" t="s">
        <v>72</v>
      </c>
      <c r="E518" t="s">
        <v>96</v>
      </c>
      <c r="F518" t="s">
        <v>1350</v>
      </c>
      <c r="G518" t="s">
        <v>1360</v>
      </c>
      <c r="H518" t="s">
        <v>1352</v>
      </c>
      <c r="I518" t="s">
        <v>1353</v>
      </c>
      <c r="K518">
        <v>212</v>
      </c>
      <c r="L518">
        <f>IFERROR(VLOOKUP(K518,'Tables new'!$A:$C,3,FALSE),"")</f>
        <v>70</v>
      </c>
      <c r="M518" t="str">
        <f>VLOOKUP(K518,CAT_JOUEUR,2,FALSE)</f>
        <v>Contact famille</v>
      </c>
      <c r="N518">
        <v>212</v>
      </c>
      <c r="O518">
        <f>IFERROR(VLOOKUP(N518,'Tables new'!$A:$C,3,FALSE),"")</f>
        <v>70</v>
      </c>
      <c r="P518" t="str">
        <f>VLOOKUP(N518,CAT_JOUEUR,2,FALSE)</f>
        <v>Contact famille</v>
      </c>
      <c r="V518" t="s">
        <v>89</v>
      </c>
      <c r="W518" t="s">
        <v>89</v>
      </c>
      <c r="AH518" t="s">
        <v>78</v>
      </c>
      <c r="AI518" t="s">
        <v>78</v>
      </c>
      <c r="AJ518" t="s">
        <v>78</v>
      </c>
      <c r="AK518" t="s">
        <v>78</v>
      </c>
      <c r="AL518" t="s">
        <v>79</v>
      </c>
    </row>
    <row r="519" spans="1:67" x14ac:dyDescent="0.2">
      <c r="A519" t="s">
        <v>2794</v>
      </c>
      <c r="B519" t="s">
        <v>95</v>
      </c>
      <c r="D519" t="s">
        <v>72</v>
      </c>
      <c r="E519" t="s">
        <v>96</v>
      </c>
      <c r="F519" t="s">
        <v>97</v>
      </c>
      <c r="G519" t="s">
        <v>98</v>
      </c>
      <c r="H519" t="s">
        <v>99</v>
      </c>
      <c r="I519" t="s">
        <v>100</v>
      </c>
      <c r="K519">
        <v>21</v>
      </c>
      <c r="L519">
        <f>IFERROR(VLOOKUP(K519,'Tables new'!$A:$C,3,FALSE),"")</f>
        <v>18</v>
      </c>
      <c r="M519" t="str">
        <f>VLOOKUP(K519,CAT_JOUEUR,2,FALSE)</f>
        <v>U7 Mixte</v>
      </c>
      <c r="N519">
        <v>21</v>
      </c>
      <c r="O519">
        <f>IFERROR(VLOOKUP(N519,'Tables new'!$A:$C,3,FALSE),"")</f>
        <v>18</v>
      </c>
      <c r="P519" t="str">
        <f>VLOOKUP(N519,CAT_JOUEUR,2,FALSE)</f>
        <v>U7 Mixte</v>
      </c>
      <c r="W519" t="s">
        <v>113</v>
      </c>
      <c r="AA519" t="s">
        <v>155</v>
      </c>
      <c r="AF519" t="s">
        <v>2460</v>
      </c>
      <c r="AI519">
        <v>45940</v>
      </c>
      <c r="AJ519">
        <v>2029</v>
      </c>
      <c r="AK519">
        <v>44634</v>
      </c>
      <c r="AL519" t="s">
        <v>2795</v>
      </c>
      <c r="AQ519" t="s">
        <v>101</v>
      </c>
      <c r="AR519" t="s">
        <v>208</v>
      </c>
    </row>
    <row r="520" spans="1:67" x14ac:dyDescent="0.2">
      <c r="A520" t="s">
        <v>2794</v>
      </c>
      <c r="B520" t="s">
        <v>2796</v>
      </c>
      <c r="D520" t="s">
        <v>72</v>
      </c>
      <c r="E520" t="s">
        <v>96</v>
      </c>
      <c r="F520" t="s">
        <v>2797</v>
      </c>
      <c r="G520" t="s">
        <v>1437</v>
      </c>
      <c r="H520" t="s">
        <v>108</v>
      </c>
      <c r="I520" t="s">
        <v>145</v>
      </c>
      <c r="K520">
        <v>9</v>
      </c>
      <c r="L520">
        <f>IFERROR(VLOOKUP(K520,'Tables new'!$A:$C,3,FALSE),"")</f>
        <v>20</v>
      </c>
      <c r="M520" t="str">
        <f>VLOOKUP(K520,CAT_JOUEUR,2,FALSE)</f>
        <v>Vétérans - HO</v>
      </c>
      <c r="N520">
        <v>9</v>
      </c>
      <c r="O520">
        <f>IFERROR(VLOOKUP(N520,'Tables new'!$A:$C,3,FALSE),"")</f>
        <v>20</v>
      </c>
      <c r="P520" t="str">
        <f>VLOOKUP(N520,CAT_JOUEUR,2,FALSE)</f>
        <v>Vétérans - HO</v>
      </c>
      <c r="AA520" t="s">
        <v>2798</v>
      </c>
      <c r="AH520">
        <v>45050</v>
      </c>
      <c r="AI520">
        <v>45041</v>
      </c>
      <c r="AJ520">
        <v>2029</v>
      </c>
      <c r="AK520">
        <v>30867</v>
      </c>
      <c r="AL520" t="s">
        <v>2799</v>
      </c>
      <c r="AO520" t="s">
        <v>208</v>
      </c>
      <c r="AP520">
        <v>661802747</v>
      </c>
      <c r="AQ520" t="s">
        <v>2800</v>
      </c>
    </row>
    <row r="521" spans="1:67" x14ac:dyDescent="0.2">
      <c r="A521" t="s">
        <v>2794</v>
      </c>
      <c r="B521" t="s">
        <v>2433</v>
      </c>
      <c r="D521" t="s">
        <v>72</v>
      </c>
      <c r="E521" t="s">
        <v>96</v>
      </c>
      <c r="F521" t="s">
        <v>1095</v>
      </c>
      <c r="G521" t="s">
        <v>988</v>
      </c>
      <c r="H521" t="s">
        <v>989</v>
      </c>
      <c r="I521" t="s">
        <v>1096</v>
      </c>
      <c r="K521">
        <v>212</v>
      </c>
      <c r="L521">
        <f>IFERROR(VLOOKUP(K521,'Tables new'!$A:$C,3,FALSE),"")</f>
        <v>70</v>
      </c>
      <c r="M521" t="str">
        <f>VLOOKUP(K521,CAT_JOUEUR,2,FALSE)</f>
        <v>Contact famille</v>
      </c>
      <c r="N521">
        <v>212</v>
      </c>
      <c r="O521">
        <f>IFERROR(VLOOKUP(N521,'Tables new'!$A:$C,3,FALSE),"")</f>
        <v>70</v>
      </c>
      <c r="P521" t="str">
        <f>VLOOKUP(N521,CAT_JOUEUR,2,FALSE)</f>
        <v>Contact famille</v>
      </c>
      <c r="R521" t="s">
        <v>89</v>
      </c>
      <c r="AH521" t="s">
        <v>78</v>
      </c>
      <c r="AI521" t="s">
        <v>78</v>
      </c>
      <c r="AJ521" t="s">
        <v>78</v>
      </c>
      <c r="AK521" t="s">
        <v>78</v>
      </c>
      <c r="AL521" t="s">
        <v>79</v>
      </c>
      <c r="AN521" t="s">
        <v>1099</v>
      </c>
      <c r="AQ521" t="s">
        <v>1100</v>
      </c>
    </row>
    <row r="522" spans="1:67" x14ac:dyDescent="0.2">
      <c r="A522" t="s">
        <v>2794</v>
      </c>
      <c r="B522" t="s">
        <v>363</v>
      </c>
      <c r="D522" t="s">
        <v>72</v>
      </c>
      <c r="E522" t="s">
        <v>96</v>
      </c>
      <c r="F522" t="s">
        <v>1095</v>
      </c>
      <c r="G522" t="s">
        <v>988</v>
      </c>
      <c r="H522" t="s">
        <v>989</v>
      </c>
      <c r="I522" t="s">
        <v>1096</v>
      </c>
      <c r="K522">
        <v>4</v>
      </c>
      <c r="L522">
        <f>IFERROR(VLOOKUP(K522,'Tables new'!$A:$C,3,FALSE),"")</f>
        <v>13</v>
      </c>
      <c r="M522" t="str">
        <f>VLOOKUP(K522,CAT_JOUEUR,2,FALSE)</f>
        <v>U 17 H</v>
      </c>
      <c r="N522">
        <v>4</v>
      </c>
      <c r="O522">
        <f>IFERROR(VLOOKUP(N522,'Tables new'!$A:$C,3,FALSE),"")</f>
        <v>13</v>
      </c>
      <c r="P522" t="str">
        <f>VLOOKUP(N522,CAT_JOUEUR,2,FALSE)</f>
        <v>U 17 H</v>
      </c>
      <c r="R522" t="s">
        <v>113</v>
      </c>
      <c r="AA522" t="s">
        <v>2801</v>
      </c>
      <c r="AF522" t="s">
        <v>2802</v>
      </c>
      <c r="AH522">
        <v>44484</v>
      </c>
      <c r="AI522">
        <v>44481</v>
      </c>
      <c r="AJ522">
        <v>2026</v>
      </c>
      <c r="AK522">
        <v>40592</v>
      </c>
      <c r="AL522" t="s">
        <v>2803</v>
      </c>
      <c r="AN522" t="s">
        <v>1099</v>
      </c>
      <c r="AO522" t="s">
        <v>208</v>
      </c>
      <c r="AP522" t="s">
        <v>2804</v>
      </c>
      <c r="AQ522" t="s">
        <v>1100</v>
      </c>
    </row>
    <row r="523" spans="1:67" x14ac:dyDescent="0.2">
      <c r="A523" t="s">
        <v>2794</v>
      </c>
      <c r="D523" t="s">
        <v>72</v>
      </c>
      <c r="E523" t="s">
        <v>96</v>
      </c>
      <c r="F523" t="s">
        <v>97</v>
      </c>
      <c r="G523" t="s">
        <v>98</v>
      </c>
      <c r="H523" t="s">
        <v>99</v>
      </c>
      <c r="I523" t="s">
        <v>100</v>
      </c>
      <c r="K523">
        <v>212</v>
      </c>
      <c r="L523">
        <f>IFERROR(VLOOKUP(K523,'Tables new'!$A:$C,3,FALSE),"")</f>
        <v>70</v>
      </c>
      <c r="M523" t="str">
        <f>VLOOKUP(K523,CAT_JOUEUR,2,FALSE)</f>
        <v>Contact famille</v>
      </c>
      <c r="N523">
        <v>212</v>
      </c>
      <c r="O523">
        <f>IFERROR(VLOOKUP(N523,'Tables new'!$A:$C,3,FALSE),"")</f>
        <v>70</v>
      </c>
      <c r="P523" t="str">
        <f>VLOOKUP(N523,CAT_JOUEUR,2,FALSE)</f>
        <v>Contact famille</v>
      </c>
      <c r="W523" t="s">
        <v>89</v>
      </c>
      <c r="AH523" t="s">
        <v>78</v>
      </c>
      <c r="AI523" t="s">
        <v>78</v>
      </c>
      <c r="AJ523" t="s">
        <v>78</v>
      </c>
      <c r="AK523" t="s">
        <v>78</v>
      </c>
      <c r="AL523" t="s">
        <v>79</v>
      </c>
    </row>
    <row r="524" spans="1:67" x14ac:dyDescent="0.2">
      <c r="A524" t="s">
        <v>2805</v>
      </c>
      <c r="B524" t="s">
        <v>2806</v>
      </c>
      <c r="D524" t="s">
        <v>72</v>
      </c>
      <c r="E524" t="s">
        <v>96</v>
      </c>
      <c r="F524" t="s">
        <v>2807</v>
      </c>
      <c r="G524" t="s">
        <v>416</v>
      </c>
      <c r="H524" t="s">
        <v>417</v>
      </c>
      <c r="I524" t="s">
        <v>2808</v>
      </c>
      <c r="K524">
        <v>17</v>
      </c>
      <c r="L524">
        <f>IFERROR(VLOOKUP(K524,'Tables new'!$A:$C,3,FALSE),"")</f>
        <v>36</v>
      </c>
      <c r="M524" t="str">
        <f>VLOOKUP(K524,CAT_JOUEUR,2,FALSE)</f>
        <v>U 11 F</v>
      </c>
      <c r="N524">
        <v>17</v>
      </c>
      <c r="O524">
        <f>IFERROR(VLOOKUP(N524,'Tables new'!$A:$C,3,FALSE),"")</f>
        <v>36</v>
      </c>
      <c r="P524" t="str">
        <f>VLOOKUP(N524,CAT_JOUEUR,2,FALSE)</f>
        <v>U 11 F</v>
      </c>
      <c r="U524" t="s">
        <v>113</v>
      </c>
      <c r="AA524" t="s">
        <v>2809</v>
      </c>
      <c r="AC524" t="s">
        <v>208</v>
      </c>
      <c r="AF524" t="s">
        <v>223</v>
      </c>
      <c r="AH524">
        <v>45937</v>
      </c>
      <c r="AI524">
        <v>45932</v>
      </c>
      <c r="AJ524">
        <v>2028</v>
      </c>
      <c r="AK524">
        <v>42520</v>
      </c>
      <c r="AL524" t="s">
        <v>2810</v>
      </c>
      <c r="AO524" t="s">
        <v>2811</v>
      </c>
      <c r="AP524" t="s">
        <v>2812</v>
      </c>
      <c r="AQ524" t="s">
        <v>2813</v>
      </c>
    </row>
    <row r="525" spans="1:67" x14ac:dyDescent="0.2">
      <c r="A525" t="s">
        <v>2805</v>
      </c>
      <c r="B525" t="s">
        <v>2814</v>
      </c>
      <c r="D525" t="s">
        <v>72</v>
      </c>
      <c r="E525" t="s">
        <v>96</v>
      </c>
      <c r="F525" t="s">
        <v>2807</v>
      </c>
      <c r="G525" t="s">
        <v>416</v>
      </c>
      <c r="H525" t="s">
        <v>417</v>
      </c>
      <c r="I525" t="s">
        <v>2808</v>
      </c>
      <c r="K525">
        <v>212</v>
      </c>
      <c r="L525">
        <f>IFERROR(VLOOKUP(K525,'Tables new'!$A:$C,3,FALSE),"")</f>
        <v>70</v>
      </c>
      <c r="M525" t="str">
        <f>VLOOKUP(K525,CAT_JOUEUR,2,FALSE)</f>
        <v>Contact famille</v>
      </c>
      <c r="N525">
        <v>212</v>
      </c>
      <c r="O525">
        <f>IFERROR(VLOOKUP(N525,'Tables new'!$A:$C,3,FALSE),"")</f>
        <v>70</v>
      </c>
      <c r="P525" t="str">
        <f>VLOOKUP(N525,CAT_JOUEUR,2,FALSE)</f>
        <v>Contact famille</v>
      </c>
      <c r="U525" t="s">
        <v>89</v>
      </c>
      <c r="AH525" t="s">
        <v>78</v>
      </c>
      <c r="AI525" t="s">
        <v>78</v>
      </c>
      <c r="AJ525" t="s">
        <v>78</v>
      </c>
      <c r="AK525" t="s">
        <v>78</v>
      </c>
      <c r="AL525" t="s">
        <v>79</v>
      </c>
      <c r="AP525">
        <v>691162668</v>
      </c>
      <c r="AQ525" t="s">
        <v>2813</v>
      </c>
    </row>
    <row r="526" spans="1:67" x14ac:dyDescent="0.2">
      <c r="A526" t="s">
        <v>2805</v>
      </c>
      <c r="B526" t="s">
        <v>2815</v>
      </c>
      <c r="D526" t="s">
        <v>72</v>
      </c>
      <c r="E526" t="s">
        <v>96</v>
      </c>
      <c r="F526" t="s">
        <v>2807</v>
      </c>
      <c r="G526" t="s">
        <v>416</v>
      </c>
      <c r="H526" t="s">
        <v>417</v>
      </c>
      <c r="I526" t="s">
        <v>2808</v>
      </c>
      <c r="K526">
        <v>212</v>
      </c>
      <c r="L526">
        <f>IFERROR(VLOOKUP(K526,'Tables new'!$A:$C,3,FALSE),"")</f>
        <v>70</v>
      </c>
      <c r="M526" t="str">
        <f>VLOOKUP(K526,CAT_JOUEUR,2,FALSE)</f>
        <v>Contact famille</v>
      </c>
      <c r="N526">
        <v>212</v>
      </c>
      <c r="O526">
        <f>IFERROR(VLOOKUP(N526,'Tables new'!$A:$C,3,FALSE),"")</f>
        <v>70</v>
      </c>
      <c r="P526" t="str">
        <f>VLOOKUP(N526,CAT_JOUEUR,2,FALSE)</f>
        <v>Contact famille</v>
      </c>
      <c r="U526" t="s">
        <v>89</v>
      </c>
      <c r="AH526" t="s">
        <v>78</v>
      </c>
      <c r="AI526" t="s">
        <v>78</v>
      </c>
      <c r="AJ526" t="s">
        <v>78</v>
      </c>
      <c r="AK526" t="s">
        <v>78</v>
      </c>
      <c r="AL526" t="s">
        <v>79</v>
      </c>
      <c r="AP526">
        <v>691162398</v>
      </c>
      <c r="AQ526" t="s">
        <v>2813</v>
      </c>
    </row>
    <row r="527" spans="1:67" x14ac:dyDescent="0.2">
      <c r="A527" t="s">
        <v>2816</v>
      </c>
      <c r="B527" t="s">
        <v>2817</v>
      </c>
      <c r="D527" t="s">
        <v>72</v>
      </c>
      <c r="E527" t="s">
        <v>96</v>
      </c>
      <c r="F527" t="s">
        <v>2134</v>
      </c>
      <c r="G527" t="s">
        <v>2135</v>
      </c>
      <c r="H527" t="s">
        <v>647</v>
      </c>
      <c r="I527" t="s">
        <v>2136</v>
      </c>
      <c r="K527">
        <v>212</v>
      </c>
      <c r="L527">
        <f>IFERROR(VLOOKUP(K527,'Tables new'!$A:$C,3,FALSE),"")</f>
        <v>70</v>
      </c>
      <c r="M527" t="str">
        <f>VLOOKUP(K527,CAT_JOUEUR,2,FALSE)</f>
        <v>Contact famille</v>
      </c>
      <c r="N527">
        <v>212</v>
      </c>
      <c r="O527">
        <f>IFERROR(VLOOKUP(N527,'Tables new'!$A:$C,3,FALSE),"")</f>
        <v>70</v>
      </c>
      <c r="P527" t="str">
        <f>VLOOKUP(N527,CAT_JOUEUR,2,FALSE)</f>
        <v>Contact famille</v>
      </c>
      <c r="AH527" t="s">
        <v>78</v>
      </c>
      <c r="AI527">
        <v>43516</v>
      </c>
      <c r="AJ527" t="s">
        <v>78</v>
      </c>
      <c r="AK527" t="s">
        <v>78</v>
      </c>
      <c r="AL527" t="s">
        <v>79</v>
      </c>
      <c r="AP527" t="s">
        <v>2818</v>
      </c>
      <c r="AQ527" t="s">
        <v>2819</v>
      </c>
      <c r="AY527" t="s">
        <v>91</v>
      </c>
      <c r="BA527" t="s">
        <v>136</v>
      </c>
      <c r="BB527" t="s">
        <v>137</v>
      </c>
      <c r="BD527" t="s">
        <v>139</v>
      </c>
    </row>
    <row r="528" spans="1:67" x14ac:dyDescent="0.2">
      <c r="A528" t="s">
        <v>2820</v>
      </c>
      <c r="B528" t="s">
        <v>2821</v>
      </c>
      <c r="D528" t="s">
        <v>72</v>
      </c>
      <c r="E528" t="s">
        <v>96</v>
      </c>
      <c r="F528" t="s">
        <v>2822</v>
      </c>
      <c r="G528" t="s">
        <v>2823</v>
      </c>
      <c r="H528" t="s">
        <v>132</v>
      </c>
      <c r="I528" t="s">
        <v>2824</v>
      </c>
      <c r="K528">
        <v>21</v>
      </c>
      <c r="L528">
        <f>IFERROR(VLOOKUP(K528,'Tables new'!$A:$C,3,FALSE),"")</f>
        <v>18</v>
      </c>
      <c r="M528" t="str">
        <f>VLOOKUP(K528,CAT_JOUEUR,2,FALSE)</f>
        <v>U7 Mixte</v>
      </c>
      <c r="N528">
        <v>21</v>
      </c>
      <c r="O528">
        <f>IFERROR(VLOOKUP(N528,'Tables new'!$A:$C,3,FALSE),"")</f>
        <v>18</v>
      </c>
      <c r="P528" t="str">
        <f>VLOOKUP(N528,CAT_JOUEUR,2,FALSE)</f>
        <v>U7 Mixte</v>
      </c>
      <c r="W528" t="s">
        <v>113</v>
      </c>
      <c r="AA528" t="s">
        <v>155</v>
      </c>
      <c r="AF528" t="s">
        <v>223</v>
      </c>
      <c r="AI528">
        <v>45952</v>
      </c>
      <c r="AJ528">
        <v>2028</v>
      </c>
      <c r="AK528">
        <v>44268</v>
      </c>
      <c r="AL528" t="s">
        <v>2825</v>
      </c>
      <c r="AO528" t="s">
        <v>2826</v>
      </c>
      <c r="AP528" t="s">
        <v>2827</v>
      </c>
      <c r="AQ528" t="s">
        <v>2828</v>
      </c>
    </row>
    <row r="529" spans="1:43" x14ac:dyDescent="0.2">
      <c r="A529" t="s">
        <v>2820</v>
      </c>
      <c r="B529" t="s">
        <v>2829</v>
      </c>
      <c r="D529" t="s">
        <v>72</v>
      </c>
      <c r="E529" t="s">
        <v>96</v>
      </c>
      <c r="F529" t="s">
        <v>2822</v>
      </c>
      <c r="G529" t="s">
        <v>2823</v>
      </c>
      <c r="H529" t="s">
        <v>132</v>
      </c>
      <c r="I529" t="s">
        <v>2824</v>
      </c>
      <c r="K529">
        <v>212</v>
      </c>
      <c r="L529">
        <f>IFERROR(VLOOKUP(K529,'Tables new'!$A:$C,3,FALSE),"")</f>
        <v>70</v>
      </c>
      <c r="M529" t="str">
        <f>VLOOKUP(K529,CAT_JOUEUR,2,FALSE)</f>
        <v>Contact famille</v>
      </c>
      <c r="N529">
        <v>212</v>
      </c>
      <c r="O529">
        <f>IFERROR(VLOOKUP(N529,'Tables new'!$A:$C,3,FALSE),"")</f>
        <v>70</v>
      </c>
      <c r="P529" t="str">
        <f>VLOOKUP(N529,CAT_JOUEUR,2,FALSE)</f>
        <v>Contact famille</v>
      </c>
      <c r="W529" t="s">
        <v>89</v>
      </c>
      <c r="AH529" t="s">
        <v>78</v>
      </c>
      <c r="AI529" t="s">
        <v>78</v>
      </c>
      <c r="AJ529" t="s">
        <v>78</v>
      </c>
      <c r="AK529" t="s">
        <v>78</v>
      </c>
      <c r="AL529" t="s">
        <v>79</v>
      </c>
      <c r="AP529">
        <v>691543921</v>
      </c>
      <c r="AQ529" t="s">
        <v>2830</v>
      </c>
    </row>
    <row r="530" spans="1:43" x14ac:dyDescent="0.2">
      <c r="A530" t="s">
        <v>2820</v>
      </c>
      <c r="B530" t="s">
        <v>1992</v>
      </c>
      <c r="D530" t="s">
        <v>72</v>
      </c>
      <c r="E530" t="s">
        <v>96</v>
      </c>
      <c r="F530" t="s">
        <v>2822</v>
      </c>
      <c r="G530" t="s">
        <v>2823</v>
      </c>
      <c r="H530" t="s">
        <v>132</v>
      </c>
      <c r="I530" t="s">
        <v>2824</v>
      </c>
      <c r="K530">
        <v>212</v>
      </c>
      <c r="L530">
        <f>IFERROR(VLOOKUP(K530,'Tables new'!$A:$C,3,FALSE),"")</f>
        <v>70</v>
      </c>
      <c r="M530" t="str">
        <f>VLOOKUP(K530,CAT_JOUEUR,2,FALSE)</f>
        <v>Contact famille</v>
      </c>
      <c r="N530">
        <v>212</v>
      </c>
      <c r="O530">
        <f>IFERROR(VLOOKUP(N530,'Tables new'!$A:$C,3,FALSE),"")</f>
        <v>70</v>
      </c>
      <c r="P530" t="str">
        <f>VLOOKUP(N530,CAT_JOUEUR,2,FALSE)</f>
        <v>Contact famille</v>
      </c>
      <c r="W530" t="s">
        <v>89</v>
      </c>
      <c r="AH530" t="s">
        <v>78</v>
      </c>
      <c r="AI530" t="s">
        <v>78</v>
      </c>
      <c r="AJ530" t="s">
        <v>78</v>
      </c>
      <c r="AK530" t="s">
        <v>78</v>
      </c>
      <c r="AL530" t="s">
        <v>79</v>
      </c>
      <c r="AP530">
        <v>691714035</v>
      </c>
      <c r="AQ530" t="s">
        <v>2828</v>
      </c>
    </row>
    <row r="531" spans="1:43" x14ac:dyDescent="0.2">
      <c r="A531" t="s">
        <v>2820</v>
      </c>
      <c r="B531" t="s">
        <v>589</v>
      </c>
      <c r="D531" t="s">
        <v>72</v>
      </c>
      <c r="E531" t="s">
        <v>96</v>
      </c>
      <c r="F531" t="s">
        <v>2066</v>
      </c>
      <c r="G531" t="s">
        <v>2067</v>
      </c>
      <c r="H531" t="s">
        <v>2068</v>
      </c>
      <c r="I531" t="s">
        <v>2069</v>
      </c>
      <c r="K531">
        <v>212</v>
      </c>
      <c r="L531">
        <f>IFERROR(VLOOKUP(K531,'Tables new'!$A:$C,3,FALSE),"")</f>
        <v>70</v>
      </c>
      <c r="M531" t="str">
        <f>VLOOKUP(K531,CAT_JOUEUR,2,FALSE)</f>
        <v>Contact famille</v>
      </c>
      <c r="N531">
        <v>212</v>
      </c>
      <c r="O531">
        <f>IFERROR(VLOOKUP(N531,'Tables new'!$A:$C,3,FALSE),"")</f>
        <v>70</v>
      </c>
      <c r="P531" t="str">
        <f>VLOOKUP(N531,CAT_JOUEUR,2,FALSE)</f>
        <v>Contact famille</v>
      </c>
      <c r="V531" t="s">
        <v>89</v>
      </c>
      <c r="AH531" t="s">
        <v>78</v>
      </c>
      <c r="AI531" t="s">
        <v>78</v>
      </c>
      <c r="AJ531" t="s">
        <v>78</v>
      </c>
      <c r="AK531" t="s">
        <v>78</v>
      </c>
      <c r="AL531" t="s">
        <v>79</v>
      </c>
      <c r="AP531">
        <v>621754388</v>
      </c>
      <c r="AQ531" t="s">
        <v>2070</v>
      </c>
    </row>
    <row r="532" spans="1:43" x14ac:dyDescent="0.2">
      <c r="A532" t="s">
        <v>2820</v>
      </c>
      <c r="B532" t="s">
        <v>2831</v>
      </c>
      <c r="D532" t="s">
        <v>72</v>
      </c>
      <c r="E532" t="s">
        <v>96</v>
      </c>
      <c r="F532" t="s">
        <v>1648</v>
      </c>
      <c r="G532" t="s">
        <v>1043</v>
      </c>
      <c r="H532" t="s">
        <v>1044</v>
      </c>
      <c r="I532" t="s">
        <v>1649</v>
      </c>
      <c r="L532">
        <f>IFERROR(VLOOKUP(K532,'Tables new'!$A:$C,3,FALSE),"")</f>
        <v>0</v>
      </c>
      <c r="M532" t="str">
        <f>VLOOKUP(K532,CAT_JOUEUR,2,FALSE)</f>
        <v>CAT à compléter</v>
      </c>
      <c r="N532">
        <v>212</v>
      </c>
      <c r="O532">
        <f>IFERROR(VLOOKUP(N532,'Tables new'!$A:$C,3,FALSE),"")</f>
        <v>70</v>
      </c>
      <c r="P532" t="str">
        <f>VLOOKUP(N532,CAT_JOUEUR,2,FALSE)</f>
        <v>Contact famille</v>
      </c>
      <c r="W532" t="s">
        <v>89</v>
      </c>
      <c r="AH532" t="s">
        <v>78</v>
      </c>
      <c r="AI532" t="s">
        <v>78</v>
      </c>
      <c r="AJ532" t="s">
        <v>78</v>
      </c>
      <c r="AK532" t="s">
        <v>78</v>
      </c>
      <c r="AL532" t="s">
        <v>79</v>
      </c>
      <c r="AP532">
        <v>661660966</v>
      </c>
      <c r="AQ532" t="s">
        <v>1650</v>
      </c>
    </row>
    <row r="533" spans="1:43" x14ac:dyDescent="0.2">
      <c r="A533" t="s">
        <v>2832</v>
      </c>
      <c r="B533" t="s">
        <v>2833</v>
      </c>
      <c r="D533" t="s">
        <v>72</v>
      </c>
      <c r="E533" t="s">
        <v>96</v>
      </c>
      <c r="F533" t="s">
        <v>1104</v>
      </c>
      <c r="G533" t="s">
        <v>107</v>
      </c>
      <c r="H533" t="s">
        <v>108</v>
      </c>
      <c r="I533" t="s">
        <v>1105</v>
      </c>
      <c r="K533">
        <v>21</v>
      </c>
      <c r="L533">
        <f>IFERROR(VLOOKUP(K533,'Tables new'!$A:$C,3,FALSE),"")</f>
        <v>18</v>
      </c>
      <c r="M533" t="str">
        <f>VLOOKUP(K533,CAT_JOUEUR,2,FALSE)</f>
        <v>U7 Mixte</v>
      </c>
      <c r="N533">
        <v>21</v>
      </c>
      <c r="O533">
        <f>IFERROR(VLOOKUP(N533,'Tables new'!$A:$C,3,FALSE),"")</f>
        <v>18</v>
      </c>
      <c r="P533" t="str">
        <f>VLOOKUP(N533,CAT_JOUEUR,2,FALSE)</f>
        <v>U7 Mixte</v>
      </c>
      <c r="W533" t="s">
        <v>113</v>
      </c>
      <c r="AA533" t="s">
        <v>155</v>
      </c>
      <c r="AF533" t="s">
        <v>223</v>
      </c>
      <c r="AI533">
        <v>45957</v>
      </c>
      <c r="AJ533">
        <v>2030</v>
      </c>
      <c r="AK533">
        <v>44948</v>
      </c>
      <c r="AL533" t="s">
        <v>2834</v>
      </c>
      <c r="AP533">
        <v>691813046</v>
      </c>
      <c r="AQ533" t="s">
        <v>1106</v>
      </c>
    </row>
    <row r="534" spans="1:43" x14ac:dyDescent="0.2">
      <c r="A534" t="s">
        <v>2832</v>
      </c>
      <c r="B534" t="s">
        <v>2835</v>
      </c>
      <c r="D534" t="s">
        <v>72</v>
      </c>
      <c r="E534" t="s">
        <v>96</v>
      </c>
      <c r="F534" t="s">
        <v>1104</v>
      </c>
      <c r="G534" t="s">
        <v>107</v>
      </c>
      <c r="H534" t="s">
        <v>108</v>
      </c>
      <c r="I534" t="s">
        <v>1105</v>
      </c>
      <c r="K534">
        <v>212</v>
      </c>
      <c r="L534">
        <f>IFERROR(VLOOKUP(K534,'Tables new'!$A:$C,3,FALSE),"")</f>
        <v>70</v>
      </c>
      <c r="M534" t="str">
        <f>VLOOKUP(K534,CAT_JOUEUR,2,FALSE)</f>
        <v>Contact famille</v>
      </c>
      <c r="N534">
        <v>212</v>
      </c>
      <c r="O534">
        <f>IFERROR(VLOOKUP(N534,'Tables new'!$A:$C,3,FALSE),"")</f>
        <v>70</v>
      </c>
      <c r="P534" t="str">
        <f>VLOOKUP(N534,CAT_JOUEUR,2,FALSE)</f>
        <v>Contact famille</v>
      </c>
      <c r="W534" t="s">
        <v>89</v>
      </c>
      <c r="AH534" t="s">
        <v>78</v>
      </c>
      <c r="AI534" t="s">
        <v>78</v>
      </c>
      <c r="AJ534" t="s">
        <v>78</v>
      </c>
      <c r="AK534" t="s">
        <v>78</v>
      </c>
      <c r="AL534" t="s">
        <v>79</v>
      </c>
      <c r="AP534">
        <v>691813046</v>
      </c>
      <c r="AQ534" t="s">
        <v>1106</v>
      </c>
    </row>
    <row r="535" spans="1:43" x14ac:dyDescent="0.2">
      <c r="A535" t="s">
        <v>2836</v>
      </c>
      <c r="B535" t="s">
        <v>2837</v>
      </c>
      <c r="D535" t="s">
        <v>72</v>
      </c>
      <c r="E535" t="s">
        <v>96</v>
      </c>
      <c r="F535" t="s">
        <v>1575</v>
      </c>
      <c r="G535" t="s">
        <v>1576</v>
      </c>
      <c r="H535" t="s">
        <v>1062</v>
      </c>
      <c r="I535" t="s">
        <v>1577</v>
      </c>
      <c r="K535">
        <v>212</v>
      </c>
      <c r="L535">
        <f>IFERROR(VLOOKUP(K535,'Tables new'!$A:$C,3,FALSE),"")</f>
        <v>70</v>
      </c>
      <c r="M535" t="str">
        <f>VLOOKUP(K535,CAT_JOUEUR,2,FALSE)</f>
        <v>Contact famille</v>
      </c>
      <c r="N535">
        <v>212</v>
      </c>
      <c r="O535">
        <f>IFERROR(VLOOKUP(N535,'Tables new'!$A:$C,3,FALSE),"")</f>
        <v>70</v>
      </c>
      <c r="P535" t="str">
        <f>VLOOKUP(N535,CAT_JOUEUR,2,FALSE)</f>
        <v>Contact famille</v>
      </c>
      <c r="S535" t="s">
        <v>89</v>
      </c>
      <c r="AH535" t="s">
        <v>78</v>
      </c>
      <c r="AI535" t="s">
        <v>78</v>
      </c>
      <c r="AJ535" t="s">
        <v>78</v>
      </c>
      <c r="AK535" t="s">
        <v>78</v>
      </c>
      <c r="AL535" t="s">
        <v>79</v>
      </c>
    </row>
    <row r="536" spans="1:43" x14ac:dyDescent="0.2">
      <c r="A536" t="s">
        <v>2836</v>
      </c>
      <c r="B536" t="s">
        <v>2838</v>
      </c>
      <c r="D536" t="s">
        <v>72</v>
      </c>
      <c r="E536" t="s">
        <v>96</v>
      </c>
      <c r="F536" t="s">
        <v>1575</v>
      </c>
      <c r="G536" t="s">
        <v>1576</v>
      </c>
      <c r="H536" t="s">
        <v>1062</v>
      </c>
      <c r="I536" t="s">
        <v>1577</v>
      </c>
      <c r="K536">
        <v>5</v>
      </c>
      <c r="L536">
        <f>IFERROR(VLOOKUP(K536,'Tables new'!$A:$C,3,FALSE),"")</f>
        <v>14</v>
      </c>
      <c r="M536" t="str">
        <f>VLOOKUP(K536,CAT_JOUEUR,2,FALSE)</f>
        <v>U 15 H</v>
      </c>
      <c r="N536">
        <v>5</v>
      </c>
      <c r="O536">
        <f>IFERROR(VLOOKUP(N536,'Tables new'!$A:$C,3,FALSE),"")</f>
        <v>14</v>
      </c>
      <c r="P536" t="str">
        <f>VLOOKUP(N536,CAT_JOUEUR,2,FALSE)</f>
        <v>U 15 H</v>
      </c>
      <c r="S536" t="s">
        <v>113</v>
      </c>
      <c r="AA536" t="s">
        <v>2839</v>
      </c>
      <c r="AH536">
        <v>45572</v>
      </c>
      <c r="AI536">
        <v>45568</v>
      </c>
      <c r="AJ536">
        <v>2025</v>
      </c>
      <c r="AK536">
        <v>41345</v>
      </c>
      <c r="AL536" t="s">
        <v>2840</v>
      </c>
      <c r="AP536">
        <v>621295056</v>
      </c>
      <c r="AQ536" t="s">
        <v>1578</v>
      </c>
    </row>
    <row r="537" spans="1:43" x14ac:dyDescent="0.2">
      <c r="A537" t="s">
        <v>2841</v>
      </c>
      <c r="B537" t="s">
        <v>513</v>
      </c>
      <c r="D537" t="s">
        <v>72</v>
      </c>
      <c r="E537" t="s">
        <v>96</v>
      </c>
      <c r="F537" t="s">
        <v>2443</v>
      </c>
      <c r="G537" t="s">
        <v>2735</v>
      </c>
      <c r="H537" t="s">
        <v>2736</v>
      </c>
      <c r="I537" t="s">
        <v>2737</v>
      </c>
      <c r="K537">
        <v>212</v>
      </c>
      <c r="L537">
        <f>IFERROR(VLOOKUP(K537,'Tables new'!$A:$C,3,FALSE),"")</f>
        <v>70</v>
      </c>
      <c r="M537" t="str">
        <f>VLOOKUP(K537,CAT_JOUEUR,2,FALSE)</f>
        <v>Contact famille</v>
      </c>
      <c r="N537">
        <v>212</v>
      </c>
      <c r="O537">
        <f>IFERROR(VLOOKUP(N537,'Tables new'!$A:$C,3,FALSE),"")</f>
        <v>70</v>
      </c>
      <c r="P537" t="str">
        <f>VLOOKUP(N537,CAT_JOUEUR,2,FALSE)</f>
        <v>Contact famille</v>
      </c>
      <c r="S537" t="s">
        <v>89</v>
      </c>
      <c r="AH537" t="s">
        <v>78</v>
      </c>
      <c r="AI537" t="s">
        <v>78</v>
      </c>
      <c r="AJ537" t="s">
        <v>78</v>
      </c>
      <c r="AK537" t="s">
        <v>78</v>
      </c>
      <c r="AL537" t="s">
        <v>79</v>
      </c>
    </row>
    <row r="538" spans="1:43" x14ac:dyDescent="0.2">
      <c r="A538" t="s">
        <v>2841</v>
      </c>
      <c r="B538" t="s">
        <v>1370</v>
      </c>
      <c r="D538" t="s">
        <v>72</v>
      </c>
      <c r="E538" t="s">
        <v>96</v>
      </c>
      <c r="F538" t="s">
        <v>2842</v>
      </c>
      <c r="G538" t="s">
        <v>299</v>
      </c>
      <c r="H538" t="s">
        <v>300</v>
      </c>
      <c r="I538" t="s">
        <v>2843</v>
      </c>
      <c r="K538">
        <v>212</v>
      </c>
      <c r="L538">
        <f>IFERROR(VLOOKUP(K538,'Tables new'!$A:$C,3,FALSE),"")</f>
        <v>70</v>
      </c>
      <c r="M538" t="str">
        <f>VLOOKUP(K538,CAT_JOUEUR,2,FALSE)</f>
        <v>Contact famille</v>
      </c>
      <c r="N538">
        <v>212</v>
      </c>
      <c r="O538">
        <f>IFERROR(VLOOKUP(N538,'Tables new'!$A:$C,3,FALSE),"")</f>
        <v>70</v>
      </c>
      <c r="P538" t="str">
        <f>VLOOKUP(N538,CAT_JOUEUR,2,FALSE)</f>
        <v>Contact famille</v>
      </c>
      <c r="S538" t="s">
        <v>89</v>
      </c>
      <c r="AH538" t="s">
        <v>78</v>
      </c>
      <c r="AI538" t="s">
        <v>78</v>
      </c>
      <c r="AJ538" t="s">
        <v>78</v>
      </c>
      <c r="AK538" t="s">
        <v>78</v>
      </c>
      <c r="AL538" t="s">
        <v>79</v>
      </c>
      <c r="AP538">
        <v>661260183</v>
      </c>
      <c r="AQ538" t="s">
        <v>2844</v>
      </c>
    </row>
    <row r="539" spans="1:43" x14ac:dyDescent="0.2">
      <c r="A539" t="s">
        <v>2845</v>
      </c>
      <c r="B539" t="s">
        <v>2846</v>
      </c>
      <c r="D539" t="s">
        <v>72</v>
      </c>
      <c r="E539" t="s">
        <v>96</v>
      </c>
      <c r="F539" t="s">
        <v>2847</v>
      </c>
      <c r="G539" t="s">
        <v>2848</v>
      </c>
      <c r="H539" t="s">
        <v>2849</v>
      </c>
      <c r="I539" t="s">
        <v>2843</v>
      </c>
      <c r="K539">
        <v>212</v>
      </c>
      <c r="L539">
        <f>IFERROR(VLOOKUP(K539,'Tables new'!$A:$C,3,FALSE),"")</f>
        <v>70</v>
      </c>
      <c r="M539" t="str">
        <f>VLOOKUP(K539,CAT_JOUEUR,2,FALSE)</f>
        <v>Contact famille</v>
      </c>
      <c r="N539">
        <v>212</v>
      </c>
      <c r="O539">
        <f>IFERROR(VLOOKUP(N539,'Tables new'!$A:$C,3,FALSE),"")</f>
        <v>70</v>
      </c>
      <c r="P539" t="str">
        <f>VLOOKUP(N539,CAT_JOUEUR,2,FALSE)</f>
        <v>Contact famille</v>
      </c>
      <c r="S539" t="s">
        <v>89</v>
      </c>
      <c r="AH539" t="s">
        <v>78</v>
      </c>
      <c r="AI539" t="s">
        <v>78</v>
      </c>
      <c r="AJ539" t="s">
        <v>78</v>
      </c>
      <c r="AK539" t="s">
        <v>78</v>
      </c>
      <c r="AL539" t="s">
        <v>79</v>
      </c>
      <c r="AP539">
        <v>621325219</v>
      </c>
    </row>
    <row r="540" spans="1:43" x14ac:dyDescent="0.2">
      <c r="A540" t="s">
        <v>2845</v>
      </c>
      <c r="B540" t="s">
        <v>2850</v>
      </c>
      <c r="D540" t="s">
        <v>72</v>
      </c>
      <c r="E540" t="s">
        <v>96</v>
      </c>
      <c r="F540" t="s">
        <v>2842</v>
      </c>
      <c r="G540" t="s">
        <v>299</v>
      </c>
      <c r="H540" t="s">
        <v>300</v>
      </c>
      <c r="I540" t="s">
        <v>2843</v>
      </c>
      <c r="K540">
        <v>5</v>
      </c>
      <c r="L540">
        <f>IFERROR(VLOOKUP(K540,'Tables new'!$A:$C,3,FALSE),"")</f>
        <v>14</v>
      </c>
      <c r="M540" t="str">
        <f>VLOOKUP(K540,CAT_JOUEUR,2,FALSE)</f>
        <v>U 15 H</v>
      </c>
      <c r="N540">
        <v>5</v>
      </c>
      <c r="O540">
        <f>IFERROR(VLOOKUP(N540,'Tables new'!$A:$C,3,FALSE),"")</f>
        <v>14</v>
      </c>
      <c r="P540" t="str">
        <f>VLOOKUP(N540,CAT_JOUEUR,2,FALSE)</f>
        <v>U 15 H</v>
      </c>
      <c r="S540" t="s">
        <v>113</v>
      </c>
      <c r="AA540" t="s">
        <v>2851</v>
      </c>
      <c r="AH540">
        <v>45191</v>
      </c>
      <c r="AI540">
        <v>45189</v>
      </c>
      <c r="AJ540">
        <v>2028</v>
      </c>
      <c r="AK540">
        <v>41393</v>
      </c>
      <c r="AL540" t="s">
        <v>2852</v>
      </c>
      <c r="AO540" t="s">
        <v>2853</v>
      </c>
      <c r="AP540" t="s">
        <v>2854</v>
      </c>
      <c r="AQ540" t="s">
        <v>2844</v>
      </c>
    </row>
    <row r="541" spans="1:43" x14ac:dyDescent="0.2">
      <c r="A541" t="s">
        <v>2855</v>
      </c>
      <c r="B541" t="s">
        <v>1651</v>
      </c>
      <c r="D541" t="s">
        <v>72</v>
      </c>
      <c r="E541" t="s">
        <v>96</v>
      </c>
      <c r="F541" t="s">
        <v>2856</v>
      </c>
      <c r="G541" t="s">
        <v>2857</v>
      </c>
      <c r="H541" t="s">
        <v>1706</v>
      </c>
      <c r="I541" t="s">
        <v>145</v>
      </c>
      <c r="K541">
        <v>2</v>
      </c>
      <c r="L541">
        <f>IFERROR(VLOOKUP(K541,'Tables new'!$A:$C,3,FALSE),"")</f>
        <v>11</v>
      </c>
      <c r="M541" t="str">
        <f>VLOOKUP(K541,CAT_JOUEUR,2,FALSE)</f>
        <v>Seniors - HO</v>
      </c>
      <c r="N541">
        <v>2</v>
      </c>
      <c r="O541">
        <f>IFERROR(VLOOKUP(N541,'Tables new'!$A:$C,3,FALSE),"")</f>
        <v>11</v>
      </c>
      <c r="P541" t="str">
        <f>VLOOKUP(N541,CAT_JOUEUR,2,FALSE)</f>
        <v>Seniors - HO</v>
      </c>
      <c r="AA541" t="s">
        <v>2858</v>
      </c>
      <c r="AF541" t="s">
        <v>2460</v>
      </c>
      <c r="AH541">
        <v>41936</v>
      </c>
      <c r="AI541">
        <v>41937</v>
      </c>
      <c r="AJ541">
        <v>2033</v>
      </c>
      <c r="AK541">
        <v>37908</v>
      </c>
      <c r="AL541" t="s">
        <v>2859</v>
      </c>
      <c r="AN541" t="s">
        <v>2860</v>
      </c>
      <c r="AP541" t="s">
        <v>2861</v>
      </c>
      <c r="AQ541" t="s">
        <v>2862</v>
      </c>
    </row>
    <row r="542" spans="1:43" x14ac:dyDescent="0.2">
      <c r="A542" t="s">
        <v>2863</v>
      </c>
      <c r="B542" t="s">
        <v>2864</v>
      </c>
      <c r="D542" t="s">
        <v>72</v>
      </c>
      <c r="E542" t="s">
        <v>96</v>
      </c>
      <c r="F542" t="s">
        <v>2865</v>
      </c>
      <c r="G542" t="s">
        <v>2866</v>
      </c>
      <c r="H542" t="s">
        <v>2867</v>
      </c>
      <c r="I542" t="s">
        <v>145</v>
      </c>
      <c r="K542">
        <v>2</v>
      </c>
      <c r="L542">
        <f>IFERROR(VLOOKUP(K542,'Tables new'!$A:$C,3,FALSE),"")</f>
        <v>11</v>
      </c>
      <c r="M542" t="str">
        <f>VLOOKUP(K542,CAT_JOUEUR,2,FALSE)</f>
        <v>Seniors - HO</v>
      </c>
      <c r="N542">
        <v>2</v>
      </c>
      <c r="O542">
        <f>IFERROR(VLOOKUP(N542,'Tables new'!$A:$C,3,FALSE),"")</f>
        <v>11</v>
      </c>
      <c r="P542" t="str">
        <f>VLOOKUP(N542,CAT_JOUEUR,2,FALSE)</f>
        <v>Seniors - HO</v>
      </c>
      <c r="AA542" t="s">
        <v>2868</v>
      </c>
      <c r="AH542">
        <v>44391</v>
      </c>
      <c r="AI542">
        <v>44384</v>
      </c>
      <c r="AJ542">
        <v>2030</v>
      </c>
      <c r="AK542">
        <v>33196</v>
      </c>
      <c r="AL542" t="s">
        <v>2869</v>
      </c>
      <c r="AP542">
        <v>621452453</v>
      </c>
      <c r="AQ542" t="s">
        <v>2870</v>
      </c>
    </row>
    <row r="543" spans="1:43" x14ac:dyDescent="0.2">
      <c r="A543" t="s">
        <v>2871</v>
      </c>
      <c r="B543" t="s">
        <v>2872</v>
      </c>
      <c r="D543" t="s">
        <v>72</v>
      </c>
      <c r="E543" t="s">
        <v>96</v>
      </c>
      <c r="F543" t="s">
        <v>2873</v>
      </c>
      <c r="G543" t="s">
        <v>2874</v>
      </c>
      <c r="H543" t="s">
        <v>2875</v>
      </c>
      <c r="I543" t="s">
        <v>145</v>
      </c>
      <c r="K543">
        <v>9</v>
      </c>
      <c r="L543">
        <f>IFERROR(VLOOKUP(K543,'Tables new'!$A:$C,3,FALSE),"")</f>
        <v>20</v>
      </c>
      <c r="M543" t="str">
        <f>VLOOKUP(K543,CAT_JOUEUR,2,FALSE)</f>
        <v>Vétérans - HO</v>
      </c>
      <c r="N543">
        <v>9</v>
      </c>
      <c r="O543">
        <f>IFERROR(VLOOKUP(N543,'Tables new'!$A:$C,3,FALSE),"")</f>
        <v>20</v>
      </c>
      <c r="P543" t="str">
        <f>VLOOKUP(N543,CAT_JOUEUR,2,FALSE)</f>
        <v>Vétérans - HO</v>
      </c>
      <c r="AA543" t="s">
        <v>2876</v>
      </c>
      <c r="AH543">
        <v>45303</v>
      </c>
      <c r="AI543">
        <v>45297</v>
      </c>
      <c r="AJ543">
        <v>2026</v>
      </c>
      <c r="AK543">
        <v>29733</v>
      </c>
      <c r="AL543" t="s">
        <v>2877</v>
      </c>
      <c r="AP543">
        <v>691569890</v>
      </c>
      <c r="AQ543" t="s">
        <v>2878</v>
      </c>
    </row>
    <row r="544" spans="1:43" x14ac:dyDescent="0.2">
      <c r="A544" t="s">
        <v>2879</v>
      </c>
      <c r="B544" t="s">
        <v>2880</v>
      </c>
      <c r="D544" t="s">
        <v>72</v>
      </c>
      <c r="E544" t="s">
        <v>398</v>
      </c>
      <c r="F544" t="s">
        <v>2881</v>
      </c>
      <c r="G544" t="s">
        <v>1928</v>
      </c>
      <c r="H544" t="s">
        <v>1929</v>
      </c>
      <c r="I544" t="s">
        <v>2882</v>
      </c>
      <c r="K544">
        <v>3</v>
      </c>
      <c r="L544">
        <f>IFERROR(VLOOKUP(K544,'Tables new'!$A:$C,3,FALSE),"")</f>
        <v>12</v>
      </c>
      <c r="M544" t="str">
        <f>VLOOKUP(K544,CAT_JOUEUR,2,FALSE)</f>
        <v>U 21 HO</v>
      </c>
      <c r="N544">
        <v>3</v>
      </c>
      <c r="O544">
        <f>IFERROR(VLOOKUP(N544,'Tables new'!$A:$C,3,FALSE),"")</f>
        <v>12</v>
      </c>
      <c r="P544" t="str">
        <f>VLOOKUP(N544,CAT_JOUEUR,2,FALSE)</f>
        <v>U 21 HO</v>
      </c>
      <c r="AA544" t="s">
        <v>2883</v>
      </c>
      <c r="AH544">
        <v>44631</v>
      </c>
      <c r="AI544">
        <v>44631</v>
      </c>
      <c r="AJ544">
        <v>2023</v>
      </c>
      <c r="AK544">
        <v>39787</v>
      </c>
      <c r="AL544" t="s">
        <v>2884</v>
      </c>
      <c r="AP544">
        <v>621472087</v>
      </c>
      <c r="AQ544" t="s">
        <v>2885</v>
      </c>
    </row>
    <row r="545" spans="1:70" x14ac:dyDescent="0.2">
      <c r="A545" t="s">
        <v>2879</v>
      </c>
      <c r="B545" t="s">
        <v>2886</v>
      </c>
      <c r="D545" t="s">
        <v>72</v>
      </c>
      <c r="E545" t="s">
        <v>2887</v>
      </c>
      <c r="F545" t="s">
        <v>2881</v>
      </c>
      <c r="G545" t="s">
        <v>1928</v>
      </c>
      <c r="H545" t="s">
        <v>1929</v>
      </c>
      <c r="I545" t="s">
        <v>2882</v>
      </c>
      <c r="K545">
        <v>212</v>
      </c>
      <c r="L545">
        <f>IFERROR(VLOOKUP(K545,'Tables new'!$A:$C,3,FALSE),"")</f>
        <v>70</v>
      </c>
      <c r="M545" t="str">
        <f>VLOOKUP(K545,CAT_JOUEUR,2,FALSE)</f>
        <v>Contact famille</v>
      </c>
      <c r="N545">
        <v>212</v>
      </c>
      <c r="O545">
        <f>IFERROR(VLOOKUP(N545,'Tables new'!$A:$C,3,FALSE),"")</f>
        <v>70</v>
      </c>
      <c r="P545" t="str">
        <f>VLOOKUP(N545,CAT_JOUEUR,2,FALSE)</f>
        <v>Contact famille</v>
      </c>
      <c r="AH545" t="s">
        <v>78</v>
      </c>
      <c r="AI545" t="s">
        <v>78</v>
      </c>
      <c r="AJ545" t="s">
        <v>78</v>
      </c>
      <c r="AK545" t="s">
        <v>78</v>
      </c>
      <c r="AL545" t="s">
        <v>79</v>
      </c>
      <c r="AP545" t="s">
        <v>2888</v>
      </c>
      <c r="AQ545" t="s">
        <v>2889</v>
      </c>
    </row>
    <row r="546" spans="1:70" x14ac:dyDescent="0.2">
      <c r="A546" t="s">
        <v>2879</v>
      </c>
      <c r="B546" t="s">
        <v>2890</v>
      </c>
      <c r="D546" t="s">
        <v>72</v>
      </c>
      <c r="E546" t="s">
        <v>398</v>
      </c>
      <c r="F546" t="s">
        <v>2881</v>
      </c>
      <c r="G546" t="s">
        <v>1928</v>
      </c>
      <c r="H546" t="s">
        <v>1929</v>
      </c>
      <c r="I546" t="s">
        <v>2882</v>
      </c>
      <c r="K546">
        <v>212</v>
      </c>
      <c r="L546">
        <f>IFERROR(VLOOKUP(K546,'Tables new'!$A:$C,3,FALSE),"")</f>
        <v>70</v>
      </c>
      <c r="M546" t="str">
        <f>VLOOKUP(K546,CAT_JOUEUR,2,FALSE)</f>
        <v>Contact famille</v>
      </c>
      <c r="N546">
        <v>212</v>
      </c>
      <c r="O546">
        <f>IFERROR(VLOOKUP(N546,'Tables new'!$A:$C,3,FALSE),"")</f>
        <v>70</v>
      </c>
      <c r="P546" t="str">
        <f>VLOOKUP(N546,CAT_JOUEUR,2,FALSE)</f>
        <v>Contact famille</v>
      </c>
      <c r="AH546" t="s">
        <v>78</v>
      </c>
      <c r="AI546" t="s">
        <v>78</v>
      </c>
      <c r="AJ546" t="s">
        <v>78</v>
      </c>
      <c r="AK546" t="s">
        <v>78</v>
      </c>
      <c r="AL546" t="s">
        <v>79</v>
      </c>
      <c r="AP546" t="s">
        <v>2891</v>
      </c>
      <c r="AQ546" t="s">
        <v>2892</v>
      </c>
    </row>
    <row r="547" spans="1:70" x14ac:dyDescent="0.2">
      <c r="A547" t="s">
        <v>2893</v>
      </c>
      <c r="B547" t="s">
        <v>1066</v>
      </c>
      <c r="D547" t="s">
        <v>72</v>
      </c>
      <c r="E547" t="s">
        <v>96</v>
      </c>
      <c r="F547" t="s">
        <v>2161</v>
      </c>
      <c r="G547" t="s">
        <v>705</v>
      </c>
      <c r="H547" t="s">
        <v>108</v>
      </c>
      <c r="I547" t="s">
        <v>2162</v>
      </c>
      <c r="K547">
        <v>21</v>
      </c>
      <c r="L547">
        <f>IFERROR(VLOOKUP(K547,'Tables new'!$A:$C,3,FALSE),"")</f>
        <v>18</v>
      </c>
      <c r="M547" t="str">
        <f>VLOOKUP(K547,CAT_JOUEUR,2,FALSE)</f>
        <v>U7 Mixte</v>
      </c>
      <c r="N547">
        <v>21</v>
      </c>
      <c r="O547">
        <f>IFERROR(VLOOKUP(N547,'Tables new'!$A:$C,3,FALSE),"")</f>
        <v>18</v>
      </c>
      <c r="P547" t="str">
        <f>VLOOKUP(N547,CAT_JOUEUR,2,FALSE)</f>
        <v>U7 Mixte</v>
      </c>
      <c r="W547" t="s">
        <v>113</v>
      </c>
      <c r="AA547" t="s">
        <v>2894</v>
      </c>
      <c r="AH547">
        <v>45278</v>
      </c>
      <c r="AI547">
        <v>45257</v>
      </c>
      <c r="AJ547">
        <v>2029</v>
      </c>
      <c r="AK547">
        <v>44601</v>
      </c>
      <c r="AL547" t="s">
        <v>2895</v>
      </c>
      <c r="AO547" t="s">
        <v>2896</v>
      </c>
      <c r="AP547" t="s">
        <v>2897</v>
      </c>
      <c r="AQ547" t="s">
        <v>2898</v>
      </c>
    </row>
    <row r="548" spans="1:70" x14ac:dyDescent="0.2">
      <c r="A548" t="s">
        <v>2893</v>
      </c>
      <c r="B548" t="s">
        <v>1449</v>
      </c>
      <c r="D548" t="s">
        <v>72</v>
      </c>
      <c r="E548" t="s">
        <v>96</v>
      </c>
      <c r="F548" t="s">
        <v>2161</v>
      </c>
      <c r="G548" t="s">
        <v>705</v>
      </c>
      <c r="H548" t="s">
        <v>108</v>
      </c>
      <c r="I548" t="s">
        <v>2162</v>
      </c>
      <c r="K548">
        <v>212</v>
      </c>
      <c r="L548">
        <f>IFERROR(VLOOKUP(K548,'Tables new'!$A:$C,3,FALSE),"")</f>
        <v>70</v>
      </c>
      <c r="M548" t="str">
        <f>VLOOKUP(K548,CAT_JOUEUR,2,FALSE)</f>
        <v>Contact famille</v>
      </c>
      <c r="N548">
        <v>212</v>
      </c>
      <c r="O548">
        <f>IFERROR(VLOOKUP(N548,'Tables new'!$A:$C,3,FALSE),"")</f>
        <v>70</v>
      </c>
      <c r="P548" t="str">
        <f>VLOOKUP(N548,CAT_JOUEUR,2,FALSE)</f>
        <v>Contact famille</v>
      </c>
      <c r="V548" t="s">
        <v>89</v>
      </c>
      <c r="W548" t="s">
        <v>89</v>
      </c>
      <c r="AH548" t="s">
        <v>78</v>
      </c>
      <c r="AI548" t="s">
        <v>78</v>
      </c>
      <c r="AJ548" t="s">
        <v>78</v>
      </c>
      <c r="AK548" t="s">
        <v>78</v>
      </c>
      <c r="AL548" t="s">
        <v>79</v>
      </c>
      <c r="AP548">
        <v>691329129</v>
      </c>
      <c r="AQ548" t="s">
        <v>2898</v>
      </c>
    </row>
    <row r="549" spans="1:70" x14ac:dyDescent="0.2">
      <c r="A549" t="s">
        <v>2893</v>
      </c>
      <c r="B549" t="s">
        <v>232</v>
      </c>
      <c r="D549" t="s">
        <v>72</v>
      </c>
      <c r="E549" t="s">
        <v>96</v>
      </c>
      <c r="F549" t="s">
        <v>2161</v>
      </c>
      <c r="G549" t="s">
        <v>705</v>
      </c>
      <c r="H549" t="s">
        <v>108</v>
      </c>
      <c r="I549" t="s">
        <v>2162</v>
      </c>
      <c r="K549">
        <v>8</v>
      </c>
      <c r="L549">
        <f>IFERROR(VLOOKUP(K549,'Tables new'!$A:$C,3,FALSE),"")</f>
        <v>17</v>
      </c>
      <c r="M549" t="str">
        <f>VLOOKUP(K549,CAT_JOUEUR,2,FALSE)</f>
        <v>U 9 H</v>
      </c>
      <c r="N549">
        <v>8</v>
      </c>
      <c r="O549">
        <f>IFERROR(VLOOKUP(N549,'Tables new'!$A:$C,3,FALSE),"")</f>
        <v>17</v>
      </c>
      <c r="P549" t="str">
        <f>VLOOKUP(N549,CAT_JOUEUR,2,FALSE)</f>
        <v>U 9 H</v>
      </c>
      <c r="V549" t="s">
        <v>113</v>
      </c>
      <c r="AA549" t="s">
        <v>2899</v>
      </c>
      <c r="AH549">
        <v>45278</v>
      </c>
      <c r="AI549">
        <v>45257</v>
      </c>
      <c r="AJ549">
        <v>2030</v>
      </c>
      <c r="AK549">
        <v>43350</v>
      </c>
      <c r="AL549" t="s">
        <v>2900</v>
      </c>
      <c r="AO549" t="s">
        <v>2896</v>
      </c>
      <c r="AP549" t="s">
        <v>2897</v>
      </c>
      <c r="AQ549" t="s">
        <v>2898</v>
      </c>
    </row>
    <row r="550" spans="1:70" x14ac:dyDescent="0.2">
      <c r="A550" t="s">
        <v>2901</v>
      </c>
      <c r="B550" t="s">
        <v>2902</v>
      </c>
      <c r="D550" t="s">
        <v>83</v>
      </c>
      <c r="E550" t="s">
        <v>2903</v>
      </c>
      <c r="F550" t="s">
        <v>2904</v>
      </c>
      <c r="G550" t="s">
        <v>2905</v>
      </c>
      <c r="H550" t="s">
        <v>885</v>
      </c>
      <c r="I550" t="s">
        <v>2906</v>
      </c>
      <c r="K550">
        <v>6</v>
      </c>
      <c r="L550">
        <f>IFERROR(VLOOKUP(K550,'Tables new'!$A:$C,3,FALSE),"")</f>
        <v>15</v>
      </c>
      <c r="M550" t="str">
        <f>VLOOKUP(K550,CAT_JOUEUR,2,FALSE)</f>
        <v>U 13 H</v>
      </c>
      <c r="N550">
        <v>6</v>
      </c>
      <c r="O550">
        <f>IFERROR(VLOOKUP(N550,'Tables new'!$A:$C,3,FALSE),"")</f>
        <v>15</v>
      </c>
      <c r="P550" t="str">
        <f>VLOOKUP(N550,CAT_JOUEUR,2,FALSE)</f>
        <v>U 13 H</v>
      </c>
      <c r="T550" t="s">
        <v>113</v>
      </c>
      <c r="AA550" t="s">
        <v>2907</v>
      </c>
      <c r="AH550">
        <v>45273</v>
      </c>
      <c r="AI550">
        <v>45262</v>
      </c>
      <c r="AJ550">
        <v>2026</v>
      </c>
      <c r="AK550">
        <v>41744</v>
      </c>
      <c r="AL550" t="s">
        <v>2908</v>
      </c>
      <c r="AO550" t="s">
        <v>2909</v>
      </c>
      <c r="AP550" t="s">
        <v>2910</v>
      </c>
      <c r="AQ550" t="s">
        <v>2911</v>
      </c>
    </row>
    <row r="551" spans="1:70" x14ac:dyDescent="0.2">
      <c r="A551" t="s">
        <v>2901</v>
      </c>
      <c r="B551" t="s">
        <v>2912</v>
      </c>
      <c r="D551" t="s">
        <v>83</v>
      </c>
      <c r="E551" t="s">
        <v>2903</v>
      </c>
      <c r="F551" t="s">
        <v>2904</v>
      </c>
      <c r="G551" t="s">
        <v>2905</v>
      </c>
      <c r="H551" t="s">
        <v>885</v>
      </c>
      <c r="I551" t="s">
        <v>2906</v>
      </c>
      <c r="K551">
        <v>212</v>
      </c>
      <c r="L551">
        <f>IFERROR(VLOOKUP(K551,'Tables new'!$A:$C,3,FALSE),"")</f>
        <v>70</v>
      </c>
      <c r="M551" t="str">
        <f>VLOOKUP(K551,CAT_JOUEUR,2,FALSE)</f>
        <v>Contact famille</v>
      </c>
      <c r="N551">
        <v>212</v>
      </c>
      <c r="O551">
        <f>IFERROR(VLOOKUP(N551,'Tables new'!$A:$C,3,FALSE),"")</f>
        <v>70</v>
      </c>
      <c r="P551" t="str">
        <f>VLOOKUP(N551,CAT_JOUEUR,2,FALSE)</f>
        <v>Contact famille</v>
      </c>
      <c r="T551" t="s">
        <v>89</v>
      </c>
      <c r="AH551" t="s">
        <v>78</v>
      </c>
      <c r="AI551" t="s">
        <v>78</v>
      </c>
      <c r="AJ551" t="s">
        <v>78</v>
      </c>
      <c r="AK551" t="s">
        <v>78</v>
      </c>
      <c r="AL551" t="s">
        <v>79</v>
      </c>
      <c r="AP551">
        <v>621424881</v>
      </c>
      <c r="AQ551" t="s">
        <v>2913</v>
      </c>
    </row>
    <row r="552" spans="1:70" x14ac:dyDescent="0.2">
      <c r="A552" t="s">
        <v>2914</v>
      </c>
      <c r="B552" t="s">
        <v>2915</v>
      </c>
      <c r="D552" t="s">
        <v>72</v>
      </c>
      <c r="E552" t="s">
        <v>398</v>
      </c>
      <c r="F552" t="s">
        <v>1014</v>
      </c>
      <c r="G552" t="s">
        <v>455</v>
      </c>
      <c r="H552" t="s">
        <v>456</v>
      </c>
      <c r="I552" t="s">
        <v>1015</v>
      </c>
      <c r="K552">
        <v>212</v>
      </c>
      <c r="L552">
        <f>IFERROR(VLOOKUP(K552,'Tables new'!$A:$C,3,FALSE),"")</f>
        <v>70</v>
      </c>
      <c r="M552" t="str">
        <f>VLOOKUP(K552,CAT_JOUEUR,2,FALSE)</f>
        <v>Contact famille</v>
      </c>
      <c r="N552">
        <v>212</v>
      </c>
      <c r="O552">
        <f>IFERROR(VLOOKUP(N552,'Tables new'!$A:$C,3,FALSE),"")</f>
        <v>70</v>
      </c>
      <c r="P552" t="str">
        <f>VLOOKUP(N552,CAT_JOUEUR,2,FALSE)</f>
        <v>Contact famille</v>
      </c>
      <c r="V552" t="s">
        <v>89</v>
      </c>
      <c r="AH552" t="s">
        <v>78</v>
      </c>
      <c r="AI552" t="s">
        <v>78</v>
      </c>
      <c r="AJ552" t="s">
        <v>78</v>
      </c>
      <c r="AK552" t="s">
        <v>78</v>
      </c>
      <c r="AL552" t="s">
        <v>79</v>
      </c>
      <c r="AP552">
        <v>661890301</v>
      </c>
      <c r="AQ552" t="s">
        <v>2916</v>
      </c>
    </row>
    <row r="553" spans="1:70" x14ac:dyDescent="0.2">
      <c r="A553" t="s">
        <v>2917</v>
      </c>
      <c r="B553" t="s">
        <v>2918</v>
      </c>
      <c r="D553" t="s">
        <v>72</v>
      </c>
      <c r="E553" t="s">
        <v>96</v>
      </c>
      <c r="F553" t="s">
        <v>2919</v>
      </c>
      <c r="G553" t="s">
        <v>2920</v>
      </c>
      <c r="H553" t="s">
        <v>300</v>
      </c>
      <c r="I553" t="s">
        <v>2921</v>
      </c>
      <c r="K553">
        <v>21</v>
      </c>
      <c r="L553">
        <f>IFERROR(VLOOKUP(K553,'Tables new'!$A:$C,3,FALSE),"")</f>
        <v>18</v>
      </c>
      <c r="M553" t="str">
        <f>VLOOKUP(K553,CAT_JOUEUR,2,FALSE)</f>
        <v>U7 Mixte</v>
      </c>
      <c r="N553">
        <v>21</v>
      </c>
      <c r="O553">
        <f>IFERROR(VLOOKUP(N553,'Tables new'!$A:$C,3,FALSE),"")</f>
        <v>18</v>
      </c>
      <c r="P553" t="str">
        <f>VLOOKUP(N553,CAT_JOUEUR,2,FALSE)</f>
        <v>U7 Mixte</v>
      </c>
      <c r="W553" t="s">
        <v>113</v>
      </c>
      <c r="AA553" t="s">
        <v>2922</v>
      </c>
      <c r="AH553">
        <v>45643</v>
      </c>
      <c r="AI553">
        <v>45614</v>
      </c>
      <c r="AJ553">
        <v>2029</v>
      </c>
      <c r="AK553">
        <v>44575</v>
      </c>
      <c r="AL553" t="s">
        <v>2923</v>
      </c>
      <c r="AO553" t="s">
        <v>2924</v>
      </c>
      <c r="AP553" t="s">
        <v>2925</v>
      </c>
      <c r="AQ553" t="s">
        <v>2926</v>
      </c>
    </row>
    <row r="554" spans="1:70" x14ac:dyDescent="0.2">
      <c r="A554" t="s">
        <v>2917</v>
      </c>
      <c r="B554" t="s">
        <v>2927</v>
      </c>
      <c r="D554" t="s">
        <v>72</v>
      </c>
      <c r="E554" t="s">
        <v>96</v>
      </c>
      <c r="F554" t="s">
        <v>2919</v>
      </c>
      <c r="G554" t="s">
        <v>2920</v>
      </c>
      <c r="H554" t="s">
        <v>300</v>
      </c>
      <c r="I554" t="s">
        <v>2921</v>
      </c>
      <c r="K554">
        <v>212</v>
      </c>
      <c r="L554">
        <f>IFERROR(VLOOKUP(K554,'Tables new'!$A:$C,3,FALSE),"")</f>
        <v>70</v>
      </c>
      <c r="M554" t="str">
        <f>VLOOKUP(K554,CAT_JOUEUR,2,FALSE)</f>
        <v>Contact famille</v>
      </c>
      <c r="N554">
        <v>212</v>
      </c>
      <c r="O554">
        <f>IFERROR(VLOOKUP(N554,'Tables new'!$A:$C,3,FALSE),"")</f>
        <v>70</v>
      </c>
      <c r="P554" t="str">
        <f>VLOOKUP(N554,CAT_JOUEUR,2,FALSE)</f>
        <v>Contact famille</v>
      </c>
      <c r="W554" t="s">
        <v>89</v>
      </c>
      <c r="AH554" t="s">
        <v>78</v>
      </c>
      <c r="AI554" t="s">
        <v>78</v>
      </c>
      <c r="AJ554" t="s">
        <v>78</v>
      </c>
      <c r="AK554" t="s">
        <v>78</v>
      </c>
      <c r="AL554" t="s">
        <v>79</v>
      </c>
      <c r="AP554">
        <v>621765406</v>
      </c>
      <c r="AQ554" t="s">
        <v>2926</v>
      </c>
    </row>
    <row r="555" spans="1:70" x14ac:dyDescent="0.2">
      <c r="A555" t="s">
        <v>2917</v>
      </c>
      <c r="B555" t="s">
        <v>2928</v>
      </c>
      <c r="D555" t="s">
        <v>72</v>
      </c>
      <c r="E555" t="s">
        <v>96</v>
      </c>
      <c r="F555" t="s">
        <v>2919</v>
      </c>
      <c r="G555" t="s">
        <v>2920</v>
      </c>
      <c r="H555" t="s">
        <v>300</v>
      </c>
      <c r="I555" t="s">
        <v>2921</v>
      </c>
      <c r="K555">
        <v>212</v>
      </c>
      <c r="L555">
        <f>IFERROR(VLOOKUP(K555,'Tables new'!$A:$C,3,FALSE),"")</f>
        <v>70</v>
      </c>
      <c r="M555" t="str">
        <f>VLOOKUP(K555,CAT_JOUEUR,2,FALSE)</f>
        <v>Contact famille</v>
      </c>
      <c r="N555">
        <v>212</v>
      </c>
      <c r="O555">
        <f>IFERROR(VLOOKUP(N555,'Tables new'!$A:$C,3,FALSE),"")</f>
        <v>70</v>
      </c>
      <c r="P555" t="str">
        <f>VLOOKUP(N555,CAT_JOUEUR,2,FALSE)</f>
        <v>Contact famille</v>
      </c>
      <c r="W555" t="s">
        <v>89</v>
      </c>
      <c r="AH555" t="s">
        <v>78</v>
      </c>
      <c r="AI555" t="s">
        <v>78</v>
      </c>
      <c r="AJ555" t="s">
        <v>78</v>
      </c>
      <c r="AK555" t="s">
        <v>78</v>
      </c>
      <c r="AL555" t="s">
        <v>2929</v>
      </c>
      <c r="AP555">
        <v>691118239</v>
      </c>
      <c r="AQ555" t="s">
        <v>2926</v>
      </c>
    </row>
    <row r="556" spans="1:70" x14ac:dyDescent="0.2">
      <c r="A556" t="s">
        <v>2930</v>
      </c>
      <c r="B556" t="s">
        <v>2931</v>
      </c>
      <c r="D556" t="s">
        <v>83</v>
      </c>
      <c r="E556" t="s">
        <v>2903</v>
      </c>
      <c r="F556" t="s">
        <v>2904</v>
      </c>
      <c r="G556" t="s">
        <v>2905</v>
      </c>
      <c r="H556" t="s">
        <v>885</v>
      </c>
      <c r="I556" t="s">
        <v>2906</v>
      </c>
      <c r="K556">
        <v>212</v>
      </c>
      <c r="L556">
        <f>IFERROR(VLOOKUP(K556,'Tables new'!$A:$C,3,FALSE),"")</f>
        <v>70</v>
      </c>
      <c r="M556" t="str">
        <f>VLOOKUP(K556,CAT_JOUEUR,2,FALSE)</f>
        <v>Contact famille</v>
      </c>
      <c r="N556">
        <v>212</v>
      </c>
      <c r="O556">
        <f>IFERROR(VLOOKUP(N556,'Tables new'!$A:$C,3,FALSE),"")</f>
        <v>70</v>
      </c>
      <c r="P556" t="str">
        <f>VLOOKUP(N556,CAT_JOUEUR,2,FALSE)</f>
        <v>Contact famille</v>
      </c>
      <c r="T556" t="s">
        <v>89</v>
      </c>
      <c r="AH556" t="s">
        <v>78</v>
      </c>
      <c r="AI556" t="s">
        <v>78</v>
      </c>
      <c r="AJ556" t="s">
        <v>78</v>
      </c>
      <c r="AK556" t="s">
        <v>78</v>
      </c>
      <c r="AL556" t="s">
        <v>79</v>
      </c>
      <c r="AP556">
        <v>621381229</v>
      </c>
      <c r="AQ556" t="s">
        <v>2911</v>
      </c>
    </row>
    <row r="557" spans="1:70" x14ac:dyDescent="0.2">
      <c r="A557" t="s">
        <v>2932</v>
      </c>
      <c r="B557" t="s">
        <v>2933</v>
      </c>
      <c r="D557" t="s">
        <v>72</v>
      </c>
      <c r="E557" t="s">
        <v>96</v>
      </c>
      <c r="F557" t="s">
        <v>2934</v>
      </c>
      <c r="G557" t="s">
        <v>2935</v>
      </c>
      <c r="H557" t="s">
        <v>432</v>
      </c>
      <c r="I557" t="s">
        <v>2106</v>
      </c>
      <c r="K557">
        <v>212</v>
      </c>
      <c r="L557">
        <f>IFERROR(VLOOKUP(K557,'Tables new'!$A:$C,3,FALSE),"")</f>
        <v>70</v>
      </c>
      <c r="M557" t="str">
        <f>VLOOKUP(K557,CAT_JOUEUR,2,FALSE)</f>
        <v>Contact famille</v>
      </c>
      <c r="N557">
        <v>212</v>
      </c>
      <c r="O557">
        <f>IFERROR(VLOOKUP(N557,'Tables new'!$A:$C,3,FALSE),"")</f>
        <v>70</v>
      </c>
      <c r="P557" t="str">
        <f>VLOOKUP(N557,CAT_JOUEUR,2,FALSE)</f>
        <v>Contact famille</v>
      </c>
      <c r="AD557" t="s">
        <v>208</v>
      </c>
      <c r="AF557" t="s">
        <v>208</v>
      </c>
      <c r="AH557" t="s">
        <v>78</v>
      </c>
      <c r="AI557" t="s">
        <v>78</v>
      </c>
      <c r="AJ557" t="s">
        <v>78</v>
      </c>
      <c r="AK557" t="s">
        <v>78</v>
      </c>
      <c r="AL557" t="s">
        <v>79</v>
      </c>
      <c r="AP557" t="s">
        <v>2936</v>
      </c>
      <c r="AQ557" t="s">
        <v>2937</v>
      </c>
    </row>
    <row r="558" spans="1:70" x14ac:dyDescent="0.2">
      <c r="A558" t="s">
        <v>2932</v>
      </c>
      <c r="B558" t="s">
        <v>1957</v>
      </c>
      <c r="D558" t="s">
        <v>72</v>
      </c>
      <c r="E558" t="s">
        <v>96</v>
      </c>
      <c r="F558" t="s">
        <v>2934</v>
      </c>
      <c r="G558" t="s">
        <v>2935</v>
      </c>
      <c r="H558" t="s">
        <v>432</v>
      </c>
      <c r="I558" t="s">
        <v>2106</v>
      </c>
      <c r="K558">
        <v>3</v>
      </c>
      <c r="L558">
        <f>IFERROR(VLOOKUP(K558,'Tables new'!$A:$C,3,FALSE),"")</f>
        <v>12</v>
      </c>
      <c r="M558" t="str">
        <f>VLOOKUP(K558,CAT_JOUEUR,2,FALSE)</f>
        <v>U 21 HO</v>
      </c>
      <c r="N558">
        <v>3</v>
      </c>
      <c r="O558">
        <f>IFERROR(VLOOKUP(N558,'Tables new'!$A:$C,3,FALSE),"")</f>
        <v>12</v>
      </c>
      <c r="P558" t="str">
        <f>VLOOKUP(N558,CAT_JOUEUR,2,FALSE)</f>
        <v>U 21 HO</v>
      </c>
      <c r="AA558" t="s">
        <v>2938</v>
      </c>
      <c r="AH558">
        <v>43843</v>
      </c>
      <c r="AI558">
        <v>43802</v>
      </c>
      <c r="AJ558">
        <v>2026</v>
      </c>
      <c r="AK558">
        <v>38840</v>
      </c>
      <c r="AL558" t="s">
        <v>2939</v>
      </c>
      <c r="AN558" t="s">
        <v>2940</v>
      </c>
      <c r="AP558" t="s">
        <v>2941</v>
      </c>
      <c r="AQ558" t="s">
        <v>2942</v>
      </c>
      <c r="BD558" t="s">
        <v>783</v>
      </c>
    </row>
    <row r="559" spans="1:70" x14ac:dyDescent="0.2">
      <c r="A559" t="s">
        <v>2943</v>
      </c>
      <c r="B559" t="s">
        <v>1992</v>
      </c>
      <c r="D559" t="s">
        <v>72</v>
      </c>
      <c r="E559" t="s">
        <v>96</v>
      </c>
      <c r="F559" t="s">
        <v>2009</v>
      </c>
      <c r="G559" t="s">
        <v>551</v>
      </c>
      <c r="H559" t="s">
        <v>108</v>
      </c>
      <c r="I559" t="s">
        <v>2010</v>
      </c>
      <c r="K559">
        <v>212</v>
      </c>
      <c r="L559">
        <f>IFERROR(VLOOKUP(K559,'Tables new'!$A:$C,3,FALSE),"")</f>
        <v>70</v>
      </c>
      <c r="M559" t="str">
        <f>VLOOKUP(K559,CAT_JOUEUR,2,FALSE)</f>
        <v>Contact famille</v>
      </c>
      <c r="N559">
        <v>212</v>
      </c>
      <c r="O559">
        <f>IFERROR(VLOOKUP(N559,'Tables new'!$A:$C,3,FALSE),"")</f>
        <v>70</v>
      </c>
      <c r="P559" t="str">
        <f>VLOOKUP(N559,CAT_JOUEUR,2,FALSE)</f>
        <v>Contact famille</v>
      </c>
      <c r="W559" t="s">
        <v>89</v>
      </c>
      <c r="AE559" t="s">
        <v>208</v>
      </c>
      <c r="AH559" t="s">
        <v>78</v>
      </c>
      <c r="AI559" t="s">
        <v>78</v>
      </c>
      <c r="AJ559" t="s">
        <v>78</v>
      </c>
      <c r="AK559">
        <v>27396</v>
      </c>
      <c r="AL559" t="s">
        <v>2944</v>
      </c>
      <c r="AN559" t="s">
        <v>2945</v>
      </c>
      <c r="AP559">
        <v>691654785</v>
      </c>
      <c r="AQ559" t="s">
        <v>2946</v>
      </c>
    </row>
    <row r="560" spans="1:70" x14ac:dyDescent="0.2">
      <c r="A560" t="s">
        <v>2943</v>
      </c>
      <c r="B560" t="s">
        <v>2947</v>
      </c>
      <c r="D560" t="s">
        <v>72</v>
      </c>
      <c r="E560" t="s">
        <v>96</v>
      </c>
      <c r="F560" t="s">
        <v>2009</v>
      </c>
      <c r="G560" t="s">
        <v>551</v>
      </c>
      <c r="H560" t="s">
        <v>108</v>
      </c>
      <c r="I560" t="s">
        <v>2010</v>
      </c>
      <c r="K560">
        <v>21</v>
      </c>
      <c r="L560">
        <f>IFERROR(VLOOKUP(K560,'Tables new'!$A:$C,3,FALSE),"")</f>
        <v>18</v>
      </c>
      <c r="M560" t="str">
        <f>VLOOKUP(K560,CAT_JOUEUR,2,FALSE)</f>
        <v>U7 Mixte</v>
      </c>
      <c r="N560">
        <v>21</v>
      </c>
      <c r="O560">
        <f>IFERROR(VLOOKUP(N560,'Tables new'!$A:$C,3,FALSE),"")</f>
        <v>18</v>
      </c>
      <c r="P560" t="str">
        <f>VLOOKUP(N560,CAT_JOUEUR,2,FALSE)</f>
        <v>U7 Mixte</v>
      </c>
      <c r="W560" t="s">
        <v>113</v>
      </c>
      <c r="AA560" t="s">
        <v>2948</v>
      </c>
      <c r="AH560">
        <v>45369</v>
      </c>
      <c r="AI560">
        <v>45297</v>
      </c>
      <c r="AJ560">
        <v>2028</v>
      </c>
      <c r="AK560">
        <v>44531</v>
      </c>
      <c r="AL560" t="s">
        <v>2949</v>
      </c>
      <c r="AN560" t="s">
        <v>2950</v>
      </c>
      <c r="AO560" t="s">
        <v>2951</v>
      </c>
      <c r="AP560" t="s">
        <v>2952</v>
      </c>
      <c r="AQ560" t="s">
        <v>2013</v>
      </c>
      <c r="BR560" t="s">
        <v>208</v>
      </c>
    </row>
    <row r="561" spans="4:43" x14ac:dyDescent="0.2">
      <c r="D561" t="s">
        <v>1334</v>
      </c>
      <c r="E561" t="s">
        <v>1334</v>
      </c>
      <c r="L561">
        <f>IFERROR(VLOOKUP(K561,'Tables new'!$A:$C,3,FALSE),"")</f>
        <v>0</v>
      </c>
      <c r="M561" t="str">
        <f>VLOOKUP(K561,CAT_JOUEUR,2,FALSE)</f>
        <v>CAT à compléter</v>
      </c>
      <c r="O561">
        <f>IFERROR(VLOOKUP(N561,'Tables new'!$A:$C,3,FALSE),"")</f>
        <v>0</v>
      </c>
      <c r="P561" t="str">
        <f>VLOOKUP(N561,CAT_JOUEUR,2,FALSE)</f>
        <v>CAT à compléter</v>
      </c>
    </row>
    <row r="562" spans="4:43" x14ac:dyDescent="0.2">
      <c r="D562" t="s">
        <v>1334</v>
      </c>
      <c r="E562" t="s">
        <v>1334</v>
      </c>
      <c r="I562" t="s">
        <v>2954</v>
      </c>
      <c r="L562">
        <f>IFERROR(VLOOKUP(K562,'Tables new'!$A:$C,3,FALSE),"")</f>
        <v>0</v>
      </c>
      <c r="M562" t="str">
        <f>VLOOKUP(K562,CAT_JOUEUR,2,FALSE)</f>
        <v>CAT à compléter</v>
      </c>
      <c r="O562">
        <f>IFERROR(VLOOKUP(N562,'Tables new'!$A:$C,3,FALSE),"")</f>
        <v>0</v>
      </c>
      <c r="P562" t="str">
        <f>VLOOKUP(N562,CAT_JOUEUR,2,FALSE)</f>
        <v>CAT à compléter</v>
      </c>
    </row>
    <row r="563" spans="4:43" x14ac:dyDescent="0.2">
      <c r="D563" t="s">
        <v>1334</v>
      </c>
      <c r="E563" t="s">
        <v>1334</v>
      </c>
      <c r="I563" t="s">
        <v>2955</v>
      </c>
      <c r="L563">
        <f>IFERROR(VLOOKUP(K563,'Tables new'!$A:$C,3,FALSE),"")</f>
        <v>0</v>
      </c>
      <c r="M563" t="str">
        <f>VLOOKUP(K563,CAT_JOUEUR,2,FALSE)</f>
        <v>CAT à compléter</v>
      </c>
      <c r="O563">
        <f>IFERROR(VLOOKUP(N563,'Tables new'!$A:$C,3,FALSE),"")</f>
        <v>0</v>
      </c>
      <c r="P563" t="str">
        <f>VLOOKUP(N563,CAT_JOUEUR,2,FALSE)</f>
        <v>CAT à compléter</v>
      </c>
    </row>
    <row r="564" spans="4:43" x14ac:dyDescent="0.2">
      <c r="D564" t="s">
        <v>1334</v>
      </c>
      <c r="E564" t="s">
        <v>1334</v>
      </c>
      <c r="I564" t="s">
        <v>2956</v>
      </c>
      <c r="L564">
        <f>IFERROR(VLOOKUP(K564,'Tables new'!$A:$C,3,FALSE),"")</f>
        <v>0</v>
      </c>
      <c r="M564" t="str">
        <f>VLOOKUP(K564,CAT_JOUEUR,2,FALSE)</f>
        <v>CAT à compléter</v>
      </c>
      <c r="O564">
        <f>IFERROR(VLOOKUP(N564,'Tables new'!$A:$C,3,FALSE),"")</f>
        <v>0</v>
      </c>
      <c r="P564" t="str">
        <f>VLOOKUP(N564,CAT_JOUEUR,2,FALSE)</f>
        <v>CAT à compléter</v>
      </c>
      <c r="AQ564" t="s">
        <v>208</v>
      </c>
    </row>
    <row r="565" spans="4:43" x14ac:dyDescent="0.2">
      <c r="D565" t="s">
        <v>1334</v>
      </c>
      <c r="E565" t="s">
        <v>1334</v>
      </c>
      <c r="I565" t="s">
        <v>2957</v>
      </c>
      <c r="L565">
        <f>IFERROR(VLOOKUP(K565,'Tables new'!$A:$C,3,FALSE),"")</f>
        <v>0</v>
      </c>
      <c r="M565" t="str">
        <f>VLOOKUP(K565,CAT_JOUEUR,2,FALSE)</f>
        <v>CAT à compléter</v>
      </c>
      <c r="O565">
        <f>IFERROR(VLOOKUP(N565,'Tables new'!$A:$C,3,FALSE),"")</f>
        <v>0</v>
      </c>
      <c r="P565" t="str">
        <f>VLOOKUP(N565,CAT_JOUEUR,2,FALSE)</f>
        <v>CAT à compléter</v>
      </c>
    </row>
    <row r="566" spans="4:43" x14ac:dyDescent="0.2">
      <c r="D566" t="s">
        <v>1334</v>
      </c>
      <c r="E566" t="s">
        <v>1334</v>
      </c>
      <c r="I566" t="s">
        <v>2958</v>
      </c>
      <c r="L566">
        <f>IFERROR(VLOOKUP(K566,'Tables new'!$A:$C,3,FALSE),"")</f>
        <v>0</v>
      </c>
      <c r="M566" t="str">
        <f>VLOOKUP(K566,CAT_JOUEUR,2,FALSE)</f>
        <v>CAT à compléter</v>
      </c>
      <c r="O566">
        <f>IFERROR(VLOOKUP(N566,'Tables new'!$A:$C,3,FALSE),"")</f>
        <v>0</v>
      </c>
      <c r="P566" t="str">
        <f>VLOOKUP(N566,CAT_JOUEUR,2,FALSE)</f>
        <v>CAT à compléter</v>
      </c>
    </row>
    <row r="567" spans="4:43" x14ac:dyDescent="0.2">
      <c r="D567" t="s">
        <v>1334</v>
      </c>
      <c r="E567" t="s">
        <v>1334</v>
      </c>
      <c r="I567" t="s">
        <v>2959</v>
      </c>
      <c r="L567">
        <f>IFERROR(VLOOKUP(K567,'Tables new'!$A:$C,3,FALSE),"")</f>
        <v>0</v>
      </c>
      <c r="M567" t="str">
        <f>VLOOKUP(K567,CAT_JOUEUR,2,FALSE)</f>
        <v>CAT à compléter</v>
      </c>
      <c r="O567">
        <f>IFERROR(VLOOKUP(N567,'Tables new'!$A:$C,3,FALSE),"")</f>
        <v>0</v>
      </c>
      <c r="P567" t="str">
        <f>VLOOKUP(N567,CAT_JOUEUR,2,FALSE)</f>
        <v>CAT à compléter</v>
      </c>
    </row>
    <row r="568" spans="4:43" x14ac:dyDescent="0.2">
      <c r="D568" t="s">
        <v>1334</v>
      </c>
      <c r="E568" t="s">
        <v>1334</v>
      </c>
      <c r="I568" t="s">
        <v>2960</v>
      </c>
      <c r="L568">
        <f>IFERROR(VLOOKUP(K568,'Tables new'!$A:$C,3,FALSE),"")</f>
        <v>0</v>
      </c>
      <c r="M568" t="str">
        <f>VLOOKUP(K568,CAT_JOUEUR,2,FALSE)</f>
        <v>CAT à compléter</v>
      </c>
      <c r="O568">
        <f>IFERROR(VLOOKUP(N568,'Tables new'!$A:$C,3,FALSE),"")</f>
        <v>0</v>
      </c>
      <c r="P568" t="str">
        <f>VLOOKUP(N568,CAT_JOUEUR,2,FALSE)</f>
        <v>CAT à compléter</v>
      </c>
    </row>
    <row r="569" spans="4:43" x14ac:dyDescent="0.2">
      <c r="D569" t="s">
        <v>1334</v>
      </c>
      <c r="E569" t="s">
        <v>1334</v>
      </c>
      <c r="I569" t="s">
        <v>2961</v>
      </c>
      <c r="L569">
        <f>IFERROR(VLOOKUP(K569,'Tables new'!$A:$C,3,FALSE),"")</f>
        <v>0</v>
      </c>
      <c r="M569" t="str">
        <f>VLOOKUP(K569,CAT_JOUEUR,2,FALSE)</f>
        <v>CAT à compléter</v>
      </c>
      <c r="O569">
        <f>IFERROR(VLOOKUP(N569,'Tables new'!$A:$C,3,FALSE),"")</f>
        <v>0</v>
      </c>
      <c r="P569" t="str">
        <f>VLOOKUP(N569,CAT_JOUEUR,2,FALSE)</f>
        <v>CAT à compléter</v>
      </c>
    </row>
    <row r="570" spans="4:43" x14ac:dyDescent="0.2">
      <c r="D570" t="s">
        <v>1334</v>
      </c>
      <c r="E570" t="s">
        <v>1334</v>
      </c>
      <c r="L570">
        <f>IFERROR(VLOOKUP(K570,'Tables new'!$A:$C,3,FALSE),"")</f>
        <v>0</v>
      </c>
      <c r="M570" t="str">
        <f>VLOOKUP(K570,CAT_JOUEUR,2,FALSE)</f>
        <v>CAT à compléter</v>
      </c>
      <c r="O570">
        <f>IFERROR(VLOOKUP(N570,'Tables new'!$A:$C,3,FALSE),"")</f>
        <v>0</v>
      </c>
      <c r="P570" t="str">
        <f>VLOOKUP(N570,CAT_JOUEUR,2,FALSE)</f>
        <v>CAT à compléter</v>
      </c>
    </row>
    <row r="571" spans="4:43" x14ac:dyDescent="0.2">
      <c r="D571" t="s">
        <v>1334</v>
      </c>
      <c r="E571" t="s">
        <v>1334</v>
      </c>
      <c r="L571">
        <f>IFERROR(VLOOKUP(K571,'Tables new'!$A:$C,3,FALSE),"")</f>
        <v>0</v>
      </c>
      <c r="M571" t="str">
        <f>VLOOKUP(K571,CAT_JOUEUR,2,FALSE)</f>
        <v>CAT à compléter</v>
      </c>
      <c r="O571">
        <f>IFERROR(VLOOKUP(N571,'Tables new'!$A:$C,3,FALSE),"")</f>
        <v>0</v>
      </c>
      <c r="P571" t="str">
        <f>VLOOKUP(N571,CAT_JOUEUR,2,FALSE)</f>
        <v>CAT à compléter</v>
      </c>
    </row>
    <row r="572" spans="4:43" x14ac:dyDescent="0.2">
      <c r="D572" t="s">
        <v>1334</v>
      </c>
      <c r="E572" t="s">
        <v>1334</v>
      </c>
      <c r="L572">
        <f>IFERROR(VLOOKUP(K572,'Tables new'!$A:$C,3,FALSE),"")</f>
        <v>0</v>
      </c>
      <c r="M572" t="str">
        <f>VLOOKUP(K572,CAT_JOUEUR,2,FALSE)</f>
        <v>CAT à compléter</v>
      </c>
      <c r="O572">
        <f>IFERROR(VLOOKUP(N572,'Tables new'!$A:$C,3,FALSE),"")</f>
        <v>0</v>
      </c>
      <c r="P572" t="str">
        <f>VLOOKUP(N572,CAT_JOUEUR,2,FALSE)</f>
        <v>CAT à compléter</v>
      </c>
    </row>
    <row r="573" spans="4:43" x14ac:dyDescent="0.2">
      <c r="D573" t="s">
        <v>1334</v>
      </c>
      <c r="E573" t="s">
        <v>1334</v>
      </c>
      <c r="L573">
        <f>IFERROR(VLOOKUP(K573,'Tables new'!$A:$C,3,FALSE),"")</f>
        <v>0</v>
      </c>
      <c r="M573" t="str">
        <f>VLOOKUP(K573,CAT_JOUEUR,2,FALSE)</f>
        <v>CAT à compléter</v>
      </c>
      <c r="O573">
        <f>IFERROR(VLOOKUP(N573,'Tables new'!$A:$C,3,FALSE),"")</f>
        <v>0</v>
      </c>
      <c r="P573" t="str">
        <f>VLOOKUP(N573,CAT_JOUEUR,2,FALSE)</f>
        <v>CAT à compléter</v>
      </c>
    </row>
    <row r="574" spans="4:43" x14ac:dyDescent="0.2">
      <c r="D574" t="s">
        <v>1334</v>
      </c>
      <c r="E574" t="s">
        <v>1334</v>
      </c>
      <c r="L574">
        <f>IFERROR(VLOOKUP(K574,'Tables new'!$A:$C,3,FALSE),"")</f>
        <v>0</v>
      </c>
      <c r="M574" t="str">
        <f>VLOOKUP(K574,CAT_JOUEUR,2,FALSE)</f>
        <v>CAT à compléter</v>
      </c>
      <c r="O574">
        <f>IFERROR(VLOOKUP(N574,'Tables new'!$A:$C,3,FALSE),"")</f>
        <v>0</v>
      </c>
      <c r="P574" t="str">
        <f>VLOOKUP(N574,CAT_JOUEUR,2,FALSE)</f>
        <v>CAT à compléter</v>
      </c>
    </row>
    <row r="575" spans="4:43" x14ac:dyDescent="0.2">
      <c r="D575" t="s">
        <v>1334</v>
      </c>
      <c r="E575" t="s">
        <v>1334</v>
      </c>
      <c r="L575">
        <f>IFERROR(VLOOKUP(K575,'Tables new'!$A:$C,3,FALSE),"")</f>
        <v>0</v>
      </c>
      <c r="M575" t="str">
        <f>VLOOKUP(K575,CAT_JOUEUR,2,FALSE)</f>
        <v>CAT à compléter</v>
      </c>
      <c r="O575">
        <f>IFERROR(VLOOKUP(N575,'Tables new'!$A:$C,3,FALSE),"")</f>
        <v>0</v>
      </c>
      <c r="P575" t="str">
        <f>VLOOKUP(N575,CAT_JOUEUR,2,FALSE)</f>
        <v>CAT à compléter</v>
      </c>
    </row>
    <row r="576" spans="4:43" x14ac:dyDescent="0.2">
      <c r="D576" t="s">
        <v>1334</v>
      </c>
      <c r="E576" t="s">
        <v>1334</v>
      </c>
      <c r="L576">
        <f>IFERROR(VLOOKUP(K576,'Tables new'!$A:$C,3,FALSE),"")</f>
        <v>0</v>
      </c>
      <c r="M576" t="str">
        <f>VLOOKUP(K576,CAT_JOUEUR,2,FALSE)</f>
        <v>CAT à compléter</v>
      </c>
      <c r="O576">
        <f>IFERROR(VLOOKUP(N576,'Tables new'!$A:$C,3,FALSE),"")</f>
        <v>0</v>
      </c>
      <c r="P576" t="str">
        <f>VLOOKUP(N576,CAT_JOUEUR,2,FALSE)</f>
        <v>CAT à compléter</v>
      </c>
    </row>
    <row r="577" spans="4:16" x14ac:dyDescent="0.2">
      <c r="D577" t="s">
        <v>1334</v>
      </c>
      <c r="E577" t="s">
        <v>1334</v>
      </c>
      <c r="L577">
        <f>IFERROR(VLOOKUP(K577,'Tables new'!$A:$C,3,FALSE),"")</f>
        <v>0</v>
      </c>
      <c r="M577" t="str">
        <f>VLOOKUP(K577,CAT_JOUEUR,2,FALSE)</f>
        <v>CAT à compléter</v>
      </c>
      <c r="O577">
        <f>IFERROR(VLOOKUP(N577,'Tables new'!$A:$C,3,FALSE),"")</f>
        <v>0</v>
      </c>
      <c r="P577" t="str">
        <f>VLOOKUP(N577,CAT_JOUEUR,2,FALSE)</f>
        <v>CAT à compléter</v>
      </c>
    </row>
    <row r="578" spans="4:16" x14ac:dyDescent="0.2">
      <c r="D578" t="s">
        <v>1334</v>
      </c>
      <c r="E578" t="s">
        <v>1334</v>
      </c>
      <c r="L578">
        <f>IFERROR(VLOOKUP(K578,'Tables new'!$A:$C,3,FALSE),"")</f>
        <v>0</v>
      </c>
      <c r="M578" t="str">
        <f>VLOOKUP(K578,CAT_JOUEUR,2,FALSE)</f>
        <v>CAT à compléter</v>
      </c>
      <c r="O578">
        <f>IFERROR(VLOOKUP(N578,'Tables new'!$A:$C,3,FALSE),"")</f>
        <v>0</v>
      </c>
      <c r="P578" t="str">
        <f>VLOOKUP(N578,CAT_JOUEUR,2,FALSE)</f>
        <v>CAT à compléter</v>
      </c>
    </row>
    <row r="579" spans="4:16" x14ac:dyDescent="0.2">
      <c r="D579" t="s">
        <v>1334</v>
      </c>
      <c r="E579" t="s">
        <v>1334</v>
      </c>
      <c r="L579">
        <f>IFERROR(VLOOKUP(K579,'Tables new'!$A:$C,3,FALSE),"")</f>
        <v>0</v>
      </c>
      <c r="M579" t="str">
        <f>VLOOKUP(K579,CAT_JOUEUR,2,FALSE)</f>
        <v>CAT à compléter</v>
      </c>
      <c r="O579">
        <f>IFERROR(VLOOKUP(N579,'Tables new'!$A:$C,3,FALSE),"")</f>
        <v>0</v>
      </c>
      <c r="P579" t="str">
        <f>VLOOKUP(N579,CAT_JOUEUR,2,FALSE)</f>
        <v>CAT à compléter</v>
      </c>
    </row>
    <row r="580" spans="4:16" x14ac:dyDescent="0.2">
      <c r="D580" t="s">
        <v>1334</v>
      </c>
      <c r="E580" t="s">
        <v>1334</v>
      </c>
      <c r="L580">
        <f>IFERROR(VLOOKUP(K580,'Tables new'!$A:$C,3,FALSE),"")</f>
        <v>0</v>
      </c>
      <c r="M580" t="str">
        <f>VLOOKUP(K580,CAT_JOUEUR,2,FALSE)</f>
        <v>CAT à compléter</v>
      </c>
      <c r="O580">
        <f>IFERROR(VLOOKUP(N580,'Tables new'!$A:$C,3,FALSE),"")</f>
        <v>0</v>
      </c>
      <c r="P580" t="str">
        <f>VLOOKUP(N580,CAT_JOUEUR,2,FALSE)</f>
        <v>CAT à compléter</v>
      </c>
    </row>
    <row r="581" spans="4:16" x14ac:dyDescent="0.2">
      <c r="D581" t="s">
        <v>1334</v>
      </c>
      <c r="E581" t="s">
        <v>1334</v>
      </c>
      <c r="L581">
        <f>IFERROR(VLOOKUP(K581,'Tables new'!$A:$C,3,FALSE),"")</f>
        <v>0</v>
      </c>
      <c r="M581" t="str">
        <f>VLOOKUP(K581,CAT_JOUEUR,2,FALSE)</f>
        <v>CAT à compléter</v>
      </c>
      <c r="O581">
        <f>IFERROR(VLOOKUP(N581,'Tables new'!$A:$C,3,FALSE),"")</f>
        <v>0</v>
      </c>
      <c r="P581" t="str">
        <f>VLOOKUP(N581,CAT_JOUEUR,2,FALSE)</f>
        <v>CAT à compléter</v>
      </c>
    </row>
    <row r="582" spans="4:16" x14ac:dyDescent="0.2">
      <c r="D582" t="s">
        <v>1334</v>
      </c>
      <c r="E582" t="s">
        <v>1334</v>
      </c>
      <c r="L582">
        <f>IFERROR(VLOOKUP(K582,'Tables new'!$A:$C,3,FALSE),"")</f>
        <v>0</v>
      </c>
      <c r="M582" t="str">
        <f>VLOOKUP(K582,CAT_JOUEUR,2,FALSE)</f>
        <v>CAT à compléter</v>
      </c>
      <c r="O582">
        <f>IFERROR(VLOOKUP(N582,'Tables new'!$A:$C,3,FALSE),"")</f>
        <v>0</v>
      </c>
      <c r="P582" t="str">
        <f>VLOOKUP(N582,CAT_JOUEUR,2,FALSE)</f>
        <v>CAT à compléter</v>
      </c>
    </row>
    <row r="583" spans="4:16" x14ac:dyDescent="0.2">
      <c r="D583" t="s">
        <v>1334</v>
      </c>
      <c r="E583" t="s">
        <v>1334</v>
      </c>
      <c r="L583">
        <f>IFERROR(VLOOKUP(K583,'Tables new'!$A:$C,3,FALSE),"")</f>
        <v>0</v>
      </c>
      <c r="M583" t="str">
        <f>VLOOKUP(K583,CAT_JOUEUR,2,FALSE)</f>
        <v>CAT à compléter</v>
      </c>
      <c r="O583">
        <f>IFERROR(VLOOKUP(N583,'Tables new'!$A:$C,3,FALSE),"")</f>
        <v>0</v>
      </c>
      <c r="P583" t="str">
        <f>VLOOKUP(N583,CAT_JOUEUR,2,FALSE)</f>
        <v>CAT à compléter</v>
      </c>
    </row>
    <row r="584" spans="4:16" x14ac:dyDescent="0.2">
      <c r="D584" t="s">
        <v>1334</v>
      </c>
      <c r="E584" t="s">
        <v>1334</v>
      </c>
      <c r="L584">
        <f>IFERROR(VLOOKUP(K584,'Tables new'!$A:$C,3,FALSE),"")</f>
        <v>0</v>
      </c>
      <c r="M584" t="str">
        <f>VLOOKUP(K584,CAT_JOUEUR,2,FALSE)</f>
        <v>CAT à compléter</v>
      </c>
      <c r="O584">
        <f>IFERROR(VLOOKUP(N584,'Tables new'!$A:$C,3,FALSE),"")</f>
        <v>0</v>
      </c>
      <c r="P584" t="str">
        <f>VLOOKUP(N584,CAT_JOUEUR,2,FALSE)</f>
        <v>CAT à compléter</v>
      </c>
    </row>
    <row r="585" spans="4:16" x14ac:dyDescent="0.2">
      <c r="D585" t="s">
        <v>1334</v>
      </c>
      <c r="E585" t="s">
        <v>1334</v>
      </c>
      <c r="L585">
        <f>IFERROR(VLOOKUP(K585,'Tables new'!$A:$C,3,FALSE),"")</f>
        <v>0</v>
      </c>
      <c r="M585" t="str">
        <f>VLOOKUP(K585,CAT_JOUEUR,2,FALSE)</f>
        <v>CAT à compléter</v>
      </c>
      <c r="O585">
        <f>IFERROR(VLOOKUP(N585,'Tables new'!$A:$C,3,FALSE),"")</f>
        <v>0</v>
      </c>
      <c r="P585" t="str">
        <f>VLOOKUP(N585,CAT_JOUEUR,2,FALSE)</f>
        <v>CAT à compléter</v>
      </c>
    </row>
    <row r="586" spans="4:16" x14ac:dyDescent="0.2">
      <c r="D586" t="s">
        <v>1334</v>
      </c>
      <c r="E586" t="s">
        <v>1334</v>
      </c>
      <c r="L586">
        <f>IFERROR(VLOOKUP(K586,'Tables new'!$A:$C,3,FALSE),"")</f>
        <v>0</v>
      </c>
      <c r="M586" t="str">
        <f>VLOOKUP(K586,CAT_JOUEUR,2,FALSE)</f>
        <v>CAT à compléter</v>
      </c>
      <c r="O586">
        <f>IFERROR(VLOOKUP(N586,'Tables new'!$A:$C,3,FALSE),"")</f>
        <v>0</v>
      </c>
      <c r="P586" t="str">
        <f>VLOOKUP(N586,CAT_JOUEUR,2,FALSE)</f>
        <v>CAT à compléter</v>
      </c>
    </row>
    <row r="587" spans="4:16" x14ac:dyDescent="0.2">
      <c r="D587" t="s">
        <v>1334</v>
      </c>
      <c r="E587" t="s">
        <v>1334</v>
      </c>
      <c r="L587">
        <f>IFERROR(VLOOKUP(K587,'Tables new'!$A:$C,3,FALSE),"")</f>
        <v>0</v>
      </c>
      <c r="M587" t="str">
        <f>VLOOKUP(K587,CAT_JOUEUR,2,FALSE)</f>
        <v>CAT à compléter</v>
      </c>
      <c r="O587">
        <f>IFERROR(VLOOKUP(N587,'Tables new'!$A:$C,3,FALSE),"")</f>
        <v>0</v>
      </c>
      <c r="P587" t="str">
        <f>VLOOKUP(N587,CAT_JOUEUR,2,FALSE)</f>
        <v>CAT à compléter</v>
      </c>
    </row>
    <row r="588" spans="4:16" x14ac:dyDescent="0.2">
      <c r="D588" t="s">
        <v>1334</v>
      </c>
      <c r="E588" t="s">
        <v>1334</v>
      </c>
      <c r="L588">
        <f>IFERROR(VLOOKUP(K588,'Tables new'!$A:$C,3,FALSE),"")</f>
        <v>0</v>
      </c>
      <c r="M588" t="str">
        <f>VLOOKUP(K588,CAT_JOUEUR,2,FALSE)</f>
        <v>CAT à compléter</v>
      </c>
      <c r="O588">
        <f>IFERROR(VLOOKUP(N588,'Tables new'!$A:$C,3,FALSE),"")</f>
        <v>0</v>
      </c>
      <c r="P588" t="str">
        <f>VLOOKUP(N588,CAT_JOUEUR,2,FALSE)</f>
        <v>CAT à compléter</v>
      </c>
    </row>
    <row r="589" spans="4:16" x14ac:dyDescent="0.2">
      <c r="D589" t="s">
        <v>1334</v>
      </c>
      <c r="E589" t="s">
        <v>1334</v>
      </c>
      <c r="L589">
        <f>IFERROR(VLOOKUP(K589,'Tables new'!$A:$C,3,FALSE),"")</f>
        <v>0</v>
      </c>
      <c r="M589" t="str">
        <f>VLOOKUP(K589,CAT_JOUEUR,2,FALSE)</f>
        <v>CAT à compléter</v>
      </c>
      <c r="O589">
        <f>IFERROR(VLOOKUP(N589,'Tables new'!$A:$C,3,FALSE),"")</f>
        <v>0</v>
      </c>
      <c r="P589" t="str">
        <f>VLOOKUP(N589,CAT_JOUEUR,2,FALSE)</f>
        <v>CAT à compléter</v>
      </c>
    </row>
    <row r="590" spans="4:16" x14ac:dyDescent="0.2">
      <c r="D590" t="s">
        <v>1334</v>
      </c>
      <c r="E590" t="s">
        <v>1334</v>
      </c>
      <c r="L590">
        <f>IFERROR(VLOOKUP(K590,'Tables new'!$A:$C,3,FALSE),"")</f>
        <v>0</v>
      </c>
      <c r="M590" t="str">
        <f>VLOOKUP(K590,CAT_JOUEUR,2,FALSE)</f>
        <v>CAT à compléter</v>
      </c>
      <c r="O590">
        <f>IFERROR(VLOOKUP(N590,'Tables new'!$A:$C,3,FALSE),"")</f>
        <v>0</v>
      </c>
      <c r="P590" t="str">
        <f>VLOOKUP(N590,CAT_JOUEUR,2,FALSE)</f>
        <v>CAT à compléter</v>
      </c>
    </row>
    <row r="591" spans="4:16" x14ac:dyDescent="0.2">
      <c r="D591" t="s">
        <v>1334</v>
      </c>
      <c r="E591" t="s">
        <v>1334</v>
      </c>
      <c r="L591">
        <f>IFERROR(VLOOKUP(K591,'Tables new'!$A:$C,3,FALSE),"")</f>
        <v>0</v>
      </c>
      <c r="M591" t="str">
        <f>VLOOKUP(K591,CAT_JOUEUR,2,FALSE)</f>
        <v>CAT à compléter</v>
      </c>
      <c r="O591">
        <f>IFERROR(VLOOKUP(N591,'Tables new'!$A:$C,3,FALSE),"")</f>
        <v>0</v>
      </c>
      <c r="P591" t="str">
        <f>VLOOKUP(N591,CAT_JOUEUR,2,FALSE)</f>
        <v>CAT à compléter</v>
      </c>
    </row>
    <row r="592" spans="4:16" x14ac:dyDescent="0.2">
      <c r="D592" t="s">
        <v>1334</v>
      </c>
      <c r="E592" t="s">
        <v>1334</v>
      </c>
      <c r="L592">
        <f>IFERROR(VLOOKUP(K592,'Tables new'!$A:$C,3,FALSE),"")</f>
        <v>0</v>
      </c>
      <c r="M592" t="str">
        <f>VLOOKUP(K592,CAT_JOUEUR,2,FALSE)</f>
        <v>CAT à compléter</v>
      </c>
      <c r="O592">
        <f>IFERROR(VLOOKUP(N592,'Tables new'!$A:$C,3,FALSE),"")</f>
        <v>0</v>
      </c>
      <c r="P592" t="str">
        <f>VLOOKUP(N592,CAT_JOUEUR,2,FALSE)</f>
        <v>CAT à compléter</v>
      </c>
    </row>
    <row r="593" spans="4:16" x14ac:dyDescent="0.2">
      <c r="D593" t="s">
        <v>1334</v>
      </c>
      <c r="E593" t="s">
        <v>1334</v>
      </c>
      <c r="L593">
        <f>IFERROR(VLOOKUP(K593,'Tables new'!$A:$C,3,FALSE),"")</f>
        <v>0</v>
      </c>
      <c r="M593" t="str">
        <f>VLOOKUP(K593,CAT_JOUEUR,2,FALSE)</f>
        <v>CAT à compléter</v>
      </c>
      <c r="O593">
        <f>IFERROR(VLOOKUP(N593,'Tables new'!$A:$C,3,FALSE),"")</f>
        <v>0</v>
      </c>
      <c r="P593" t="str">
        <f>VLOOKUP(N593,CAT_JOUEUR,2,FALSE)</f>
        <v>CAT à compléter</v>
      </c>
    </row>
    <row r="594" spans="4:16" x14ac:dyDescent="0.2">
      <c r="D594" t="s">
        <v>1334</v>
      </c>
      <c r="E594" t="s">
        <v>1334</v>
      </c>
      <c r="L594">
        <f>IFERROR(VLOOKUP(K594,'Tables new'!$A:$C,3,FALSE),"")</f>
        <v>0</v>
      </c>
      <c r="M594" t="str">
        <f>VLOOKUP(K594,CAT_JOUEUR,2,FALSE)</f>
        <v>CAT à compléter</v>
      </c>
      <c r="O594">
        <f>IFERROR(VLOOKUP(N594,'Tables new'!$A:$C,3,FALSE),"")</f>
        <v>0</v>
      </c>
      <c r="P594" t="str">
        <f>VLOOKUP(N594,CAT_JOUEUR,2,FALSE)</f>
        <v>CAT à compléter</v>
      </c>
    </row>
    <row r="595" spans="4:16" x14ac:dyDescent="0.2">
      <c r="D595" t="s">
        <v>1334</v>
      </c>
      <c r="E595" t="s">
        <v>1334</v>
      </c>
      <c r="L595">
        <f>IFERROR(VLOOKUP(K595,'Tables new'!$A:$C,3,FALSE),"")</f>
        <v>0</v>
      </c>
      <c r="M595" t="str">
        <f>VLOOKUP(K595,CAT_JOUEUR,2,FALSE)</f>
        <v>CAT à compléter</v>
      </c>
      <c r="O595">
        <f>IFERROR(VLOOKUP(N595,'Tables new'!$A:$C,3,FALSE),"")</f>
        <v>0</v>
      </c>
      <c r="P595" t="str">
        <f>VLOOKUP(N595,CAT_JOUEUR,2,FALSE)</f>
        <v>CAT à compléter</v>
      </c>
    </row>
    <row r="596" spans="4:16" x14ac:dyDescent="0.2">
      <c r="D596" t="s">
        <v>1334</v>
      </c>
      <c r="E596" t="s">
        <v>1334</v>
      </c>
      <c r="L596">
        <f>IFERROR(VLOOKUP(K596,'Tables new'!$A:$C,3,FALSE),"")</f>
        <v>0</v>
      </c>
      <c r="M596" t="str">
        <f>VLOOKUP(K596,CAT_JOUEUR,2,FALSE)</f>
        <v>CAT à compléter</v>
      </c>
      <c r="O596">
        <f>IFERROR(VLOOKUP(N596,'Tables new'!$A:$C,3,FALSE),"")</f>
        <v>0</v>
      </c>
      <c r="P596" t="str">
        <f>VLOOKUP(N596,CAT_JOUEUR,2,FALSE)</f>
        <v>CAT à compléter</v>
      </c>
    </row>
    <row r="597" spans="4:16" x14ac:dyDescent="0.2">
      <c r="D597" t="s">
        <v>1334</v>
      </c>
      <c r="E597" t="s">
        <v>1334</v>
      </c>
      <c r="L597">
        <f>IFERROR(VLOOKUP(K597,'Tables new'!$A:$C,3,FALSE),"")</f>
        <v>0</v>
      </c>
      <c r="M597" t="str">
        <f>VLOOKUP(K597,CAT_JOUEUR,2,FALSE)</f>
        <v>CAT à compléter</v>
      </c>
      <c r="O597">
        <f>IFERROR(VLOOKUP(N597,'Tables new'!$A:$C,3,FALSE),"")</f>
        <v>0</v>
      </c>
      <c r="P597" t="str">
        <f>VLOOKUP(N597,CAT_JOUEUR,2,FALSE)</f>
        <v>CAT à compléter</v>
      </c>
    </row>
    <row r="598" spans="4:16" x14ac:dyDescent="0.2">
      <c r="D598" t="s">
        <v>1334</v>
      </c>
      <c r="E598" t="s">
        <v>1334</v>
      </c>
      <c r="L598">
        <f>IFERROR(VLOOKUP(K598,'Tables new'!$A:$C,3,FALSE),"")</f>
        <v>0</v>
      </c>
      <c r="M598" t="str">
        <f>VLOOKUP(K598,CAT_JOUEUR,2,FALSE)</f>
        <v>CAT à compléter</v>
      </c>
      <c r="O598">
        <f>IFERROR(VLOOKUP(N598,'Tables new'!$A:$C,3,FALSE),"")</f>
        <v>0</v>
      </c>
      <c r="P598" t="str">
        <f>VLOOKUP(N598,CAT_JOUEUR,2,FALSE)</f>
        <v>CAT à compléter</v>
      </c>
    </row>
    <row r="599" spans="4:16" x14ac:dyDescent="0.2">
      <c r="D599" t="s">
        <v>1334</v>
      </c>
      <c r="E599" t="s">
        <v>1334</v>
      </c>
      <c r="L599">
        <f>IFERROR(VLOOKUP(K599,'Tables new'!$A:$C,3,FALSE),"")</f>
        <v>0</v>
      </c>
      <c r="M599" t="str">
        <f>VLOOKUP(K599,CAT_JOUEUR,2,FALSE)</f>
        <v>CAT à compléter</v>
      </c>
      <c r="O599">
        <f>IFERROR(VLOOKUP(N599,'Tables new'!$A:$C,3,FALSE),"")</f>
        <v>0</v>
      </c>
      <c r="P599" t="str">
        <f>VLOOKUP(N599,CAT_JOUEUR,2,FALSE)</f>
        <v>CAT à compléter</v>
      </c>
    </row>
    <row r="600" spans="4:16" x14ac:dyDescent="0.2">
      <c r="D600" t="s">
        <v>1334</v>
      </c>
      <c r="E600" t="s">
        <v>1334</v>
      </c>
      <c r="L600">
        <f>IFERROR(VLOOKUP(K600,'Tables new'!$A:$C,3,FALSE),"")</f>
        <v>0</v>
      </c>
      <c r="M600" t="str">
        <f>VLOOKUP(K600,CAT_JOUEUR,2,FALSE)</f>
        <v>CAT à compléter</v>
      </c>
      <c r="O600">
        <f>IFERROR(VLOOKUP(N600,'Tables new'!$A:$C,3,FALSE),"")</f>
        <v>0</v>
      </c>
      <c r="P600" t="str">
        <f>VLOOKUP(N600,CAT_JOUEUR,2,FALSE)</f>
        <v>CAT à compléter</v>
      </c>
    </row>
    <row r="601" spans="4:16" x14ac:dyDescent="0.2">
      <c r="D601" t="s">
        <v>1334</v>
      </c>
      <c r="E601" t="s">
        <v>1334</v>
      </c>
      <c r="L601">
        <f>IFERROR(VLOOKUP(K601,'Tables new'!$A:$C,3,FALSE),"")</f>
        <v>0</v>
      </c>
      <c r="M601" t="str">
        <f>VLOOKUP(K601,CAT_JOUEUR,2,FALSE)</f>
        <v>CAT à compléter</v>
      </c>
      <c r="O601">
        <f>IFERROR(VLOOKUP(N601,'Tables new'!$A:$C,3,FALSE),"")</f>
        <v>0</v>
      </c>
      <c r="P601" t="str">
        <f>VLOOKUP(N601,CAT_JOUEUR,2,FALSE)</f>
        <v>CAT à compléter</v>
      </c>
    </row>
    <row r="602" spans="4:16" x14ac:dyDescent="0.2">
      <c r="D602" t="s">
        <v>1334</v>
      </c>
      <c r="E602" t="s">
        <v>1334</v>
      </c>
      <c r="L602">
        <f>IFERROR(VLOOKUP(K602,'Tables new'!$A:$C,3,FALSE),"")</f>
        <v>0</v>
      </c>
      <c r="M602" t="str">
        <f>VLOOKUP(K602,CAT_JOUEUR,2,FALSE)</f>
        <v>CAT à compléter</v>
      </c>
      <c r="O602">
        <f>IFERROR(VLOOKUP(N602,'Tables new'!$A:$C,3,FALSE),"")</f>
        <v>0</v>
      </c>
      <c r="P602" t="str">
        <f>VLOOKUP(N602,CAT_JOUEUR,2,FALSE)</f>
        <v>CAT à compléter</v>
      </c>
    </row>
    <row r="603" spans="4:16" x14ac:dyDescent="0.2">
      <c r="D603" t="s">
        <v>1334</v>
      </c>
      <c r="E603" t="s">
        <v>1334</v>
      </c>
      <c r="L603">
        <f>IFERROR(VLOOKUP(K603,'Tables new'!$A:$C,3,FALSE),"")</f>
        <v>0</v>
      </c>
      <c r="M603" t="str">
        <f>VLOOKUP(K603,CAT_JOUEUR,2,FALSE)</f>
        <v>CAT à compléter</v>
      </c>
      <c r="O603">
        <f>IFERROR(VLOOKUP(N603,'Tables new'!$A:$C,3,FALSE),"")</f>
        <v>0</v>
      </c>
      <c r="P603" t="str">
        <f>VLOOKUP(N603,CAT_JOUEUR,2,FALSE)</f>
        <v>CAT à compléter</v>
      </c>
    </row>
    <row r="604" spans="4:16" x14ac:dyDescent="0.2">
      <c r="D604" t="s">
        <v>1334</v>
      </c>
      <c r="E604" t="s">
        <v>1334</v>
      </c>
      <c r="L604">
        <f>IFERROR(VLOOKUP(K604,'Tables new'!$A:$C,3,FALSE),"")</f>
        <v>0</v>
      </c>
      <c r="M604" t="str">
        <f>VLOOKUP(K604,CAT_JOUEUR,2,FALSE)</f>
        <v>CAT à compléter</v>
      </c>
      <c r="O604">
        <f>IFERROR(VLOOKUP(N604,'Tables new'!$A:$C,3,FALSE),"")</f>
        <v>0</v>
      </c>
      <c r="P604" t="str">
        <f>VLOOKUP(N604,CAT_JOUEUR,2,FALSE)</f>
        <v>CAT à compléter</v>
      </c>
    </row>
    <row r="605" spans="4:16" x14ac:dyDescent="0.2">
      <c r="D605" t="s">
        <v>1334</v>
      </c>
      <c r="E605" t="s">
        <v>1334</v>
      </c>
      <c r="L605">
        <f>IFERROR(VLOOKUP(K605,'Tables new'!$A:$C,3,FALSE),"")</f>
        <v>0</v>
      </c>
      <c r="M605" t="str">
        <f>VLOOKUP(K605,CAT_JOUEUR,2,FALSE)</f>
        <v>CAT à compléter</v>
      </c>
      <c r="O605">
        <f>IFERROR(VLOOKUP(N605,'Tables new'!$A:$C,3,FALSE),"")</f>
        <v>0</v>
      </c>
      <c r="P605" t="str">
        <f>VLOOKUP(N605,CAT_JOUEUR,2,FALSE)</f>
        <v>CAT à compléter</v>
      </c>
    </row>
    <row r="606" spans="4:16" x14ac:dyDescent="0.2">
      <c r="D606" t="s">
        <v>1334</v>
      </c>
      <c r="E606" t="s">
        <v>1334</v>
      </c>
      <c r="L606">
        <f>IFERROR(VLOOKUP(K606,'Tables new'!$A:$C,3,FALSE),"")</f>
        <v>0</v>
      </c>
      <c r="M606" t="str">
        <f>VLOOKUP(K606,CAT_JOUEUR,2,FALSE)</f>
        <v>CAT à compléter</v>
      </c>
      <c r="O606">
        <f>IFERROR(VLOOKUP(N606,'Tables new'!$A:$C,3,FALSE),"")</f>
        <v>0</v>
      </c>
      <c r="P606" t="str">
        <f>VLOOKUP(N606,CAT_JOUEUR,2,FALSE)</f>
        <v>CAT à compléter</v>
      </c>
    </row>
    <row r="607" spans="4:16" x14ac:dyDescent="0.2">
      <c r="D607" t="s">
        <v>1334</v>
      </c>
      <c r="E607" t="s">
        <v>1334</v>
      </c>
      <c r="L607">
        <f>IFERROR(VLOOKUP(K607,'Tables new'!$A:$C,3,FALSE),"")</f>
        <v>0</v>
      </c>
      <c r="M607" t="str">
        <f>VLOOKUP(K607,CAT_JOUEUR,2,FALSE)</f>
        <v>CAT à compléter</v>
      </c>
      <c r="O607">
        <f>IFERROR(VLOOKUP(N607,'Tables new'!$A:$C,3,FALSE),"")</f>
        <v>0</v>
      </c>
      <c r="P607" t="str">
        <f>VLOOKUP(N607,CAT_JOUEUR,2,FALSE)</f>
        <v>CAT à compléter</v>
      </c>
    </row>
    <row r="608" spans="4:16" x14ac:dyDescent="0.2">
      <c r="D608" t="s">
        <v>1334</v>
      </c>
      <c r="E608" t="s">
        <v>1334</v>
      </c>
      <c r="L608">
        <f>IFERROR(VLOOKUP(K608,'Tables new'!$A:$C,3,FALSE),"")</f>
        <v>0</v>
      </c>
      <c r="M608" t="str">
        <f>VLOOKUP(K608,CAT_JOUEUR,2,FALSE)</f>
        <v>CAT à compléter</v>
      </c>
      <c r="O608">
        <f>IFERROR(VLOOKUP(N608,'Tables new'!$A:$C,3,FALSE),"")</f>
        <v>0</v>
      </c>
      <c r="P608" t="str">
        <f>VLOOKUP(N608,CAT_JOUEUR,2,FALSE)</f>
        <v>CAT à compléter</v>
      </c>
    </row>
    <row r="609" spans="4:16" x14ac:dyDescent="0.2">
      <c r="D609" t="s">
        <v>1334</v>
      </c>
      <c r="E609" t="s">
        <v>1334</v>
      </c>
      <c r="L609">
        <f>IFERROR(VLOOKUP(K609,'Tables new'!$A:$C,3,FALSE),"")</f>
        <v>0</v>
      </c>
      <c r="M609" t="str">
        <f>VLOOKUP(K609,CAT_JOUEUR,2,FALSE)</f>
        <v>CAT à compléter</v>
      </c>
      <c r="O609">
        <f>IFERROR(VLOOKUP(N609,'Tables new'!$A:$C,3,FALSE),"")</f>
        <v>0</v>
      </c>
      <c r="P609" t="str">
        <f>VLOOKUP(N609,CAT_JOUEUR,2,FALSE)</f>
        <v>CAT à compléter</v>
      </c>
    </row>
    <row r="610" spans="4:16" x14ac:dyDescent="0.2">
      <c r="D610" t="s">
        <v>1334</v>
      </c>
      <c r="E610" t="s">
        <v>1334</v>
      </c>
      <c r="L610">
        <f>IFERROR(VLOOKUP(K610,'Tables new'!$A:$C,3,FALSE),"")</f>
        <v>0</v>
      </c>
      <c r="M610" t="str">
        <f>VLOOKUP(K610,CAT_JOUEUR,2,FALSE)</f>
        <v>CAT à compléter</v>
      </c>
      <c r="O610">
        <f>IFERROR(VLOOKUP(N610,'Tables new'!$A:$C,3,FALSE),"")</f>
        <v>0</v>
      </c>
      <c r="P610" t="str">
        <f>VLOOKUP(N610,CAT_JOUEUR,2,FALSE)</f>
        <v>CAT à compléter</v>
      </c>
    </row>
    <row r="611" spans="4:16" x14ac:dyDescent="0.2">
      <c r="D611" t="s">
        <v>1334</v>
      </c>
      <c r="E611" t="s">
        <v>1334</v>
      </c>
      <c r="L611">
        <f>IFERROR(VLOOKUP(K611,'Tables new'!$A:$C,3,FALSE),"")</f>
        <v>0</v>
      </c>
      <c r="M611" t="str">
        <f>VLOOKUP(K611,CAT_JOUEUR,2,FALSE)</f>
        <v>CAT à compléter</v>
      </c>
      <c r="O611">
        <f>IFERROR(VLOOKUP(N611,'Tables new'!$A:$C,3,FALSE),"")</f>
        <v>0</v>
      </c>
      <c r="P611" t="str">
        <f>VLOOKUP(N611,CAT_JOUEUR,2,FALSE)</f>
        <v>CAT à compléter</v>
      </c>
    </row>
    <row r="612" spans="4:16" x14ac:dyDescent="0.2">
      <c r="D612" t="s">
        <v>1334</v>
      </c>
      <c r="E612" t="s">
        <v>1334</v>
      </c>
      <c r="L612">
        <f>IFERROR(VLOOKUP(K612,'Tables new'!$A:$C,3,FALSE),"")</f>
        <v>0</v>
      </c>
      <c r="M612" t="str">
        <f>VLOOKUP(K612,CAT_JOUEUR,2,FALSE)</f>
        <v>CAT à compléter</v>
      </c>
      <c r="O612">
        <f>IFERROR(VLOOKUP(N612,'Tables new'!$A:$C,3,FALSE),"")</f>
        <v>0</v>
      </c>
      <c r="P612" t="str">
        <f>VLOOKUP(N612,CAT_JOUEUR,2,FALSE)</f>
        <v>CAT à compléter</v>
      </c>
    </row>
    <row r="613" spans="4:16" x14ac:dyDescent="0.2">
      <c r="D613" t="s">
        <v>1334</v>
      </c>
      <c r="E613" t="s">
        <v>1334</v>
      </c>
      <c r="L613">
        <f>IFERROR(VLOOKUP(K613,'Tables new'!$A:$C,3,FALSE),"")</f>
        <v>0</v>
      </c>
      <c r="M613" t="str">
        <f>VLOOKUP(K613,CAT_JOUEUR,2,FALSE)</f>
        <v>CAT à compléter</v>
      </c>
      <c r="O613">
        <f>IFERROR(VLOOKUP(N613,'Tables new'!$A:$C,3,FALSE),"")</f>
        <v>0</v>
      </c>
      <c r="P613" t="str">
        <f>VLOOKUP(N613,CAT_JOUEUR,2,FALSE)</f>
        <v>CAT à compléter</v>
      </c>
    </row>
    <row r="614" spans="4:16" x14ac:dyDescent="0.2">
      <c r="D614" t="s">
        <v>1334</v>
      </c>
      <c r="E614" t="s">
        <v>1334</v>
      </c>
      <c r="L614">
        <f>IFERROR(VLOOKUP(K614,'Tables new'!$A:$C,3,FALSE),"")</f>
        <v>0</v>
      </c>
      <c r="M614" t="str">
        <f>VLOOKUP(K614,CAT_JOUEUR,2,FALSE)</f>
        <v>CAT à compléter</v>
      </c>
      <c r="O614">
        <f>IFERROR(VLOOKUP(N614,'Tables new'!$A:$C,3,FALSE),"")</f>
        <v>0</v>
      </c>
      <c r="P614" t="str">
        <f>VLOOKUP(N614,CAT_JOUEUR,2,FALSE)</f>
        <v>CAT à compléter</v>
      </c>
    </row>
    <row r="615" spans="4:16" x14ac:dyDescent="0.2">
      <c r="D615" t="s">
        <v>1334</v>
      </c>
      <c r="E615" t="s">
        <v>1334</v>
      </c>
      <c r="L615">
        <f>IFERROR(VLOOKUP(K615,'Tables new'!$A:$C,3,FALSE),"")</f>
        <v>0</v>
      </c>
      <c r="M615" t="str">
        <f>VLOOKUP(K615,CAT_JOUEUR,2,FALSE)</f>
        <v>CAT à compléter</v>
      </c>
      <c r="O615">
        <f>IFERROR(VLOOKUP(N615,'Tables new'!$A:$C,3,FALSE),"")</f>
        <v>0</v>
      </c>
      <c r="P615" t="str">
        <f>VLOOKUP(N615,CAT_JOUEUR,2,FALSE)</f>
        <v>CAT à compléter</v>
      </c>
    </row>
    <row r="616" spans="4:16" x14ac:dyDescent="0.2">
      <c r="D616" t="s">
        <v>1334</v>
      </c>
      <c r="E616" t="s">
        <v>1334</v>
      </c>
      <c r="L616">
        <f>IFERROR(VLOOKUP(K616,'Tables new'!$A:$C,3,FALSE),"")</f>
        <v>0</v>
      </c>
      <c r="M616" t="str">
        <f>VLOOKUP(K616,CAT_JOUEUR,2,FALSE)</f>
        <v>CAT à compléter</v>
      </c>
      <c r="O616">
        <f>IFERROR(VLOOKUP(N616,'Tables new'!$A:$C,3,FALSE),"")</f>
        <v>0</v>
      </c>
      <c r="P616" t="str">
        <f>VLOOKUP(N616,CAT_JOUEUR,2,FALSE)</f>
        <v>CAT à compléter</v>
      </c>
    </row>
    <row r="617" spans="4:16" x14ac:dyDescent="0.2">
      <c r="D617" t="s">
        <v>1334</v>
      </c>
      <c r="E617" t="s">
        <v>1334</v>
      </c>
      <c r="L617">
        <f>IFERROR(VLOOKUP(K617,'Tables new'!$A:$C,3,FALSE),"")</f>
        <v>0</v>
      </c>
      <c r="M617" t="str">
        <f>VLOOKUP(K617,CAT_JOUEUR,2,FALSE)</f>
        <v>CAT à compléter</v>
      </c>
      <c r="O617">
        <f>IFERROR(VLOOKUP(N617,'Tables new'!$A:$C,3,FALSE),"")</f>
        <v>0</v>
      </c>
      <c r="P617" t="str">
        <f>VLOOKUP(N617,CAT_JOUEUR,2,FALSE)</f>
        <v>CAT à compléter</v>
      </c>
    </row>
    <row r="618" spans="4:16" x14ac:dyDescent="0.2">
      <c r="D618" t="s">
        <v>1334</v>
      </c>
      <c r="E618" t="s">
        <v>1334</v>
      </c>
      <c r="L618">
        <f>IFERROR(VLOOKUP(K618,'Tables new'!$A:$C,3,FALSE),"")</f>
        <v>0</v>
      </c>
      <c r="M618" t="str">
        <f>VLOOKUP(K618,CAT_JOUEUR,2,FALSE)</f>
        <v>CAT à compléter</v>
      </c>
      <c r="O618">
        <f>IFERROR(VLOOKUP(N618,'Tables new'!$A:$C,3,FALSE),"")</f>
        <v>0</v>
      </c>
      <c r="P618" t="str">
        <f>VLOOKUP(N618,CAT_JOUEUR,2,FALSE)</f>
        <v>CAT à compléter</v>
      </c>
    </row>
    <row r="619" spans="4:16" x14ac:dyDescent="0.2">
      <c r="D619" t="s">
        <v>1334</v>
      </c>
      <c r="E619" t="s">
        <v>1334</v>
      </c>
      <c r="L619">
        <f>IFERROR(VLOOKUP(K619,'Tables new'!$A:$C,3,FALSE),"")</f>
        <v>0</v>
      </c>
      <c r="M619" t="str">
        <f>VLOOKUP(K619,CAT_JOUEUR,2,FALSE)</f>
        <v>CAT à compléter</v>
      </c>
      <c r="O619">
        <f>IFERROR(VLOOKUP(N619,'Tables new'!$A:$C,3,FALSE),"")</f>
        <v>0</v>
      </c>
      <c r="P619" t="str">
        <f>VLOOKUP(N619,CAT_JOUEUR,2,FALSE)</f>
        <v>CAT à compléter</v>
      </c>
    </row>
    <row r="620" spans="4:16" x14ac:dyDescent="0.2">
      <c r="D620" t="s">
        <v>1334</v>
      </c>
      <c r="E620" t="s">
        <v>1334</v>
      </c>
      <c r="L620">
        <f>IFERROR(VLOOKUP(K620,'Tables new'!$A:$C,3,FALSE),"")</f>
        <v>0</v>
      </c>
      <c r="M620" t="str">
        <f>VLOOKUP(K620,CAT_JOUEUR,2,FALSE)</f>
        <v>CAT à compléter</v>
      </c>
      <c r="O620">
        <f>IFERROR(VLOOKUP(N620,'Tables new'!$A:$C,3,FALSE),"")</f>
        <v>0</v>
      </c>
      <c r="P620" t="str">
        <f>VLOOKUP(N620,CAT_JOUEUR,2,FALSE)</f>
        <v>CAT à compléter</v>
      </c>
    </row>
    <row r="621" spans="4:16" x14ac:dyDescent="0.2">
      <c r="D621" t="s">
        <v>1334</v>
      </c>
      <c r="E621" t="s">
        <v>1334</v>
      </c>
      <c r="L621">
        <f>IFERROR(VLOOKUP(K621,'Tables new'!$A:$C,3,FALSE),"")</f>
        <v>0</v>
      </c>
      <c r="M621" t="str">
        <f>VLOOKUP(K621,CAT_JOUEUR,2,FALSE)</f>
        <v>CAT à compléter</v>
      </c>
      <c r="O621">
        <f>IFERROR(VLOOKUP(N621,'Tables new'!$A:$C,3,FALSE),"")</f>
        <v>0</v>
      </c>
      <c r="P621" t="str">
        <f>VLOOKUP(N621,CAT_JOUEUR,2,FALSE)</f>
        <v>CAT à compléter</v>
      </c>
    </row>
    <row r="622" spans="4:16" x14ac:dyDescent="0.2">
      <c r="D622" t="s">
        <v>1334</v>
      </c>
      <c r="E622" t="s">
        <v>1334</v>
      </c>
      <c r="L622">
        <f>IFERROR(VLOOKUP(K622,'Tables new'!$A:$C,3,FALSE),"")</f>
        <v>0</v>
      </c>
      <c r="M622" t="str">
        <f>VLOOKUP(K622,CAT_JOUEUR,2,FALSE)</f>
        <v>CAT à compléter</v>
      </c>
      <c r="O622">
        <f>IFERROR(VLOOKUP(N622,'Tables new'!$A:$C,3,FALSE),"")</f>
        <v>0</v>
      </c>
      <c r="P622" t="str">
        <f>VLOOKUP(N622,CAT_JOUEUR,2,FALSE)</f>
        <v>CAT à compléter</v>
      </c>
    </row>
    <row r="623" spans="4:16" x14ac:dyDescent="0.2">
      <c r="D623" t="s">
        <v>1334</v>
      </c>
      <c r="E623" t="s">
        <v>1334</v>
      </c>
      <c r="L623">
        <f>IFERROR(VLOOKUP(K623,'Tables new'!$A:$C,3,FALSE),"")</f>
        <v>0</v>
      </c>
      <c r="M623" t="str">
        <f>VLOOKUP(K623,CAT_JOUEUR,2,FALSE)</f>
        <v>CAT à compléter</v>
      </c>
      <c r="O623">
        <f>IFERROR(VLOOKUP(N623,'Tables new'!$A:$C,3,FALSE),"")</f>
        <v>0</v>
      </c>
      <c r="P623" t="str">
        <f>VLOOKUP(N623,CAT_JOUEUR,2,FALSE)</f>
        <v>CAT à compléter</v>
      </c>
    </row>
    <row r="624" spans="4:16" x14ac:dyDescent="0.2">
      <c r="D624" t="s">
        <v>1334</v>
      </c>
      <c r="E624" t="s">
        <v>1334</v>
      </c>
      <c r="L624">
        <f>IFERROR(VLOOKUP(K624,'Tables new'!$A:$C,3,FALSE),"")</f>
        <v>0</v>
      </c>
      <c r="M624" t="str">
        <f>VLOOKUP(K624,CAT_JOUEUR,2,FALSE)</f>
        <v>CAT à compléter</v>
      </c>
      <c r="O624">
        <f>IFERROR(VLOOKUP(N624,'Tables new'!$A:$C,3,FALSE),"")</f>
        <v>0</v>
      </c>
      <c r="P624" t="str">
        <f>VLOOKUP(N624,CAT_JOUEUR,2,FALSE)</f>
        <v>CAT à compléter</v>
      </c>
    </row>
    <row r="625" spans="4:16" x14ac:dyDescent="0.2">
      <c r="D625" t="s">
        <v>1334</v>
      </c>
      <c r="E625" t="s">
        <v>1334</v>
      </c>
      <c r="L625">
        <f>IFERROR(VLOOKUP(K625,'Tables new'!$A:$C,3,FALSE),"")</f>
        <v>0</v>
      </c>
      <c r="M625" t="str">
        <f>VLOOKUP(K625,CAT_JOUEUR,2,FALSE)</f>
        <v>CAT à compléter</v>
      </c>
      <c r="O625">
        <f>IFERROR(VLOOKUP(N625,'Tables new'!$A:$C,3,FALSE),"")</f>
        <v>0</v>
      </c>
      <c r="P625" t="str">
        <f>VLOOKUP(N625,CAT_JOUEUR,2,FALSE)</f>
        <v>CAT à compléter</v>
      </c>
    </row>
    <row r="626" spans="4:16" x14ac:dyDescent="0.2">
      <c r="D626" t="s">
        <v>1334</v>
      </c>
      <c r="E626" t="s">
        <v>1334</v>
      </c>
      <c r="L626">
        <f>IFERROR(VLOOKUP(K626,'Tables new'!$A:$C,3,FALSE),"")</f>
        <v>0</v>
      </c>
      <c r="M626" t="str">
        <f>VLOOKUP(K626,CAT_JOUEUR,2,FALSE)</f>
        <v>CAT à compléter</v>
      </c>
      <c r="O626">
        <f>IFERROR(VLOOKUP(N626,'Tables new'!$A:$C,3,FALSE),"")</f>
        <v>0</v>
      </c>
      <c r="P626" t="str">
        <f>VLOOKUP(N626,CAT_JOUEUR,2,FALSE)</f>
        <v>CAT à compléter</v>
      </c>
    </row>
    <row r="627" spans="4:16" x14ac:dyDescent="0.2">
      <c r="D627" t="s">
        <v>1334</v>
      </c>
      <c r="E627" t="s">
        <v>1334</v>
      </c>
      <c r="L627">
        <f>IFERROR(VLOOKUP(K627,'Tables new'!$A:$C,3,FALSE),"")</f>
        <v>0</v>
      </c>
      <c r="M627" t="str">
        <f>VLOOKUP(K627,CAT_JOUEUR,2,FALSE)</f>
        <v>CAT à compléter</v>
      </c>
      <c r="O627">
        <f>IFERROR(VLOOKUP(N627,'Tables new'!$A:$C,3,FALSE),"")</f>
        <v>0</v>
      </c>
      <c r="P627" t="str">
        <f>VLOOKUP(N627,CAT_JOUEUR,2,FALSE)</f>
        <v>CAT à compléter</v>
      </c>
    </row>
    <row r="628" spans="4:16" x14ac:dyDescent="0.2">
      <c r="D628" t="s">
        <v>1334</v>
      </c>
      <c r="E628" t="s">
        <v>1334</v>
      </c>
      <c r="L628">
        <f>IFERROR(VLOOKUP(K628,'Tables new'!$A:$C,3,FALSE),"")</f>
        <v>0</v>
      </c>
      <c r="M628" t="str">
        <f>VLOOKUP(K628,CAT_JOUEUR,2,FALSE)</f>
        <v>CAT à compléter</v>
      </c>
      <c r="O628">
        <f>IFERROR(VLOOKUP(N628,'Tables new'!$A:$C,3,FALSE),"")</f>
        <v>0</v>
      </c>
      <c r="P628" t="str">
        <f>VLOOKUP(N628,CAT_JOUEUR,2,FALSE)</f>
        <v>CAT à compléter</v>
      </c>
    </row>
    <row r="629" spans="4:16" x14ac:dyDescent="0.2">
      <c r="D629" t="s">
        <v>1334</v>
      </c>
      <c r="E629" t="s">
        <v>1334</v>
      </c>
      <c r="L629">
        <f>IFERROR(VLOOKUP(K629,'Tables new'!$A:$C,3,FALSE),"")</f>
        <v>0</v>
      </c>
      <c r="M629" t="str">
        <f>VLOOKUP(K629,CAT_JOUEUR,2,FALSE)</f>
        <v>CAT à compléter</v>
      </c>
      <c r="O629">
        <f>IFERROR(VLOOKUP(N629,'Tables new'!$A:$C,3,FALSE),"")</f>
        <v>0</v>
      </c>
      <c r="P629" t="str">
        <f>VLOOKUP(N629,CAT_JOUEUR,2,FALSE)</f>
        <v>CAT à compléter</v>
      </c>
    </row>
    <row r="630" spans="4:16" x14ac:dyDescent="0.2">
      <c r="D630" t="s">
        <v>1334</v>
      </c>
      <c r="E630" t="s">
        <v>1334</v>
      </c>
      <c r="L630">
        <f>IFERROR(VLOOKUP(K630,'Tables new'!$A:$C,3,FALSE),"")</f>
        <v>0</v>
      </c>
      <c r="M630" t="str">
        <f>VLOOKUP(K630,CAT_JOUEUR,2,FALSE)</f>
        <v>CAT à compléter</v>
      </c>
      <c r="O630">
        <f>IFERROR(VLOOKUP(N630,'Tables new'!$A:$C,3,FALSE),"")</f>
        <v>0</v>
      </c>
      <c r="P630" t="str">
        <f>VLOOKUP(N630,CAT_JOUEUR,2,FALSE)</f>
        <v>CAT à compléter</v>
      </c>
    </row>
    <row r="631" spans="4:16" x14ac:dyDescent="0.2">
      <c r="D631" t="s">
        <v>1334</v>
      </c>
      <c r="E631" t="s">
        <v>1334</v>
      </c>
      <c r="L631">
        <f>IFERROR(VLOOKUP(K631,'Tables new'!$A:$C,3,FALSE),"")</f>
        <v>0</v>
      </c>
      <c r="M631" t="str">
        <f>VLOOKUP(K631,CAT_JOUEUR,2,FALSE)</f>
        <v>CAT à compléter</v>
      </c>
      <c r="O631">
        <f>IFERROR(VLOOKUP(N631,'Tables new'!$A:$C,3,FALSE),"")</f>
        <v>0</v>
      </c>
      <c r="P631" t="str">
        <f>VLOOKUP(N631,CAT_JOUEUR,2,FALSE)</f>
        <v>CAT à compléter</v>
      </c>
    </row>
    <row r="632" spans="4:16" x14ac:dyDescent="0.2">
      <c r="D632" t="s">
        <v>1334</v>
      </c>
      <c r="E632" t="s">
        <v>1334</v>
      </c>
      <c r="L632">
        <f>IFERROR(VLOOKUP(K632,'Tables new'!$A:$C,3,FALSE),"")</f>
        <v>0</v>
      </c>
      <c r="M632" t="str">
        <f>VLOOKUP(K632,CAT_JOUEUR,2,FALSE)</f>
        <v>CAT à compléter</v>
      </c>
      <c r="O632">
        <f>IFERROR(VLOOKUP(N632,'Tables new'!$A:$C,3,FALSE),"")</f>
        <v>0</v>
      </c>
      <c r="P632" t="str">
        <f>VLOOKUP(N632,CAT_JOUEUR,2,FALSE)</f>
        <v>CAT à compléter</v>
      </c>
    </row>
    <row r="633" spans="4:16" x14ac:dyDescent="0.2">
      <c r="D633" t="s">
        <v>1334</v>
      </c>
      <c r="E633" t="s">
        <v>1334</v>
      </c>
      <c r="L633">
        <f>IFERROR(VLOOKUP(K633,'Tables new'!$A:$C,3,FALSE),"")</f>
        <v>0</v>
      </c>
      <c r="M633" t="str">
        <f>VLOOKUP(K633,CAT_JOUEUR,2,FALSE)</f>
        <v>CAT à compléter</v>
      </c>
      <c r="O633">
        <f>IFERROR(VLOOKUP(N633,'Tables new'!$A:$C,3,FALSE),"")</f>
        <v>0</v>
      </c>
      <c r="P633" t="str">
        <f>VLOOKUP(N633,CAT_JOUEUR,2,FALSE)</f>
        <v>CAT à compléter</v>
      </c>
    </row>
    <row r="634" spans="4:16" x14ac:dyDescent="0.2">
      <c r="D634" t="s">
        <v>1334</v>
      </c>
      <c r="E634" t="s">
        <v>1334</v>
      </c>
      <c r="L634">
        <f>IFERROR(VLOOKUP(K634,'Tables new'!$A:$C,3,FALSE),"")</f>
        <v>0</v>
      </c>
      <c r="M634" t="str">
        <f>VLOOKUP(K634,CAT_JOUEUR,2,FALSE)</f>
        <v>CAT à compléter</v>
      </c>
      <c r="O634">
        <f>IFERROR(VLOOKUP(N634,'Tables new'!$A:$C,3,FALSE),"")</f>
        <v>0</v>
      </c>
      <c r="P634" t="str">
        <f>VLOOKUP(N634,CAT_JOUEUR,2,FALSE)</f>
        <v>CAT à compléter</v>
      </c>
    </row>
    <row r="635" spans="4:16" x14ac:dyDescent="0.2">
      <c r="D635" t="s">
        <v>1334</v>
      </c>
      <c r="E635" t="s">
        <v>1334</v>
      </c>
      <c r="L635">
        <f>IFERROR(VLOOKUP(K635,'Tables new'!$A:$C,3,FALSE),"")</f>
        <v>0</v>
      </c>
      <c r="M635" t="str">
        <f>VLOOKUP(K635,CAT_JOUEUR,2,FALSE)</f>
        <v>CAT à compléter</v>
      </c>
      <c r="O635">
        <f>IFERROR(VLOOKUP(N635,'Tables new'!$A:$C,3,FALSE),"")</f>
        <v>0</v>
      </c>
      <c r="P635" t="str">
        <f>VLOOKUP(N635,CAT_JOUEUR,2,FALSE)</f>
        <v>CAT à compléter</v>
      </c>
    </row>
    <row r="636" spans="4:16" x14ac:dyDescent="0.2">
      <c r="D636" t="s">
        <v>1334</v>
      </c>
      <c r="E636" t="s">
        <v>1334</v>
      </c>
      <c r="L636">
        <f>IFERROR(VLOOKUP(K636,'Tables new'!$A:$C,3,FALSE),"")</f>
        <v>0</v>
      </c>
      <c r="M636" t="str">
        <f>VLOOKUP(K636,CAT_JOUEUR,2,FALSE)</f>
        <v>CAT à compléter</v>
      </c>
      <c r="O636">
        <f>IFERROR(VLOOKUP(N636,'Tables new'!$A:$C,3,FALSE),"")</f>
        <v>0</v>
      </c>
      <c r="P636" t="str">
        <f>VLOOKUP(N636,CAT_JOUEUR,2,FALSE)</f>
        <v>CAT à compléter</v>
      </c>
    </row>
    <row r="637" spans="4:16" x14ac:dyDescent="0.2">
      <c r="D637" t="s">
        <v>1334</v>
      </c>
      <c r="E637" t="s">
        <v>1334</v>
      </c>
      <c r="L637">
        <f>IFERROR(VLOOKUP(K637,'Tables new'!$A:$C,3,FALSE),"")</f>
        <v>0</v>
      </c>
      <c r="M637" t="str">
        <f>VLOOKUP(K637,CAT_JOUEUR,2,FALSE)</f>
        <v>CAT à compléter</v>
      </c>
      <c r="O637">
        <f>IFERROR(VLOOKUP(N637,'Tables new'!$A:$C,3,FALSE),"")</f>
        <v>0</v>
      </c>
      <c r="P637" t="str">
        <f>VLOOKUP(N637,CAT_JOUEUR,2,FALSE)</f>
        <v>CAT à compléter</v>
      </c>
    </row>
    <row r="638" spans="4:16" x14ac:dyDescent="0.2">
      <c r="D638" t="s">
        <v>1334</v>
      </c>
      <c r="E638" t="s">
        <v>1334</v>
      </c>
      <c r="L638">
        <f>IFERROR(VLOOKUP(K638,'Tables new'!$A:$C,3,FALSE),"")</f>
        <v>0</v>
      </c>
      <c r="M638" t="str">
        <f>VLOOKUP(K638,CAT_JOUEUR,2,FALSE)</f>
        <v>CAT à compléter</v>
      </c>
      <c r="O638">
        <f>IFERROR(VLOOKUP(N638,'Tables new'!$A:$C,3,FALSE),"")</f>
        <v>0</v>
      </c>
      <c r="P638" t="str">
        <f>VLOOKUP(N638,CAT_JOUEUR,2,FALSE)</f>
        <v>CAT à compléter</v>
      </c>
    </row>
    <row r="639" spans="4:16" x14ac:dyDescent="0.2">
      <c r="D639" t="s">
        <v>1334</v>
      </c>
      <c r="E639" t="s">
        <v>1334</v>
      </c>
      <c r="L639">
        <f>IFERROR(VLOOKUP(K639,'Tables new'!$A:$C,3,FALSE),"")</f>
        <v>0</v>
      </c>
      <c r="M639" t="str">
        <f>VLOOKUP(K639,CAT_JOUEUR,2,FALSE)</f>
        <v>CAT à compléter</v>
      </c>
      <c r="O639">
        <f>IFERROR(VLOOKUP(N639,'Tables new'!$A:$C,3,FALSE),"")</f>
        <v>0</v>
      </c>
      <c r="P639" t="str">
        <f>VLOOKUP(N639,CAT_JOUEUR,2,FALSE)</f>
        <v>CAT à compléter</v>
      </c>
    </row>
    <row r="640" spans="4:16" x14ac:dyDescent="0.2">
      <c r="D640" t="s">
        <v>1334</v>
      </c>
      <c r="E640" t="s">
        <v>1334</v>
      </c>
      <c r="L640">
        <f>IFERROR(VLOOKUP(K640,'Tables new'!$A:$C,3,FALSE),"")</f>
        <v>0</v>
      </c>
      <c r="M640" t="str">
        <f>VLOOKUP(K640,CAT_JOUEUR,2,FALSE)</f>
        <v>CAT à compléter</v>
      </c>
      <c r="O640">
        <f>IFERROR(VLOOKUP(N640,'Tables new'!$A:$C,3,FALSE),"")</f>
        <v>0</v>
      </c>
      <c r="P640" t="str">
        <f>VLOOKUP(N640,CAT_JOUEUR,2,FALSE)</f>
        <v>CAT à compléter</v>
      </c>
    </row>
    <row r="641" spans="4:20" x14ac:dyDescent="0.2">
      <c r="D641" t="s">
        <v>1334</v>
      </c>
      <c r="E641" t="s">
        <v>1334</v>
      </c>
      <c r="L641">
        <f>IFERROR(VLOOKUP(K641,'Tables new'!$A:$C,3,FALSE),"")</f>
        <v>0</v>
      </c>
      <c r="M641" t="str">
        <f>VLOOKUP(K641,CAT_JOUEUR,2,FALSE)</f>
        <v>CAT à compléter</v>
      </c>
      <c r="O641">
        <f>IFERROR(VLOOKUP(N641,'Tables new'!$A:$C,3,FALSE),"")</f>
        <v>0</v>
      </c>
      <c r="P641" t="str">
        <f>VLOOKUP(N641,CAT_JOUEUR,2,FALSE)</f>
        <v>CAT à compléter</v>
      </c>
    </row>
    <row r="642" spans="4:20" x14ac:dyDescent="0.2">
      <c r="D642" t="s">
        <v>1334</v>
      </c>
      <c r="E642" t="s">
        <v>1334</v>
      </c>
      <c r="L642">
        <f>IFERROR(VLOOKUP(K642,'Tables new'!$A:$C,3,FALSE),"")</f>
        <v>0</v>
      </c>
      <c r="M642" t="str">
        <f>VLOOKUP(K642,CAT_JOUEUR,2,FALSE)</f>
        <v>CAT à compléter</v>
      </c>
      <c r="O642">
        <f>IFERROR(VLOOKUP(N642,'Tables new'!$A:$C,3,FALSE),"")</f>
        <v>0</v>
      </c>
      <c r="P642" t="str">
        <f>VLOOKUP(N642,CAT_JOUEUR,2,FALSE)</f>
        <v>CAT à compléter</v>
      </c>
    </row>
    <row r="643" spans="4:20" x14ac:dyDescent="0.2">
      <c r="D643" t="s">
        <v>1334</v>
      </c>
      <c r="E643" t="s">
        <v>1334</v>
      </c>
      <c r="L643">
        <f>IFERROR(VLOOKUP(K643,'Tables new'!$A:$C,3,FALSE),"")</f>
        <v>0</v>
      </c>
      <c r="M643" t="str">
        <f>VLOOKUP(K643,CAT_JOUEUR,2,FALSE)</f>
        <v>CAT à compléter</v>
      </c>
      <c r="O643">
        <f>IFERROR(VLOOKUP(N643,'Tables new'!$A:$C,3,FALSE),"")</f>
        <v>0</v>
      </c>
      <c r="P643" t="str">
        <f>VLOOKUP(N643,CAT_JOUEUR,2,FALSE)</f>
        <v>CAT à compléter</v>
      </c>
    </row>
    <row r="644" spans="4:20" x14ac:dyDescent="0.2">
      <c r="D644" t="s">
        <v>1334</v>
      </c>
      <c r="E644" t="s">
        <v>1334</v>
      </c>
      <c r="L644">
        <f>IFERROR(VLOOKUP(K644,'Tables new'!$A:$C,3,FALSE),"")</f>
        <v>0</v>
      </c>
      <c r="M644" t="str">
        <f>VLOOKUP(K644,CAT_JOUEUR,2,FALSE)</f>
        <v>CAT à compléter</v>
      </c>
      <c r="O644">
        <f>IFERROR(VLOOKUP(N644,'Tables new'!$A:$C,3,FALSE),"")</f>
        <v>0</v>
      </c>
      <c r="P644" t="str">
        <f>VLOOKUP(N644,CAT_JOUEUR,2,FALSE)</f>
        <v>CAT à compléter</v>
      </c>
    </row>
    <row r="645" spans="4:20" x14ac:dyDescent="0.2">
      <c r="D645" t="s">
        <v>1334</v>
      </c>
      <c r="E645" t="s">
        <v>1334</v>
      </c>
      <c r="L645">
        <f>IFERROR(VLOOKUP(K645,'Tables new'!$A:$C,3,FALSE),"")</f>
        <v>0</v>
      </c>
      <c r="M645" t="str">
        <f>VLOOKUP(K645,CAT_JOUEUR,2,FALSE)</f>
        <v>CAT à compléter</v>
      </c>
      <c r="O645">
        <f>IFERROR(VLOOKUP(N645,'Tables new'!$A:$C,3,FALSE),"")</f>
        <v>0</v>
      </c>
      <c r="P645" t="str">
        <f>VLOOKUP(N645,CAT_JOUEUR,2,FALSE)</f>
        <v>CAT à compléter</v>
      </c>
    </row>
    <row r="646" spans="4:20" x14ac:dyDescent="0.2">
      <c r="D646" t="s">
        <v>1334</v>
      </c>
      <c r="E646" t="s">
        <v>1334</v>
      </c>
      <c r="L646">
        <f>IFERROR(VLOOKUP(K646,'Tables new'!$A:$C,3,FALSE),"")</f>
        <v>0</v>
      </c>
      <c r="M646" t="str">
        <f>VLOOKUP(K646,CAT_JOUEUR,2,FALSE)</f>
        <v>CAT à compléter</v>
      </c>
      <c r="O646">
        <f>IFERROR(VLOOKUP(N646,'Tables new'!$A:$C,3,FALSE),"")</f>
        <v>0</v>
      </c>
      <c r="P646" t="str">
        <f>VLOOKUP(N646,CAT_JOUEUR,2,FALSE)</f>
        <v>CAT à compléter</v>
      </c>
    </row>
    <row r="647" spans="4:20" x14ac:dyDescent="0.2">
      <c r="D647" t="s">
        <v>1334</v>
      </c>
      <c r="E647" t="s">
        <v>1334</v>
      </c>
      <c r="L647">
        <f>IFERROR(VLOOKUP(K647,'Tables new'!$A:$C,3,FALSE),"")</f>
        <v>0</v>
      </c>
      <c r="M647" t="str">
        <f>VLOOKUP(K647,CAT_JOUEUR,2,FALSE)</f>
        <v>CAT à compléter</v>
      </c>
      <c r="O647">
        <f>IFERROR(VLOOKUP(N647,'Tables new'!$A:$C,3,FALSE),"")</f>
        <v>0</v>
      </c>
      <c r="P647" t="str">
        <f>VLOOKUP(N647,CAT_JOUEUR,2,FALSE)</f>
        <v>CAT à compléter</v>
      </c>
      <c r="T647" t="s">
        <v>208</v>
      </c>
    </row>
    <row r="648" spans="4:20" x14ac:dyDescent="0.2">
      <c r="D648" t="s">
        <v>1334</v>
      </c>
      <c r="E648" t="s">
        <v>1334</v>
      </c>
      <c r="L648">
        <f>IFERROR(VLOOKUP(K648,'Tables new'!$A:$C,3,FALSE),"")</f>
        <v>0</v>
      </c>
      <c r="M648" t="str">
        <f>VLOOKUP(K648,CAT_JOUEUR,2,FALSE)</f>
        <v>CAT à compléter</v>
      </c>
      <c r="O648">
        <f>IFERROR(VLOOKUP(N648,'Tables new'!$A:$C,3,FALSE),"")</f>
        <v>0</v>
      </c>
      <c r="P648" t="str">
        <f>VLOOKUP(N648,CAT_JOUEUR,2,FALSE)</f>
        <v>CAT à compléter</v>
      </c>
    </row>
    <row r="649" spans="4:20" x14ac:dyDescent="0.2">
      <c r="D649" t="s">
        <v>1334</v>
      </c>
      <c r="E649" t="s">
        <v>1334</v>
      </c>
      <c r="L649">
        <f>IFERROR(VLOOKUP(K649,'Tables new'!$A:$C,3,FALSE),"")</f>
        <v>0</v>
      </c>
      <c r="M649" t="str">
        <f>VLOOKUP(K649,CAT_JOUEUR,2,FALSE)</f>
        <v>CAT à compléter</v>
      </c>
      <c r="O649">
        <f>IFERROR(VLOOKUP(N649,'Tables new'!$A:$C,3,FALSE),"")</f>
        <v>0</v>
      </c>
      <c r="P649" t="str">
        <f>VLOOKUP(N649,CAT_JOUEUR,2,FALSE)</f>
        <v>CAT à compléter</v>
      </c>
    </row>
    <row r="650" spans="4:20" x14ac:dyDescent="0.2">
      <c r="D650" t="s">
        <v>1334</v>
      </c>
      <c r="E650" t="s">
        <v>1334</v>
      </c>
      <c r="L650">
        <f>IFERROR(VLOOKUP(K650,'Tables new'!$A:$C,3,FALSE),"")</f>
        <v>0</v>
      </c>
      <c r="M650" t="str">
        <f>VLOOKUP(K650,CAT_JOUEUR,2,FALSE)</f>
        <v>CAT à compléter</v>
      </c>
      <c r="O650">
        <f>IFERROR(VLOOKUP(N650,'Tables new'!$A:$C,3,FALSE),"")</f>
        <v>0</v>
      </c>
      <c r="P650" t="str">
        <f>VLOOKUP(N650,CAT_JOUEUR,2,FALSE)</f>
        <v>CAT à compléter</v>
      </c>
    </row>
    <row r="651" spans="4:20" x14ac:dyDescent="0.2">
      <c r="D651" t="s">
        <v>1334</v>
      </c>
      <c r="E651" t="s">
        <v>1334</v>
      </c>
      <c r="L651">
        <f>IFERROR(VLOOKUP(K651,'Tables new'!$A:$C,3,FALSE),"")</f>
        <v>0</v>
      </c>
      <c r="M651" t="str">
        <f>VLOOKUP(K651,CAT_JOUEUR,2,FALSE)</f>
        <v>CAT à compléter</v>
      </c>
      <c r="O651">
        <f>IFERROR(VLOOKUP(N651,'Tables new'!$A:$C,3,FALSE),"")</f>
        <v>0</v>
      </c>
      <c r="P651" t="str">
        <f>VLOOKUP(N651,CAT_JOUEUR,2,FALSE)</f>
        <v>CAT à compléter</v>
      </c>
    </row>
    <row r="652" spans="4:20" x14ac:dyDescent="0.2">
      <c r="D652" t="s">
        <v>1334</v>
      </c>
      <c r="E652" t="s">
        <v>1334</v>
      </c>
      <c r="L652">
        <f>IFERROR(VLOOKUP(K652,'Tables new'!$A:$C,3,FALSE),"")</f>
        <v>0</v>
      </c>
      <c r="M652" t="str">
        <f>VLOOKUP(K652,CAT_JOUEUR,2,FALSE)</f>
        <v>CAT à compléter</v>
      </c>
      <c r="O652">
        <f>IFERROR(VLOOKUP(N652,'Tables new'!$A:$C,3,FALSE),"")</f>
        <v>0</v>
      </c>
      <c r="P652" t="str">
        <f>VLOOKUP(N652,CAT_JOUEUR,2,FALSE)</f>
        <v>CAT à compléter</v>
      </c>
    </row>
    <row r="653" spans="4:20" x14ac:dyDescent="0.2">
      <c r="D653" t="s">
        <v>1334</v>
      </c>
      <c r="E653" t="s">
        <v>1334</v>
      </c>
      <c r="L653">
        <f>IFERROR(VLOOKUP(K653,'Tables new'!$A:$C,3,FALSE),"")</f>
        <v>0</v>
      </c>
      <c r="M653" t="str">
        <f>VLOOKUP(K653,CAT_JOUEUR,2,FALSE)</f>
        <v>CAT à compléter</v>
      </c>
      <c r="O653">
        <f>IFERROR(VLOOKUP(N653,'Tables new'!$A:$C,3,FALSE),"")</f>
        <v>0</v>
      </c>
      <c r="P653" t="str">
        <f>VLOOKUP(N653,CAT_JOUEUR,2,FALSE)</f>
        <v>CAT à compléter</v>
      </c>
    </row>
    <row r="654" spans="4:20" x14ac:dyDescent="0.2">
      <c r="D654" t="s">
        <v>1334</v>
      </c>
      <c r="E654" t="s">
        <v>1334</v>
      </c>
      <c r="L654">
        <f>IFERROR(VLOOKUP(K654,'Tables new'!$A:$C,3,FALSE),"")</f>
        <v>0</v>
      </c>
      <c r="M654" t="str">
        <f>VLOOKUP(K654,CAT_JOUEUR,2,FALSE)</f>
        <v>CAT à compléter</v>
      </c>
      <c r="O654">
        <f>IFERROR(VLOOKUP(N654,'Tables new'!$A:$C,3,FALSE),"")</f>
        <v>0</v>
      </c>
      <c r="P654" t="str">
        <f>VLOOKUP(N654,CAT_JOUEUR,2,FALSE)</f>
        <v>CAT à compléter</v>
      </c>
    </row>
    <row r="655" spans="4:20" x14ac:dyDescent="0.2">
      <c r="D655" t="s">
        <v>1334</v>
      </c>
      <c r="E655" t="s">
        <v>1334</v>
      </c>
      <c r="L655">
        <f>IFERROR(VLOOKUP(K655,'Tables new'!$A:$C,3,FALSE),"")</f>
        <v>0</v>
      </c>
      <c r="M655" t="str">
        <f>VLOOKUP(K655,CAT_JOUEUR,2,FALSE)</f>
        <v>CAT à compléter</v>
      </c>
      <c r="O655">
        <f>IFERROR(VLOOKUP(N655,'Tables new'!$A:$C,3,FALSE),"")</f>
        <v>0</v>
      </c>
      <c r="P655" t="str">
        <f>VLOOKUP(N655,CAT_JOUEUR,2,FALSE)</f>
        <v>CAT à compléter</v>
      </c>
    </row>
    <row r="656" spans="4:20" x14ac:dyDescent="0.2">
      <c r="D656" t="s">
        <v>1334</v>
      </c>
      <c r="E656" t="s">
        <v>1334</v>
      </c>
      <c r="L656">
        <f>IFERROR(VLOOKUP(K656,'Tables new'!$A:$C,3,FALSE),"")</f>
        <v>0</v>
      </c>
      <c r="M656" t="str">
        <f>VLOOKUP(K656,CAT_JOUEUR,2,FALSE)</f>
        <v>CAT à compléter</v>
      </c>
      <c r="O656">
        <f>IFERROR(VLOOKUP(N656,'Tables new'!$A:$C,3,FALSE),"")</f>
        <v>0</v>
      </c>
      <c r="P656" t="str">
        <f>VLOOKUP(N656,CAT_JOUEUR,2,FALSE)</f>
        <v>CAT à compléter</v>
      </c>
    </row>
    <row r="657" spans="4:16" x14ac:dyDescent="0.2">
      <c r="D657" t="s">
        <v>1334</v>
      </c>
      <c r="E657" t="s">
        <v>1334</v>
      </c>
      <c r="L657">
        <f>IFERROR(VLOOKUP(K657,'Tables new'!$A:$C,3,FALSE),"")</f>
        <v>0</v>
      </c>
      <c r="M657" t="str">
        <f>VLOOKUP(K657,CAT_JOUEUR,2,FALSE)</f>
        <v>CAT à compléter</v>
      </c>
      <c r="O657">
        <f>IFERROR(VLOOKUP(N657,'Tables new'!$A:$C,3,FALSE),"")</f>
        <v>0</v>
      </c>
      <c r="P657" t="str">
        <f>VLOOKUP(N657,CAT_JOUEUR,2,FALSE)</f>
        <v>CAT à compléter</v>
      </c>
    </row>
    <row r="658" spans="4:16" x14ac:dyDescent="0.2">
      <c r="D658" t="s">
        <v>1334</v>
      </c>
      <c r="E658" t="s">
        <v>1334</v>
      </c>
      <c r="L658">
        <f>IFERROR(VLOOKUP(K658,'Tables new'!$A:$C,3,FALSE),"")</f>
        <v>0</v>
      </c>
      <c r="M658" t="str">
        <f>VLOOKUP(K658,CAT_JOUEUR,2,FALSE)</f>
        <v>CAT à compléter</v>
      </c>
      <c r="O658">
        <f>IFERROR(VLOOKUP(N658,'Tables new'!$A:$C,3,FALSE),"")</f>
        <v>0</v>
      </c>
      <c r="P658" t="str">
        <f>VLOOKUP(N658,CAT_JOUEUR,2,FALSE)</f>
        <v>CAT à compléter</v>
      </c>
    </row>
    <row r="659" spans="4:16" x14ac:dyDescent="0.2">
      <c r="D659" t="s">
        <v>1334</v>
      </c>
      <c r="E659" t="s">
        <v>1334</v>
      </c>
      <c r="L659">
        <f>IFERROR(VLOOKUP(K659,'Tables new'!$A:$C,3,FALSE),"")</f>
        <v>0</v>
      </c>
      <c r="M659" t="str">
        <f>VLOOKUP(K659,CAT_JOUEUR,2,FALSE)</f>
        <v>CAT à compléter</v>
      </c>
      <c r="O659">
        <f>IFERROR(VLOOKUP(N659,'Tables new'!$A:$C,3,FALSE),"")</f>
        <v>0</v>
      </c>
      <c r="P659" t="str">
        <f>VLOOKUP(N659,CAT_JOUEUR,2,FALSE)</f>
        <v>CAT à compléter</v>
      </c>
    </row>
    <row r="660" spans="4:16" x14ac:dyDescent="0.2">
      <c r="D660" t="s">
        <v>1334</v>
      </c>
      <c r="E660" t="s">
        <v>1334</v>
      </c>
      <c r="L660">
        <f>IFERROR(VLOOKUP(K660,'Tables new'!$A:$C,3,FALSE),"")</f>
        <v>0</v>
      </c>
      <c r="M660" t="str">
        <f>VLOOKUP(K660,CAT_JOUEUR,2,FALSE)</f>
        <v>CAT à compléter</v>
      </c>
      <c r="O660">
        <f>IFERROR(VLOOKUP(N660,'Tables new'!$A:$C,3,FALSE),"")</f>
        <v>0</v>
      </c>
      <c r="P660" t="str">
        <f>VLOOKUP(N660,CAT_JOUEUR,2,FALSE)</f>
        <v>CAT à compléter</v>
      </c>
    </row>
    <row r="661" spans="4:16" x14ac:dyDescent="0.2">
      <c r="D661" t="s">
        <v>1334</v>
      </c>
      <c r="E661" t="s">
        <v>1334</v>
      </c>
      <c r="L661">
        <f>IFERROR(VLOOKUP(K661,'Tables new'!$A:$C,3,FALSE),"")</f>
        <v>0</v>
      </c>
      <c r="M661" t="str">
        <f>VLOOKUP(K661,CAT_JOUEUR,2,FALSE)</f>
        <v>CAT à compléter</v>
      </c>
      <c r="O661">
        <f>IFERROR(VLOOKUP(N661,'Tables new'!$A:$C,3,FALSE),"")</f>
        <v>0</v>
      </c>
      <c r="P661" t="str">
        <f>VLOOKUP(N661,CAT_JOUEUR,2,FALSE)</f>
        <v>CAT à compléter</v>
      </c>
    </row>
    <row r="662" spans="4:16" x14ac:dyDescent="0.2">
      <c r="D662" t="s">
        <v>1334</v>
      </c>
      <c r="E662" t="s">
        <v>1334</v>
      </c>
      <c r="L662">
        <f>IFERROR(VLOOKUP(K662,'Tables new'!$A:$C,3,FALSE),"")</f>
        <v>0</v>
      </c>
      <c r="M662" t="str">
        <f>VLOOKUP(K662,CAT_JOUEUR,2,FALSE)</f>
        <v>CAT à compléter</v>
      </c>
      <c r="O662">
        <f>IFERROR(VLOOKUP(N662,'Tables new'!$A:$C,3,FALSE),"")</f>
        <v>0</v>
      </c>
      <c r="P662" t="str">
        <f>VLOOKUP(N662,CAT_JOUEUR,2,FALSE)</f>
        <v>CAT à compléter</v>
      </c>
    </row>
    <row r="663" spans="4:16" x14ac:dyDescent="0.2">
      <c r="D663" t="s">
        <v>1334</v>
      </c>
      <c r="E663" t="s">
        <v>1334</v>
      </c>
      <c r="L663">
        <f>IFERROR(VLOOKUP(K663,'Tables new'!$A:$C,3,FALSE),"")</f>
        <v>0</v>
      </c>
      <c r="M663" t="str">
        <f>VLOOKUP(K663,CAT_JOUEUR,2,FALSE)</f>
        <v>CAT à compléter</v>
      </c>
      <c r="O663">
        <f>IFERROR(VLOOKUP(N663,'Tables new'!$A:$C,3,FALSE),"")</f>
        <v>0</v>
      </c>
      <c r="P663" t="str">
        <f>VLOOKUP(N663,CAT_JOUEUR,2,FALSE)</f>
        <v>CAT à compléter</v>
      </c>
    </row>
    <row r="664" spans="4:16" x14ac:dyDescent="0.2">
      <c r="D664" t="s">
        <v>1334</v>
      </c>
      <c r="E664" t="s">
        <v>1334</v>
      </c>
      <c r="L664">
        <f>IFERROR(VLOOKUP(K664,'Tables new'!$A:$C,3,FALSE),"")</f>
        <v>0</v>
      </c>
      <c r="M664" t="str">
        <f>VLOOKUP(K664,CAT_JOUEUR,2,FALSE)</f>
        <v>CAT à compléter</v>
      </c>
      <c r="O664">
        <f>IFERROR(VLOOKUP(N664,'Tables new'!$A:$C,3,FALSE),"")</f>
        <v>0</v>
      </c>
      <c r="P664" t="str">
        <f>VLOOKUP(N664,CAT_JOUEUR,2,FALSE)</f>
        <v>CAT à compléter</v>
      </c>
    </row>
    <row r="665" spans="4:16" x14ac:dyDescent="0.2">
      <c r="D665" t="s">
        <v>1334</v>
      </c>
      <c r="E665" t="s">
        <v>1334</v>
      </c>
      <c r="L665">
        <f>IFERROR(VLOOKUP(K665,'Tables new'!$A:$C,3,FALSE),"")</f>
        <v>0</v>
      </c>
      <c r="M665" t="str">
        <f>VLOOKUP(K665,CAT_JOUEUR,2,FALSE)</f>
        <v>CAT à compléter</v>
      </c>
      <c r="O665">
        <f>IFERROR(VLOOKUP(N665,'Tables new'!$A:$C,3,FALSE),"")</f>
        <v>0</v>
      </c>
      <c r="P665" t="str">
        <f>VLOOKUP(N665,CAT_JOUEUR,2,FALSE)</f>
        <v>CAT à compléter</v>
      </c>
    </row>
    <row r="666" spans="4:16" x14ac:dyDescent="0.2">
      <c r="D666" t="s">
        <v>1334</v>
      </c>
      <c r="E666" t="s">
        <v>1334</v>
      </c>
      <c r="L666">
        <f>IFERROR(VLOOKUP(K666,'Tables new'!$A:$C,3,FALSE),"")</f>
        <v>0</v>
      </c>
      <c r="M666" t="str">
        <f>VLOOKUP(K666,CAT_JOUEUR,2,FALSE)</f>
        <v>CAT à compléter</v>
      </c>
      <c r="O666">
        <f>IFERROR(VLOOKUP(N666,'Tables new'!$A:$C,3,FALSE),"")</f>
        <v>0</v>
      </c>
      <c r="P666" t="str">
        <f>VLOOKUP(N666,CAT_JOUEUR,2,FALSE)</f>
        <v>CAT à compléter</v>
      </c>
    </row>
    <row r="667" spans="4:16" x14ac:dyDescent="0.2">
      <c r="D667" t="s">
        <v>1334</v>
      </c>
      <c r="E667" t="s">
        <v>1334</v>
      </c>
      <c r="L667">
        <f>IFERROR(VLOOKUP(K667,'Tables new'!$A:$C,3,FALSE),"")</f>
        <v>0</v>
      </c>
      <c r="M667" t="str">
        <f>VLOOKUP(K667,CAT_JOUEUR,2,FALSE)</f>
        <v>CAT à compléter</v>
      </c>
      <c r="O667">
        <f>IFERROR(VLOOKUP(N667,'Tables new'!$A:$C,3,FALSE),"")</f>
        <v>0</v>
      </c>
      <c r="P667" t="str">
        <f>VLOOKUP(N667,CAT_JOUEUR,2,FALSE)</f>
        <v>CAT à compléter</v>
      </c>
    </row>
    <row r="668" spans="4:16" x14ac:dyDescent="0.2">
      <c r="D668" t="s">
        <v>1334</v>
      </c>
      <c r="E668" t="s">
        <v>1334</v>
      </c>
      <c r="L668">
        <f>IFERROR(VLOOKUP(K668,'Tables new'!$A:$C,3,FALSE),"")</f>
        <v>0</v>
      </c>
      <c r="M668" t="str">
        <f>VLOOKUP(K668,CAT_JOUEUR,2,FALSE)</f>
        <v>CAT à compléter</v>
      </c>
      <c r="O668">
        <f>IFERROR(VLOOKUP(N668,'Tables new'!$A:$C,3,FALSE),"")</f>
        <v>0</v>
      </c>
      <c r="P668" t="str">
        <f>VLOOKUP(N668,CAT_JOUEUR,2,FALSE)</f>
        <v>CAT à compléter</v>
      </c>
    </row>
    <row r="669" spans="4:16" x14ac:dyDescent="0.2">
      <c r="D669" t="s">
        <v>1334</v>
      </c>
      <c r="E669" t="s">
        <v>1334</v>
      </c>
      <c r="L669">
        <f>IFERROR(VLOOKUP(K669,'Tables new'!$A:$C,3,FALSE),"")</f>
        <v>0</v>
      </c>
      <c r="M669" t="str">
        <f>VLOOKUP(K669,CAT_JOUEUR,2,FALSE)</f>
        <v>CAT à compléter</v>
      </c>
      <c r="O669">
        <f>IFERROR(VLOOKUP(N669,'Tables new'!$A:$C,3,FALSE),"")</f>
        <v>0</v>
      </c>
      <c r="P669" t="str">
        <f>VLOOKUP(N669,CAT_JOUEUR,2,FALSE)</f>
        <v>CAT à compléter</v>
      </c>
    </row>
    <row r="670" spans="4:16" x14ac:dyDescent="0.2">
      <c r="D670" t="s">
        <v>1334</v>
      </c>
      <c r="E670" t="s">
        <v>1334</v>
      </c>
      <c r="L670">
        <f>IFERROR(VLOOKUP(K670,'Tables new'!$A:$C,3,FALSE),"")</f>
        <v>0</v>
      </c>
      <c r="M670" t="str">
        <f>VLOOKUP(K670,CAT_JOUEUR,2,FALSE)</f>
        <v>CAT à compléter</v>
      </c>
      <c r="O670">
        <f>IFERROR(VLOOKUP(N670,'Tables new'!$A:$C,3,FALSE),"")</f>
        <v>0</v>
      </c>
      <c r="P670" t="str">
        <f>VLOOKUP(N670,CAT_JOUEUR,2,FALSE)</f>
        <v>CAT à compléter</v>
      </c>
    </row>
    <row r="671" spans="4:16" x14ac:dyDescent="0.2">
      <c r="D671" t="s">
        <v>1334</v>
      </c>
      <c r="E671" t="s">
        <v>1334</v>
      </c>
      <c r="L671">
        <f>IFERROR(VLOOKUP(K671,'Tables new'!$A:$C,3,FALSE),"")</f>
        <v>0</v>
      </c>
      <c r="M671" t="str">
        <f>VLOOKUP(K671,CAT_JOUEUR,2,FALSE)</f>
        <v>CAT à compléter</v>
      </c>
      <c r="O671">
        <f>IFERROR(VLOOKUP(N671,'Tables new'!$A:$C,3,FALSE),"")</f>
        <v>0</v>
      </c>
      <c r="P671" t="str">
        <f>VLOOKUP(N671,CAT_JOUEUR,2,FALSE)</f>
        <v>CAT à compléter</v>
      </c>
    </row>
    <row r="672" spans="4:16" x14ac:dyDescent="0.2">
      <c r="D672" t="s">
        <v>1334</v>
      </c>
      <c r="E672" t="s">
        <v>1334</v>
      </c>
      <c r="L672">
        <f>IFERROR(VLOOKUP(K672,'Tables new'!$A:$C,3,FALSE),"")</f>
        <v>0</v>
      </c>
      <c r="M672" t="str">
        <f>VLOOKUP(K672,CAT_JOUEUR,2,FALSE)</f>
        <v>CAT à compléter</v>
      </c>
      <c r="O672">
        <f>IFERROR(VLOOKUP(N672,'Tables new'!$A:$C,3,FALSE),"")</f>
        <v>0</v>
      </c>
      <c r="P672" t="str">
        <f>VLOOKUP(N672,CAT_JOUEUR,2,FALSE)</f>
        <v>CAT à compléter</v>
      </c>
    </row>
    <row r="673" spans="4:16" x14ac:dyDescent="0.2">
      <c r="D673" t="s">
        <v>1334</v>
      </c>
      <c r="E673" t="s">
        <v>1334</v>
      </c>
      <c r="L673">
        <f>IFERROR(VLOOKUP(K673,'Tables new'!$A:$C,3,FALSE),"")</f>
        <v>0</v>
      </c>
      <c r="M673" t="str">
        <f>VLOOKUP(K673,CAT_JOUEUR,2,FALSE)</f>
        <v>CAT à compléter</v>
      </c>
      <c r="O673">
        <f>IFERROR(VLOOKUP(N673,'Tables new'!$A:$C,3,FALSE),"")</f>
        <v>0</v>
      </c>
      <c r="P673" t="str">
        <f>VLOOKUP(N673,CAT_JOUEUR,2,FALSE)</f>
        <v>CAT à compléter</v>
      </c>
    </row>
    <row r="674" spans="4:16" x14ac:dyDescent="0.2">
      <c r="D674" t="s">
        <v>1334</v>
      </c>
      <c r="E674" t="s">
        <v>1334</v>
      </c>
      <c r="L674">
        <f>IFERROR(VLOOKUP(K674,'Tables new'!$A:$C,3,FALSE),"")</f>
        <v>0</v>
      </c>
      <c r="M674" t="str">
        <f>VLOOKUP(K674,CAT_JOUEUR,2,FALSE)</f>
        <v>CAT à compléter</v>
      </c>
      <c r="O674">
        <f>IFERROR(VLOOKUP(N674,'Tables new'!$A:$C,3,FALSE),"")</f>
        <v>0</v>
      </c>
      <c r="P674" t="str">
        <f>VLOOKUP(N674,CAT_JOUEUR,2,FALSE)</f>
        <v>CAT à compléter</v>
      </c>
    </row>
    <row r="675" spans="4:16" x14ac:dyDescent="0.2">
      <c r="D675" t="s">
        <v>1334</v>
      </c>
      <c r="E675" t="s">
        <v>1334</v>
      </c>
      <c r="L675">
        <f>IFERROR(VLOOKUP(K675,'Tables new'!$A:$C,3,FALSE),"")</f>
        <v>0</v>
      </c>
      <c r="M675" t="str">
        <f>VLOOKUP(K675,CAT_JOUEUR,2,FALSE)</f>
        <v>CAT à compléter</v>
      </c>
      <c r="O675">
        <f>IFERROR(VLOOKUP(N675,'Tables new'!$A:$C,3,FALSE),"")</f>
        <v>0</v>
      </c>
      <c r="P675" t="str">
        <f>VLOOKUP(N675,CAT_JOUEUR,2,FALSE)</f>
        <v>CAT à compléter</v>
      </c>
    </row>
    <row r="676" spans="4:16" x14ac:dyDescent="0.2">
      <c r="D676" t="s">
        <v>1334</v>
      </c>
      <c r="E676" t="s">
        <v>1334</v>
      </c>
      <c r="L676">
        <f>IFERROR(VLOOKUP(K676,'Tables new'!$A:$C,3,FALSE),"")</f>
        <v>0</v>
      </c>
      <c r="M676" t="str">
        <f>VLOOKUP(K676,CAT_JOUEUR,2,FALSE)</f>
        <v>CAT à compléter</v>
      </c>
      <c r="O676">
        <f>IFERROR(VLOOKUP(N676,'Tables new'!$A:$C,3,FALSE),"")</f>
        <v>0</v>
      </c>
      <c r="P676" t="str">
        <f>VLOOKUP(N676,CAT_JOUEUR,2,FALSE)</f>
        <v>CAT à compléter</v>
      </c>
    </row>
    <row r="677" spans="4:16" x14ac:dyDescent="0.2">
      <c r="D677" t="s">
        <v>1334</v>
      </c>
      <c r="E677" t="s">
        <v>1334</v>
      </c>
      <c r="L677">
        <f>IFERROR(VLOOKUP(K677,'Tables new'!$A:$C,3,FALSE),"")</f>
        <v>0</v>
      </c>
      <c r="M677" t="str">
        <f>VLOOKUP(K677,CAT_JOUEUR,2,FALSE)</f>
        <v>CAT à compléter</v>
      </c>
      <c r="O677">
        <f>IFERROR(VLOOKUP(N677,'Tables new'!$A:$C,3,FALSE),"")</f>
        <v>0</v>
      </c>
      <c r="P677" t="str">
        <f>VLOOKUP(N677,CAT_JOUEUR,2,FALSE)</f>
        <v>CAT à compléter</v>
      </c>
    </row>
    <row r="678" spans="4:16" x14ac:dyDescent="0.2">
      <c r="D678" t="s">
        <v>1334</v>
      </c>
      <c r="E678" t="s">
        <v>1334</v>
      </c>
      <c r="L678">
        <f>IFERROR(VLOOKUP(K678,'Tables new'!$A:$C,3,FALSE),"")</f>
        <v>0</v>
      </c>
      <c r="M678" t="str">
        <f>VLOOKUP(K678,CAT_JOUEUR,2,FALSE)</f>
        <v>CAT à compléter</v>
      </c>
      <c r="O678">
        <f>IFERROR(VLOOKUP(N678,'Tables new'!$A:$C,3,FALSE),"")</f>
        <v>0</v>
      </c>
      <c r="P678" t="str">
        <f>VLOOKUP(N678,CAT_JOUEUR,2,FALSE)</f>
        <v>CAT à compléter</v>
      </c>
    </row>
    <row r="679" spans="4:16" x14ac:dyDescent="0.2">
      <c r="D679" t="s">
        <v>1334</v>
      </c>
      <c r="E679" t="s">
        <v>1334</v>
      </c>
      <c r="L679">
        <f>IFERROR(VLOOKUP(K679,'Tables new'!$A:$C,3,FALSE),"")</f>
        <v>0</v>
      </c>
      <c r="M679" t="str">
        <f>VLOOKUP(K679,CAT_JOUEUR,2,FALSE)</f>
        <v>CAT à compléter</v>
      </c>
      <c r="O679">
        <f>IFERROR(VLOOKUP(N679,'Tables new'!$A:$C,3,FALSE),"")</f>
        <v>0</v>
      </c>
      <c r="P679" t="str">
        <f>VLOOKUP(N679,CAT_JOUEUR,2,FALSE)</f>
        <v>CAT à compléter</v>
      </c>
    </row>
    <row r="680" spans="4:16" x14ac:dyDescent="0.2">
      <c r="D680" t="s">
        <v>1334</v>
      </c>
      <c r="E680" t="s">
        <v>1334</v>
      </c>
      <c r="L680">
        <f>IFERROR(VLOOKUP(K680,'Tables new'!$A:$C,3,FALSE),"")</f>
        <v>0</v>
      </c>
      <c r="M680" t="str">
        <f>VLOOKUP(K680,CAT_JOUEUR,2,FALSE)</f>
        <v>CAT à compléter</v>
      </c>
      <c r="O680">
        <f>IFERROR(VLOOKUP(N680,'Tables new'!$A:$C,3,FALSE),"")</f>
        <v>0</v>
      </c>
      <c r="P680" t="str">
        <f>VLOOKUP(N680,CAT_JOUEUR,2,FALSE)</f>
        <v>CAT à compléter</v>
      </c>
    </row>
    <row r="681" spans="4:16" x14ac:dyDescent="0.2">
      <c r="D681" t="s">
        <v>1334</v>
      </c>
      <c r="E681" t="s">
        <v>1334</v>
      </c>
      <c r="L681">
        <f>IFERROR(VLOOKUP(K681,'Tables new'!$A:$C,3,FALSE),"")</f>
        <v>0</v>
      </c>
      <c r="M681" t="str">
        <f>VLOOKUP(K681,CAT_JOUEUR,2,FALSE)</f>
        <v>CAT à compléter</v>
      </c>
      <c r="O681">
        <f>IFERROR(VLOOKUP(N681,'Tables new'!$A:$C,3,FALSE),"")</f>
        <v>0</v>
      </c>
      <c r="P681" t="str">
        <f>VLOOKUP(N681,CAT_JOUEUR,2,FALSE)</f>
        <v>CAT à compléter</v>
      </c>
    </row>
    <row r="682" spans="4:16" x14ac:dyDescent="0.2">
      <c r="D682" t="s">
        <v>1334</v>
      </c>
      <c r="E682" t="s">
        <v>1334</v>
      </c>
      <c r="L682">
        <f>IFERROR(VLOOKUP(K682,'Tables new'!$A:$C,3,FALSE),"")</f>
        <v>0</v>
      </c>
      <c r="M682" t="str">
        <f>VLOOKUP(K682,CAT_JOUEUR,2,FALSE)</f>
        <v>CAT à compléter</v>
      </c>
      <c r="O682">
        <f>IFERROR(VLOOKUP(N682,'Tables new'!$A:$C,3,FALSE),"")</f>
        <v>0</v>
      </c>
      <c r="P682" t="str">
        <f>VLOOKUP(N682,CAT_JOUEUR,2,FALSE)</f>
        <v>CAT à compléter</v>
      </c>
    </row>
    <row r="683" spans="4:16" x14ac:dyDescent="0.2">
      <c r="D683" t="s">
        <v>1334</v>
      </c>
      <c r="E683" t="s">
        <v>1334</v>
      </c>
      <c r="L683">
        <f>IFERROR(VLOOKUP(K683,'Tables new'!$A:$C,3,FALSE),"")</f>
        <v>0</v>
      </c>
      <c r="M683" t="str">
        <f>VLOOKUP(K683,CAT_JOUEUR,2,FALSE)</f>
        <v>CAT à compléter</v>
      </c>
      <c r="O683">
        <f>IFERROR(VLOOKUP(N683,'Tables new'!$A:$C,3,FALSE),"")</f>
        <v>0</v>
      </c>
      <c r="P683" t="str">
        <f>VLOOKUP(N683,CAT_JOUEUR,2,FALSE)</f>
        <v>CAT à compléter</v>
      </c>
    </row>
    <row r="684" spans="4:16" x14ac:dyDescent="0.2">
      <c r="D684" t="s">
        <v>1334</v>
      </c>
      <c r="E684" t="s">
        <v>1334</v>
      </c>
      <c r="L684">
        <f>IFERROR(VLOOKUP(K684,'Tables new'!$A:$C,3,FALSE),"")</f>
        <v>0</v>
      </c>
      <c r="M684" t="str">
        <f>VLOOKUP(K684,CAT_JOUEUR,2,FALSE)</f>
        <v>CAT à compléter</v>
      </c>
      <c r="O684">
        <f>IFERROR(VLOOKUP(N684,'Tables new'!$A:$C,3,FALSE),"")</f>
        <v>0</v>
      </c>
      <c r="P684" t="str">
        <f>VLOOKUP(N684,CAT_JOUEUR,2,FALSE)</f>
        <v>CAT à compléter</v>
      </c>
    </row>
    <row r="685" spans="4:16" x14ac:dyDescent="0.2">
      <c r="D685" t="s">
        <v>1334</v>
      </c>
      <c r="E685" t="s">
        <v>1334</v>
      </c>
      <c r="L685">
        <f>IFERROR(VLOOKUP(K685,'Tables new'!$A:$C,3,FALSE),"")</f>
        <v>0</v>
      </c>
      <c r="M685" t="str">
        <f>VLOOKUP(K685,CAT_JOUEUR,2,FALSE)</f>
        <v>CAT à compléter</v>
      </c>
      <c r="O685">
        <f>IFERROR(VLOOKUP(N685,'Tables new'!$A:$C,3,FALSE),"")</f>
        <v>0</v>
      </c>
      <c r="P685" t="str">
        <f>VLOOKUP(N685,CAT_JOUEUR,2,FALSE)</f>
        <v>CAT à compléter</v>
      </c>
    </row>
    <row r="686" spans="4:16" x14ac:dyDescent="0.2">
      <c r="D686" t="s">
        <v>1334</v>
      </c>
      <c r="E686" t="s">
        <v>1334</v>
      </c>
      <c r="L686">
        <f>IFERROR(VLOOKUP(K686,'Tables new'!$A:$C,3,FALSE),"")</f>
        <v>0</v>
      </c>
      <c r="M686" t="str">
        <f>VLOOKUP(K686,CAT_JOUEUR,2,FALSE)</f>
        <v>CAT à compléter</v>
      </c>
      <c r="O686">
        <f>IFERROR(VLOOKUP(N686,'Tables new'!$A:$C,3,FALSE),"")</f>
        <v>0</v>
      </c>
      <c r="P686" t="str">
        <f>VLOOKUP(N686,CAT_JOUEUR,2,FALSE)</f>
        <v>CAT à compléter</v>
      </c>
    </row>
    <row r="687" spans="4:16" x14ac:dyDescent="0.2">
      <c r="D687" t="s">
        <v>1334</v>
      </c>
      <c r="E687" t="s">
        <v>1334</v>
      </c>
      <c r="L687">
        <f>IFERROR(VLOOKUP(K687,'Tables new'!$A:$C,3,FALSE),"")</f>
        <v>0</v>
      </c>
      <c r="M687" t="str">
        <f>VLOOKUP(K687,CAT_JOUEUR,2,FALSE)</f>
        <v>CAT à compléter</v>
      </c>
      <c r="O687">
        <f>IFERROR(VLOOKUP(N687,'Tables new'!$A:$C,3,FALSE),"")</f>
        <v>0</v>
      </c>
      <c r="P687" t="str">
        <f>VLOOKUP(N687,CAT_JOUEUR,2,FALSE)</f>
        <v>CAT à compléter</v>
      </c>
    </row>
    <row r="688" spans="4:16" x14ac:dyDescent="0.2">
      <c r="D688" t="s">
        <v>1334</v>
      </c>
      <c r="E688" t="s">
        <v>1334</v>
      </c>
      <c r="L688">
        <f>IFERROR(VLOOKUP(K688,'Tables new'!$A:$C,3,FALSE),"")</f>
        <v>0</v>
      </c>
      <c r="M688" t="str">
        <f>VLOOKUP(K688,CAT_JOUEUR,2,FALSE)</f>
        <v>CAT à compléter</v>
      </c>
      <c r="O688">
        <f>IFERROR(VLOOKUP(N688,'Tables new'!$A:$C,3,FALSE),"")</f>
        <v>0</v>
      </c>
      <c r="P688" t="str">
        <f>VLOOKUP(N688,CAT_JOUEUR,2,FALSE)</f>
        <v>CAT à compléter</v>
      </c>
    </row>
    <row r="689" spans="4:16" x14ac:dyDescent="0.2">
      <c r="D689" t="s">
        <v>1334</v>
      </c>
      <c r="E689" t="s">
        <v>1334</v>
      </c>
      <c r="L689">
        <f>IFERROR(VLOOKUP(K689,'Tables new'!$A:$C,3,FALSE),"")</f>
        <v>0</v>
      </c>
      <c r="M689" t="str">
        <f>VLOOKUP(K689,CAT_JOUEUR,2,FALSE)</f>
        <v>CAT à compléter</v>
      </c>
      <c r="O689">
        <f>IFERROR(VLOOKUP(N689,'Tables new'!$A:$C,3,FALSE),"")</f>
        <v>0</v>
      </c>
      <c r="P689" t="str">
        <f>VLOOKUP(N689,CAT_JOUEUR,2,FALSE)</f>
        <v>CAT à compléter</v>
      </c>
    </row>
    <row r="690" spans="4:16" x14ac:dyDescent="0.2">
      <c r="D690" t="s">
        <v>1334</v>
      </c>
      <c r="E690" t="s">
        <v>1334</v>
      </c>
      <c r="L690">
        <f>IFERROR(VLOOKUP(K690,'Tables new'!$A:$C,3,FALSE),"")</f>
        <v>0</v>
      </c>
      <c r="M690" t="str">
        <f>VLOOKUP(K690,CAT_JOUEUR,2,FALSE)</f>
        <v>CAT à compléter</v>
      </c>
      <c r="O690">
        <f>IFERROR(VLOOKUP(N690,'Tables new'!$A:$C,3,FALSE),"")</f>
        <v>0</v>
      </c>
      <c r="P690" t="str">
        <f>VLOOKUP(N690,CAT_JOUEUR,2,FALSE)</f>
        <v>CAT à compléter</v>
      </c>
    </row>
    <row r="691" spans="4:16" x14ac:dyDescent="0.2">
      <c r="D691" t="s">
        <v>1334</v>
      </c>
      <c r="E691" t="s">
        <v>1334</v>
      </c>
      <c r="L691">
        <f>IFERROR(VLOOKUP(K691,'Tables new'!$A:$C,3,FALSE),"")</f>
        <v>0</v>
      </c>
      <c r="M691" t="str">
        <f>VLOOKUP(K691,CAT_JOUEUR,2,FALSE)</f>
        <v>CAT à compléter</v>
      </c>
      <c r="O691">
        <f>IFERROR(VLOOKUP(N691,'Tables new'!$A:$C,3,FALSE),"")</f>
        <v>0</v>
      </c>
      <c r="P691" t="str">
        <f>VLOOKUP(N691,CAT_JOUEUR,2,FALSE)</f>
        <v>CAT à compléter</v>
      </c>
    </row>
    <row r="692" spans="4:16" x14ac:dyDescent="0.2">
      <c r="D692" t="s">
        <v>1334</v>
      </c>
      <c r="E692" t="s">
        <v>1334</v>
      </c>
      <c r="L692">
        <f>IFERROR(VLOOKUP(K692,'Tables new'!$A:$C,3,FALSE),"")</f>
        <v>0</v>
      </c>
      <c r="M692" t="str">
        <f>VLOOKUP(K692,CAT_JOUEUR,2,FALSE)</f>
        <v>CAT à compléter</v>
      </c>
      <c r="O692">
        <f>IFERROR(VLOOKUP(N692,'Tables new'!$A:$C,3,FALSE),"")</f>
        <v>0</v>
      </c>
      <c r="P692" t="str">
        <f>VLOOKUP(N692,CAT_JOUEUR,2,FALSE)</f>
        <v>CAT à compléter</v>
      </c>
    </row>
    <row r="693" spans="4:16" x14ac:dyDescent="0.2">
      <c r="D693" t="s">
        <v>1334</v>
      </c>
      <c r="E693" t="s">
        <v>1334</v>
      </c>
      <c r="L693">
        <f>IFERROR(VLOOKUP(K693,'Tables new'!$A:$C,3,FALSE),"")</f>
        <v>0</v>
      </c>
      <c r="M693" t="str">
        <f>VLOOKUP(K693,CAT_JOUEUR,2,FALSE)</f>
        <v>CAT à compléter</v>
      </c>
      <c r="O693">
        <f>IFERROR(VLOOKUP(N693,'Tables new'!$A:$C,3,FALSE),"")</f>
        <v>0</v>
      </c>
      <c r="P693" t="str">
        <f>VLOOKUP(N693,CAT_JOUEUR,2,FALSE)</f>
        <v>CAT à compléter</v>
      </c>
    </row>
    <row r="694" spans="4:16" x14ac:dyDescent="0.2">
      <c r="D694" t="s">
        <v>1334</v>
      </c>
      <c r="E694" t="s">
        <v>1334</v>
      </c>
      <c r="L694">
        <f>IFERROR(VLOOKUP(K694,'Tables new'!$A:$C,3,FALSE),"")</f>
        <v>0</v>
      </c>
      <c r="M694" t="str">
        <f>VLOOKUP(K694,CAT_JOUEUR,2,FALSE)</f>
        <v>CAT à compléter</v>
      </c>
      <c r="O694">
        <f>IFERROR(VLOOKUP(N694,'Tables new'!$A:$C,3,FALSE),"")</f>
        <v>0</v>
      </c>
      <c r="P694" t="str">
        <f>VLOOKUP(N694,CAT_JOUEUR,2,FALSE)</f>
        <v>CAT à compléter</v>
      </c>
    </row>
    <row r="695" spans="4:16" x14ac:dyDescent="0.2">
      <c r="D695" t="s">
        <v>1334</v>
      </c>
      <c r="E695" t="s">
        <v>1334</v>
      </c>
      <c r="L695">
        <f>IFERROR(VLOOKUP(K695,'Tables new'!$A:$C,3,FALSE),"")</f>
        <v>0</v>
      </c>
      <c r="M695" t="str">
        <f>VLOOKUP(K695,CAT_JOUEUR,2,FALSE)</f>
        <v>CAT à compléter</v>
      </c>
      <c r="O695">
        <f>IFERROR(VLOOKUP(N695,'Tables new'!$A:$C,3,FALSE),"")</f>
        <v>0</v>
      </c>
      <c r="P695" t="str">
        <f>VLOOKUP(N695,CAT_JOUEUR,2,FALSE)</f>
        <v>CAT à compléter</v>
      </c>
    </row>
    <row r="696" spans="4:16" x14ac:dyDescent="0.2">
      <c r="D696" t="s">
        <v>1334</v>
      </c>
      <c r="E696" t="s">
        <v>1334</v>
      </c>
      <c r="L696">
        <f>IFERROR(VLOOKUP(K696,'Tables new'!$A:$C,3,FALSE),"")</f>
        <v>0</v>
      </c>
      <c r="M696" t="str">
        <f>VLOOKUP(K696,CAT_JOUEUR,2,FALSE)</f>
        <v>CAT à compléter</v>
      </c>
      <c r="O696">
        <f>IFERROR(VLOOKUP(N696,'Tables new'!$A:$C,3,FALSE),"")</f>
        <v>0</v>
      </c>
      <c r="P696" t="str">
        <f>VLOOKUP(N696,CAT_JOUEUR,2,FALSE)</f>
        <v>CAT à compléter</v>
      </c>
    </row>
    <row r="697" spans="4:16" x14ac:dyDescent="0.2">
      <c r="D697" t="s">
        <v>1334</v>
      </c>
      <c r="E697" t="s">
        <v>1334</v>
      </c>
      <c r="L697">
        <f>IFERROR(VLOOKUP(K697,'Tables new'!$A:$C,3,FALSE),"")</f>
        <v>0</v>
      </c>
      <c r="M697" t="str">
        <f>VLOOKUP(K697,CAT_JOUEUR,2,FALSE)</f>
        <v>CAT à compléter</v>
      </c>
      <c r="O697">
        <f>IFERROR(VLOOKUP(N697,'Tables new'!$A:$C,3,FALSE),"")</f>
        <v>0</v>
      </c>
      <c r="P697" t="str">
        <f>VLOOKUP(N697,CAT_JOUEUR,2,FALSE)</f>
        <v>CAT à compléter</v>
      </c>
    </row>
    <row r="698" spans="4:16" x14ac:dyDescent="0.2">
      <c r="D698" t="s">
        <v>1334</v>
      </c>
      <c r="E698" t="s">
        <v>1334</v>
      </c>
      <c r="L698">
        <f>IFERROR(VLOOKUP(K698,'Tables new'!$A:$C,3,FALSE),"")</f>
        <v>0</v>
      </c>
      <c r="M698" t="str">
        <f>VLOOKUP(K698,CAT_JOUEUR,2,FALSE)</f>
        <v>CAT à compléter</v>
      </c>
      <c r="O698">
        <f>IFERROR(VLOOKUP(N698,'Tables new'!$A:$C,3,FALSE),"")</f>
        <v>0</v>
      </c>
      <c r="P698" t="str">
        <f>VLOOKUP(N698,CAT_JOUEUR,2,FALSE)</f>
        <v>CAT à compléter</v>
      </c>
    </row>
    <row r="699" spans="4:16" x14ac:dyDescent="0.2">
      <c r="D699" t="s">
        <v>1334</v>
      </c>
      <c r="E699" t="s">
        <v>1334</v>
      </c>
      <c r="L699">
        <f>IFERROR(VLOOKUP(K699,'Tables new'!$A:$C,3,FALSE),"")</f>
        <v>0</v>
      </c>
      <c r="M699" t="str">
        <f>VLOOKUP(K699,CAT_JOUEUR,2,FALSE)</f>
        <v>CAT à compléter</v>
      </c>
      <c r="O699">
        <f>IFERROR(VLOOKUP(N699,'Tables new'!$A:$C,3,FALSE),"")</f>
        <v>0</v>
      </c>
      <c r="P699" t="str">
        <f>VLOOKUP(N699,CAT_JOUEUR,2,FALSE)</f>
        <v>CAT à compléter</v>
      </c>
    </row>
    <row r="700" spans="4:16" x14ac:dyDescent="0.2">
      <c r="D700" t="s">
        <v>1334</v>
      </c>
      <c r="E700" t="s">
        <v>1334</v>
      </c>
      <c r="L700">
        <f>IFERROR(VLOOKUP(K700,'Tables new'!$A:$C,3,FALSE),"")</f>
        <v>0</v>
      </c>
      <c r="M700" t="str">
        <f>VLOOKUP(K700,CAT_JOUEUR,2,FALSE)</f>
        <v>CAT à compléter</v>
      </c>
      <c r="O700">
        <f>IFERROR(VLOOKUP(N700,'Tables new'!$A:$C,3,FALSE),"")</f>
        <v>0</v>
      </c>
      <c r="P700" t="str">
        <f>VLOOKUP(N700,CAT_JOUEUR,2,FALSE)</f>
        <v>CAT à compléter</v>
      </c>
    </row>
    <row r="701" spans="4:16" x14ac:dyDescent="0.2">
      <c r="D701" t="s">
        <v>1334</v>
      </c>
      <c r="E701" t="s">
        <v>1334</v>
      </c>
      <c r="L701">
        <f>IFERROR(VLOOKUP(K701,'Tables new'!$A:$C,3,FALSE),"")</f>
        <v>0</v>
      </c>
      <c r="M701" t="str">
        <f>VLOOKUP(K701,CAT_JOUEUR,2,FALSE)</f>
        <v>CAT à compléter</v>
      </c>
      <c r="O701">
        <f>IFERROR(VLOOKUP(N701,'Tables new'!$A:$C,3,FALSE),"")</f>
        <v>0</v>
      </c>
      <c r="P701" t="str">
        <f>VLOOKUP(N701,CAT_JOUEUR,2,FALSE)</f>
        <v>CAT à compléter</v>
      </c>
    </row>
    <row r="702" spans="4:16" x14ac:dyDescent="0.2">
      <c r="D702" t="s">
        <v>1334</v>
      </c>
      <c r="E702" t="s">
        <v>1334</v>
      </c>
      <c r="L702">
        <f>IFERROR(VLOOKUP(K702,'Tables new'!$A:$C,3,FALSE),"")</f>
        <v>0</v>
      </c>
      <c r="M702" t="str">
        <f>VLOOKUP(K702,CAT_JOUEUR,2,FALSE)</f>
        <v>CAT à compléter</v>
      </c>
      <c r="O702">
        <f>IFERROR(VLOOKUP(N702,'Tables new'!$A:$C,3,FALSE),"")</f>
        <v>0</v>
      </c>
      <c r="P702" t="str">
        <f>VLOOKUP(N702,CAT_JOUEUR,2,FALSE)</f>
        <v>CAT à compléter</v>
      </c>
    </row>
    <row r="703" spans="4:16" x14ac:dyDescent="0.2">
      <c r="D703" t="s">
        <v>1334</v>
      </c>
      <c r="E703" t="s">
        <v>1334</v>
      </c>
      <c r="L703">
        <f>IFERROR(VLOOKUP(K703,'Tables new'!$A:$C,3,FALSE),"")</f>
        <v>0</v>
      </c>
      <c r="M703" t="str">
        <f>VLOOKUP(K703,CAT_JOUEUR,2,FALSE)</f>
        <v>CAT à compléter</v>
      </c>
      <c r="O703">
        <f>IFERROR(VLOOKUP(N703,'Tables new'!$A:$C,3,FALSE),"")</f>
        <v>0</v>
      </c>
      <c r="P703" t="str">
        <f>VLOOKUP(N703,CAT_JOUEUR,2,FALSE)</f>
        <v>CAT à compléter</v>
      </c>
    </row>
    <row r="704" spans="4:16" x14ac:dyDescent="0.2">
      <c r="D704" t="s">
        <v>1334</v>
      </c>
      <c r="E704" t="s">
        <v>1334</v>
      </c>
      <c r="L704">
        <f>IFERROR(VLOOKUP(K704,'Tables new'!$A:$C,3,FALSE),"")</f>
        <v>0</v>
      </c>
      <c r="M704" t="str">
        <f>VLOOKUP(K704,CAT_JOUEUR,2,FALSE)</f>
        <v>CAT à compléter</v>
      </c>
      <c r="O704">
        <f>IFERROR(VLOOKUP(N704,'Tables new'!$A:$C,3,FALSE),"")</f>
        <v>0</v>
      </c>
      <c r="P704" t="str">
        <f>VLOOKUP(N704,CAT_JOUEUR,2,FALSE)</f>
        <v>CAT à compléter</v>
      </c>
    </row>
    <row r="705" spans="4:16" x14ac:dyDescent="0.2">
      <c r="D705" t="s">
        <v>1334</v>
      </c>
      <c r="E705" t="s">
        <v>1334</v>
      </c>
      <c r="L705">
        <f>IFERROR(VLOOKUP(K705,'Tables new'!$A:$C,3,FALSE),"")</f>
        <v>0</v>
      </c>
      <c r="M705" t="str">
        <f>VLOOKUP(K705,CAT_JOUEUR,2,FALSE)</f>
        <v>CAT à compléter</v>
      </c>
      <c r="O705">
        <f>IFERROR(VLOOKUP(N705,'Tables new'!$A:$C,3,FALSE),"")</f>
        <v>0</v>
      </c>
      <c r="P705" t="str">
        <f>VLOOKUP(N705,CAT_JOUEUR,2,FALSE)</f>
        <v>CAT à compléter</v>
      </c>
    </row>
    <row r="706" spans="4:16" x14ac:dyDescent="0.2">
      <c r="D706" t="s">
        <v>1334</v>
      </c>
      <c r="E706" t="s">
        <v>1334</v>
      </c>
      <c r="L706">
        <f>IFERROR(VLOOKUP(K706,'Tables new'!$A:$C,3,FALSE),"")</f>
        <v>0</v>
      </c>
      <c r="M706" t="str">
        <f>VLOOKUP(K706,CAT_JOUEUR,2,FALSE)</f>
        <v>CAT à compléter</v>
      </c>
      <c r="O706">
        <f>IFERROR(VLOOKUP(N706,'Tables new'!$A:$C,3,FALSE),"")</f>
        <v>0</v>
      </c>
      <c r="P706" t="str">
        <f>VLOOKUP(N706,CAT_JOUEUR,2,FALSE)</f>
        <v>CAT à compléter</v>
      </c>
    </row>
    <row r="707" spans="4:16" x14ac:dyDescent="0.2">
      <c r="D707" t="s">
        <v>1334</v>
      </c>
      <c r="E707" t="s">
        <v>1334</v>
      </c>
      <c r="L707">
        <f>IFERROR(VLOOKUP(K707,'Tables new'!$A:$C,3,FALSE),"")</f>
        <v>0</v>
      </c>
      <c r="M707" t="str">
        <f>VLOOKUP(K707,CAT_JOUEUR,2,FALSE)</f>
        <v>CAT à compléter</v>
      </c>
      <c r="O707">
        <f>IFERROR(VLOOKUP(N707,'Tables new'!$A:$C,3,FALSE),"")</f>
        <v>0</v>
      </c>
      <c r="P707" t="str">
        <f>VLOOKUP(N707,CAT_JOUEUR,2,FALSE)</f>
        <v>CAT à compléter</v>
      </c>
    </row>
    <row r="708" spans="4:16" x14ac:dyDescent="0.2">
      <c r="D708" t="s">
        <v>1334</v>
      </c>
      <c r="E708" t="s">
        <v>1334</v>
      </c>
      <c r="L708">
        <f>IFERROR(VLOOKUP(K708,'Tables new'!$A:$C,3,FALSE),"")</f>
        <v>0</v>
      </c>
      <c r="M708" t="str">
        <f>VLOOKUP(K708,CAT_JOUEUR,2,FALSE)</f>
        <v>CAT à compléter</v>
      </c>
      <c r="O708">
        <f>IFERROR(VLOOKUP(N708,'Tables new'!$A:$C,3,FALSE),"")</f>
        <v>0</v>
      </c>
      <c r="P708" t="str">
        <f>VLOOKUP(N708,CAT_JOUEUR,2,FALSE)</f>
        <v>CAT à compléter</v>
      </c>
    </row>
    <row r="709" spans="4:16" x14ac:dyDescent="0.2">
      <c r="D709" t="s">
        <v>1334</v>
      </c>
      <c r="E709" t="s">
        <v>1334</v>
      </c>
      <c r="L709">
        <f>IFERROR(VLOOKUP(K709,'Tables new'!$A:$C,3,FALSE),"")</f>
        <v>0</v>
      </c>
      <c r="M709" t="str">
        <f>VLOOKUP(K709,CAT_JOUEUR,2,FALSE)</f>
        <v>CAT à compléter</v>
      </c>
      <c r="O709">
        <f>IFERROR(VLOOKUP(N709,'Tables new'!$A:$C,3,FALSE),"")</f>
        <v>0</v>
      </c>
      <c r="P709" t="str">
        <f>VLOOKUP(N709,CAT_JOUEUR,2,FALSE)</f>
        <v>CAT à compléter</v>
      </c>
    </row>
    <row r="710" spans="4:16" x14ac:dyDescent="0.2">
      <c r="D710" t="s">
        <v>1334</v>
      </c>
      <c r="E710" t="s">
        <v>1334</v>
      </c>
      <c r="L710">
        <f>IFERROR(VLOOKUP(K710,'Tables new'!$A:$C,3,FALSE),"")</f>
        <v>0</v>
      </c>
      <c r="M710" t="str">
        <f>VLOOKUP(K710,CAT_JOUEUR,2,FALSE)</f>
        <v>CAT à compléter</v>
      </c>
      <c r="O710">
        <f>IFERROR(VLOOKUP(N710,'Tables new'!$A:$C,3,FALSE),"")</f>
        <v>0</v>
      </c>
      <c r="P710" t="str">
        <f>VLOOKUP(N710,CAT_JOUEUR,2,FALSE)</f>
        <v>CAT à compléter</v>
      </c>
    </row>
    <row r="711" spans="4:16" x14ac:dyDescent="0.2">
      <c r="D711" t="s">
        <v>1334</v>
      </c>
      <c r="E711" t="s">
        <v>1334</v>
      </c>
      <c r="L711">
        <f>IFERROR(VLOOKUP(K711,'Tables new'!$A:$C,3,FALSE),"")</f>
        <v>0</v>
      </c>
      <c r="M711" t="str">
        <f>VLOOKUP(K711,CAT_JOUEUR,2,FALSE)</f>
        <v>CAT à compléter</v>
      </c>
      <c r="O711">
        <f>IFERROR(VLOOKUP(N711,'Tables new'!$A:$C,3,FALSE),"")</f>
        <v>0</v>
      </c>
      <c r="P711" t="str">
        <f>VLOOKUP(N711,CAT_JOUEUR,2,FALSE)</f>
        <v>CAT à compléter</v>
      </c>
    </row>
    <row r="712" spans="4:16" x14ac:dyDescent="0.2">
      <c r="D712" t="s">
        <v>1334</v>
      </c>
      <c r="E712" t="s">
        <v>1334</v>
      </c>
      <c r="L712">
        <f>IFERROR(VLOOKUP(K712,'Tables new'!$A:$C,3,FALSE),"")</f>
        <v>0</v>
      </c>
      <c r="M712" t="str">
        <f>VLOOKUP(K712,CAT_JOUEUR,2,FALSE)</f>
        <v>CAT à compléter</v>
      </c>
      <c r="O712">
        <f>IFERROR(VLOOKUP(N712,'Tables new'!$A:$C,3,FALSE),"")</f>
        <v>0</v>
      </c>
      <c r="P712" t="str">
        <f>VLOOKUP(N712,CAT_JOUEUR,2,FALSE)</f>
        <v>CAT à compléter</v>
      </c>
    </row>
    <row r="713" spans="4:16" x14ac:dyDescent="0.2">
      <c r="D713" t="s">
        <v>1334</v>
      </c>
      <c r="E713" t="s">
        <v>1334</v>
      </c>
      <c r="L713">
        <f>IFERROR(VLOOKUP(K713,'Tables new'!$A:$C,3,FALSE),"")</f>
        <v>0</v>
      </c>
      <c r="M713" t="str">
        <f>VLOOKUP(K713,CAT_JOUEUR,2,FALSE)</f>
        <v>CAT à compléter</v>
      </c>
      <c r="O713">
        <f>IFERROR(VLOOKUP(N713,'Tables new'!$A:$C,3,FALSE),"")</f>
        <v>0</v>
      </c>
      <c r="P713" t="str">
        <f>VLOOKUP(N713,CAT_JOUEUR,2,FALSE)</f>
        <v>CAT à compléter</v>
      </c>
    </row>
    <row r="714" spans="4:16" x14ac:dyDescent="0.2">
      <c r="D714" t="s">
        <v>1334</v>
      </c>
      <c r="E714" t="s">
        <v>1334</v>
      </c>
      <c r="L714">
        <f>IFERROR(VLOOKUP(K714,'Tables new'!$A:$C,3,FALSE),"")</f>
        <v>0</v>
      </c>
      <c r="M714" t="str">
        <f>VLOOKUP(K714,CAT_JOUEUR,2,FALSE)</f>
        <v>CAT à compléter</v>
      </c>
      <c r="O714">
        <f>IFERROR(VLOOKUP(N714,'Tables new'!$A:$C,3,FALSE),"")</f>
        <v>0</v>
      </c>
      <c r="P714" t="str">
        <f>VLOOKUP(N714,CAT_JOUEUR,2,FALSE)</f>
        <v>CAT à compléter</v>
      </c>
    </row>
    <row r="715" spans="4:16" x14ac:dyDescent="0.2">
      <c r="D715" t="s">
        <v>1334</v>
      </c>
      <c r="E715" t="s">
        <v>1334</v>
      </c>
      <c r="L715">
        <f>IFERROR(VLOOKUP(K715,'Tables new'!$A:$C,3,FALSE),"")</f>
        <v>0</v>
      </c>
      <c r="M715" t="str">
        <f>VLOOKUP(K715,CAT_JOUEUR,2,FALSE)</f>
        <v>CAT à compléter</v>
      </c>
      <c r="O715">
        <f>IFERROR(VLOOKUP(N715,'Tables new'!$A:$C,3,FALSE),"")</f>
        <v>0</v>
      </c>
      <c r="P715" t="str">
        <f>VLOOKUP(N715,CAT_JOUEUR,2,FALSE)</f>
        <v>CAT à compléter</v>
      </c>
    </row>
    <row r="716" spans="4:16" x14ac:dyDescent="0.2">
      <c r="D716" t="s">
        <v>1334</v>
      </c>
      <c r="E716" t="s">
        <v>1334</v>
      </c>
      <c r="L716">
        <f>IFERROR(VLOOKUP(K716,'Tables new'!$A:$C,3,FALSE),"")</f>
        <v>0</v>
      </c>
      <c r="M716" t="str">
        <f>VLOOKUP(K716,CAT_JOUEUR,2,FALSE)</f>
        <v>CAT à compléter</v>
      </c>
      <c r="O716">
        <f>IFERROR(VLOOKUP(N716,'Tables new'!$A:$C,3,FALSE),"")</f>
        <v>0</v>
      </c>
      <c r="P716" t="str">
        <f>VLOOKUP(N716,CAT_JOUEUR,2,FALSE)</f>
        <v>CAT à compléter</v>
      </c>
    </row>
    <row r="717" spans="4:16" x14ac:dyDescent="0.2">
      <c r="D717" t="s">
        <v>1334</v>
      </c>
      <c r="E717" t="s">
        <v>1334</v>
      </c>
      <c r="L717">
        <f>IFERROR(VLOOKUP(K717,'Tables new'!$A:$C,3,FALSE),"")</f>
        <v>0</v>
      </c>
      <c r="M717" t="str">
        <f>VLOOKUP(K717,CAT_JOUEUR,2,FALSE)</f>
        <v>CAT à compléter</v>
      </c>
      <c r="O717">
        <f>IFERROR(VLOOKUP(N717,'Tables new'!$A:$C,3,FALSE),"")</f>
        <v>0</v>
      </c>
      <c r="P717" t="str">
        <f>VLOOKUP(N717,CAT_JOUEUR,2,FALSE)</f>
        <v>CAT à compléter</v>
      </c>
    </row>
    <row r="718" spans="4:16" x14ac:dyDescent="0.2">
      <c r="D718" t="s">
        <v>1334</v>
      </c>
      <c r="E718" t="s">
        <v>1334</v>
      </c>
      <c r="L718">
        <f>IFERROR(VLOOKUP(K718,'Tables new'!$A:$C,3,FALSE),"")</f>
        <v>0</v>
      </c>
      <c r="M718" t="str">
        <f>VLOOKUP(K718,CAT_JOUEUR,2,FALSE)</f>
        <v>CAT à compléter</v>
      </c>
      <c r="O718">
        <f>IFERROR(VLOOKUP(N718,'Tables new'!$A:$C,3,FALSE),"")</f>
        <v>0</v>
      </c>
      <c r="P718" t="str">
        <f>VLOOKUP(N718,CAT_JOUEUR,2,FALSE)</f>
        <v>CAT à compléter</v>
      </c>
    </row>
    <row r="719" spans="4:16" x14ac:dyDescent="0.2">
      <c r="D719" t="s">
        <v>1334</v>
      </c>
      <c r="E719" t="s">
        <v>1334</v>
      </c>
      <c r="L719">
        <f>IFERROR(VLOOKUP(K719,'Tables new'!$A:$C,3,FALSE),"")</f>
        <v>0</v>
      </c>
      <c r="M719" t="str">
        <f>VLOOKUP(K719,CAT_JOUEUR,2,FALSE)</f>
        <v>CAT à compléter</v>
      </c>
      <c r="O719">
        <f>IFERROR(VLOOKUP(N719,'Tables new'!$A:$C,3,FALSE),"")</f>
        <v>0</v>
      </c>
      <c r="P719" t="str">
        <f>VLOOKUP(N719,CAT_JOUEUR,2,FALSE)</f>
        <v>CAT à compléter</v>
      </c>
    </row>
    <row r="720" spans="4:16" x14ac:dyDescent="0.2">
      <c r="D720" t="s">
        <v>1334</v>
      </c>
      <c r="E720" t="s">
        <v>1334</v>
      </c>
      <c r="L720">
        <f>IFERROR(VLOOKUP(K720,'Tables new'!$A:$C,3,FALSE),"")</f>
        <v>0</v>
      </c>
      <c r="M720" t="str">
        <f>VLOOKUP(K720,CAT_JOUEUR,2,FALSE)</f>
        <v>CAT à compléter</v>
      </c>
      <c r="O720">
        <f>IFERROR(VLOOKUP(N720,'Tables new'!$A:$C,3,FALSE),"")</f>
        <v>0</v>
      </c>
      <c r="P720" t="str">
        <f>VLOOKUP(N720,CAT_JOUEUR,2,FALSE)</f>
        <v>CAT à compléter</v>
      </c>
    </row>
    <row r="721" spans="4:16" x14ac:dyDescent="0.2">
      <c r="D721" t="s">
        <v>1334</v>
      </c>
      <c r="E721" t="s">
        <v>1334</v>
      </c>
      <c r="L721">
        <f>IFERROR(VLOOKUP(K721,'Tables new'!$A:$C,3,FALSE),"")</f>
        <v>0</v>
      </c>
      <c r="M721" t="str">
        <f>VLOOKUP(K721,CAT_JOUEUR,2,FALSE)</f>
        <v>CAT à compléter</v>
      </c>
      <c r="O721">
        <f>IFERROR(VLOOKUP(N721,'Tables new'!$A:$C,3,FALSE),"")</f>
        <v>0</v>
      </c>
      <c r="P721" t="str">
        <f>VLOOKUP(N721,CAT_JOUEUR,2,FALSE)</f>
        <v>CAT à compléter</v>
      </c>
    </row>
    <row r="722" spans="4:16" x14ac:dyDescent="0.2">
      <c r="D722" t="s">
        <v>1334</v>
      </c>
      <c r="E722" t="s">
        <v>1334</v>
      </c>
      <c r="L722">
        <f>IFERROR(VLOOKUP(K722,'Tables new'!$A:$C,3,FALSE),"")</f>
        <v>0</v>
      </c>
      <c r="M722" t="str">
        <f>VLOOKUP(K722,CAT_JOUEUR,2,FALSE)</f>
        <v>CAT à compléter</v>
      </c>
      <c r="O722">
        <f>IFERROR(VLOOKUP(N722,'Tables new'!$A:$C,3,FALSE),"")</f>
        <v>0</v>
      </c>
      <c r="P722" t="str">
        <f>VLOOKUP(N722,CAT_JOUEUR,2,FALSE)</f>
        <v>CAT à compléter</v>
      </c>
    </row>
    <row r="723" spans="4:16" x14ac:dyDescent="0.2">
      <c r="D723" t="s">
        <v>1334</v>
      </c>
      <c r="E723" t="s">
        <v>1334</v>
      </c>
      <c r="L723">
        <f>IFERROR(VLOOKUP(K723,'Tables new'!$A:$C,3,FALSE),"")</f>
        <v>0</v>
      </c>
      <c r="M723" t="str">
        <f>VLOOKUP(K723,CAT_JOUEUR,2,FALSE)</f>
        <v>CAT à compléter</v>
      </c>
      <c r="O723">
        <f>IFERROR(VLOOKUP(N723,'Tables new'!$A:$C,3,FALSE),"")</f>
        <v>0</v>
      </c>
      <c r="P723" t="str">
        <f>VLOOKUP(N723,CAT_JOUEUR,2,FALSE)</f>
        <v>CAT à compléter</v>
      </c>
    </row>
    <row r="724" spans="4:16" x14ac:dyDescent="0.2">
      <c r="D724" t="s">
        <v>1334</v>
      </c>
      <c r="E724" t="s">
        <v>1334</v>
      </c>
      <c r="L724">
        <f>IFERROR(VLOOKUP(K724,'Tables new'!$A:$C,3,FALSE),"")</f>
        <v>0</v>
      </c>
      <c r="M724" t="str">
        <f>VLOOKUP(K724,CAT_JOUEUR,2,FALSE)</f>
        <v>CAT à compléter</v>
      </c>
      <c r="O724">
        <f>IFERROR(VLOOKUP(N724,'Tables new'!$A:$C,3,FALSE),"")</f>
        <v>0</v>
      </c>
      <c r="P724" t="str">
        <f>VLOOKUP(N724,CAT_JOUEUR,2,FALSE)</f>
        <v>CAT à compléter</v>
      </c>
    </row>
    <row r="725" spans="4:16" x14ac:dyDescent="0.2">
      <c r="D725" t="s">
        <v>1334</v>
      </c>
      <c r="E725" t="s">
        <v>1334</v>
      </c>
      <c r="L725">
        <f>IFERROR(VLOOKUP(K725,'Tables new'!$A:$C,3,FALSE),"")</f>
        <v>0</v>
      </c>
      <c r="M725" t="str">
        <f>VLOOKUP(K725,CAT_JOUEUR,2,FALSE)</f>
        <v>CAT à compléter</v>
      </c>
      <c r="O725">
        <f>IFERROR(VLOOKUP(N725,'Tables new'!$A:$C,3,FALSE),"")</f>
        <v>0</v>
      </c>
      <c r="P725" t="str">
        <f>VLOOKUP(N725,CAT_JOUEUR,2,FALSE)</f>
        <v>CAT à compléter</v>
      </c>
    </row>
    <row r="726" spans="4:16" x14ac:dyDescent="0.2">
      <c r="D726" t="s">
        <v>1334</v>
      </c>
      <c r="E726" t="s">
        <v>1334</v>
      </c>
      <c r="L726">
        <f>IFERROR(VLOOKUP(K726,'Tables new'!$A:$C,3,FALSE),"")</f>
        <v>0</v>
      </c>
      <c r="M726" t="str">
        <f>VLOOKUP(K726,CAT_JOUEUR,2,FALSE)</f>
        <v>CAT à compléter</v>
      </c>
      <c r="O726">
        <f>IFERROR(VLOOKUP(N726,'Tables new'!$A:$C,3,FALSE),"")</f>
        <v>0</v>
      </c>
      <c r="P726" t="str">
        <f>VLOOKUP(N726,CAT_JOUEUR,2,FALSE)</f>
        <v>CAT à compléter</v>
      </c>
    </row>
    <row r="727" spans="4:16" x14ac:dyDescent="0.2">
      <c r="D727" t="s">
        <v>1334</v>
      </c>
      <c r="E727" t="s">
        <v>1334</v>
      </c>
      <c r="L727">
        <f>IFERROR(VLOOKUP(K727,'Tables new'!$A:$C,3,FALSE),"")</f>
        <v>0</v>
      </c>
      <c r="M727" t="str">
        <f>VLOOKUP(K727,CAT_JOUEUR,2,FALSE)</f>
        <v>CAT à compléter</v>
      </c>
      <c r="O727">
        <f>IFERROR(VLOOKUP(N727,'Tables new'!$A:$C,3,FALSE),"")</f>
        <v>0</v>
      </c>
      <c r="P727" t="str">
        <f>VLOOKUP(N727,CAT_JOUEUR,2,FALSE)</f>
        <v>CAT à compléter</v>
      </c>
    </row>
    <row r="728" spans="4:16" x14ac:dyDescent="0.2">
      <c r="D728" t="s">
        <v>1334</v>
      </c>
      <c r="E728" t="s">
        <v>1334</v>
      </c>
      <c r="L728">
        <f>IFERROR(VLOOKUP(K728,'Tables new'!$A:$C,3,FALSE),"")</f>
        <v>0</v>
      </c>
      <c r="M728" t="str">
        <f>VLOOKUP(K728,CAT_JOUEUR,2,FALSE)</f>
        <v>CAT à compléter</v>
      </c>
      <c r="O728">
        <f>IFERROR(VLOOKUP(N728,'Tables new'!$A:$C,3,FALSE),"")</f>
        <v>0</v>
      </c>
      <c r="P728" t="str">
        <f>VLOOKUP(N728,CAT_JOUEUR,2,FALSE)</f>
        <v>CAT à compléter</v>
      </c>
    </row>
    <row r="729" spans="4:16" x14ac:dyDescent="0.2">
      <c r="D729" t="s">
        <v>1334</v>
      </c>
      <c r="E729" t="s">
        <v>1334</v>
      </c>
      <c r="L729">
        <f>IFERROR(VLOOKUP(K729,'Tables new'!$A:$C,3,FALSE),"")</f>
        <v>0</v>
      </c>
      <c r="M729" t="str">
        <f>VLOOKUP(K729,CAT_JOUEUR,2,FALSE)</f>
        <v>CAT à compléter</v>
      </c>
      <c r="O729">
        <f>IFERROR(VLOOKUP(N729,'Tables new'!$A:$C,3,FALSE),"")</f>
        <v>0</v>
      </c>
      <c r="P729" t="str">
        <f>VLOOKUP(N729,CAT_JOUEUR,2,FALSE)</f>
        <v>CAT à compléter</v>
      </c>
    </row>
    <row r="730" spans="4:16" x14ac:dyDescent="0.2">
      <c r="D730" t="s">
        <v>1334</v>
      </c>
      <c r="E730" t="s">
        <v>1334</v>
      </c>
      <c r="L730">
        <f>IFERROR(VLOOKUP(K730,'Tables new'!$A:$C,3,FALSE),"")</f>
        <v>0</v>
      </c>
      <c r="M730" t="str">
        <f>VLOOKUP(K730,CAT_JOUEUR,2,FALSE)</f>
        <v>CAT à compléter</v>
      </c>
      <c r="O730">
        <f>IFERROR(VLOOKUP(N730,'Tables new'!$A:$C,3,FALSE),"")</f>
        <v>0</v>
      </c>
      <c r="P730" t="str">
        <f>VLOOKUP(N730,CAT_JOUEUR,2,FALSE)</f>
        <v>CAT à compléter</v>
      </c>
    </row>
    <row r="731" spans="4:16" x14ac:dyDescent="0.2">
      <c r="D731" t="s">
        <v>1334</v>
      </c>
      <c r="E731" t="s">
        <v>1334</v>
      </c>
      <c r="L731">
        <f>IFERROR(VLOOKUP(K731,'Tables new'!$A:$C,3,FALSE),"")</f>
        <v>0</v>
      </c>
      <c r="M731" t="str">
        <f>VLOOKUP(K731,CAT_JOUEUR,2,FALSE)</f>
        <v>CAT à compléter</v>
      </c>
      <c r="O731">
        <f>IFERROR(VLOOKUP(N731,'Tables new'!$A:$C,3,FALSE),"")</f>
        <v>0</v>
      </c>
      <c r="P731" t="str">
        <f>VLOOKUP(N731,CAT_JOUEUR,2,FALSE)</f>
        <v>CAT à compléter</v>
      </c>
    </row>
    <row r="732" spans="4:16" x14ac:dyDescent="0.2">
      <c r="D732" t="s">
        <v>1334</v>
      </c>
      <c r="E732" t="s">
        <v>1334</v>
      </c>
      <c r="L732">
        <f>IFERROR(VLOOKUP(K732,'Tables new'!$A:$C,3,FALSE),"")</f>
        <v>0</v>
      </c>
      <c r="M732" t="str">
        <f>VLOOKUP(K732,CAT_JOUEUR,2,FALSE)</f>
        <v>CAT à compléter</v>
      </c>
      <c r="O732">
        <f>IFERROR(VLOOKUP(N732,'Tables new'!$A:$C,3,FALSE),"")</f>
        <v>0</v>
      </c>
      <c r="P732" t="str">
        <f>VLOOKUP(N732,CAT_JOUEUR,2,FALSE)</f>
        <v>CAT à compléter</v>
      </c>
    </row>
    <row r="733" spans="4:16" x14ac:dyDescent="0.2">
      <c r="D733" t="s">
        <v>1334</v>
      </c>
      <c r="E733" t="s">
        <v>1334</v>
      </c>
      <c r="L733">
        <f>IFERROR(VLOOKUP(K733,'Tables new'!$A:$C,3,FALSE),"")</f>
        <v>0</v>
      </c>
      <c r="M733" t="str">
        <f>VLOOKUP(K733,CAT_JOUEUR,2,FALSE)</f>
        <v>CAT à compléter</v>
      </c>
      <c r="O733">
        <f>IFERROR(VLOOKUP(N733,'Tables new'!$A:$C,3,FALSE),"")</f>
        <v>0</v>
      </c>
      <c r="P733" t="str">
        <f>VLOOKUP(N733,CAT_JOUEUR,2,FALSE)</f>
        <v>CAT à compléter</v>
      </c>
    </row>
    <row r="734" spans="4:16" x14ac:dyDescent="0.2">
      <c r="D734" t="s">
        <v>1334</v>
      </c>
      <c r="E734" t="s">
        <v>1334</v>
      </c>
      <c r="L734">
        <f>IFERROR(VLOOKUP(K734,'Tables new'!$A:$C,3,FALSE),"")</f>
        <v>0</v>
      </c>
      <c r="M734" t="str">
        <f>VLOOKUP(K734,CAT_JOUEUR,2,FALSE)</f>
        <v>CAT à compléter</v>
      </c>
      <c r="O734">
        <f>IFERROR(VLOOKUP(N734,'Tables new'!$A:$C,3,FALSE),"")</f>
        <v>0</v>
      </c>
      <c r="P734" t="str">
        <f>VLOOKUP(N734,CAT_JOUEUR,2,FALSE)</f>
        <v>CAT à compléter</v>
      </c>
    </row>
    <row r="735" spans="4:16" x14ac:dyDescent="0.2">
      <c r="D735" t="s">
        <v>1334</v>
      </c>
      <c r="E735" t="s">
        <v>1334</v>
      </c>
      <c r="L735">
        <f>IFERROR(VLOOKUP(K735,'Tables new'!$A:$C,3,FALSE),"")</f>
        <v>0</v>
      </c>
      <c r="M735" t="str">
        <f>VLOOKUP(K735,CAT_JOUEUR,2,FALSE)</f>
        <v>CAT à compléter</v>
      </c>
      <c r="O735">
        <f>IFERROR(VLOOKUP(N735,'Tables new'!$A:$C,3,FALSE),"")</f>
        <v>0</v>
      </c>
      <c r="P735" t="str">
        <f>VLOOKUP(N735,CAT_JOUEUR,2,FALSE)</f>
        <v>CAT à compléter</v>
      </c>
    </row>
    <row r="736" spans="4:16" x14ac:dyDescent="0.2">
      <c r="D736" t="s">
        <v>1334</v>
      </c>
      <c r="E736" t="s">
        <v>1334</v>
      </c>
      <c r="L736">
        <f>IFERROR(VLOOKUP(K736,'Tables new'!$A:$C,3,FALSE),"")</f>
        <v>0</v>
      </c>
      <c r="M736" t="str">
        <f>VLOOKUP(K736,CAT_JOUEUR,2,FALSE)</f>
        <v>CAT à compléter</v>
      </c>
      <c r="O736">
        <f>IFERROR(VLOOKUP(N736,'Tables new'!$A:$C,3,FALSE),"")</f>
        <v>0</v>
      </c>
      <c r="P736" t="str">
        <f>VLOOKUP(N736,CAT_JOUEUR,2,FALSE)</f>
        <v>CAT à compléter</v>
      </c>
    </row>
    <row r="737" spans="4:16" x14ac:dyDescent="0.2">
      <c r="D737" t="s">
        <v>1334</v>
      </c>
      <c r="E737" t="s">
        <v>1334</v>
      </c>
      <c r="L737">
        <f>IFERROR(VLOOKUP(K737,'Tables new'!$A:$C,3,FALSE),"")</f>
        <v>0</v>
      </c>
      <c r="M737" t="str">
        <f>VLOOKUP(K737,CAT_JOUEUR,2,FALSE)</f>
        <v>CAT à compléter</v>
      </c>
      <c r="O737">
        <f>IFERROR(VLOOKUP(N737,'Tables new'!$A:$C,3,FALSE),"")</f>
        <v>0</v>
      </c>
      <c r="P737" t="str">
        <f>VLOOKUP(N737,CAT_JOUEUR,2,FALSE)</f>
        <v>CAT à compléter</v>
      </c>
    </row>
    <row r="738" spans="4:16" x14ac:dyDescent="0.2">
      <c r="D738" t="s">
        <v>1334</v>
      </c>
      <c r="E738" t="s">
        <v>1334</v>
      </c>
      <c r="L738">
        <f>IFERROR(VLOOKUP(K738,'Tables new'!$A:$C,3,FALSE),"")</f>
        <v>0</v>
      </c>
      <c r="M738" t="str">
        <f>VLOOKUP(K738,CAT_JOUEUR,2,FALSE)</f>
        <v>CAT à compléter</v>
      </c>
      <c r="O738">
        <f>IFERROR(VLOOKUP(N738,'Tables new'!$A:$C,3,FALSE),"")</f>
        <v>0</v>
      </c>
      <c r="P738" t="str">
        <f>VLOOKUP(N738,CAT_JOUEUR,2,FALSE)</f>
        <v>CAT à compléter</v>
      </c>
    </row>
    <row r="739" spans="4:16" x14ac:dyDescent="0.2">
      <c r="D739" t="s">
        <v>1334</v>
      </c>
      <c r="E739" t="s">
        <v>1334</v>
      </c>
      <c r="L739">
        <f>IFERROR(VLOOKUP(K739,'Tables new'!$A:$C,3,FALSE),"")</f>
        <v>0</v>
      </c>
      <c r="M739" t="str">
        <f>VLOOKUP(K739,CAT_JOUEUR,2,FALSE)</f>
        <v>CAT à compléter</v>
      </c>
      <c r="O739">
        <f>IFERROR(VLOOKUP(N739,'Tables new'!$A:$C,3,FALSE),"")</f>
        <v>0</v>
      </c>
      <c r="P739" t="str">
        <f>VLOOKUP(N739,CAT_JOUEUR,2,FALSE)</f>
        <v>CAT à compléter</v>
      </c>
    </row>
    <row r="740" spans="4:16" x14ac:dyDescent="0.2">
      <c r="D740" t="s">
        <v>1334</v>
      </c>
      <c r="E740" t="s">
        <v>1334</v>
      </c>
      <c r="L740">
        <f>IFERROR(VLOOKUP(K740,'Tables new'!$A:$C,3,FALSE),"")</f>
        <v>0</v>
      </c>
      <c r="M740" t="str">
        <f>VLOOKUP(K740,CAT_JOUEUR,2,FALSE)</f>
        <v>CAT à compléter</v>
      </c>
      <c r="O740">
        <f>IFERROR(VLOOKUP(N740,'Tables new'!$A:$C,3,FALSE),"")</f>
        <v>0</v>
      </c>
      <c r="P740" t="str">
        <f>VLOOKUP(N740,CAT_JOUEUR,2,FALSE)</f>
        <v>CAT à compléter</v>
      </c>
    </row>
    <row r="741" spans="4:16" x14ac:dyDescent="0.2">
      <c r="D741" t="s">
        <v>1334</v>
      </c>
      <c r="E741" t="s">
        <v>1334</v>
      </c>
      <c r="L741">
        <f>IFERROR(VLOOKUP(K741,'Tables new'!$A:$C,3,FALSE),"")</f>
        <v>0</v>
      </c>
      <c r="M741" t="str">
        <f>VLOOKUP(K741,CAT_JOUEUR,2,FALSE)</f>
        <v>CAT à compléter</v>
      </c>
      <c r="O741">
        <f>IFERROR(VLOOKUP(N741,'Tables new'!$A:$C,3,FALSE),"")</f>
        <v>0</v>
      </c>
      <c r="P741" t="str">
        <f>VLOOKUP(N741,CAT_JOUEUR,2,FALSE)</f>
        <v>CAT à compléter</v>
      </c>
    </row>
    <row r="742" spans="4:16" x14ac:dyDescent="0.2">
      <c r="D742" t="s">
        <v>1334</v>
      </c>
      <c r="E742" t="s">
        <v>1334</v>
      </c>
      <c r="L742">
        <f>IFERROR(VLOOKUP(K742,'Tables new'!$A:$C,3,FALSE),"")</f>
        <v>0</v>
      </c>
      <c r="M742" t="str">
        <f>VLOOKUP(K742,CAT_JOUEUR,2,FALSE)</f>
        <v>CAT à compléter</v>
      </c>
      <c r="O742">
        <f>IFERROR(VLOOKUP(N742,'Tables new'!$A:$C,3,FALSE),"")</f>
        <v>0</v>
      </c>
      <c r="P742" t="str">
        <f>VLOOKUP(N742,CAT_JOUEUR,2,FALSE)</f>
        <v>CAT à compléter</v>
      </c>
    </row>
    <row r="743" spans="4:16" x14ac:dyDescent="0.2">
      <c r="D743" t="s">
        <v>1334</v>
      </c>
      <c r="E743" t="s">
        <v>1334</v>
      </c>
      <c r="L743">
        <f>IFERROR(VLOOKUP(K743,'Tables new'!$A:$C,3,FALSE),"")</f>
        <v>0</v>
      </c>
      <c r="M743" t="str">
        <f>VLOOKUP(K743,CAT_JOUEUR,2,FALSE)</f>
        <v>CAT à compléter</v>
      </c>
      <c r="O743">
        <f>IFERROR(VLOOKUP(N743,'Tables new'!$A:$C,3,FALSE),"")</f>
        <v>0</v>
      </c>
      <c r="P743" t="str">
        <f>VLOOKUP(N743,CAT_JOUEUR,2,FALSE)</f>
        <v>CAT à compléter</v>
      </c>
    </row>
    <row r="744" spans="4:16" x14ac:dyDescent="0.2">
      <c r="D744" t="s">
        <v>1334</v>
      </c>
      <c r="E744" t="s">
        <v>1334</v>
      </c>
      <c r="L744">
        <f>IFERROR(VLOOKUP(K744,'Tables new'!$A:$C,3,FALSE),"")</f>
        <v>0</v>
      </c>
      <c r="M744" t="str">
        <f>VLOOKUP(K744,CAT_JOUEUR,2,FALSE)</f>
        <v>CAT à compléter</v>
      </c>
      <c r="O744">
        <f>IFERROR(VLOOKUP(N744,'Tables new'!$A:$C,3,FALSE),"")</f>
        <v>0</v>
      </c>
      <c r="P744" t="str">
        <f>VLOOKUP(N744,CAT_JOUEUR,2,FALSE)</f>
        <v>CAT à compléter</v>
      </c>
    </row>
    <row r="745" spans="4:16" x14ac:dyDescent="0.2">
      <c r="D745" t="s">
        <v>1334</v>
      </c>
      <c r="E745" t="s">
        <v>1334</v>
      </c>
      <c r="L745">
        <f>IFERROR(VLOOKUP(K745,'Tables new'!$A:$C,3,FALSE),"")</f>
        <v>0</v>
      </c>
      <c r="M745" t="str">
        <f>VLOOKUP(K745,CAT_JOUEUR,2,FALSE)</f>
        <v>CAT à compléter</v>
      </c>
      <c r="O745">
        <f>IFERROR(VLOOKUP(N745,'Tables new'!$A:$C,3,FALSE),"")</f>
        <v>0</v>
      </c>
      <c r="P745" t="str">
        <f>VLOOKUP(N745,CAT_JOUEUR,2,FALSE)</f>
        <v>CAT à compléter</v>
      </c>
    </row>
    <row r="746" spans="4:16" x14ac:dyDescent="0.2">
      <c r="D746" t="s">
        <v>1334</v>
      </c>
      <c r="E746" t="s">
        <v>1334</v>
      </c>
      <c r="L746">
        <f>IFERROR(VLOOKUP(K746,'Tables new'!$A:$C,3,FALSE),"")</f>
        <v>0</v>
      </c>
      <c r="M746" t="str">
        <f>VLOOKUP(K746,CAT_JOUEUR,2,FALSE)</f>
        <v>CAT à compléter</v>
      </c>
      <c r="O746">
        <f>IFERROR(VLOOKUP(N746,'Tables new'!$A:$C,3,FALSE),"")</f>
        <v>0</v>
      </c>
      <c r="P746" t="str">
        <f>VLOOKUP(N746,CAT_JOUEUR,2,FALSE)</f>
        <v>CAT à compléter</v>
      </c>
    </row>
    <row r="747" spans="4:16" x14ac:dyDescent="0.2">
      <c r="D747" t="s">
        <v>1334</v>
      </c>
      <c r="E747" t="s">
        <v>1334</v>
      </c>
      <c r="L747">
        <f>IFERROR(VLOOKUP(K747,'Tables new'!$A:$C,3,FALSE),"")</f>
        <v>0</v>
      </c>
      <c r="M747" t="str">
        <f>VLOOKUP(K747,CAT_JOUEUR,2,FALSE)</f>
        <v>CAT à compléter</v>
      </c>
      <c r="O747">
        <f>IFERROR(VLOOKUP(N747,'Tables new'!$A:$C,3,FALSE),"")</f>
        <v>0</v>
      </c>
      <c r="P747" t="str">
        <f>VLOOKUP(N747,CAT_JOUEUR,2,FALSE)</f>
        <v>CAT à compléter</v>
      </c>
    </row>
    <row r="748" spans="4:16" x14ac:dyDescent="0.2">
      <c r="D748" t="s">
        <v>1334</v>
      </c>
      <c r="E748" t="s">
        <v>1334</v>
      </c>
      <c r="L748">
        <f>IFERROR(VLOOKUP(K748,'Tables new'!$A:$C,3,FALSE),"")</f>
        <v>0</v>
      </c>
      <c r="M748" t="str">
        <f>VLOOKUP(K748,CAT_JOUEUR,2,FALSE)</f>
        <v>CAT à compléter</v>
      </c>
      <c r="O748">
        <f>IFERROR(VLOOKUP(N748,'Tables new'!$A:$C,3,FALSE),"")</f>
        <v>0</v>
      </c>
      <c r="P748" t="str">
        <f>VLOOKUP(N748,CAT_JOUEUR,2,FALSE)</f>
        <v>CAT à compléter</v>
      </c>
    </row>
    <row r="749" spans="4:16" x14ac:dyDescent="0.2">
      <c r="D749" t="s">
        <v>1334</v>
      </c>
      <c r="E749" t="s">
        <v>1334</v>
      </c>
      <c r="L749">
        <f>IFERROR(VLOOKUP(K749,'Tables new'!$A:$C,3,FALSE),"")</f>
        <v>0</v>
      </c>
      <c r="M749" t="str">
        <f>VLOOKUP(K749,CAT_JOUEUR,2,FALSE)</f>
        <v>CAT à compléter</v>
      </c>
      <c r="O749">
        <f>IFERROR(VLOOKUP(N749,'Tables new'!$A:$C,3,FALSE),"")</f>
        <v>0</v>
      </c>
      <c r="P749" t="str">
        <f>VLOOKUP(N749,CAT_JOUEUR,2,FALSE)</f>
        <v>CAT à compléter</v>
      </c>
    </row>
    <row r="750" spans="4:16" x14ac:dyDescent="0.2">
      <c r="D750" t="s">
        <v>1334</v>
      </c>
      <c r="E750" t="s">
        <v>1334</v>
      </c>
      <c r="L750">
        <f>IFERROR(VLOOKUP(K750,'Tables new'!$A:$C,3,FALSE),"")</f>
        <v>0</v>
      </c>
      <c r="M750" t="str">
        <f>VLOOKUP(K750,CAT_JOUEUR,2,FALSE)</f>
        <v>CAT à compléter</v>
      </c>
      <c r="O750">
        <f>IFERROR(VLOOKUP(N750,'Tables new'!$A:$C,3,FALSE),"")</f>
        <v>0</v>
      </c>
      <c r="P750" t="str">
        <f>VLOOKUP(N750,CAT_JOUEUR,2,FALSE)</f>
        <v>CAT à compléter</v>
      </c>
    </row>
    <row r="751" spans="4:16" x14ac:dyDescent="0.2">
      <c r="D751" t="s">
        <v>1334</v>
      </c>
      <c r="E751" t="s">
        <v>1334</v>
      </c>
      <c r="L751">
        <f>IFERROR(VLOOKUP(K751,'Tables new'!$A:$C,3,FALSE),"")</f>
        <v>0</v>
      </c>
      <c r="M751" t="str">
        <f>VLOOKUP(K751,CAT_JOUEUR,2,FALSE)</f>
        <v>CAT à compléter</v>
      </c>
      <c r="O751">
        <f>IFERROR(VLOOKUP(N751,'Tables new'!$A:$C,3,FALSE),"")</f>
        <v>0</v>
      </c>
      <c r="P751" t="str">
        <f>VLOOKUP(N751,CAT_JOUEUR,2,FALSE)</f>
        <v>CAT à compléter</v>
      </c>
    </row>
    <row r="752" spans="4:16" x14ac:dyDescent="0.2">
      <c r="D752" t="s">
        <v>1334</v>
      </c>
      <c r="E752" t="s">
        <v>1334</v>
      </c>
      <c r="L752">
        <f>IFERROR(VLOOKUP(K752,'Tables new'!$A:$C,3,FALSE),"")</f>
        <v>0</v>
      </c>
      <c r="M752" t="str">
        <f>VLOOKUP(K752,CAT_JOUEUR,2,FALSE)</f>
        <v>CAT à compléter</v>
      </c>
      <c r="O752">
        <f>IFERROR(VLOOKUP(N752,'Tables new'!$A:$C,3,FALSE),"")</f>
        <v>0</v>
      </c>
      <c r="P752" t="str">
        <f>VLOOKUP(N752,CAT_JOUEUR,2,FALSE)</f>
        <v>CAT à compléter</v>
      </c>
    </row>
    <row r="753" spans="4:16" x14ac:dyDescent="0.2">
      <c r="D753" t="s">
        <v>1334</v>
      </c>
      <c r="E753" t="s">
        <v>1334</v>
      </c>
      <c r="L753">
        <f>IFERROR(VLOOKUP(K753,'Tables new'!$A:$C,3,FALSE),"")</f>
        <v>0</v>
      </c>
      <c r="M753" t="str">
        <f>VLOOKUP(K753,CAT_JOUEUR,2,FALSE)</f>
        <v>CAT à compléter</v>
      </c>
      <c r="O753">
        <f>IFERROR(VLOOKUP(N753,'Tables new'!$A:$C,3,FALSE),"")</f>
        <v>0</v>
      </c>
      <c r="P753" t="str">
        <f>VLOOKUP(N753,CAT_JOUEUR,2,FALSE)</f>
        <v>CAT à compléter</v>
      </c>
    </row>
  </sheetData>
  <autoFilter ref="A1:BR1" xr:uid="{00000000-0001-0000-0000-000000000000}">
    <sortState xmlns:xlrd2="http://schemas.microsoft.com/office/spreadsheetml/2017/richdata2" ref="A2:BR753">
      <sortCondition ref="A1:A753"/>
    </sortState>
  </autoFilter>
  <phoneticPr fontId="2" type="noConversion"/>
  <hyperlinks>
    <hyperlink ref="AQ2" r:id="rId1" xr:uid="{00000000-0004-0000-0000-000000000000}"/>
    <hyperlink ref="AQ4" r:id="rId2" xr:uid="{00000000-0004-0000-0000-000001000000}"/>
    <hyperlink ref="AQ5" r:id="rId3" xr:uid="{00000000-0004-0000-0000-000002000000}"/>
    <hyperlink ref="AQ6" r:id="rId4" xr:uid="{00000000-0004-0000-0000-000003000000}"/>
    <hyperlink ref="AQ9" r:id="rId5" xr:uid="{00000000-0004-0000-0000-000004000000}"/>
    <hyperlink ref="AQ10" r:id="rId6" xr:uid="{00000000-0004-0000-0000-000005000000}"/>
    <hyperlink ref="AQ11" r:id="rId7" xr:uid="{00000000-0004-0000-0000-000006000000}"/>
    <hyperlink ref="AQ12" r:id="rId8" xr:uid="{00000000-0004-0000-0000-000007000000}"/>
    <hyperlink ref="AQ14" r:id="rId9" xr:uid="{00000000-0004-0000-0000-000008000000}"/>
    <hyperlink ref="AQ16" r:id="rId10" xr:uid="{00000000-0004-0000-0000-000009000000}"/>
    <hyperlink ref="AQ17" r:id="rId11" xr:uid="{00000000-0004-0000-0000-00000A000000}"/>
    <hyperlink ref="AQ20" r:id="rId12" xr:uid="{00000000-0004-0000-0000-00000B000000}"/>
    <hyperlink ref="AQ22" r:id="rId13" xr:uid="{00000000-0004-0000-0000-00000C000000}"/>
    <hyperlink ref="AQ23" r:id="rId14" xr:uid="{00000000-0004-0000-0000-00000D000000}"/>
    <hyperlink ref="AQ24" r:id="rId15" xr:uid="{00000000-0004-0000-0000-00000E000000}"/>
    <hyperlink ref="AQ25" r:id="rId16" xr:uid="{00000000-0004-0000-0000-00000F000000}"/>
    <hyperlink ref="AQ26" r:id="rId17" xr:uid="{00000000-0004-0000-0000-000010000000}"/>
    <hyperlink ref="AQ27" r:id="rId18" xr:uid="{00000000-0004-0000-0000-000011000000}"/>
    <hyperlink ref="AQ28" r:id="rId19" xr:uid="{00000000-0004-0000-0000-000012000000}"/>
    <hyperlink ref="AQ29" r:id="rId20" xr:uid="{00000000-0004-0000-0000-000013000000}"/>
    <hyperlink ref="AQ31" r:id="rId21" xr:uid="{00000000-0004-0000-0000-000014000000}"/>
    <hyperlink ref="AQ32" r:id="rId22" xr:uid="{00000000-0004-0000-0000-000015000000}"/>
    <hyperlink ref="AQ33" r:id="rId23" xr:uid="{00000000-0004-0000-0000-000016000000}"/>
    <hyperlink ref="AQ34" r:id="rId24" xr:uid="{00000000-0004-0000-0000-000017000000}"/>
    <hyperlink ref="AQ35" r:id="rId25" xr:uid="{00000000-0004-0000-0000-000018000000}"/>
    <hyperlink ref="AQ38" r:id="rId26" xr:uid="{00000000-0004-0000-0000-000019000000}"/>
    <hyperlink ref="AQ39" r:id="rId27" xr:uid="{00000000-0004-0000-0000-00001A000000}"/>
    <hyperlink ref="AQ42" r:id="rId28" xr:uid="{00000000-0004-0000-0000-00001B000000}"/>
    <hyperlink ref="AQ43" r:id="rId29" xr:uid="{00000000-0004-0000-0000-00001C000000}"/>
    <hyperlink ref="AQ44" r:id="rId30" xr:uid="{00000000-0004-0000-0000-00001D000000}"/>
    <hyperlink ref="AQ45" r:id="rId31" xr:uid="{00000000-0004-0000-0000-00001E000000}"/>
    <hyperlink ref="AQ47" r:id="rId32" xr:uid="{00000000-0004-0000-0000-00001F000000}"/>
    <hyperlink ref="AQ49" r:id="rId33" xr:uid="{00000000-0004-0000-0000-000020000000}"/>
    <hyperlink ref="AQ50" r:id="rId34" xr:uid="{00000000-0004-0000-0000-000021000000}"/>
    <hyperlink ref="AQ51" r:id="rId35" xr:uid="{00000000-0004-0000-0000-000022000000}"/>
    <hyperlink ref="AQ54" r:id="rId36" xr:uid="{00000000-0004-0000-0000-000023000000}"/>
    <hyperlink ref="AQ55" r:id="rId37" xr:uid="{00000000-0004-0000-0000-000024000000}"/>
    <hyperlink ref="AQ58" r:id="rId38" xr:uid="{00000000-0004-0000-0000-000025000000}"/>
    <hyperlink ref="AQ59" r:id="rId39" xr:uid="{00000000-0004-0000-0000-000026000000}"/>
    <hyperlink ref="AQ62" r:id="rId40" xr:uid="{00000000-0004-0000-0000-000027000000}"/>
    <hyperlink ref="AQ63" r:id="rId41" xr:uid="{00000000-0004-0000-0000-000028000000}"/>
    <hyperlink ref="AQ64" r:id="rId42" xr:uid="{00000000-0004-0000-0000-000029000000}"/>
    <hyperlink ref="AQ65" r:id="rId43" xr:uid="{00000000-0004-0000-0000-00002A000000}"/>
    <hyperlink ref="AQ66" r:id="rId44" xr:uid="{00000000-0004-0000-0000-00002B000000}"/>
    <hyperlink ref="AQ67" r:id="rId45" xr:uid="{00000000-0004-0000-0000-00002C000000}"/>
    <hyperlink ref="AQ69" r:id="rId46" xr:uid="{00000000-0004-0000-0000-00002D000000}"/>
    <hyperlink ref="AQ71" r:id="rId47" xr:uid="{00000000-0004-0000-0000-00002E000000}"/>
    <hyperlink ref="AQ74" r:id="rId48" xr:uid="{00000000-0004-0000-0000-00002F000000}"/>
    <hyperlink ref="AQ75" r:id="rId49" xr:uid="{00000000-0004-0000-0000-000030000000}"/>
    <hyperlink ref="AQ76" r:id="rId50" xr:uid="{00000000-0004-0000-0000-000031000000}"/>
    <hyperlink ref="AQ77" r:id="rId51" xr:uid="{00000000-0004-0000-0000-000032000000}"/>
    <hyperlink ref="AQ79" r:id="rId52" xr:uid="{00000000-0004-0000-0000-000033000000}"/>
    <hyperlink ref="AQ80" r:id="rId53" xr:uid="{00000000-0004-0000-0000-000034000000}"/>
    <hyperlink ref="AQ81" r:id="rId54" xr:uid="{00000000-0004-0000-0000-000035000000}"/>
    <hyperlink ref="AQ82" r:id="rId55" xr:uid="{00000000-0004-0000-0000-000036000000}"/>
    <hyperlink ref="AQ83" r:id="rId56" xr:uid="{00000000-0004-0000-0000-000037000000}"/>
    <hyperlink ref="AQ84" r:id="rId57" xr:uid="{00000000-0004-0000-0000-000038000000}"/>
    <hyperlink ref="AQ85" r:id="rId58" xr:uid="{00000000-0004-0000-0000-000039000000}"/>
    <hyperlink ref="AQ86" r:id="rId59" xr:uid="{00000000-0004-0000-0000-00003A000000}"/>
    <hyperlink ref="AQ87" r:id="rId60" xr:uid="{00000000-0004-0000-0000-00003B000000}"/>
    <hyperlink ref="AQ89" r:id="rId61" xr:uid="{00000000-0004-0000-0000-00003C000000}"/>
    <hyperlink ref="AQ90" r:id="rId62" xr:uid="{00000000-0004-0000-0000-00003D000000}"/>
    <hyperlink ref="AQ91" r:id="rId63" xr:uid="{00000000-0004-0000-0000-00003E000000}"/>
    <hyperlink ref="AQ92" r:id="rId64" xr:uid="{00000000-0004-0000-0000-00003F000000}"/>
    <hyperlink ref="AQ95" r:id="rId65" xr:uid="{00000000-0004-0000-0000-000040000000}"/>
    <hyperlink ref="AQ96" r:id="rId66" xr:uid="{00000000-0004-0000-0000-000041000000}"/>
    <hyperlink ref="AQ97" r:id="rId67" xr:uid="{00000000-0004-0000-0000-000042000000}"/>
    <hyperlink ref="AQ98" r:id="rId68" xr:uid="{00000000-0004-0000-0000-000043000000}"/>
    <hyperlink ref="AQ99" r:id="rId69" xr:uid="{00000000-0004-0000-0000-000044000000}"/>
    <hyperlink ref="AQ101" r:id="rId70" xr:uid="{00000000-0004-0000-0000-000045000000}"/>
    <hyperlink ref="AQ102" r:id="rId71" xr:uid="{00000000-0004-0000-0000-000046000000}"/>
    <hyperlink ref="AQ106" r:id="rId72" xr:uid="{00000000-0004-0000-0000-000047000000}"/>
    <hyperlink ref="AQ109" r:id="rId73" xr:uid="{00000000-0004-0000-0000-000048000000}"/>
    <hyperlink ref="AQ111" r:id="rId74" xr:uid="{00000000-0004-0000-0000-000049000000}"/>
    <hyperlink ref="AQ112" r:id="rId75" xr:uid="{00000000-0004-0000-0000-00004A000000}"/>
    <hyperlink ref="AQ113" r:id="rId76" xr:uid="{00000000-0004-0000-0000-00004B000000}"/>
    <hyperlink ref="AQ114" r:id="rId77" xr:uid="{00000000-0004-0000-0000-00004C000000}"/>
    <hyperlink ref="AQ116" r:id="rId78" xr:uid="{00000000-0004-0000-0000-00004D000000}"/>
    <hyperlink ref="AQ117" r:id="rId79" xr:uid="{00000000-0004-0000-0000-00004E000000}"/>
    <hyperlink ref="AQ118" r:id="rId80" xr:uid="{00000000-0004-0000-0000-00004F000000}"/>
    <hyperlink ref="AQ119" r:id="rId81" xr:uid="{00000000-0004-0000-0000-000050000000}"/>
    <hyperlink ref="AQ121" r:id="rId82" xr:uid="{00000000-0004-0000-0000-000051000000}"/>
    <hyperlink ref="AQ122" r:id="rId83" xr:uid="{00000000-0004-0000-0000-000052000000}"/>
    <hyperlink ref="AQ123" r:id="rId84" xr:uid="{00000000-0004-0000-0000-000053000000}"/>
    <hyperlink ref="AQ124" r:id="rId85" xr:uid="{00000000-0004-0000-0000-000054000000}"/>
    <hyperlink ref="AQ125" r:id="rId86" xr:uid="{00000000-0004-0000-0000-000055000000}"/>
    <hyperlink ref="AQ126" r:id="rId87" xr:uid="{00000000-0004-0000-0000-000056000000}"/>
    <hyperlink ref="AQ127" r:id="rId88" xr:uid="{00000000-0004-0000-0000-000057000000}"/>
    <hyperlink ref="AQ128" r:id="rId89" xr:uid="{00000000-0004-0000-0000-000058000000}"/>
    <hyperlink ref="AQ130" r:id="rId90" xr:uid="{00000000-0004-0000-0000-000059000000}"/>
    <hyperlink ref="AQ131" r:id="rId91" xr:uid="{00000000-0004-0000-0000-00005A000000}"/>
    <hyperlink ref="AQ132" r:id="rId92" xr:uid="{00000000-0004-0000-0000-00005B000000}"/>
    <hyperlink ref="AQ133" r:id="rId93" xr:uid="{00000000-0004-0000-0000-00005C000000}"/>
    <hyperlink ref="AQ135" r:id="rId94" xr:uid="{00000000-0004-0000-0000-00005D000000}"/>
    <hyperlink ref="AQ137" r:id="rId95" xr:uid="{00000000-0004-0000-0000-00005E000000}"/>
    <hyperlink ref="AQ138" r:id="rId96" xr:uid="{00000000-0004-0000-0000-00005F000000}"/>
    <hyperlink ref="AQ139" r:id="rId97" xr:uid="{00000000-0004-0000-0000-000060000000}"/>
    <hyperlink ref="AQ140" r:id="rId98" xr:uid="{00000000-0004-0000-0000-000061000000}"/>
    <hyperlink ref="AQ141" r:id="rId99" xr:uid="{00000000-0004-0000-0000-000062000000}"/>
    <hyperlink ref="AQ143" r:id="rId100" xr:uid="{00000000-0004-0000-0000-000063000000}"/>
    <hyperlink ref="AQ144" r:id="rId101" xr:uid="{00000000-0004-0000-0000-000064000000}"/>
    <hyperlink ref="AQ145" r:id="rId102" xr:uid="{00000000-0004-0000-0000-000065000000}"/>
    <hyperlink ref="AQ147" r:id="rId103" xr:uid="{00000000-0004-0000-0000-000066000000}"/>
    <hyperlink ref="AQ148" r:id="rId104" xr:uid="{00000000-0004-0000-0000-000067000000}"/>
    <hyperlink ref="AQ149" r:id="rId105" xr:uid="{00000000-0004-0000-0000-000068000000}"/>
    <hyperlink ref="AQ150" r:id="rId106" xr:uid="{00000000-0004-0000-0000-000069000000}"/>
    <hyperlink ref="AQ152" r:id="rId107" xr:uid="{00000000-0004-0000-0000-00006A000000}"/>
    <hyperlink ref="AQ154" r:id="rId108" xr:uid="{00000000-0004-0000-0000-00006B000000}"/>
    <hyperlink ref="AQ155" r:id="rId109" xr:uid="{00000000-0004-0000-0000-00006C000000}"/>
    <hyperlink ref="AQ156" r:id="rId110" xr:uid="{00000000-0004-0000-0000-00006D000000}"/>
    <hyperlink ref="AQ157" r:id="rId111" xr:uid="{00000000-0004-0000-0000-00006E000000}"/>
    <hyperlink ref="AF160" r:id="rId112" xr:uid="{00000000-0004-0000-0000-00006F000000}"/>
    <hyperlink ref="AQ160" r:id="rId113" xr:uid="{00000000-0004-0000-0000-000070000000}"/>
    <hyperlink ref="AQ161" r:id="rId114" xr:uid="{00000000-0004-0000-0000-000071000000}"/>
    <hyperlink ref="AQ162" r:id="rId115" xr:uid="{00000000-0004-0000-0000-000072000000}"/>
    <hyperlink ref="AQ164" r:id="rId116" xr:uid="{00000000-0004-0000-0000-000073000000}"/>
    <hyperlink ref="AQ165" r:id="rId117" xr:uid="{00000000-0004-0000-0000-000074000000}"/>
    <hyperlink ref="AQ166" r:id="rId118" xr:uid="{00000000-0004-0000-0000-000075000000}"/>
    <hyperlink ref="AQ167" r:id="rId119" xr:uid="{00000000-0004-0000-0000-000076000000}"/>
    <hyperlink ref="AQ168" r:id="rId120" xr:uid="{00000000-0004-0000-0000-000077000000}"/>
    <hyperlink ref="AQ170" r:id="rId121" xr:uid="{00000000-0004-0000-0000-000078000000}"/>
    <hyperlink ref="AQ171" r:id="rId122" xr:uid="{00000000-0004-0000-0000-000079000000}"/>
    <hyperlink ref="AQ173" r:id="rId123" xr:uid="{00000000-0004-0000-0000-00007A000000}"/>
    <hyperlink ref="AQ177" r:id="rId124" xr:uid="{00000000-0004-0000-0000-00007B000000}"/>
    <hyperlink ref="AQ179" r:id="rId125" xr:uid="{00000000-0004-0000-0000-00007C000000}"/>
    <hyperlink ref="AQ184" r:id="rId126" xr:uid="{00000000-0004-0000-0000-00007D000000}"/>
    <hyperlink ref="AQ185" r:id="rId127" xr:uid="{00000000-0004-0000-0000-00007E000000}"/>
    <hyperlink ref="AQ186" r:id="rId128" xr:uid="{00000000-0004-0000-0000-00007F000000}"/>
    <hyperlink ref="AQ187" r:id="rId129" xr:uid="{00000000-0004-0000-0000-000080000000}"/>
    <hyperlink ref="AQ189" r:id="rId130" xr:uid="{00000000-0004-0000-0000-000081000000}"/>
    <hyperlink ref="AQ190" r:id="rId131" xr:uid="{00000000-0004-0000-0000-000082000000}"/>
    <hyperlink ref="AQ191" r:id="rId132" xr:uid="{00000000-0004-0000-0000-000083000000}"/>
    <hyperlink ref="AQ192" r:id="rId133" xr:uid="{00000000-0004-0000-0000-000084000000}"/>
    <hyperlink ref="AQ193" r:id="rId134" xr:uid="{00000000-0004-0000-0000-000085000000}"/>
    <hyperlink ref="AQ194" r:id="rId135" xr:uid="{00000000-0004-0000-0000-000086000000}"/>
    <hyperlink ref="AQ195" r:id="rId136" xr:uid="{00000000-0004-0000-0000-000087000000}"/>
    <hyperlink ref="AQ197" r:id="rId137" xr:uid="{00000000-0004-0000-0000-000088000000}"/>
    <hyperlink ref="AQ199" r:id="rId138" xr:uid="{00000000-0004-0000-0000-000089000000}"/>
    <hyperlink ref="AQ201" r:id="rId139" xr:uid="{00000000-0004-0000-0000-00008A000000}"/>
    <hyperlink ref="AQ203" r:id="rId140" xr:uid="{00000000-0004-0000-0000-00008B000000}"/>
    <hyperlink ref="AQ204" r:id="rId141" xr:uid="{00000000-0004-0000-0000-00008C000000}"/>
    <hyperlink ref="AQ205" r:id="rId142" xr:uid="{00000000-0004-0000-0000-00008D000000}"/>
    <hyperlink ref="AQ206" r:id="rId143" xr:uid="{00000000-0004-0000-0000-00008E000000}"/>
    <hyperlink ref="AQ207" r:id="rId144" xr:uid="{00000000-0004-0000-0000-00008F000000}"/>
    <hyperlink ref="AQ208" r:id="rId145" xr:uid="{00000000-0004-0000-0000-000090000000}"/>
    <hyperlink ref="AQ209" r:id="rId146" xr:uid="{00000000-0004-0000-0000-000091000000}"/>
    <hyperlink ref="AQ210" r:id="rId147" xr:uid="{00000000-0004-0000-0000-000092000000}"/>
    <hyperlink ref="AQ213" r:id="rId148" xr:uid="{00000000-0004-0000-0000-000093000000}"/>
    <hyperlink ref="AQ214" r:id="rId149" xr:uid="{00000000-0004-0000-0000-000094000000}"/>
    <hyperlink ref="AQ216" r:id="rId150" xr:uid="{00000000-0004-0000-0000-000095000000}"/>
    <hyperlink ref="AQ217" r:id="rId151" xr:uid="{00000000-0004-0000-0000-000096000000}"/>
    <hyperlink ref="AQ218" r:id="rId152" xr:uid="{00000000-0004-0000-0000-000097000000}"/>
    <hyperlink ref="AQ220" r:id="rId153" xr:uid="{00000000-0004-0000-0000-000098000000}"/>
    <hyperlink ref="AQ222" r:id="rId154" xr:uid="{00000000-0004-0000-0000-000099000000}"/>
    <hyperlink ref="AQ223" r:id="rId155" xr:uid="{00000000-0004-0000-0000-00009A000000}"/>
    <hyperlink ref="AQ224" r:id="rId156" xr:uid="{00000000-0004-0000-0000-00009B000000}"/>
    <hyperlink ref="AQ225" r:id="rId157" xr:uid="{00000000-0004-0000-0000-00009C000000}"/>
    <hyperlink ref="AQ226" r:id="rId158" xr:uid="{00000000-0004-0000-0000-00009D000000}"/>
    <hyperlink ref="AQ230" r:id="rId159" xr:uid="{00000000-0004-0000-0000-00009E000000}"/>
    <hyperlink ref="AO233" r:id="rId160" xr:uid="{00000000-0004-0000-0000-00009F000000}"/>
    <hyperlink ref="AQ233" r:id="rId161" xr:uid="{00000000-0004-0000-0000-0000A0000000}"/>
    <hyperlink ref="AO234" r:id="rId162" xr:uid="{00000000-0004-0000-0000-0000A1000000}"/>
    <hyperlink ref="AQ234" r:id="rId163" xr:uid="{00000000-0004-0000-0000-0000A2000000}"/>
    <hyperlink ref="AQ235" r:id="rId164" xr:uid="{00000000-0004-0000-0000-0000A3000000}"/>
    <hyperlink ref="AQ237" r:id="rId165" xr:uid="{00000000-0004-0000-0000-0000A4000000}"/>
    <hyperlink ref="AQ239" r:id="rId166" xr:uid="{00000000-0004-0000-0000-0000A5000000}"/>
    <hyperlink ref="AQ240" r:id="rId167" xr:uid="{00000000-0004-0000-0000-0000A6000000}"/>
    <hyperlink ref="AQ243" r:id="rId168" xr:uid="{00000000-0004-0000-0000-0000A7000000}"/>
    <hyperlink ref="AQ244" r:id="rId169" xr:uid="{00000000-0004-0000-0000-0000A8000000}"/>
    <hyperlink ref="AQ245" r:id="rId170" xr:uid="{00000000-0004-0000-0000-0000A9000000}"/>
    <hyperlink ref="AQ248" r:id="rId171" xr:uid="{00000000-0004-0000-0000-0000AA000000}"/>
    <hyperlink ref="AQ250" r:id="rId172" xr:uid="{00000000-0004-0000-0000-0000AB000000}"/>
    <hyperlink ref="AQ252" r:id="rId173" xr:uid="{00000000-0004-0000-0000-0000AC000000}"/>
    <hyperlink ref="AQ254" r:id="rId174" xr:uid="{00000000-0004-0000-0000-0000AD000000}"/>
    <hyperlink ref="AQ256" r:id="rId175" xr:uid="{00000000-0004-0000-0000-0000AE000000}"/>
    <hyperlink ref="AQ260" r:id="rId176" xr:uid="{00000000-0004-0000-0000-0000AF000000}"/>
    <hyperlink ref="AQ261" r:id="rId177" xr:uid="{00000000-0004-0000-0000-0000B0000000}"/>
    <hyperlink ref="AQ262" r:id="rId178" xr:uid="{00000000-0004-0000-0000-0000B1000000}"/>
    <hyperlink ref="AQ264" r:id="rId179" xr:uid="{00000000-0004-0000-0000-0000B2000000}"/>
    <hyperlink ref="AQ265" r:id="rId180" xr:uid="{00000000-0004-0000-0000-0000B3000000}"/>
    <hyperlink ref="AQ266" r:id="rId181" xr:uid="{00000000-0004-0000-0000-0000B4000000}"/>
    <hyperlink ref="AQ269" r:id="rId182" xr:uid="{00000000-0004-0000-0000-0000B5000000}"/>
    <hyperlink ref="AQ270" r:id="rId183" xr:uid="{00000000-0004-0000-0000-0000B6000000}"/>
    <hyperlink ref="AQ271" r:id="rId184" xr:uid="{00000000-0004-0000-0000-0000B7000000}"/>
    <hyperlink ref="AQ272" r:id="rId185" xr:uid="{00000000-0004-0000-0000-0000B8000000}"/>
    <hyperlink ref="AQ275" r:id="rId186" xr:uid="{00000000-0004-0000-0000-0000B9000000}"/>
    <hyperlink ref="AQ278" r:id="rId187" xr:uid="{00000000-0004-0000-0000-0000BA000000}"/>
    <hyperlink ref="AQ280" r:id="rId188" xr:uid="{00000000-0004-0000-0000-0000BB000000}"/>
    <hyperlink ref="AQ281" r:id="rId189" xr:uid="{00000000-0004-0000-0000-0000BC000000}"/>
    <hyperlink ref="AQ282" r:id="rId190" xr:uid="{00000000-0004-0000-0000-0000BD000000}"/>
    <hyperlink ref="AQ283" r:id="rId191" xr:uid="{00000000-0004-0000-0000-0000BE000000}"/>
    <hyperlink ref="AQ285" r:id="rId192" xr:uid="{00000000-0004-0000-0000-0000BF000000}"/>
    <hyperlink ref="AQ286" r:id="rId193" xr:uid="{00000000-0004-0000-0000-0000C0000000}"/>
    <hyperlink ref="AQ287" r:id="rId194" xr:uid="{00000000-0004-0000-0000-0000C1000000}"/>
    <hyperlink ref="AQ288" r:id="rId195" xr:uid="{00000000-0004-0000-0000-0000C2000000}"/>
    <hyperlink ref="AQ289" r:id="rId196" xr:uid="{00000000-0004-0000-0000-0000C3000000}"/>
    <hyperlink ref="AQ290" r:id="rId197" xr:uid="{00000000-0004-0000-0000-0000C4000000}"/>
    <hyperlink ref="AQ291" r:id="rId198" xr:uid="{00000000-0004-0000-0000-0000C5000000}"/>
    <hyperlink ref="AQ292" r:id="rId199" xr:uid="{00000000-0004-0000-0000-0000C6000000}"/>
    <hyperlink ref="AQ294" r:id="rId200" xr:uid="{00000000-0004-0000-0000-0000C7000000}"/>
    <hyperlink ref="AQ295" r:id="rId201" xr:uid="{00000000-0004-0000-0000-0000C8000000}"/>
    <hyperlink ref="AQ296" r:id="rId202" xr:uid="{00000000-0004-0000-0000-0000C9000000}"/>
    <hyperlink ref="AQ297" r:id="rId203" xr:uid="{00000000-0004-0000-0000-0000CA000000}"/>
    <hyperlink ref="AQ298" r:id="rId204" xr:uid="{00000000-0004-0000-0000-0000CB000000}"/>
    <hyperlink ref="AQ299" r:id="rId205" xr:uid="{00000000-0004-0000-0000-0000CC000000}"/>
    <hyperlink ref="AQ300" r:id="rId206" xr:uid="{00000000-0004-0000-0000-0000CD000000}"/>
    <hyperlink ref="AQ303" r:id="rId207" xr:uid="{00000000-0004-0000-0000-0000CE000000}"/>
    <hyperlink ref="AQ304" r:id="rId208" xr:uid="{00000000-0004-0000-0000-0000CF000000}"/>
    <hyperlink ref="AQ305" r:id="rId209" xr:uid="{00000000-0004-0000-0000-0000D0000000}"/>
    <hyperlink ref="AQ306" r:id="rId210" xr:uid="{00000000-0004-0000-0000-0000D1000000}"/>
    <hyperlink ref="AQ307" r:id="rId211" xr:uid="{00000000-0004-0000-0000-0000D2000000}"/>
    <hyperlink ref="AQ308" r:id="rId212" xr:uid="{00000000-0004-0000-0000-0000D3000000}"/>
    <hyperlink ref="AQ309" r:id="rId213" xr:uid="{00000000-0004-0000-0000-0000D4000000}"/>
    <hyperlink ref="AQ310" r:id="rId214" xr:uid="{00000000-0004-0000-0000-0000D5000000}"/>
    <hyperlink ref="AQ311" r:id="rId215" xr:uid="{00000000-0004-0000-0000-0000D6000000}"/>
    <hyperlink ref="AQ312" r:id="rId216" xr:uid="{00000000-0004-0000-0000-0000D7000000}"/>
    <hyperlink ref="AQ315" r:id="rId217" xr:uid="{00000000-0004-0000-0000-0000D8000000}"/>
    <hyperlink ref="AQ316" r:id="rId218" xr:uid="{00000000-0004-0000-0000-0000D9000000}"/>
    <hyperlink ref="AQ317" r:id="rId219" xr:uid="{00000000-0004-0000-0000-0000DA000000}"/>
    <hyperlink ref="AQ318" r:id="rId220" xr:uid="{00000000-0004-0000-0000-0000DB000000}"/>
    <hyperlink ref="AQ321" r:id="rId221" xr:uid="{00000000-0004-0000-0000-0000DC000000}"/>
    <hyperlink ref="AQ322" r:id="rId222" xr:uid="{00000000-0004-0000-0000-0000DD000000}"/>
    <hyperlink ref="AQ325" r:id="rId223" xr:uid="{00000000-0004-0000-0000-0000DE000000}"/>
    <hyperlink ref="AQ326" r:id="rId224" xr:uid="{00000000-0004-0000-0000-0000DF000000}"/>
    <hyperlink ref="AQ327" r:id="rId225" xr:uid="{00000000-0004-0000-0000-0000E0000000}"/>
    <hyperlink ref="AQ328" r:id="rId226" xr:uid="{00000000-0004-0000-0000-0000E1000000}"/>
    <hyperlink ref="AQ329" r:id="rId227" xr:uid="{00000000-0004-0000-0000-0000E2000000}"/>
    <hyperlink ref="AQ330" r:id="rId228" xr:uid="{00000000-0004-0000-0000-0000E3000000}"/>
    <hyperlink ref="AQ332" r:id="rId229" xr:uid="{00000000-0004-0000-0000-0000E4000000}"/>
    <hyperlink ref="AQ333" r:id="rId230" xr:uid="{00000000-0004-0000-0000-0000E5000000}"/>
    <hyperlink ref="AQ334" r:id="rId231" xr:uid="{00000000-0004-0000-0000-0000E6000000}"/>
    <hyperlink ref="AQ335" r:id="rId232" xr:uid="{00000000-0004-0000-0000-0000E7000000}"/>
    <hyperlink ref="AQ336" r:id="rId233" xr:uid="{00000000-0004-0000-0000-0000E8000000}"/>
    <hyperlink ref="AQ337" r:id="rId234" xr:uid="{00000000-0004-0000-0000-0000E9000000}"/>
    <hyperlink ref="AQ338" r:id="rId235" xr:uid="{00000000-0004-0000-0000-0000EA000000}"/>
    <hyperlink ref="AQ340" r:id="rId236" xr:uid="{00000000-0004-0000-0000-0000EB000000}"/>
    <hyperlink ref="AQ342" r:id="rId237" xr:uid="{00000000-0004-0000-0000-0000EC000000}"/>
    <hyperlink ref="AQ344" r:id="rId238" xr:uid="{00000000-0004-0000-0000-0000ED000000}"/>
    <hyperlink ref="AQ345" r:id="rId239" xr:uid="{00000000-0004-0000-0000-0000EE000000}"/>
    <hyperlink ref="AQ346" r:id="rId240" xr:uid="{00000000-0004-0000-0000-0000EF000000}"/>
    <hyperlink ref="AQ347" r:id="rId241" xr:uid="{00000000-0004-0000-0000-0000F0000000}"/>
    <hyperlink ref="AQ348" r:id="rId242" xr:uid="{00000000-0004-0000-0000-0000F1000000}"/>
    <hyperlink ref="AQ350" r:id="rId243" xr:uid="{00000000-0004-0000-0000-0000F2000000}"/>
    <hyperlink ref="AQ351" r:id="rId244" xr:uid="{00000000-0004-0000-0000-0000F3000000}"/>
    <hyperlink ref="AQ352" r:id="rId245" xr:uid="{00000000-0004-0000-0000-0000F4000000}"/>
    <hyperlink ref="AQ354" r:id="rId246" xr:uid="{00000000-0004-0000-0000-0000F5000000}"/>
    <hyperlink ref="AQ355" r:id="rId247" xr:uid="{00000000-0004-0000-0000-0000F6000000}"/>
    <hyperlink ref="AQ356" r:id="rId248" xr:uid="{00000000-0004-0000-0000-0000F7000000}"/>
    <hyperlink ref="AQ358" r:id="rId249" xr:uid="{00000000-0004-0000-0000-0000F8000000}"/>
    <hyperlink ref="AQ359" r:id="rId250" xr:uid="{00000000-0004-0000-0000-0000F9000000}"/>
    <hyperlink ref="AQ360" r:id="rId251" xr:uid="{00000000-0004-0000-0000-0000FA000000}"/>
    <hyperlink ref="AQ362" r:id="rId252" xr:uid="{00000000-0004-0000-0000-0000FB000000}"/>
    <hyperlink ref="AQ363" r:id="rId253" xr:uid="{00000000-0004-0000-0000-0000FC000000}"/>
    <hyperlink ref="AQ364" r:id="rId254" xr:uid="{00000000-0004-0000-0000-0000FD000000}"/>
    <hyperlink ref="AQ366" r:id="rId255" xr:uid="{00000000-0004-0000-0000-0000FE000000}"/>
    <hyperlink ref="AQ367" r:id="rId256" xr:uid="{00000000-0004-0000-0000-0000FF000000}"/>
    <hyperlink ref="AQ368" r:id="rId257" xr:uid="{00000000-0004-0000-0000-000000010000}"/>
    <hyperlink ref="AQ369" r:id="rId258" xr:uid="{00000000-0004-0000-0000-000001010000}"/>
    <hyperlink ref="AQ370" r:id="rId259" xr:uid="{00000000-0004-0000-0000-000002010000}"/>
    <hyperlink ref="AQ371" r:id="rId260" xr:uid="{00000000-0004-0000-0000-000003010000}"/>
    <hyperlink ref="AQ372" r:id="rId261" xr:uid="{00000000-0004-0000-0000-000004010000}"/>
    <hyperlink ref="AQ373" r:id="rId262" xr:uid="{00000000-0004-0000-0000-000005010000}"/>
    <hyperlink ref="AQ374" r:id="rId263" xr:uid="{00000000-0004-0000-0000-000006010000}"/>
    <hyperlink ref="AQ375" r:id="rId264" xr:uid="{00000000-0004-0000-0000-000007010000}"/>
    <hyperlink ref="AQ376" r:id="rId265" xr:uid="{00000000-0004-0000-0000-000008010000}"/>
    <hyperlink ref="AQ377" r:id="rId266" xr:uid="{00000000-0004-0000-0000-000009010000}"/>
    <hyperlink ref="AQ378" r:id="rId267" xr:uid="{00000000-0004-0000-0000-00000A010000}"/>
    <hyperlink ref="AQ379" r:id="rId268" xr:uid="{00000000-0004-0000-0000-00000B010000}"/>
    <hyperlink ref="AQ380" r:id="rId269" xr:uid="{00000000-0004-0000-0000-00000C010000}"/>
    <hyperlink ref="AQ381" r:id="rId270" xr:uid="{00000000-0004-0000-0000-00000D010000}"/>
    <hyperlink ref="AQ383" r:id="rId271" xr:uid="{00000000-0004-0000-0000-00000E010000}"/>
    <hyperlink ref="AQ387" r:id="rId272" xr:uid="{00000000-0004-0000-0000-00000F010000}"/>
    <hyperlink ref="AQ388" r:id="rId273" xr:uid="{00000000-0004-0000-0000-000010010000}"/>
    <hyperlink ref="AQ389" r:id="rId274" xr:uid="{00000000-0004-0000-0000-000011010000}"/>
    <hyperlink ref="AQ390" r:id="rId275" xr:uid="{00000000-0004-0000-0000-000012010000}"/>
    <hyperlink ref="AQ395" r:id="rId276" xr:uid="{00000000-0004-0000-0000-000013010000}"/>
    <hyperlink ref="AQ397" r:id="rId277" xr:uid="{00000000-0004-0000-0000-000014010000}"/>
    <hyperlink ref="AQ399" r:id="rId278" xr:uid="{00000000-0004-0000-0000-000015010000}"/>
    <hyperlink ref="AQ400" r:id="rId279" xr:uid="{00000000-0004-0000-0000-000016010000}"/>
    <hyperlink ref="AQ403" r:id="rId280" xr:uid="{00000000-0004-0000-0000-000017010000}"/>
    <hyperlink ref="AQ404" r:id="rId281" xr:uid="{00000000-0004-0000-0000-000018010000}"/>
    <hyperlink ref="AQ406" r:id="rId282" xr:uid="{00000000-0004-0000-0000-000019010000}"/>
    <hyperlink ref="AQ408" r:id="rId283" xr:uid="{00000000-0004-0000-0000-00001A010000}"/>
    <hyperlink ref="AQ409" r:id="rId284" xr:uid="{00000000-0004-0000-0000-00001B010000}"/>
    <hyperlink ref="AQ410" r:id="rId285" xr:uid="{00000000-0004-0000-0000-00001C010000}"/>
    <hyperlink ref="AQ412" r:id="rId286" xr:uid="{00000000-0004-0000-0000-00001D010000}"/>
    <hyperlink ref="AQ417" r:id="rId287" xr:uid="{00000000-0004-0000-0000-00001E010000}"/>
    <hyperlink ref="AQ420" r:id="rId288" xr:uid="{00000000-0004-0000-0000-00001F010000}"/>
    <hyperlink ref="AQ425" r:id="rId289" xr:uid="{00000000-0004-0000-0000-000020010000}"/>
    <hyperlink ref="AQ426" r:id="rId290" xr:uid="{00000000-0004-0000-0000-000021010000}"/>
    <hyperlink ref="AQ427" r:id="rId291" xr:uid="{00000000-0004-0000-0000-000022010000}"/>
    <hyperlink ref="AQ428" r:id="rId292" xr:uid="{00000000-0004-0000-0000-000023010000}"/>
    <hyperlink ref="AQ429" r:id="rId293" xr:uid="{00000000-0004-0000-0000-000024010000}"/>
    <hyperlink ref="AQ430" r:id="rId294" xr:uid="{00000000-0004-0000-0000-000025010000}"/>
    <hyperlink ref="AQ431" r:id="rId295" xr:uid="{00000000-0004-0000-0000-000026010000}"/>
    <hyperlink ref="AQ432" r:id="rId296" xr:uid="{00000000-0004-0000-0000-000027010000}"/>
    <hyperlink ref="AQ433" r:id="rId297" xr:uid="{00000000-0004-0000-0000-000028010000}"/>
    <hyperlink ref="AQ434" r:id="rId298" xr:uid="{00000000-0004-0000-0000-000029010000}"/>
    <hyperlink ref="AQ435" r:id="rId299" xr:uid="{00000000-0004-0000-0000-00002A010000}"/>
    <hyperlink ref="AQ437" r:id="rId300" xr:uid="{00000000-0004-0000-0000-00002B010000}"/>
    <hyperlink ref="AQ438" r:id="rId301" xr:uid="{00000000-0004-0000-0000-00002C010000}"/>
    <hyperlink ref="AQ442" r:id="rId302" xr:uid="{00000000-0004-0000-0000-00002D010000}"/>
    <hyperlink ref="AQ443" r:id="rId303" xr:uid="{00000000-0004-0000-0000-00002E010000}"/>
    <hyperlink ref="AQ445" r:id="rId304" xr:uid="{00000000-0004-0000-0000-00002F010000}"/>
    <hyperlink ref="AQ447" r:id="rId305" xr:uid="{00000000-0004-0000-0000-000030010000}"/>
    <hyperlink ref="AQ448" r:id="rId306" xr:uid="{00000000-0004-0000-0000-000031010000}"/>
    <hyperlink ref="AQ449" r:id="rId307" xr:uid="{00000000-0004-0000-0000-000032010000}"/>
    <hyperlink ref="AQ451" r:id="rId308" xr:uid="{00000000-0004-0000-0000-000033010000}"/>
    <hyperlink ref="AQ452" r:id="rId309" xr:uid="{00000000-0004-0000-0000-000034010000}"/>
    <hyperlink ref="AQ455" r:id="rId310" xr:uid="{00000000-0004-0000-0000-000035010000}"/>
    <hyperlink ref="AQ456" r:id="rId311" xr:uid="{00000000-0004-0000-0000-000036010000}"/>
    <hyperlink ref="AQ457" r:id="rId312" xr:uid="{00000000-0004-0000-0000-000037010000}"/>
    <hyperlink ref="AQ458" r:id="rId313" xr:uid="{00000000-0004-0000-0000-000038010000}"/>
    <hyperlink ref="AQ459" r:id="rId314" xr:uid="{00000000-0004-0000-0000-000039010000}"/>
    <hyperlink ref="AQ460" r:id="rId315" xr:uid="{00000000-0004-0000-0000-00003A010000}"/>
    <hyperlink ref="AQ461" r:id="rId316" xr:uid="{00000000-0004-0000-0000-00003B010000}"/>
    <hyperlink ref="AQ463" r:id="rId317" xr:uid="{00000000-0004-0000-0000-00003C010000}"/>
    <hyperlink ref="AQ464" r:id="rId318" xr:uid="{00000000-0004-0000-0000-00003D010000}"/>
    <hyperlink ref="AQ465" r:id="rId319" xr:uid="{00000000-0004-0000-0000-00003E010000}"/>
    <hyperlink ref="AO466" r:id="rId320" xr:uid="{00000000-0004-0000-0000-00003F010000}"/>
    <hyperlink ref="AQ466" r:id="rId321" xr:uid="{00000000-0004-0000-0000-000040010000}"/>
    <hyperlink ref="AQ467" r:id="rId322" xr:uid="{00000000-0004-0000-0000-000041010000}"/>
    <hyperlink ref="AQ468" r:id="rId323" xr:uid="{00000000-0004-0000-0000-000042010000}"/>
    <hyperlink ref="AQ469" r:id="rId324" xr:uid="{00000000-0004-0000-0000-000043010000}"/>
    <hyperlink ref="AQ470" r:id="rId325" xr:uid="{00000000-0004-0000-0000-000044010000}"/>
    <hyperlink ref="AQ471" r:id="rId326" xr:uid="{00000000-0004-0000-0000-000045010000}"/>
    <hyperlink ref="AQ472" r:id="rId327" xr:uid="{00000000-0004-0000-0000-000046010000}"/>
    <hyperlink ref="AQ473" r:id="rId328" xr:uid="{00000000-0004-0000-0000-000047010000}"/>
    <hyperlink ref="AQ474" r:id="rId329" xr:uid="{00000000-0004-0000-0000-000048010000}"/>
    <hyperlink ref="AQ476" r:id="rId330" xr:uid="{00000000-0004-0000-0000-000049010000}"/>
    <hyperlink ref="AQ478" r:id="rId331" xr:uid="{00000000-0004-0000-0000-00004A010000}"/>
    <hyperlink ref="AQ479" r:id="rId332" xr:uid="{00000000-0004-0000-0000-00004B010000}"/>
    <hyperlink ref="AQ480" r:id="rId333" xr:uid="{00000000-0004-0000-0000-00004C010000}"/>
    <hyperlink ref="AQ481" r:id="rId334" xr:uid="{00000000-0004-0000-0000-00004D010000}"/>
    <hyperlink ref="AQ482" r:id="rId335" xr:uid="{00000000-0004-0000-0000-00004E010000}"/>
    <hyperlink ref="AQ483" r:id="rId336" xr:uid="{00000000-0004-0000-0000-00004F010000}"/>
    <hyperlink ref="AQ485" r:id="rId337" xr:uid="{00000000-0004-0000-0000-000050010000}"/>
    <hyperlink ref="AQ486" r:id="rId338" xr:uid="{00000000-0004-0000-0000-000051010000}"/>
    <hyperlink ref="AQ488" r:id="rId339" xr:uid="{00000000-0004-0000-0000-000052010000}"/>
    <hyperlink ref="AQ489" r:id="rId340" xr:uid="{00000000-0004-0000-0000-000053010000}"/>
    <hyperlink ref="AQ490" r:id="rId341" xr:uid="{00000000-0004-0000-0000-000054010000}"/>
    <hyperlink ref="AQ491" r:id="rId342" xr:uid="{00000000-0004-0000-0000-000055010000}"/>
    <hyperlink ref="AQ493" r:id="rId343" xr:uid="{00000000-0004-0000-0000-000056010000}"/>
    <hyperlink ref="AQ495" r:id="rId344" xr:uid="{00000000-0004-0000-0000-000057010000}"/>
    <hyperlink ref="AQ496" r:id="rId345" xr:uid="{00000000-0004-0000-0000-000058010000}"/>
    <hyperlink ref="AQ498" r:id="rId346" xr:uid="{00000000-0004-0000-0000-000059010000}"/>
    <hyperlink ref="AQ499" r:id="rId347" xr:uid="{00000000-0004-0000-0000-00005A010000}"/>
    <hyperlink ref="AQ503" r:id="rId348" xr:uid="{00000000-0004-0000-0000-00005B010000}"/>
    <hyperlink ref="AQ504" r:id="rId349" xr:uid="{00000000-0004-0000-0000-00005C010000}"/>
    <hyperlink ref="AQ505" r:id="rId350" xr:uid="{00000000-0004-0000-0000-00005D010000}"/>
    <hyperlink ref="AQ506" r:id="rId351" xr:uid="{00000000-0004-0000-0000-00005E010000}"/>
    <hyperlink ref="AQ507" r:id="rId352" xr:uid="{00000000-0004-0000-0000-00005F010000}"/>
    <hyperlink ref="AQ508" r:id="rId353" xr:uid="{00000000-0004-0000-0000-000060010000}"/>
    <hyperlink ref="AQ511" r:id="rId354" xr:uid="{00000000-0004-0000-0000-000061010000}"/>
    <hyperlink ref="AQ512" r:id="rId355" xr:uid="{00000000-0004-0000-0000-000062010000}"/>
    <hyperlink ref="AQ513" r:id="rId356" xr:uid="{00000000-0004-0000-0000-000063010000}"/>
    <hyperlink ref="AQ514" r:id="rId357" xr:uid="{00000000-0004-0000-0000-000064010000}"/>
    <hyperlink ref="AQ515" r:id="rId358" xr:uid="{00000000-0004-0000-0000-000065010000}"/>
    <hyperlink ref="AQ516" r:id="rId359" xr:uid="{00000000-0004-0000-0000-000066010000}"/>
    <hyperlink ref="AQ517" r:id="rId360" xr:uid="{00000000-0004-0000-0000-000067010000}"/>
    <hyperlink ref="AQ519" r:id="rId361" xr:uid="{00000000-0004-0000-0000-000068010000}"/>
    <hyperlink ref="AQ520" r:id="rId362" xr:uid="{00000000-0004-0000-0000-000069010000}"/>
    <hyperlink ref="AQ522" r:id="rId363" xr:uid="{00000000-0004-0000-0000-00006A010000}"/>
    <hyperlink ref="AQ524" r:id="rId364" xr:uid="{00000000-0004-0000-0000-00006B010000}"/>
    <hyperlink ref="AQ527" r:id="rId365" xr:uid="{00000000-0004-0000-0000-00006C010000}"/>
    <hyperlink ref="AQ528" r:id="rId366" xr:uid="{00000000-0004-0000-0000-00006D010000}"/>
    <hyperlink ref="AQ529" r:id="rId367" xr:uid="{00000000-0004-0000-0000-00006E010000}"/>
    <hyperlink ref="AQ530" r:id="rId368" xr:uid="{00000000-0004-0000-0000-00006F010000}"/>
    <hyperlink ref="AQ533" r:id="rId369" xr:uid="{00000000-0004-0000-0000-000070010000}"/>
    <hyperlink ref="AQ534" r:id="rId370" xr:uid="{00000000-0004-0000-0000-000071010000}"/>
    <hyperlink ref="AQ536" r:id="rId371" xr:uid="{00000000-0004-0000-0000-000072010000}"/>
    <hyperlink ref="AQ540" r:id="rId372" xr:uid="{00000000-0004-0000-0000-000073010000}"/>
    <hyperlink ref="AQ541" r:id="rId373" xr:uid="{00000000-0004-0000-0000-000074010000}"/>
    <hyperlink ref="AQ542" r:id="rId374" xr:uid="{00000000-0004-0000-0000-000075010000}"/>
    <hyperlink ref="AQ543" r:id="rId375" xr:uid="{00000000-0004-0000-0000-000076010000}"/>
    <hyperlink ref="AQ544" r:id="rId376" xr:uid="{00000000-0004-0000-0000-000077010000}"/>
    <hyperlink ref="AQ545" r:id="rId377" xr:uid="{00000000-0004-0000-0000-000078010000}"/>
    <hyperlink ref="AQ546" r:id="rId378" xr:uid="{00000000-0004-0000-0000-000079010000}"/>
    <hyperlink ref="AQ547" r:id="rId379" xr:uid="{00000000-0004-0000-0000-00007A010000}"/>
    <hyperlink ref="AQ548" r:id="rId380" xr:uid="{00000000-0004-0000-0000-00007B010000}"/>
    <hyperlink ref="AQ549" r:id="rId381" xr:uid="{00000000-0004-0000-0000-00007C010000}"/>
    <hyperlink ref="AQ552" r:id="rId382" xr:uid="{00000000-0004-0000-0000-00007D010000}"/>
    <hyperlink ref="AQ553" r:id="rId383" xr:uid="{00000000-0004-0000-0000-00007E010000}"/>
    <hyperlink ref="AQ557" r:id="rId384" xr:uid="{00000000-0004-0000-0000-00007F010000}"/>
    <hyperlink ref="AQ558" r:id="rId385" xr:uid="{00000000-0004-0000-0000-000080010000}"/>
    <hyperlink ref="AQ559" r:id="rId386" xr:uid="{00000000-0004-0000-0000-000081010000}"/>
    <hyperlink ref="AQ36" r:id="rId387" display="mailto:r.lokin-beader@eif.org" xr:uid="{97112D33-5DBD-1D41-973B-D302C5F0781C}"/>
    <hyperlink ref="AQ559:AQ560" r:id="rId388" display="mailto:r.lokin-beader@eif.org" xr:uid="{0002E2D6-F887-764E-A782-5DE2A3380553}"/>
  </hyperlinks>
  <pageMargins left="0.7" right="0.7" top="0.78740157499999996" bottom="0.78740157499999996" header="0.3" footer="0.3"/>
  <ignoredErrors>
    <ignoredError sqref="A1:BR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6" x14ac:dyDescent="0.2"/>
  <sheetData/>
  <pageMargins left="0.7" right="0.7" top="0.78740157499999996" bottom="0.78740157499999996" header="0" footer="0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3"/>
  <sheetViews>
    <sheetView workbookViewId="0"/>
  </sheetViews>
  <sheetFormatPr baseColWidth="10" defaultRowHeight="16" x14ac:dyDescent="0.2"/>
  <sheetData>
    <row r="1" spans="1:5" x14ac:dyDescent="0.2">
      <c r="A1" t="s">
        <v>2962</v>
      </c>
      <c r="B1" t="s">
        <v>2963</v>
      </c>
      <c r="C1" t="s">
        <v>2964</v>
      </c>
      <c r="D1" t="s">
        <v>2965</v>
      </c>
      <c r="E1" t="s">
        <v>2966</v>
      </c>
    </row>
    <row r="2" spans="1:5" x14ac:dyDescent="0.2">
      <c r="A2">
        <v>0</v>
      </c>
      <c r="B2" t="s">
        <v>2967</v>
      </c>
      <c r="D2" t="s">
        <v>2968</v>
      </c>
      <c r="E2" t="s">
        <v>2969</v>
      </c>
    </row>
    <row r="3" spans="1:5" x14ac:dyDescent="0.2">
      <c r="A3">
        <v>2</v>
      </c>
      <c r="B3" t="s">
        <v>2970</v>
      </c>
      <c r="C3">
        <v>11</v>
      </c>
      <c r="D3" t="s">
        <v>2971</v>
      </c>
      <c r="E3" t="s">
        <v>2972</v>
      </c>
    </row>
    <row r="4" spans="1:5" x14ac:dyDescent="0.2">
      <c r="A4">
        <v>3</v>
      </c>
      <c r="B4" t="s">
        <v>2973</v>
      </c>
      <c r="C4">
        <v>12</v>
      </c>
      <c r="D4" t="s">
        <v>2971</v>
      </c>
      <c r="E4" t="s">
        <v>2974</v>
      </c>
    </row>
    <row r="5" spans="1:5" x14ac:dyDescent="0.2">
      <c r="A5">
        <v>4</v>
      </c>
      <c r="B5" t="s">
        <v>2975</v>
      </c>
      <c r="C5">
        <v>13</v>
      </c>
      <c r="D5" t="s">
        <v>2971</v>
      </c>
      <c r="E5" t="s">
        <v>2976</v>
      </c>
    </row>
    <row r="6" spans="1:5" x14ac:dyDescent="0.2">
      <c r="A6">
        <v>5</v>
      </c>
      <c r="B6" t="s">
        <v>2977</v>
      </c>
      <c r="C6">
        <v>14</v>
      </c>
      <c r="D6" t="s">
        <v>2971</v>
      </c>
      <c r="E6" t="s">
        <v>2978</v>
      </c>
    </row>
    <row r="7" spans="1:5" x14ac:dyDescent="0.2">
      <c r="A7">
        <v>9</v>
      </c>
      <c r="B7" t="s">
        <v>2979</v>
      </c>
      <c r="C7">
        <v>20</v>
      </c>
      <c r="D7" t="s">
        <v>2971</v>
      </c>
      <c r="E7" t="s">
        <v>2980</v>
      </c>
    </row>
    <row r="8" spans="1:5" x14ac:dyDescent="0.2">
      <c r="A8">
        <v>6</v>
      </c>
      <c r="B8" t="s">
        <v>2981</v>
      </c>
      <c r="C8">
        <v>15</v>
      </c>
      <c r="D8" t="s">
        <v>2971</v>
      </c>
      <c r="E8" t="s">
        <v>2982</v>
      </c>
    </row>
    <row r="9" spans="1:5" x14ac:dyDescent="0.2">
      <c r="A9">
        <v>7</v>
      </c>
      <c r="B9" t="s">
        <v>2983</v>
      </c>
      <c r="C9">
        <v>16</v>
      </c>
      <c r="D9" t="s">
        <v>2971</v>
      </c>
      <c r="E9" t="s">
        <v>2984</v>
      </c>
    </row>
    <row r="10" spans="1:5" x14ac:dyDescent="0.2">
      <c r="A10">
        <v>8</v>
      </c>
      <c r="B10" t="s">
        <v>2985</v>
      </c>
      <c r="C10">
        <v>17</v>
      </c>
      <c r="D10" t="s">
        <v>2971</v>
      </c>
      <c r="E10" t="s">
        <v>2986</v>
      </c>
    </row>
    <row r="11" spans="1:5" x14ac:dyDescent="0.2">
      <c r="A11">
        <v>10</v>
      </c>
      <c r="B11" t="s">
        <v>2987</v>
      </c>
      <c r="C11">
        <v>21</v>
      </c>
      <c r="D11" t="s">
        <v>2988</v>
      </c>
      <c r="E11" t="s">
        <v>2989</v>
      </c>
    </row>
    <row r="12" spans="1:5" x14ac:dyDescent="0.2">
      <c r="A12">
        <v>12</v>
      </c>
      <c r="B12" t="s">
        <v>265</v>
      </c>
      <c r="C12">
        <v>31</v>
      </c>
      <c r="D12" t="s">
        <v>2971</v>
      </c>
      <c r="E12" t="s">
        <v>2990</v>
      </c>
    </row>
    <row r="13" spans="1:5" x14ac:dyDescent="0.2">
      <c r="A13">
        <v>14</v>
      </c>
      <c r="B13" t="s">
        <v>2991</v>
      </c>
      <c r="C13">
        <v>33</v>
      </c>
      <c r="D13" t="s">
        <v>2971</v>
      </c>
      <c r="E13" t="s">
        <v>2992</v>
      </c>
    </row>
    <row r="14" spans="1:5" x14ac:dyDescent="0.2">
      <c r="A14">
        <v>15</v>
      </c>
      <c r="B14" t="s">
        <v>2993</v>
      </c>
      <c r="C14">
        <v>35</v>
      </c>
      <c r="D14" t="s">
        <v>2971</v>
      </c>
      <c r="E14" t="s">
        <v>2994</v>
      </c>
    </row>
    <row r="15" spans="1:5" x14ac:dyDescent="0.2">
      <c r="A15">
        <v>20</v>
      </c>
      <c r="B15" t="s">
        <v>2995</v>
      </c>
      <c r="C15">
        <v>19</v>
      </c>
      <c r="D15" t="s">
        <v>2971</v>
      </c>
      <c r="E15" t="s">
        <v>2996</v>
      </c>
    </row>
    <row r="16" spans="1:5" x14ac:dyDescent="0.2">
      <c r="A16">
        <v>17</v>
      </c>
      <c r="B16" t="s">
        <v>2997</v>
      </c>
      <c r="C16">
        <v>36</v>
      </c>
      <c r="D16" t="s">
        <v>2971</v>
      </c>
      <c r="E16" t="s">
        <v>2998</v>
      </c>
    </row>
    <row r="17" spans="1:5" x14ac:dyDescent="0.2">
      <c r="A17">
        <v>18</v>
      </c>
      <c r="B17" t="s">
        <v>2999</v>
      </c>
      <c r="C17">
        <v>37</v>
      </c>
      <c r="D17" t="s">
        <v>2971</v>
      </c>
      <c r="E17" t="s">
        <v>3000</v>
      </c>
    </row>
    <row r="18" spans="1:5" x14ac:dyDescent="0.2">
      <c r="A18">
        <v>19</v>
      </c>
      <c r="B18" t="s">
        <v>3001</v>
      </c>
      <c r="C18">
        <v>38</v>
      </c>
      <c r="D18" t="s">
        <v>2971</v>
      </c>
      <c r="E18" t="s">
        <v>3001</v>
      </c>
    </row>
    <row r="19" spans="1:5" x14ac:dyDescent="0.2">
      <c r="A19">
        <v>1</v>
      </c>
      <c r="B19" t="s">
        <v>3002</v>
      </c>
      <c r="C19">
        <v>2</v>
      </c>
      <c r="D19" t="s">
        <v>3003</v>
      </c>
      <c r="E19" t="s">
        <v>3002</v>
      </c>
    </row>
    <row r="20" spans="1:5" x14ac:dyDescent="0.2">
      <c r="A20">
        <v>11</v>
      </c>
      <c r="B20" t="s">
        <v>3004</v>
      </c>
      <c r="C20">
        <v>4</v>
      </c>
      <c r="D20" t="s">
        <v>3003</v>
      </c>
      <c r="E20" t="s">
        <v>3004</v>
      </c>
    </row>
    <row r="21" spans="1:5" x14ac:dyDescent="0.2">
      <c r="A21">
        <v>16</v>
      </c>
      <c r="B21" t="s">
        <v>3005</v>
      </c>
      <c r="C21">
        <v>34</v>
      </c>
      <c r="D21" t="s">
        <v>2971</v>
      </c>
      <c r="E21" t="s">
        <v>3005</v>
      </c>
    </row>
    <row r="22" spans="1:5" x14ac:dyDescent="0.2">
      <c r="A22">
        <v>19</v>
      </c>
      <c r="B22" t="s">
        <v>3006</v>
      </c>
      <c r="C22">
        <v>40</v>
      </c>
      <c r="D22" t="s">
        <v>2971</v>
      </c>
      <c r="E22" t="s">
        <v>3007</v>
      </c>
    </row>
    <row r="23" spans="1:5" x14ac:dyDescent="0.2">
      <c r="A23">
        <v>21</v>
      </c>
      <c r="B23" t="s">
        <v>3008</v>
      </c>
      <c r="C23">
        <v>18</v>
      </c>
      <c r="D23" t="s">
        <v>2971</v>
      </c>
      <c r="E23" t="s">
        <v>3009</v>
      </c>
    </row>
    <row r="24" spans="1:5" x14ac:dyDescent="0.2">
      <c r="A24">
        <v>50</v>
      </c>
      <c r="B24" t="s">
        <v>3010</v>
      </c>
      <c r="C24">
        <v>50</v>
      </c>
      <c r="D24" t="s">
        <v>3011</v>
      </c>
      <c r="E24" t="s">
        <v>3012</v>
      </c>
    </row>
    <row r="25" spans="1:5" x14ac:dyDescent="0.2">
      <c r="A25">
        <v>102</v>
      </c>
      <c r="B25" t="s">
        <v>3013</v>
      </c>
      <c r="C25" t="s">
        <v>3014</v>
      </c>
      <c r="D25" t="s">
        <v>3015</v>
      </c>
      <c r="E25" t="s">
        <v>3016</v>
      </c>
    </row>
    <row r="26" spans="1:5" x14ac:dyDescent="0.2">
      <c r="A26">
        <v>109</v>
      </c>
      <c r="B26" t="s">
        <v>3017</v>
      </c>
      <c r="C26" t="s">
        <v>3018</v>
      </c>
      <c r="D26" t="s">
        <v>3015</v>
      </c>
      <c r="E26" t="s">
        <v>3019</v>
      </c>
    </row>
    <row r="27" spans="1:5" x14ac:dyDescent="0.2">
      <c r="A27">
        <v>112</v>
      </c>
      <c r="B27" t="s">
        <v>3020</v>
      </c>
      <c r="C27">
        <v>87</v>
      </c>
      <c r="D27" t="s">
        <v>3021</v>
      </c>
      <c r="E27" t="s">
        <v>3022</v>
      </c>
    </row>
    <row r="28" spans="1:5" x14ac:dyDescent="0.2">
      <c r="A28">
        <v>150</v>
      </c>
      <c r="B28" t="s">
        <v>3023</v>
      </c>
      <c r="C28">
        <v>1</v>
      </c>
      <c r="D28" t="s">
        <v>3003</v>
      </c>
      <c r="E28" t="s">
        <v>3024</v>
      </c>
    </row>
    <row r="29" spans="1:5" x14ac:dyDescent="0.2">
      <c r="A29">
        <v>188</v>
      </c>
      <c r="B29" t="s">
        <v>3025</v>
      </c>
      <c r="C29">
        <v>81</v>
      </c>
      <c r="D29" t="s">
        <v>3026</v>
      </c>
      <c r="E29" t="s">
        <v>3027</v>
      </c>
    </row>
    <row r="30" spans="1:5" x14ac:dyDescent="0.2">
      <c r="A30">
        <v>200</v>
      </c>
      <c r="B30" t="s">
        <v>3028</v>
      </c>
      <c r="C30">
        <v>60</v>
      </c>
      <c r="D30" t="s">
        <v>3029</v>
      </c>
      <c r="E30" t="s">
        <v>3030</v>
      </c>
    </row>
    <row r="31" spans="1:5" x14ac:dyDescent="0.2">
      <c r="A31">
        <v>201</v>
      </c>
      <c r="B31" t="s">
        <v>3031</v>
      </c>
      <c r="C31">
        <v>61</v>
      </c>
      <c r="D31" t="s">
        <v>3029</v>
      </c>
      <c r="E31" t="s">
        <v>3032</v>
      </c>
    </row>
    <row r="32" spans="1:5" x14ac:dyDescent="0.2">
      <c r="A32">
        <v>202</v>
      </c>
      <c r="B32" t="s">
        <v>3033</v>
      </c>
      <c r="C32">
        <v>62</v>
      </c>
      <c r="D32" t="s">
        <v>3029</v>
      </c>
      <c r="E32" t="s">
        <v>3033</v>
      </c>
    </row>
    <row r="33" spans="1:5" x14ac:dyDescent="0.2">
      <c r="A33">
        <v>210</v>
      </c>
      <c r="B33" t="s">
        <v>3034</v>
      </c>
      <c r="C33">
        <v>70</v>
      </c>
      <c r="D33" t="s">
        <v>3035</v>
      </c>
      <c r="E33" t="s">
        <v>3036</v>
      </c>
    </row>
    <row r="34" spans="1:5" x14ac:dyDescent="0.2">
      <c r="A34">
        <v>211</v>
      </c>
      <c r="B34" t="s">
        <v>3037</v>
      </c>
      <c r="C34">
        <v>70</v>
      </c>
      <c r="D34" t="s">
        <v>3035</v>
      </c>
      <c r="E34" t="s">
        <v>3038</v>
      </c>
    </row>
    <row r="35" spans="1:5" x14ac:dyDescent="0.2">
      <c r="A35">
        <v>212</v>
      </c>
      <c r="B35" t="s">
        <v>3039</v>
      </c>
      <c r="C35">
        <v>70</v>
      </c>
      <c r="D35" t="s">
        <v>3035</v>
      </c>
      <c r="E35" t="s">
        <v>3039</v>
      </c>
    </row>
    <row r="36" spans="1:5" x14ac:dyDescent="0.2">
      <c r="A36">
        <v>213</v>
      </c>
      <c r="B36" t="s">
        <v>3040</v>
      </c>
      <c r="C36">
        <v>71</v>
      </c>
      <c r="D36" t="s">
        <v>3035</v>
      </c>
      <c r="E36" t="s">
        <v>3041</v>
      </c>
    </row>
    <row r="37" spans="1:5" x14ac:dyDescent="0.2">
      <c r="A37">
        <v>214</v>
      </c>
      <c r="B37" t="s">
        <v>3042</v>
      </c>
      <c r="C37">
        <v>51</v>
      </c>
      <c r="D37" t="s">
        <v>3011</v>
      </c>
      <c r="E37" t="s">
        <v>3043</v>
      </c>
    </row>
    <row r="38" spans="1:5" x14ac:dyDescent="0.2">
      <c r="A38">
        <v>215</v>
      </c>
      <c r="B38" t="s">
        <v>3044</v>
      </c>
      <c r="C38">
        <v>52</v>
      </c>
      <c r="D38" t="s">
        <v>3011</v>
      </c>
      <c r="E38" t="s">
        <v>3044</v>
      </c>
    </row>
    <row r="39" spans="1:5" x14ac:dyDescent="0.2">
      <c r="A39">
        <v>220</v>
      </c>
      <c r="B39" t="s">
        <v>3045</v>
      </c>
      <c r="C39">
        <v>82</v>
      </c>
      <c r="D39" t="s">
        <v>3021</v>
      </c>
      <c r="E39" t="s">
        <v>3046</v>
      </c>
    </row>
    <row r="40" spans="1:5" x14ac:dyDescent="0.2">
      <c r="A40">
        <v>221</v>
      </c>
      <c r="B40" t="s">
        <v>3047</v>
      </c>
      <c r="C40">
        <v>82</v>
      </c>
      <c r="D40" t="s">
        <v>3026</v>
      </c>
      <c r="E40" t="s">
        <v>3048</v>
      </c>
    </row>
    <row r="41" spans="1:5" x14ac:dyDescent="0.2">
      <c r="A41">
        <v>240</v>
      </c>
      <c r="B41" t="s">
        <v>3049</v>
      </c>
      <c r="C41">
        <v>86</v>
      </c>
      <c r="D41" t="s">
        <v>3021</v>
      </c>
      <c r="E41" t="s">
        <v>3050</v>
      </c>
    </row>
    <row r="42" spans="1:5" x14ac:dyDescent="0.2">
      <c r="A42">
        <v>250</v>
      </c>
      <c r="B42" t="s">
        <v>3051</v>
      </c>
      <c r="C42">
        <v>84</v>
      </c>
      <c r="D42" t="s">
        <v>3021</v>
      </c>
      <c r="E42" t="s">
        <v>3052</v>
      </c>
    </row>
    <row r="43" spans="1:5" x14ac:dyDescent="0.2">
      <c r="A43">
        <v>251</v>
      </c>
      <c r="B43" t="s">
        <v>3053</v>
      </c>
      <c r="C43">
        <v>84</v>
      </c>
      <c r="D43" t="s">
        <v>3026</v>
      </c>
      <c r="E43" t="s">
        <v>3054</v>
      </c>
    </row>
    <row r="44" spans="1:5" x14ac:dyDescent="0.2">
      <c r="A44">
        <v>252</v>
      </c>
      <c r="B44" t="s">
        <v>3055</v>
      </c>
      <c r="C44">
        <v>85</v>
      </c>
      <c r="D44" t="s">
        <v>3026</v>
      </c>
      <c r="E44" t="s">
        <v>3056</v>
      </c>
    </row>
    <row r="45" spans="1:5" x14ac:dyDescent="0.2">
      <c r="A45">
        <v>253</v>
      </c>
      <c r="B45" t="s">
        <v>3057</v>
      </c>
      <c r="C45">
        <v>85</v>
      </c>
      <c r="D45" t="s">
        <v>3058</v>
      </c>
      <c r="E45" t="s">
        <v>3059</v>
      </c>
    </row>
    <row r="46" spans="1:5" x14ac:dyDescent="0.2">
      <c r="A46">
        <v>254</v>
      </c>
      <c r="B46" t="s">
        <v>3060</v>
      </c>
      <c r="C46">
        <v>81</v>
      </c>
      <c r="D46" t="s">
        <v>3021</v>
      </c>
      <c r="E46" t="s">
        <v>3060</v>
      </c>
    </row>
    <row r="47" spans="1:5" x14ac:dyDescent="0.2">
      <c r="A47">
        <v>255</v>
      </c>
      <c r="B47" t="s">
        <v>3061</v>
      </c>
      <c r="C47">
        <v>82</v>
      </c>
      <c r="D47" t="s">
        <v>3021</v>
      </c>
      <c r="E47" t="s">
        <v>3061</v>
      </c>
    </row>
    <row r="48" spans="1:5" x14ac:dyDescent="0.2">
      <c r="A48">
        <v>256</v>
      </c>
      <c r="B48" t="s">
        <v>3062</v>
      </c>
      <c r="C48">
        <v>84</v>
      </c>
      <c r="D48" t="s">
        <v>3026</v>
      </c>
      <c r="E48" t="s">
        <v>3063</v>
      </c>
    </row>
    <row r="49" spans="1:5" x14ac:dyDescent="0.2">
      <c r="A49">
        <v>300</v>
      </c>
      <c r="B49" t="s">
        <v>3064</v>
      </c>
      <c r="C49">
        <v>90</v>
      </c>
      <c r="D49" t="s">
        <v>3065</v>
      </c>
      <c r="E49" t="s">
        <v>3066</v>
      </c>
    </row>
    <row r="50" spans="1:5" x14ac:dyDescent="0.2">
      <c r="A50">
        <v>301</v>
      </c>
      <c r="B50" t="s">
        <v>3067</v>
      </c>
      <c r="C50">
        <v>91</v>
      </c>
      <c r="D50" t="s">
        <v>3065</v>
      </c>
      <c r="E50" t="s">
        <v>3068</v>
      </c>
    </row>
    <row r="51" spans="1:5" x14ac:dyDescent="0.2">
      <c r="A51">
        <v>302</v>
      </c>
      <c r="B51" t="s">
        <v>3069</v>
      </c>
      <c r="C51">
        <v>92</v>
      </c>
      <c r="D51" t="s">
        <v>3065</v>
      </c>
      <c r="E51" t="s">
        <v>3070</v>
      </c>
    </row>
    <row r="52" spans="1:5" x14ac:dyDescent="0.2">
      <c r="A52">
        <v>303</v>
      </c>
      <c r="B52" t="s">
        <v>3071</v>
      </c>
      <c r="C52">
        <v>93</v>
      </c>
      <c r="D52" t="s">
        <v>3065</v>
      </c>
      <c r="E52" t="s">
        <v>3072</v>
      </c>
    </row>
    <row r="53" spans="1:5" x14ac:dyDescent="0.2">
      <c r="A53">
        <v>304</v>
      </c>
      <c r="B53" t="s">
        <v>3073</v>
      </c>
      <c r="C53">
        <v>94</v>
      </c>
      <c r="D53" t="s">
        <v>3065</v>
      </c>
      <c r="E53" t="s">
        <v>3074</v>
      </c>
    </row>
    <row r="54" spans="1:5" x14ac:dyDescent="0.2">
      <c r="A54">
        <v>976</v>
      </c>
      <c r="B54" t="s">
        <v>3075</v>
      </c>
      <c r="C54">
        <v>83</v>
      </c>
      <c r="D54" t="s">
        <v>3021</v>
      </c>
      <c r="E54" t="s">
        <v>3076</v>
      </c>
    </row>
    <row r="55" spans="1:5" x14ac:dyDescent="0.2">
      <c r="A55">
        <v>977</v>
      </c>
      <c r="B55" t="s">
        <v>3077</v>
      </c>
      <c r="C55">
        <v>83</v>
      </c>
      <c r="D55" t="s">
        <v>3021</v>
      </c>
      <c r="E55" t="s">
        <v>3078</v>
      </c>
    </row>
    <row r="56" spans="1:5" x14ac:dyDescent="0.2">
      <c r="A56">
        <v>978</v>
      </c>
      <c r="B56" t="s">
        <v>3079</v>
      </c>
      <c r="C56">
        <v>100</v>
      </c>
      <c r="D56" t="s">
        <v>3080</v>
      </c>
      <c r="E56" t="s">
        <v>3081</v>
      </c>
    </row>
    <row r="57" spans="1:5" x14ac:dyDescent="0.2">
      <c r="A57">
        <v>979</v>
      </c>
      <c r="B57" t="s">
        <v>3082</v>
      </c>
      <c r="C57">
        <v>101</v>
      </c>
      <c r="D57" t="s">
        <v>3080</v>
      </c>
      <c r="E57" t="s">
        <v>3083</v>
      </c>
    </row>
    <row r="58" spans="1:5" x14ac:dyDescent="0.2">
      <c r="A58">
        <v>980</v>
      </c>
      <c r="B58" t="s">
        <v>3084</v>
      </c>
      <c r="C58">
        <v>63</v>
      </c>
      <c r="D58" t="s">
        <v>3085</v>
      </c>
      <c r="E58" t="s">
        <v>3086</v>
      </c>
    </row>
    <row r="59" spans="1:5" x14ac:dyDescent="0.2">
      <c r="A59">
        <v>981</v>
      </c>
      <c r="B59" t="s">
        <v>3087</v>
      </c>
      <c r="C59">
        <v>102</v>
      </c>
      <c r="D59" t="s">
        <v>3080</v>
      </c>
      <c r="E59" t="s">
        <v>3088</v>
      </c>
    </row>
    <row r="60" spans="1:5" x14ac:dyDescent="0.2">
      <c r="A60">
        <v>982</v>
      </c>
      <c r="B60" t="s">
        <v>3089</v>
      </c>
      <c r="C60">
        <v>103</v>
      </c>
      <c r="D60" t="s">
        <v>3080</v>
      </c>
      <c r="E60" t="s">
        <v>3090</v>
      </c>
    </row>
    <row r="61" spans="1:5" x14ac:dyDescent="0.2">
      <c r="A61">
        <v>983</v>
      </c>
      <c r="B61" t="s">
        <v>3091</v>
      </c>
      <c r="C61">
        <v>104</v>
      </c>
      <c r="D61" t="s">
        <v>3080</v>
      </c>
      <c r="E61" t="s">
        <v>3092</v>
      </c>
    </row>
    <row r="62" spans="1:5" x14ac:dyDescent="0.2">
      <c r="A62">
        <v>984</v>
      </c>
      <c r="B62" t="s">
        <v>3093</v>
      </c>
      <c r="C62">
        <v>86</v>
      </c>
      <c r="D62" t="s">
        <v>3094</v>
      </c>
      <c r="E62" t="s">
        <v>3095</v>
      </c>
    </row>
    <row r="63" spans="1:5" x14ac:dyDescent="0.2">
      <c r="A63">
        <v>985</v>
      </c>
      <c r="B63" t="s">
        <v>3096</v>
      </c>
      <c r="C63">
        <v>105</v>
      </c>
      <c r="D63" t="s">
        <v>3080</v>
      </c>
      <c r="E63" t="s">
        <v>3097</v>
      </c>
    </row>
    <row r="64" spans="1:5" x14ac:dyDescent="0.2">
      <c r="A64">
        <v>988</v>
      </c>
      <c r="B64" t="s">
        <v>3098</v>
      </c>
      <c r="C64">
        <v>81</v>
      </c>
      <c r="D64" t="s">
        <v>3026</v>
      </c>
      <c r="E64" t="s">
        <v>3099</v>
      </c>
    </row>
    <row r="65" spans="1:5" x14ac:dyDescent="0.2">
      <c r="A65">
        <v>991</v>
      </c>
      <c r="B65" t="s">
        <v>3100</v>
      </c>
      <c r="C65">
        <v>106</v>
      </c>
      <c r="D65" t="s">
        <v>3080</v>
      </c>
      <c r="E65" t="s">
        <v>3101</v>
      </c>
    </row>
    <row r="66" spans="1:5" x14ac:dyDescent="0.2">
      <c r="A66">
        <v>992</v>
      </c>
      <c r="B66" t="s">
        <v>3102</v>
      </c>
      <c r="C66">
        <v>107</v>
      </c>
      <c r="D66" t="s">
        <v>3080</v>
      </c>
      <c r="E66" t="s">
        <v>3103</v>
      </c>
    </row>
    <row r="67" spans="1:5" x14ac:dyDescent="0.2">
      <c r="A67">
        <v>993</v>
      </c>
      <c r="B67" t="s">
        <v>3104</v>
      </c>
      <c r="C67">
        <v>108</v>
      </c>
      <c r="D67" t="s">
        <v>3080</v>
      </c>
      <c r="E67" t="s">
        <v>3105</v>
      </c>
    </row>
    <row r="68" spans="1:5" x14ac:dyDescent="0.2">
      <c r="A68">
        <v>994</v>
      </c>
      <c r="B68" t="s">
        <v>3106</v>
      </c>
      <c r="C68">
        <v>109</v>
      </c>
      <c r="D68" t="s">
        <v>3080</v>
      </c>
      <c r="E68" t="s">
        <v>3107</v>
      </c>
    </row>
    <row r="69" spans="1:5" x14ac:dyDescent="0.2">
      <c r="A69">
        <v>996</v>
      </c>
      <c r="B69" t="s">
        <v>3108</v>
      </c>
      <c r="C69">
        <v>111</v>
      </c>
      <c r="D69" t="s">
        <v>3080</v>
      </c>
      <c r="E69" t="s">
        <v>3109</v>
      </c>
    </row>
    <row r="70" spans="1:5" x14ac:dyDescent="0.2">
      <c r="A70">
        <v>997</v>
      </c>
      <c r="B70" t="s">
        <v>3110</v>
      </c>
      <c r="C70">
        <v>112</v>
      </c>
      <c r="D70" t="s">
        <v>3080</v>
      </c>
      <c r="E70" t="s">
        <v>3111</v>
      </c>
    </row>
    <row r="71" spans="1:5" x14ac:dyDescent="0.2">
      <c r="A71">
        <v>999</v>
      </c>
      <c r="B71" t="s">
        <v>3112</v>
      </c>
      <c r="C71">
        <v>114</v>
      </c>
      <c r="D71" t="s">
        <v>3080</v>
      </c>
      <c r="E71" t="s">
        <v>3113</v>
      </c>
    </row>
    <row r="72" spans="1:5" x14ac:dyDescent="0.2">
      <c r="A72">
        <v>995</v>
      </c>
      <c r="B72" t="s">
        <v>3114</v>
      </c>
      <c r="C72">
        <v>110</v>
      </c>
      <c r="D72" t="s">
        <v>3080</v>
      </c>
      <c r="E72" t="s">
        <v>3114</v>
      </c>
    </row>
    <row r="73" spans="1:5" x14ac:dyDescent="0.2">
      <c r="A73">
        <v>998</v>
      </c>
      <c r="B73" t="s">
        <v>3114</v>
      </c>
      <c r="C73">
        <v>113</v>
      </c>
      <c r="D73" t="s">
        <v>3080</v>
      </c>
      <c r="E73" t="s">
        <v>3114</v>
      </c>
    </row>
  </sheetData>
  <autoFilter ref="A1:E73" xr:uid="{00000000-0009-0000-0000-000002000000}"/>
  <pageMargins left="0.7" right="0.7" top="0.78740157499999996" bottom="0.78740157499999996" header="0" footer="0"/>
  <ignoredErrors>
    <ignoredError sqref="A1:E100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17528"/>
  <sheetViews>
    <sheetView workbookViewId="0"/>
  </sheetViews>
  <sheetFormatPr baseColWidth="10" defaultRowHeight="16" x14ac:dyDescent="0.2"/>
  <sheetData>
    <row r="1" spans="1:62" x14ac:dyDescent="0.2">
      <c r="A1" t="s">
        <v>0</v>
      </c>
      <c r="B1" t="s">
        <v>1</v>
      </c>
      <c r="C1" t="s">
        <v>3115</v>
      </c>
      <c r="D1" t="s">
        <v>5</v>
      </c>
      <c r="E1" t="s">
        <v>6</v>
      </c>
      <c r="F1" t="s">
        <v>7</v>
      </c>
      <c r="G1" t="s">
        <v>8</v>
      </c>
      <c r="H1" t="s">
        <v>3116</v>
      </c>
      <c r="I1" t="s">
        <v>3117</v>
      </c>
      <c r="J1" t="s">
        <v>3118</v>
      </c>
      <c r="K1" t="s">
        <v>3117</v>
      </c>
      <c r="L1" t="s">
        <v>3119</v>
      </c>
      <c r="M1" t="s">
        <v>17</v>
      </c>
      <c r="N1" t="s">
        <v>18</v>
      </c>
      <c r="O1" t="s">
        <v>19</v>
      </c>
      <c r="P1" t="s">
        <v>20</v>
      </c>
      <c r="Q1" t="s">
        <v>22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3120</v>
      </c>
      <c r="Z1" t="s">
        <v>3121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45</v>
      </c>
      <c r="AO1" t="s">
        <v>46</v>
      </c>
      <c r="AP1" t="s">
        <v>47</v>
      </c>
      <c r="AQ1" t="s">
        <v>48</v>
      </c>
      <c r="AR1" t="s">
        <v>3122</v>
      </c>
      <c r="AS1" t="s">
        <v>3123</v>
      </c>
      <c r="AT1" t="s">
        <v>3124</v>
      </c>
      <c r="AU1" t="s">
        <v>3125</v>
      </c>
      <c r="AV1" t="s">
        <v>3126</v>
      </c>
      <c r="AW1" t="s">
        <v>50</v>
      </c>
      <c r="AX1" t="s">
        <v>52</v>
      </c>
      <c r="AY1" t="s">
        <v>53</v>
      </c>
      <c r="AZ1" t="s">
        <v>54</v>
      </c>
      <c r="BA1" t="s">
        <v>55</v>
      </c>
      <c r="BB1" t="s">
        <v>56</v>
      </c>
      <c r="BC1" t="s">
        <v>57</v>
      </c>
      <c r="BD1" t="s">
        <v>58</v>
      </c>
      <c r="BE1" t="s">
        <v>59</v>
      </c>
      <c r="BF1" t="s">
        <v>60</v>
      </c>
      <c r="BG1" t="s">
        <v>65</v>
      </c>
      <c r="BH1" t="s">
        <v>66</v>
      </c>
      <c r="BI1" t="s">
        <v>67</v>
      </c>
      <c r="BJ1" t="s">
        <v>3127</v>
      </c>
    </row>
    <row r="2" spans="1:62" x14ac:dyDescent="0.2">
      <c r="A2" t="s">
        <v>3128</v>
      </c>
      <c r="G2" t="s">
        <v>3129</v>
      </c>
      <c r="I2">
        <v>200</v>
      </c>
      <c r="J2" t="str">
        <f t="shared" ref="J2:J25" si="0">VLOOKUP(I2,CAT_JOUEUR,2,FALSE)</f>
        <v>Donateurs</v>
      </c>
      <c r="K2">
        <v>200</v>
      </c>
      <c r="L2" t="str">
        <f t="shared" ref="L2:L25" si="1">VLOOKUP(K2,CAT_JOUEUR,2,FALSE)</f>
        <v>Donateurs</v>
      </c>
      <c r="AC2" t="s">
        <v>78</v>
      </c>
      <c r="AE2" t="s">
        <v>78</v>
      </c>
      <c r="AF2" t="s">
        <v>78</v>
      </c>
      <c r="AG2" t="s">
        <v>79</v>
      </c>
      <c r="AW2" t="s">
        <v>3130</v>
      </c>
      <c r="AX2" t="s">
        <v>137</v>
      </c>
      <c r="AY2" t="s">
        <v>137</v>
      </c>
      <c r="BA2" t="s">
        <v>3130</v>
      </c>
      <c r="BG2" t="s">
        <v>930</v>
      </c>
    </row>
    <row r="3" spans="1:62" x14ac:dyDescent="0.2">
      <c r="A3" t="s">
        <v>3131</v>
      </c>
      <c r="B3" t="s">
        <v>3132</v>
      </c>
      <c r="G3" t="s">
        <v>3129</v>
      </c>
      <c r="I3">
        <v>200</v>
      </c>
      <c r="J3" t="str">
        <f t="shared" si="0"/>
        <v>Donateurs</v>
      </c>
      <c r="K3">
        <v>200</v>
      </c>
      <c r="L3" t="str">
        <f t="shared" si="1"/>
        <v>Donateurs</v>
      </c>
      <c r="AC3" t="s">
        <v>78</v>
      </c>
      <c r="AE3" t="s">
        <v>78</v>
      </c>
      <c r="AF3" t="s">
        <v>78</v>
      </c>
      <c r="AG3" t="s">
        <v>79</v>
      </c>
      <c r="AW3" t="s">
        <v>3130</v>
      </c>
      <c r="AX3" t="s">
        <v>137</v>
      </c>
      <c r="AY3" t="s">
        <v>137</v>
      </c>
      <c r="BA3" t="s">
        <v>3130</v>
      </c>
    </row>
    <row r="4" spans="1:62" x14ac:dyDescent="0.2">
      <c r="A4" t="s">
        <v>3133</v>
      </c>
      <c r="B4" t="s">
        <v>3132</v>
      </c>
      <c r="F4" t="s">
        <v>208</v>
      </c>
      <c r="G4" t="s">
        <v>3129</v>
      </c>
      <c r="I4">
        <v>200</v>
      </c>
      <c r="J4" t="str">
        <f t="shared" si="0"/>
        <v>Donateurs</v>
      </c>
      <c r="K4">
        <v>200</v>
      </c>
      <c r="L4" t="str">
        <f t="shared" si="1"/>
        <v>Donateurs</v>
      </c>
      <c r="AC4" t="s">
        <v>78</v>
      </c>
      <c r="AE4" t="s">
        <v>78</v>
      </c>
      <c r="AF4" t="s">
        <v>78</v>
      </c>
      <c r="AG4" t="s">
        <v>79</v>
      </c>
      <c r="AL4" t="s">
        <v>3134</v>
      </c>
      <c r="AW4" t="s">
        <v>3130</v>
      </c>
      <c r="AX4" t="s">
        <v>137</v>
      </c>
      <c r="AY4" t="s">
        <v>137</v>
      </c>
      <c r="BA4" t="s">
        <v>3130</v>
      </c>
    </row>
    <row r="5" spans="1:62" x14ac:dyDescent="0.2">
      <c r="A5" t="s">
        <v>364</v>
      </c>
      <c r="B5" t="s">
        <v>1530</v>
      </c>
      <c r="G5" t="s">
        <v>3129</v>
      </c>
      <c r="I5">
        <v>200</v>
      </c>
      <c r="J5" t="str">
        <f t="shared" si="0"/>
        <v>Donateurs</v>
      </c>
      <c r="K5">
        <v>200</v>
      </c>
      <c r="L5" t="str">
        <f t="shared" si="1"/>
        <v>Donateurs</v>
      </c>
      <c r="AC5" t="s">
        <v>78</v>
      </c>
      <c r="AE5" t="s">
        <v>78</v>
      </c>
      <c r="AF5" t="s">
        <v>78</v>
      </c>
      <c r="AG5" t="s">
        <v>79</v>
      </c>
      <c r="AW5" t="s">
        <v>3130</v>
      </c>
      <c r="AX5" t="s">
        <v>137</v>
      </c>
      <c r="AY5" t="s">
        <v>137</v>
      </c>
      <c r="BA5" t="s">
        <v>3130</v>
      </c>
    </row>
    <row r="6" spans="1:62" x14ac:dyDescent="0.2">
      <c r="A6" t="s">
        <v>3135</v>
      </c>
      <c r="B6" t="s">
        <v>3136</v>
      </c>
      <c r="G6" t="s">
        <v>3129</v>
      </c>
      <c r="I6">
        <v>200</v>
      </c>
      <c r="J6" t="str">
        <f t="shared" si="0"/>
        <v>Donateurs</v>
      </c>
      <c r="K6">
        <v>200</v>
      </c>
      <c r="L6" t="str">
        <f t="shared" si="1"/>
        <v>Donateurs</v>
      </c>
      <c r="AC6" t="s">
        <v>78</v>
      </c>
      <c r="AE6" t="s">
        <v>78</v>
      </c>
      <c r="AF6" t="s">
        <v>78</v>
      </c>
      <c r="AG6" t="s">
        <v>79</v>
      </c>
      <c r="AW6" t="s">
        <v>3130</v>
      </c>
      <c r="AX6" t="s">
        <v>137</v>
      </c>
      <c r="AY6" t="s">
        <v>137</v>
      </c>
      <c r="BA6" t="s">
        <v>3130</v>
      </c>
    </row>
    <row r="7" spans="1:62" x14ac:dyDescent="0.2">
      <c r="A7" t="s">
        <v>3137</v>
      </c>
      <c r="B7" t="s">
        <v>3138</v>
      </c>
      <c r="C7" t="s">
        <v>3139</v>
      </c>
      <c r="D7" t="s">
        <v>3140</v>
      </c>
      <c r="E7" t="s">
        <v>3141</v>
      </c>
      <c r="F7" t="s">
        <v>132</v>
      </c>
      <c r="G7" t="s">
        <v>3129</v>
      </c>
      <c r="I7">
        <v>200</v>
      </c>
      <c r="J7" t="str">
        <f t="shared" si="0"/>
        <v>Donateurs</v>
      </c>
      <c r="K7">
        <v>200</v>
      </c>
      <c r="L7" t="str">
        <f t="shared" si="1"/>
        <v>Donateurs</v>
      </c>
      <c r="AC7" t="s">
        <v>78</v>
      </c>
      <c r="AE7" t="s">
        <v>78</v>
      </c>
      <c r="AF7" t="s">
        <v>78</v>
      </c>
      <c r="AG7" t="s">
        <v>79</v>
      </c>
      <c r="AS7">
        <v>15</v>
      </c>
      <c r="AT7">
        <v>15</v>
      </c>
      <c r="AW7" t="s">
        <v>3130</v>
      </c>
      <c r="AX7" t="s">
        <v>137</v>
      </c>
      <c r="AY7" t="s">
        <v>137</v>
      </c>
      <c r="BA7" t="s">
        <v>3130</v>
      </c>
    </row>
    <row r="8" spans="1:62" x14ac:dyDescent="0.2">
      <c r="A8" t="s">
        <v>3142</v>
      </c>
      <c r="G8" t="s">
        <v>3129</v>
      </c>
      <c r="I8">
        <v>200</v>
      </c>
      <c r="J8" t="str">
        <f t="shared" si="0"/>
        <v>Donateurs</v>
      </c>
      <c r="K8">
        <v>200</v>
      </c>
      <c r="L8" t="str">
        <f t="shared" si="1"/>
        <v>Donateurs</v>
      </c>
      <c r="AC8" t="s">
        <v>78</v>
      </c>
      <c r="AD8" t="s">
        <v>78</v>
      </c>
      <c r="AE8" t="s">
        <v>78</v>
      </c>
      <c r="AF8" t="s">
        <v>78</v>
      </c>
      <c r="AG8" t="s">
        <v>79</v>
      </c>
      <c r="AW8" t="s">
        <v>3130</v>
      </c>
      <c r="AX8" t="s">
        <v>137</v>
      </c>
      <c r="AY8" t="s">
        <v>137</v>
      </c>
      <c r="BA8" t="s">
        <v>3130</v>
      </c>
    </row>
    <row r="9" spans="1:62" x14ac:dyDescent="0.2">
      <c r="A9" t="s">
        <v>3143</v>
      </c>
      <c r="B9" t="s">
        <v>3144</v>
      </c>
      <c r="C9" t="s">
        <v>3145</v>
      </c>
      <c r="D9" t="s">
        <v>3146</v>
      </c>
      <c r="E9" t="s">
        <v>416</v>
      </c>
      <c r="F9" t="s">
        <v>3147</v>
      </c>
      <c r="G9" t="s">
        <v>3129</v>
      </c>
      <c r="I9">
        <v>200</v>
      </c>
      <c r="J9" t="str">
        <f t="shared" si="0"/>
        <v>Donateurs</v>
      </c>
      <c r="K9">
        <v>200</v>
      </c>
      <c r="L9" t="str">
        <f t="shared" si="1"/>
        <v>Donateurs</v>
      </c>
      <c r="AC9" t="s">
        <v>78</v>
      </c>
      <c r="AD9" t="s">
        <v>78</v>
      </c>
      <c r="AE9" t="s">
        <v>78</v>
      </c>
      <c r="AF9" t="s">
        <v>78</v>
      </c>
      <c r="AG9" t="s">
        <v>79</v>
      </c>
      <c r="AT9">
        <v>20</v>
      </c>
      <c r="AW9" t="s">
        <v>3130</v>
      </c>
      <c r="AX9" t="s">
        <v>137</v>
      </c>
      <c r="AY9" t="s">
        <v>137</v>
      </c>
      <c r="BA9" t="s">
        <v>3130</v>
      </c>
    </row>
    <row r="10" spans="1:62" x14ac:dyDescent="0.2">
      <c r="A10" t="s">
        <v>3148</v>
      </c>
      <c r="B10" t="s">
        <v>385</v>
      </c>
      <c r="C10" t="s">
        <v>3145</v>
      </c>
      <c r="D10" t="s">
        <v>3149</v>
      </c>
      <c r="E10" t="s">
        <v>3150</v>
      </c>
      <c r="F10" t="s">
        <v>559</v>
      </c>
      <c r="G10" t="s">
        <v>3129</v>
      </c>
      <c r="I10">
        <v>200</v>
      </c>
      <c r="J10" t="str">
        <f t="shared" si="0"/>
        <v>Donateurs</v>
      </c>
      <c r="K10">
        <v>200</v>
      </c>
      <c r="L10" t="str">
        <f t="shared" si="1"/>
        <v>Donateurs</v>
      </c>
      <c r="AC10" t="s">
        <v>78</v>
      </c>
      <c r="AD10" t="s">
        <v>78</v>
      </c>
      <c r="AE10" t="s">
        <v>78</v>
      </c>
      <c r="AF10" t="s">
        <v>78</v>
      </c>
      <c r="AG10" t="s">
        <v>79</v>
      </c>
      <c r="AW10" t="s">
        <v>3130</v>
      </c>
      <c r="AX10" t="s">
        <v>137</v>
      </c>
      <c r="AY10" t="s">
        <v>137</v>
      </c>
      <c r="AZ10" t="s">
        <v>1330</v>
      </c>
      <c r="BA10">
        <v>40</v>
      </c>
    </row>
    <row r="11" spans="1:62" x14ac:dyDescent="0.2">
      <c r="A11" t="s">
        <v>3151</v>
      </c>
      <c r="B11" t="s">
        <v>3152</v>
      </c>
      <c r="C11" t="s">
        <v>3153</v>
      </c>
      <c r="D11" t="s">
        <v>3154</v>
      </c>
      <c r="E11" t="s">
        <v>633</v>
      </c>
      <c r="F11" t="s">
        <v>3155</v>
      </c>
      <c r="G11" t="s">
        <v>2656</v>
      </c>
      <c r="I11">
        <v>200</v>
      </c>
      <c r="J11" t="str">
        <f t="shared" si="0"/>
        <v>Donateurs</v>
      </c>
      <c r="K11">
        <v>200</v>
      </c>
      <c r="L11" t="str">
        <f t="shared" si="1"/>
        <v>Donateurs</v>
      </c>
      <c r="AC11" t="s">
        <v>78</v>
      </c>
      <c r="AD11" t="s">
        <v>78</v>
      </c>
      <c r="AE11" t="s">
        <v>78</v>
      </c>
      <c r="AF11" t="s">
        <v>78</v>
      </c>
      <c r="AG11" t="s">
        <v>79</v>
      </c>
      <c r="AT11">
        <v>125</v>
      </c>
      <c r="AW11" t="s">
        <v>3130</v>
      </c>
      <c r="AX11" t="s">
        <v>137</v>
      </c>
      <c r="AY11" t="s">
        <v>137</v>
      </c>
      <c r="BA11" t="s">
        <v>3130</v>
      </c>
    </row>
    <row r="12" spans="1:62" x14ac:dyDescent="0.2">
      <c r="A12" t="s">
        <v>3156</v>
      </c>
      <c r="B12" t="s">
        <v>3157</v>
      </c>
      <c r="D12" t="s">
        <v>3158</v>
      </c>
      <c r="E12" t="s">
        <v>3159</v>
      </c>
      <c r="F12" t="s">
        <v>132</v>
      </c>
      <c r="G12" t="s">
        <v>3129</v>
      </c>
      <c r="I12">
        <v>200</v>
      </c>
      <c r="J12" t="str">
        <f t="shared" si="0"/>
        <v>Donateurs</v>
      </c>
      <c r="K12">
        <v>200</v>
      </c>
      <c r="L12" t="str">
        <f t="shared" si="1"/>
        <v>Donateurs</v>
      </c>
      <c r="AC12" t="s">
        <v>534</v>
      </c>
      <c r="AE12" t="s">
        <v>78</v>
      </c>
      <c r="AF12" t="s">
        <v>78</v>
      </c>
      <c r="AG12" t="s">
        <v>79</v>
      </c>
      <c r="AL12" t="s">
        <v>3160</v>
      </c>
      <c r="AS12">
        <v>80</v>
      </c>
      <c r="AW12" t="s">
        <v>442</v>
      </c>
      <c r="AX12" t="s">
        <v>136</v>
      </c>
      <c r="AY12" t="s">
        <v>137</v>
      </c>
      <c r="AZ12" t="s">
        <v>138</v>
      </c>
      <c r="BA12">
        <v>30</v>
      </c>
    </row>
    <row r="13" spans="1:62" x14ac:dyDescent="0.2">
      <c r="A13" t="s">
        <v>3161</v>
      </c>
      <c r="B13" t="s">
        <v>3162</v>
      </c>
      <c r="C13" t="s">
        <v>208</v>
      </c>
      <c r="G13" t="s">
        <v>3129</v>
      </c>
      <c r="I13">
        <v>200</v>
      </c>
      <c r="J13" t="str">
        <f t="shared" si="0"/>
        <v>Donateurs</v>
      </c>
      <c r="K13">
        <v>200</v>
      </c>
      <c r="L13" t="str">
        <f t="shared" si="1"/>
        <v>Donateurs</v>
      </c>
      <c r="AC13" t="s">
        <v>78</v>
      </c>
      <c r="AE13" t="s">
        <v>78</v>
      </c>
      <c r="AF13" t="s">
        <v>78</v>
      </c>
      <c r="AG13" t="s">
        <v>79</v>
      </c>
      <c r="AW13" t="s">
        <v>3130</v>
      </c>
      <c r="AX13" t="s">
        <v>137</v>
      </c>
      <c r="AY13" t="s">
        <v>137</v>
      </c>
      <c r="BA13" t="s">
        <v>3130</v>
      </c>
    </row>
    <row r="14" spans="1:62" x14ac:dyDescent="0.2">
      <c r="A14" t="s">
        <v>3163</v>
      </c>
      <c r="B14" t="s">
        <v>470</v>
      </c>
      <c r="G14" t="s">
        <v>3129</v>
      </c>
      <c r="I14">
        <v>200</v>
      </c>
      <c r="J14" t="str">
        <f t="shared" si="0"/>
        <v>Donateurs</v>
      </c>
      <c r="K14">
        <v>200</v>
      </c>
      <c r="L14" t="str">
        <f t="shared" si="1"/>
        <v>Donateurs</v>
      </c>
      <c r="AC14" t="s">
        <v>78</v>
      </c>
      <c r="AE14" t="s">
        <v>78</v>
      </c>
      <c r="AF14" t="s">
        <v>78</v>
      </c>
      <c r="AK14" t="s">
        <v>208</v>
      </c>
      <c r="AW14" t="s">
        <v>3130</v>
      </c>
      <c r="AX14" t="s">
        <v>137</v>
      </c>
      <c r="AY14" t="s">
        <v>137</v>
      </c>
      <c r="BA14" t="s">
        <v>3130</v>
      </c>
    </row>
    <row r="15" spans="1:62" x14ac:dyDescent="0.2">
      <c r="A15" t="s">
        <v>3164</v>
      </c>
      <c r="B15" t="s">
        <v>3165</v>
      </c>
      <c r="G15" t="s">
        <v>3129</v>
      </c>
      <c r="I15">
        <v>200</v>
      </c>
      <c r="J15" t="str">
        <f t="shared" si="0"/>
        <v>Donateurs</v>
      </c>
      <c r="K15">
        <v>200</v>
      </c>
      <c r="L15" t="str">
        <f t="shared" si="1"/>
        <v>Donateurs</v>
      </c>
      <c r="AC15" t="s">
        <v>78</v>
      </c>
      <c r="AE15" t="s">
        <v>78</v>
      </c>
      <c r="AF15" t="s">
        <v>78</v>
      </c>
      <c r="AG15" t="s">
        <v>79</v>
      </c>
      <c r="AW15" t="s">
        <v>3130</v>
      </c>
      <c r="AX15" t="s">
        <v>137</v>
      </c>
      <c r="AY15" t="s">
        <v>137</v>
      </c>
      <c r="BA15" t="s">
        <v>3130</v>
      </c>
    </row>
    <row r="16" spans="1:62" x14ac:dyDescent="0.2">
      <c r="A16" t="s">
        <v>3166</v>
      </c>
      <c r="B16" t="s">
        <v>3167</v>
      </c>
      <c r="C16" t="s">
        <v>3145</v>
      </c>
      <c r="D16" t="s">
        <v>3168</v>
      </c>
      <c r="E16" t="s">
        <v>1068</v>
      </c>
      <c r="F16" t="s">
        <v>1069</v>
      </c>
      <c r="G16" t="s">
        <v>3129</v>
      </c>
      <c r="I16">
        <v>200</v>
      </c>
      <c r="J16" t="str">
        <f t="shared" si="0"/>
        <v>Donateurs</v>
      </c>
      <c r="K16">
        <v>200</v>
      </c>
      <c r="L16" t="str">
        <f t="shared" si="1"/>
        <v>Donateurs</v>
      </c>
      <c r="AC16" t="s">
        <v>78</v>
      </c>
      <c r="AE16" t="s">
        <v>78</v>
      </c>
      <c r="AF16" t="s">
        <v>78</v>
      </c>
      <c r="AG16" t="s">
        <v>79</v>
      </c>
      <c r="AS16">
        <v>20</v>
      </c>
      <c r="AW16" t="s">
        <v>3130</v>
      </c>
      <c r="AX16" t="s">
        <v>137</v>
      </c>
      <c r="AY16" t="s">
        <v>137</v>
      </c>
      <c r="BA16" t="s">
        <v>3130</v>
      </c>
    </row>
    <row r="17" spans="1:59" x14ac:dyDescent="0.2">
      <c r="A17" t="s">
        <v>1800</v>
      </c>
      <c r="B17" t="s">
        <v>3132</v>
      </c>
      <c r="F17" t="s">
        <v>208</v>
      </c>
      <c r="G17" t="s">
        <v>3129</v>
      </c>
      <c r="I17">
        <v>200</v>
      </c>
      <c r="J17" t="str">
        <f t="shared" si="0"/>
        <v>Donateurs</v>
      </c>
      <c r="K17">
        <v>200</v>
      </c>
      <c r="L17" t="str">
        <f t="shared" si="1"/>
        <v>Donateurs</v>
      </c>
      <c r="AC17" t="s">
        <v>78</v>
      </c>
      <c r="AE17" t="s">
        <v>78</v>
      </c>
      <c r="AF17" t="s">
        <v>78</v>
      </c>
      <c r="AG17" t="s">
        <v>79</v>
      </c>
      <c r="AW17" t="s">
        <v>3130</v>
      </c>
      <c r="AX17" t="s">
        <v>137</v>
      </c>
      <c r="AY17" t="s">
        <v>137</v>
      </c>
      <c r="BA17" t="s">
        <v>3130</v>
      </c>
    </row>
    <row r="18" spans="1:59" x14ac:dyDescent="0.2">
      <c r="A18" t="s">
        <v>3169</v>
      </c>
      <c r="G18" t="s">
        <v>3129</v>
      </c>
      <c r="I18">
        <v>200</v>
      </c>
      <c r="J18" t="str">
        <f t="shared" si="0"/>
        <v>Donateurs</v>
      </c>
      <c r="K18">
        <v>200</v>
      </c>
      <c r="L18" t="str">
        <f t="shared" si="1"/>
        <v>Donateurs</v>
      </c>
      <c r="AC18" t="s">
        <v>78</v>
      </c>
      <c r="AE18" t="s">
        <v>78</v>
      </c>
      <c r="AF18" t="s">
        <v>78</v>
      </c>
      <c r="AG18" t="s">
        <v>79</v>
      </c>
      <c r="AW18" t="s">
        <v>3130</v>
      </c>
      <c r="AX18" t="s">
        <v>137</v>
      </c>
      <c r="AY18" t="s">
        <v>137</v>
      </c>
      <c r="BA18" t="s">
        <v>3130</v>
      </c>
    </row>
    <row r="19" spans="1:59" x14ac:dyDescent="0.2">
      <c r="A19" t="s">
        <v>3170</v>
      </c>
      <c r="B19" t="s">
        <v>3171</v>
      </c>
      <c r="D19" t="s">
        <v>3172</v>
      </c>
      <c r="E19" t="s">
        <v>3173</v>
      </c>
      <c r="F19" t="s">
        <v>3174</v>
      </c>
      <c r="G19" t="s">
        <v>2954</v>
      </c>
      <c r="I19">
        <v>50</v>
      </c>
      <c r="J19" t="str">
        <f t="shared" si="0"/>
        <v>Benevole</v>
      </c>
      <c r="K19">
        <v>50</v>
      </c>
      <c r="L19" t="str">
        <f t="shared" si="1"/>
        <v>Benevole</v>
      </c>
      <c r="AC19" t="s">
        <v>78</v>
      </c>
      <c r="AE19" t="s">
        <v>78</v>
      </c>
      <c r="AF19" t="s">
        <v>78</v>
      </c>
      <c r="AG19" t="s">
        <v>79</v>
      </c>
      <c r="AL19" t="s">
        <v>3175</v>
      </c>
      <c r="AV19">
        <v>20</v>
      </c>
      <c r="AW19" t="s">
        <v>91</v>
      </c>
      <c r="AX19" t="s">
        <v>136</v>
      </c>
      <c r="AY19" t="s">
        <v>271</v>
      </c>
    </row>
    <row r="20" spans="1:59" x14ac:dyDescent="0.2">
      <c r="A20" t="s">
        <v>3176</v>
      </c>
      <c r="B20" t="s">
        <v>3177</v>
      </c>
      <c r="G20" t="s">
        <v>3129</v>
      </c>
      <c r="I20">
        <v>200</v>
      </c>
      <c r="J20" t="str">
        <f t="shared" si="0"/>
        <v>Donateurs</v>
      </c>
      <c r="K20">
        <v>200</v>
      </c>
      <c r="L20" t="str">
        <f t="shared" si="1"/>
        <v>Donateurs</v>
      </c>
      <c r="AC20" t="s">
        <v>78</v>
      </c>
      <c r="AE20" t="s">
        <v>78</v>
      </c>
      <c r="AF20" t="s">
        <v>78</v>
      </c>
      <c r="AG20" t="s">
        <v>79</v>
      </c>
      <c r="AW20" t="s">
        <v>3130</v>
      </c>
      <c r="AX20" t="s">
        <v>137</v>
      </c>
      <c r="AY20" t="s">
        <v>137</v>
      </c>
      <c r="BA20" t="s">
        <v>3130</v>
      </c>
    </row>
    <row r="21" spans="1:59" x14ac:dyDescent="0.2">
      <c r="A21" t="s">
        <v>3178</v>
      </c>
      <c r="B21" t="s">
        <v>3179</v>
      </c>
      <c r="G21" t="s">
        <v>3129</v>
      </c>
      <c r="I21">
        <v>200</v>
      </c>
      <c r="J21" t="str">
        <f t="shared" si="0"/>
        <v>Donateurs</v>
      </c>
      <c r="K21">
        <v>200</v>
      </c>
      <c r="L21" t="str">
        <f t="shared" si="1"/>
        <v>Donateurs</v>
      </c>
      <c r="AC21" t="s">
        <v>78</v>
      </c>
      <c r="AE21" t="s">
        <v>78</v>
      </c>
      <c r="AF21" t="s">
        <v>78</v>
      </c>
      <c r="AG21" t="s">
        <v>79</v>
      </c>
      <c r="AW21" t="s">
        <v>3130</v>
      </c>
      <c r="AX21" t="s">
        <v>137</v>
      </c>
      <c r="AY21" t="s">
        <v>137</v>
      </c>
      <c r="BA21" t="s">
        <v>3130</v>
      </c>
    </row>
    <row r="22" spans="1:59" x14ac:dyDescent="0.2">
      <c r="A22" t="s">
        <v>3180</v>
      </c>
      <c r="B22" t="s">
        <v>3181</v>
      </c>
      <c r="G22" t="s">
        <v>3129</v>
      </c>
      <c r="I22">
        <v>200</v>
      </c>
      <c r="J22" t="str">
        <f t="shared" si="0"/>
        <v>Donateurs</v>
      </c>
      <c r="K22">
        <v>200</v>
      </c>
      <c r="L22" t="str">
        <f t="shared" si="1"/>
        <v>Donateurs</v>
      </c>
      <c r="AC22" t="s">
        <v>78</v>
      </c>
      <c r="AE22" t="s">
        <v>78</v>
      </c>
      <c r="AF22" t="s">
        <v>78</v>
      </c>
      <c r="AG22" t="s">
        <v>79</v>
      </c>
      <c r="AW22" t="s">
        <v>3130</v>
      </c>
      <c r="AX22" t="s">
        <v>137</v>
      </c>
      <c r="AY22" t="s">
        <v>137</v>
      </c>
      <c r="BA22" t="s">
        <v>3130</v>
      </c>
    </row>
    <row r="23" spans="1:59" x14ac:dyDescent="0.2">
      <c r="A23" t="s">
        <v>3182</v>
      </c>
      <c r="B23" t="s">
        <v>3183</v>
      </c>
      <c r="F23" t="s">
        <v>208</v>
      </c>
      <c r="G23" t="s">
        <v>3129</v>
      </c>
      <c r="I23">
        <v>200</v>
      </c>
      <c r="J23" t="str">
        <f t="shared" si="0"/>
        <v>Donateurs</v>
      </c>
      <c r="K23">
        <v>200</v>
      </c>
      <c r="L23" t="str">
        <f t="shared" si="1"/>
        <v>Donateurs</v>
      </c>
      <c r="AC23" t="s">
        <v>78</v>
      </c>
      <c r="AE23" t="s">
        <v>78</v>
      </c>
      <c r="AF23" t="s">
        <v>78</v>
      </c>
      <c r="AG23" t="s">
        <v>79</v>
      </c>
      <c r="AW23" t="s">
        <v>3130</v>
      </c>
      <c r="AX23" t="s">
        <v>137</v>
      </c>
      <c r="AY23" t="s">
        <v>137</v>
      </c>
      <c r="BA23" t="s">
        <v>3130</v>
      </c>
      <c r="BG23" t="s">
        <v>930</v>
      </c>
    </row>
    <row r="24" spans="1:59" x14ac:dyDescent="0.2">
      <c r="A24" t="s">
        <v>3184</v>
      </c>
      <c r="B24" t="s">
        <v>292</v>
      </c>
      <c r="G24" t="s">
        <v>3129</v>
      </c>
      <c r="I24">
        <v>200</v>
      </c>
      <c r="J24" t="str">
        <f t="shared" si="0"/>
        <v>Donateurs</v>
      </c>
      <c r="K24">
        <v>200</v>
      </c>
      <c r="L24" t="str">
        <f t="shared" si="1"/>
        <v>Donateurs</v>
      </c>
      <c r="AC24" t="s">
        <v>78</v>
      </c>
      <c r="AE24" t="s">
        <v>78</v>
      </c>
      <c r="AF24" t="s">
        <v>78</v>
      </c>
      <c r="AG24" t="s">
        <v>79</v>
      </c>
      <c r="AW24" t="s">
        <v>3130</v>
      </c>
      <c r="AX24" t="s">
        <v>137</v>
      </c>
      <c r="AY24" t="s">
        <v>137</v>
      </c>
      <c r="BA24" t="s">
        <v>3130</v>
      </c>
    </row>
    <row r="25" spans="1:59" x14ac:dyDescent="0.2">
      <c r="A25" t="s">
        <v>3185</v>
      </c>
      <c r="G25" t="s">
        <v>3129</v>
      </c>
      <c r="I25">
        <v>200</v>
      </c>
      <c r="J25" t="str">
        <f t="shared" si="0"/>
        <v>Donateurs</v>
      </c>
      <c r="K25">
        <v>200</v>
      </c>
      <c r="L25" t="str">
        <f t="shared" si="1"/>
        <v>Donateurs</v>
      </c>
      <c r="AC25" t="s">
        <v>78</v>
      </c>
      <c r="AE25" t="s">
        <v>78</v>
      </c>
      <c r="AF25" t="s">
        <v>78</v>
      </c>
      <c r="AG25" t="s">
        <v>79</v>
      </c>
      <c r="AW25" t="s">
        <v>3130</v>
      </c>
      <c r="AX25" t="s">
        <v>137</v>
      </c>
      <c r="AY25" t="s">
        <v>137</v>
      </c>
      <c r="BA25" t="s">
        <v>3130</v>
      </c>
    </row>
    <row r="41" spans="38:38" x14ac:dyDescent="0.2">
      <c r="AL41" t="s">
        <v>208</v>
      </c>
    </row>
    <row r="17525" spans="3:36" x14ac:dyDescent="0.2">
      <c r="C17525" t="s">
        <v>208</v>
      </c>
    </row>
    <row r="17526" spans="3:36" x14ac:dyDescent="0.2">
      <c r="AJ17526" t="s">
        <v>208</v>
      </c>
    </row>
    <row r="17528" spans="3:36" x14ac:dyDescent="0.2">
      <c r="AJ17528" t="s">
        <v>208</v>
      </c>
    </row>
  </sheetData>
  <hyperlinks>
    <hyperlink ref="AL4" r:id="rId1" xr:uid="{00000000-0004-0000-0300-000000000000}"/>
    <hyperlink ref="AL12" r:id="rId2" xr:uid="{00000000-0004-0000-0300-000001000000}"/>
  </hyperlinks>
  <pageMargins left="0.7" right="0.7" top="0.78740157499999996" bottom="0.78740157499999996" header="0" footer="0"/>
  <ignoredErrors>
    <ignoredError sqref="A1:BJ1752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7528"/>
  <sheetViews>
    <sheetView workbookViewId="0"/>
  </sheetViews>
  <sheetFormatPr baseColWidth="10" defaultRowHeight="16" x14ac:dyDescent="0.2"/>
  <sheetData>
    <row r="1" spans="1:62" x14ac:dyDescent="0.2">
      <c r="A1" t="s">
        <v>0</v>
      </c>
      <c r="B1" t="s">
        <v>1</v>
      </c>
      <c r="C1" t="s">
        <v>3115</v>
      </c>
      <c r="D1" t="s">
        <v>5</v>
      </c>
      <c r="E1" t="s">
        <v>6</v>
      </c>
      <c r="F1" t="s">
        <v>7</v>
      </c>
      <c r="G1" t="s">
        <v>8</v>
      </c>
      <c r="H1" t="s">
        <v>3116</v>
      </c>
      <c r="I1" t="s">
        <v>3117</v>
      </c>
      <c r="J1" t="s">
        <v>3118</v>
      </c>
      <c r="K1" t="s">
        <v>3117</v>
      </c>
      <c r="L1" t="s">
        <v>3119</v>
      </c>
      <c r="M1" t="s">
        <v>17</v>
      </c>
      <c r="N1" t="s">
        <v>18</v>
      </c>
      <c r="O1" t="s">
        <v>19</v>
      </c>
      <c r="P1" t="s">
        <v>20</v>
      </c>
      <c r="Q1" t="s">
        <v>22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3120</v>
      </c>
      <c r="Z1" t="s">
        <v>3121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45</v>
      </c>
      <c r="AO1" t="s">
        <v>46</v>
      </c>
      <c r="AP1" t="s">
        <v>47</v>
      </c>
      <c r="AQ1" t="s">
        <v>48</v>
      </c>
      <c r="AR1" t="s">
        <v>3122</v>
      </c>
      <c r="AS1" t="s">
        <v>3123</v>
      </c>
      <c r="AT1" t="s">
        <v>3124</v>
      </c>
      <c r="AU1" t="s">
        <v>3125</v>
      </c>
      <c r="AV1" t="s">
        <v>3126</v>
      </c>
      <c r="AW1" t="s">
        <v>50</v>
      </c>
      <c r="AX1" t="s">
        <v>52</v>
      </c>
      <c r="AY1" t="s">
        <v>53</v>
      </c>
      <c r="AZ1" t="s">
        <v>54</v>
      </c>
      <c r="BA1" t="s">
        <v>55</v>
      </c>
      <c r="BB1" t="s">
        <v>56</v>
      </c>
      <c r="BC1" t="s">
        <v>57</v>
      </c>
      <c r="BD1" t="s">
        <v>58</v>
      </c>
      <c r="BE1" t="s">
        <v>59</v>
      </c>
      <c r="BF1" t="s">
        <v>60</v>
      </c>
      <c r="BG1" t="s">
        <v>65</v>
      </c>
      <c r="BH1" t="s">
        <v>66</v>
      </c>
      <c r="BI1" t="s">
        <v>67</v>
      </c>
      <c r="BJ1" t="s">
        <v>3127</v>
      </c>
    </row>
    <row r="2" spans="1:62" x14ac:dyDescent="0.2">
      <c r="A2" t="s">
        <v>3128</v>
      </c>
      <c r="G2" t="s">
        <v>3129</v>
      </c>
      <c r="I2">
        <v>200</v>
      </c>
      <c r="J2" t="str">
        <f t="shared" ref="J2:J25" si="0">VLOOKUP(I2,CAT_JOUEUR,2,FALSE)</f>
        <v>Donateurs</v>
      </c>
      <c r="K2">
        <v>200</v>
      </c>
      <c r="L2" t="str">
        <f t="shared" ref="L2:L25" si="1">VLOOKUP(K2,CAT_JOUEUR,2,FALSE)</f>
        <v>Donateurs</v>
      </c>
      <c r="AC2" t="s">
        <v>78</v>
      </c>
      <c r="AE2" t="s">
        <v>78</v>
      </c>
      <c r="AF2" t="s">
        <v>78</v>
      </c>
      <c r="AG2" t="s">
        <v>79</v>
      </c>
      <c r="AW2" t="s">
        <v>3130</v>
      </c>
      <c r="AX2" t="s">
        <v>137</v>
      </c>
      <c r="AY2" t="s">
        <v>137</v>
      </c>
      <c r="BA2" t="s">
        <v>3130</v>
      </c>
      <c r="BG2" t="s">
        <v>930</v>
      </c>
    </row>
    <row r="3" spans="1:62" x14ac:dyDescent="0.2">
      <c r="A3" t="s">
        <v>3131</v>
      </c>
      <c r="B3" t="s">
        <v>3132</v>
      </c>
      <c r="G3" t="s">
        <v>3129</v>
      </c>
      <c r="I3">
        <v>200</v>
      </c>
      <c r="J3" t="str">
        <f t="shared" si="0"/>
        <v>Donateurs</v>
      </c>
      <c r="K3">
        <v>200</v>
      </c>
      <c r="L3" t="str">
        <f t="shared" si="1"/>
        <v>Donateurs</v>
      </c>
      <c r="AC3" t="s">
        <v>78</v>
      </c>
      <c r="AE3" t="s">
        <v>78</v>
      </c>
      <c r="AF3" t="s">
        <v>78</v>
      </c>
      <c r="AG3" t="s">
        <v>79</v>
      </c>
      <c r="AW3" t="s">
        <v>3130</v>
      </c>
      <c r="AX3" t="s">
        <v>137</v>
      </c>
      <c r="AY3" t="s">
        <v>137</v>
      </c>
      <c r="BA3" t="s">
        <v>3130</v>
      </c>
    </row>
    <row r="4" spans="1:62" x14ac:dyDescent="0.2">
      <c r="A4" t="s">
        <v>3133</v>
      </c>
      <c r="B4" t="s">
        <v>3132</v>
      </c>
      <c r="F4" t="s">
        <v>208</v>
      </c>
      <c r="G4" t="s">
        <v>3129</v>
      </c>
      <c r="I4">
        <v>200</v>
      </c>
      <c r="J4" t="str">
        <f t="shared" si="0"/>
        <v>Donateurs</v>
      </c>
      <c r="K4">
        <v>200</v>
      </c>
      <c r="L4" t="str">
        <f t="shared" si="1"/>
        <v>Donateurs</v>
      </c>
      <c r="AC4" t="s">
        <v>78</v>
      </c>
      <c r="AE4" t="s">
        <v>78</v>
      </c>
      <c r="AF4" t="s">
        <v>78</v>
      </c>
      <c r="AG4" t="s">
        <v>79</v>
      </c>
      <c r="AL4" t="s">
        <v>3134</v>
      </c>
      <c r="AW4" t="s">
        <v>3130</v>
      </c>
      <c r="AX4" t="s">
        <v>137</v>
      </c>
      <c r="AY4" t="s">
        <v>137</v>
      </c>
      <c r="BA4" t="s">
        <v>3130</v>
      </c>
    </row>
    <row r="5" spans="1:62" x14ac:dyDescent="0.2">
      <c r="A5" t="s">
        <v>364</v>
      </c>
      <c r="B5" t="s">
        <v>1530</v>
      </c>
      <c r="G5" t="s">
        <v>3129</v>
      </c>
      <c r="I5">
        <v>200</v>
      </c>
      <c r="J5" t="str">
        <f t="shared" si="0"/>
        <v>Donateurs</v>
      </c>
      <c r="K5">
        <v>200</v>
      </c>
      <c r="L5" t="str">
        <f t="shared" si="1"/>
        <v>Donateurs</v>
      </c>
      <c r="AC5" t="s">
        <v>78</v>
      </c>
      <c r="AE5" t="s">
        <v>78</v>
      </c>
      <c r="AF5" t="s">
        <v>78</v>
      </c>
      <c r="AG5" t="s">
        <v>79</v>
      </c>
      <c r="AW5" t="s">
        <v>3130</v>
      </c>
      <c r="AX5" t="s">
        <v>137</v>
      </c>
      <c r="AY5" t="s">
        <v>137</v>
      </c>
      <c r="BA5" t="s">
        <v>3130</v>
      </c>
    </row>
    <row r="6" spans="1:62" x14ac:dyDescent="0.2">
      <c r="A6" t="s">
        <v>3135</v>
      </c>
      <c r="B6" t="s">
        <v>3136</v>
      </c>
      <c r="G6" t="s">
        <v>3129</v>
      </c>
      <c r="I6">
        <v>200</v>
      </c>
      <c r="J6" t="str">
        <f t="shared" si="0"/>
        <v>Donateurs</v>
      </c>
      <c r="K6">
        <v>200</v>
      </c>
      <c r="L6" t="str">
        <f t="shared" si="1"/>
        <v>Donateurs</v>
      </c>
      <c r="AC6" t="s">
        <v>78</v>
      </c>
      <c r="AE6" t="s">
        <v>78</v>
      </c>
      <c r="AF6" t="s">
        <v>78</v>
      </c>
      <c r="AG6" t="s">
        <v>79</v>
      </c>
      <c r="AW6" t="s">
        <v>3130</v>
      </c>
      <c r="AX6" t="s">
        <v>137</v>
      </c>
      <c r="AY6" t="s">
        <v>137</v>
      </c>
      <c r="BA6" t="s">
        <v>3130</v>
      </c>
    </row>
    <row r="7" spans="1:62" x14ac:dyDescent="0.2">
      <c r="A7" t="s">
        <v>3137</v>
      </c>
      <c r="B7" t="s">
        <v>3138</v>
      </c>
      <c r="C7" t="s">
        <v>3139</v>
      </c>
      <c r="D7" t="s">
        <v>3140</v>
      </c>
      <c r="E7" t="s">
        <v>3141</v>
      </c>
      <c r="F7" t="s">
        <v>132</v>
      </c>
      <c r="G7" t="s">
        <v>3129</v>
      </c>
      <c r="I7">
        <v>200</v>
      </c>
      <c r="J7" t="str">
        <f t="shared" si="0"/>
        <v>Donateurs</v>
      </c>
      <c r="K7">
        <v>200</v>
      </c>
      <c r="L7" t="str">
        <f t="shared" si="1"/>
        <v>Donateurs</v>
      </c>
      <c r="AC7" t="s">
        <v>78</v>
      </c>
      <c r="AE7" t="s">
        <v>78</v>
      </c>
      <c r="AF7" t="s">
        <v>78</v>
      </c>
      <c r="AG7" t="s">
        <v>79</v>
      </c>
      <c r="AS7">
        <v>15</v>
      </c>
      <c r="AT7">
        <v>15</v>
      </c>
      <c r="AW7" t="s">
        <v>3130</v>
      </c>
      <c r="AX7" t="s">
        <v>137</v>
      </c>
      <c r="AY7" t="s">
        <v>137</v>
      </c>
      <c r="BA7" t="s">
        <v>3130</v>
      </c>
    </row>
    <row r="8" spans="1:62" x14ac:dyDescent="0.2">
      <c r="A8" t="s">
        <v>3142</v>
      </c>
      <c r="G8" t="s">
        <v>3129</v>
      </c>
      <c r="I8">
        <v>200</v>
      </c>
      <c r="J8" t="str">
        <f t="shared" si="0"/>
        <v>Donateurs</v>
      </c>
      <c r="K8">
        <v>200</v>
      </c>
      <c r="L8" t="str">
        <f t="shared" si="1"/>
        <v>Donateurs</v>
      </c>
      <c r="AC8" t="s">
        <v>78</v>
      </c>
      <c r="AD8" t="s">
        <v>78</v>
      </c>
      <c r="AE8" t="s">
        <v>78</v>
      </c>
      <c r="AF8" t="s">
        <v>78</v>
      </c>
      <c r="AG8" t="s">
        <v>79</v>
      </c>
      <c r="AW8" t="s">
        <v>3130</v>
      </c>
      <c r="AX8" t="s">
        <v>137</v>
      </c>
      <c r="AY8" t="s">
        <v>137</v>
      </c>
      <c r="BA8" t="s">
        <v>3130</v>
      </c>
    </row>
    <row r="9" spans="1:62" x14ac:dyDescent="0.2">
      <c r="A9" t="s">
        <v>3143</v>
      </c>
      <c r="B9" t="s">
        <v>3144</v>
      </c>
      <c r="C9" t="s">
        <v>3145</v>
      </c>
      <c r="D9" t="s">
        <v>3146</v>
      </c>
      <c r="E9" t="s">
        <v>416</v>
      </c>
      <c r="F9" t="s">
        <v>3147</v>
      </c>
      <c r="G9" t="s">
        <v>3129</v>
      </c>
      <c r="I9">
        <v>200</v>
      </c>
      <c r="J9" t="str">
        <f t="shared" si="0"/>
        <v>Donateurs</v>
      </c>
      <c r="K9">
        <v>200</v>
      </c>
      <c r="L9" t="str">
        <f t="shared" si="1"/>
        <v>Donateurs</v>
      </c>
      <c r="AC9" t="s">
        <v>78</v>
      </c>
      <c r="AD9" t="s">
        <v>78</v>
      </c>
      <c r="AE9" t="s">
        <v>78</v>
      </c>
      <c r="AF9" t="s">
        <v>78</v>
      </c>
      <c r="AG9" t="s">
        <v>79</v>
      </c>
      <c r="AT9">
        <v>20</v>
      </c>
      <c r="AW9" t="s">
        <v>3130</v>
      </c>
      <c r="AX9" t="s">
        <v>137</v>
      </c>
      <c r="AY9" t="s">
        <v>137</v>
      </c>
      <c r="BA9" t="s">
        <v>3130</v>
      </c>
    </row>
    <row r="10" spans="1:62" x14ac:dyDescent="0.2">
      <c r="A10" t="s">
        <v>3148</v>
      </c>
      <c r="B10" t="s">
        <v>385</v>
      </c>
      <c r="C10" t="s">
        <v>3145</v>
      </c>
      <c r="D10" t="s">
        <v>3149</v>
      </c>
      <c r="E10" t="s">
        <v>3150</v>
      </c>
      <c r="F10" t="s">
        <v>559</v>
      </c>
      <c r="G10" t="s">
        <v>3129</v>
      </c>
      <c r="I10">
        <v>200</v>
      </c>
      <c r="J10" t="str">
        <f t="shared" si="0"/>
        <v>Donateurs</v>
      </c>
      <c r="K10">
        <v>200</v>
      </c>
      <c r="L10" t="str">
        <f t="shared" si="1"/>
        <v>Donateurs</v>
      </c>
      <c r="AC10" t="s">
        <v>78</v>
      </c>
      <c r="AD10" t="s">
        <v>78</v>
      </c>
      <c r="AE10" t="s">
        <v>78</v>
      </c>
      <c r="AF10" t="s">
        <v>78</v>
      </c>
      <c r="AG10" t="s">
        <v>79</v>
      </c>
      <c r="AW10" t="s">
        <v>3130</v>
      </c>
      <c r="AX10" t="s">
        <v>137</v>
      </c>
      <c r="AY10" t="s">
        <v>137</v>
      </c>
      <c r="AZ10" t="s">
        <v>1330</v>
      </c>
      <c r="BA10">
        <v>40</v>
      </c>
    </row>
    <row r="11" spans="1:62" x14ac:dyDescent="0.2">
      <c r="A11" t="s">
        <v>3151</v>
      </c>
      <c r="B11" t="s">
        <v>3152</v>
      </c>
      <c r="C11" t="s">
        <v>3153</v>
      </c>
      <c r="D11" t="s">
        <v>3154</v>
      </c>
      <c r="E11" t="s">
        <v>633</v>
      </c>
      <c r="F11" t="s">
        <v>3155</v>
      </c>
      <c r="G11" t="s">
        <v>2656</v>
      </c>
      <c r="I11">
        <v>200</v>
      </c>
      <c r="J11" t="str">
        <f t="shared" si="0"/>
        <v>Donateurs</v>
      </c>
      <c r="K11">
        <v>200</v>
      </c>
      <c r="L11" t="str">
        <f t="shared" si="1"/>
        <v>Donateurs</v>
      </c>
      <c r="AC11" t="s">
        <v>78</v>
      </c>
      <c r="AD11" t="s">
        <v>78</v>
      </c>
      <c r="AE11" t="s">
        <v>78</v>
      </c>
      <c r="AF11" t="s">
        <v>78</v>
      </c>
      <c r="AG11" t="s">
        <v>79</v>
      </c>
      <c r="AT11">
        <v>125</v>
      </c>
      <c r="AW11" t="s">
        <v>3130</v>
      </c>
      <c r="AX11" t="s">
        <v>137</v>
      </c>
      <c r="AY11" t="s">
        <v>137</v>
      </c>
      <c r="BA11" t="s">
        <v>3130</v>
      </c>
    </row>
    <row r="12" spans="1:62" x14ac:dyDescent="0.2">
      <c r="A12" t="s">
        <v>3156</v>
      </c>
      <c r="B12" t="s">
        <v>3157</v>
      </c>
      <c r="D12" t="s">
        <v>3158</v>
      </c>
      <c r="E12" t="s">
        <v>3159</v>
      </c>
      <c r="F12" t="s">
        <v>132</v>
      </c>
      <c r="G12" t="s">
        <v>3129</v>
      </c>
      <c r="I12">
        <v>200</v>
      </c>
      <c r="J12" t="str">
        <f t="shared" si="0"/>
        <v>Donateurs</v>
      </c>
      <c r="K12">
        <v>200</v>
      </c>
      <c r="L12" t="str">
        <f t="shared" si="1"/>
        <v>Donateurs</v>
      </c>
      <c r="AC12" t="s">
        <v>534</v>
      </c>
      <c r="AE12" t="s">
        <v>78</v>
      </c>
      <c r="AF12" t="s">
        <v>78</v>
      </c>
      <c r="AG12" t="s">
        <v>79</v>
      </c>
      <c r="AL12" t="s">
        <v>3160</v>
      </c>
      <c r="AS12">
        <v>80</v>
      </c>
      <c r="AW12" t="s">
        <v>442</v>
      </c>
      <c r="AX12" t="s">
        <v>136</v>
      </c>
      <c r="AY12" t="s">
        <v>137</v>
      </c>
      <c r="AZ12" t="s">
        <v>138</v>
      </c>
      <c r="BA12">
        <v>30</v>
      </c>
    </row>
    <row r="13" spans="1:62" x14ac:dyDescent="0.2">
      <c r="A13" t="s">
        <v>3161</v>
      </c>
      <c r="B13" t="s">
        <v>3162</v>
      </c>
      <c r="C13" t="s">
        <v>208</v>
      </c>
      <c r="G13" t="s">
        <v>3129</v>
      </c>
      <c r="I13">
        <v>200</v>
      </c>
      <c r="J13" t="str">
        <f t="shared" si="0"/>
        <v>Donateurs</v>
      </c>
      <c r="K13">
        <v>200</v>
      </c>
      <c r="L13" t="str">
        <f t="shared" si="1"/>
        <v>Donateurs</v>
      </c>
      <c r="AC13" t="s">
        <v>78</v>
      </c>
      <c r="AE13" t="s">
        <v>78</v>
      </c>
      <c r="AF13" t="s">
        <v>78</v>
      </c>
      <c r="AG13" t="s">
        <v>79</v>
      </c>
      <c r="AW13" t="s">
        <v>3130</v>
      </c>
      <c r="AX13" t="s">
        <v>137</v>
      </c>
      <c r="AY13" t="s">
        <v>137</v>
      </c>
      <c r="BA13" t="s">
        <v>3130</v>
      </c>
    </row>
    <row r="14" spans="1:62" x14ac:dyDescent="0.2">
      <c r="A14" t="s">
        <v>3163</v>
      </c>
      <c r="B14" t="s">
        <v>470</v>
      </c>
      <c r="G14" t="s">
        <v>3129</v>
      </c>
      <c r="I14">
        <v>200</v>
      </c>
      <c r="J14" t="str">
        <f t="shared" si="0"/>
        <v>Donateurs</v>
      </c>
      <c r="K14">
        <v>200</v>
      </c>
      <c r="L14" t="str">
        <f t="shared" si="1"/>
        <v>Donateurs</v>
      </c>
      <c r="AC14" t="s">
        <v>78</v>
      </c>
      <c r="AE14" t="s">
        <v>78</v>
      </c>
      <c r="AF14" t="s">
        <v>78</v>
      </c>
      <c r="AK14" t="s">
        <v>208</v>
      </c>
      <c r="AW14" t="s">
        <v>3130</v>
      </c>
      <c r="AX14" t="s">
        <v>137</v>
      </c>
      <c r="AY14" t="s">
        <v>137</v>
      </c>
      <c r="BA14" t="s">
        <v>3130</v>
      </c>
    </row>
    <row r="15" spans="1:62" x14ac:dyDescent="0.2">
      <c r="A15" t="s">
        <v>3164</v>
      </c>
      <c r="B15" t="s">
        <v>3165</v>
      </c>
      <c r="G15" t="s">
        <v>3129</v>
      </c>
      <c r="I15">
        <v>200</v>
      </c>
      <c r="J15" t="str">
        <f t="shared" si="0"/>
        <v>Donateurs</v>
      </c>
      <c r="K15">
        <v>200</v>
      </c>
      <c r="L15" t="str">
        <f t="shared" si="1"/>
        <v>Donateurs</v>
      </c>
      <c r="AC15" t="s">
        <v>78</v>
      </c>
      <c r="AE15" t="s">
        <v>78</v>
      </c>
      <c r="AF15" t="s">
        <v>78</v>
      </c>
      <c r="AG15" t="s">
        <v>79</v>
      </c>
      <c r="AW15" t="s">
        <v>3130</v>
      </c>
      <c r="AX15" t="s">
        <v>137</v>
      </c>
      <c r="AY15" t="s">
        <v>137</v>
      </c>
      <c r="BA15" t="s">
        <v>3130</v>
      </c>
    </row>
    <row r="16" spans="1:62" x14ac:dyDescent="0.2">
      <c r="A16" t="s">
        <v>3166</v>
      </c>
      <c r="B16" t="s">
        <v>3167</v>
      </c>
      <c r="C16" t="s">
        <v>3145</v>
      </c>
      <c r="D16" t="s">
        <v>3168</v>
      </c>
      <c r="E16" t="s">
        <v>1068</v>
      </c>
      <c r="F16" t="s">
        <v>1069</v>
      </c>
      <c r="G16" t="s">
        <v>3129</v>
      </c>
      <c r="I16">
        <v>200</v>
      </c>
      <c r="J16" t="str">
        <f t="shared" si="0"/>
        <v>Donateurs</v>
      </c>
      <c r="K16">
        <v>200</v>
      </c>
      <c r="L16" t="str">
        <f t="shared" si="1"/>
        <v>Donateurs</v>
      </c>
      <c r="AC16" t="s">
        <v>78</v>
      </c>
      <c r="AE16" t="s">
        <v>78</v>
      </c>
      <c r="AF16" t="s">
        <v>78</v>
      </c>
      <c r="AG16" t="s">
        <v>79</v>
      </c>
      <c r="AS16">
        <v>20</v>
      </c>
      <c r="AW16" t="s">
        <v>3130</v>
      </c>
      <c r="AX16" t="s">
        <v>137</v>
      </c>
      <c r="AY16" t="s">
        <v>137</v>
      </c>
      <c r="BA16" t="s">
        <v>3130</v>
      </c>
    </row>
    <row r="17" spans="1:59" x14ac:dyDescent="0.2">
      <c r="A17" t="s">
        <v>1800</v>
      </c>
      <c r="B17" t="s">
        <v>3132</v>
      </c>
      <c r="F17" t="s">
        <v>208</v>
      </c>
      <c r="G17" t="s">
        <v>3129</v>
      </c>
      <c r="I17">
        <v>200</v>
      </c>
      <c r="J17" t="str">
        <f t="shared" si="0"/>
        <v>Donateurs</v>
      </c>
      <c r="K17">
        <v>200</v>
      </c>
      <c r="L17" t="str">
        <f t="shared" si="1"/>
        <v>Donateurs</v>
      </c>
      <c r="AC17" t="s">
        <v>78</v>
      </c>
      <c r="AE17" t="s">
        <v>78</v>
      </c>
      <c r="AF17" t="s">
        <v>78</v>
      </c>
      <c r="AG17" t="s">
        <v>79</v>
      </c>
      <c r="AW17" t="s">
        <v>3130</v>
      </c>
      <c r="AX17" t="s">
        <v>137</v>
      </c>
      <c r="AY17" t="s">
        <v>137</v>
      </c>
      <c r="BA17" t="s">
        <v>3130</v>
      </c>
    </row>
    <row r="18" spans="1:59" x14ac:dyDescent="0.2">
      <c r="A18" t="s">
        <v>3169</v>
      </c>
      <c r="G18" t="s">
        <v>3129</v>
      </c>
      <c r="I18">
        <v>200</v>
      </c>
      <c r="J18" t="str">
        <f t="shared" si="0"/>
        <v>Donateurs</v>
      </c>
      <c r="K18">
        <v>200</v>
      </c>
      <c r="L18" t="str">
        <f t="shared" si="1"/>
        <v>Donateurs</v>
      </c>
      <c r="AC18" t="s">
        <v>78</v>
      </c>
      <c r="AE18" t="s">
        <v>78</v>
      </c>
      <c r="AF18" t="s">
        <v>78</v>
      </c>
      <c r="AG18" t="s">
        <v>79</v>
      </c>
      <c r="AW18" t="s">
        <v>3130</v>
      </c>
      <c r="AX18" t="s">
        <v>137</v>
      </c>
      <c r="AY18" t="s">
        <v>137</v>
      </c>
      <c r="BA18" t="s">
        <v>3130</v>
      </c>
    </row>
    <row r="19" spans="1:59" x14ac:dyDescent="0.2">
      <c r="A19" t="s">
        <v>3170</v>
      </c>
      <c r="B19" t="s">
        <v>3171</v>
      </c>
      <c r="D19" t="s">
        <v>3172</v>
      </c>
      <c r="E19" t="s">
        <v>3173</v>
      </c>
      <c r="F19" t="s">
        <v>3174</v>
      </c>
      <c r="G19" t="s">
        <v>2954</v>
      </c>
      <c r="I19">
        <v>50</v>
      </c>
      <c r="J19" t="str">
        <f t="shared" si="0"/>
        <v>Benevole</v>
      </c>
      <c r="K19">
        <v>50</v>
      </c>
      <c r="L19" t="str">
        <f t="shared" si="1"/>
        <v>Benevole</v>
      </c>
      <c r="AC19" t="s">
        <v>78</v>
      </c>
      <c r="AE19" t="s">
        <v>78</v>
      </c>
      <c r="AF19" t="s">
        <v>78</v>
      </c>
      <c r="AG19" t="s">
        <v>79</v>
      </c>
      <c r="AL19" t="s">
        <v>3175</v>
      </c>
      <c r="AV19">
        <v>20</v>
      </c>
      <c r="AW19" t="s">
        <v>91</v>
      </c>
      <c r="AX19" t="s">
        <v>136</v>
      </c>
      <c r="AY19" t="s">
        <v>271</v>
      </c>
    </row>
    <row r="20" spans="1:59" x14ac:dyDescent="0.2">
      <c r="A20" t="s">
        <v>3176</v>
      </c>
      <c r="B20" t="s">
        <v>3177</v>
      </c>
      <c r="G20" t="s">
        <v>3129</v>
      </c>
      <c r="I20">
        <v>200</v>
      </c>
      <c r="J20" t="str">
        <f t="shared" si="0"/>
        <v>Donateurs</v>
      </c>
      <c r="K20">
        <v>200</v>
      </c>
      <c r="L20" t="str">
        <f t="shared" si="1"/>
        <v>Donateurs</v>
      </c>
      <c r="AC20" t="s">
        <v>78</v>
      </c>
      <c r="AE20" t="s">
        <v>78</v>
      </c>
      <c r="AF20" t="s">
        <v>78</v>
      </c>
      <c r="AG20" t="s">
        <v>79</v>
      </c>
      <c r="AW20" t="s">
        <v>3130</v>
      </c>
      <c r="AX20" t="s">
        <v>137</v>
      </c>
      <c r="AY20" t="s">
        <v>137</v>
      </c>
      <c r="BA20" t="s">
        <v>3130</v>
      </c>
    </row>
    <row r="21" spans="1:59" x14ac:dyDescent="0.2">
      <c r="A21" t="s">
        <v>3178</v>
      </c>
      <c r="B21" t="s">
        <v>3179</v>
      </c>
      <c r="G21" t="s">
        <v>3129</v>
      </c>
      <c r="I21">
        <v>200</v>
      </c>
      <c r="J21" t="str">
        <f t="shared" si="0"/>
        <v>Donateurs</v>
      </c>
      <c r="K21">
        <v>200</v>
      </c>
      <c r="L21" t="str">
        <f t="shared" si="1"/>
        <v>Donateurs</v>
      </c>
      <c r="AC21" t="s">
        <v>78</v>
      </c>
      <c r="AE21" t="s">
        <v>78</v>
      </c>
      <c r="AF21" t="s">
        <v>78</v>
      </c>
      <c r="AG21" t="s">
        <v>79</v>
      </c>
      <c r="AW21" t="s">
        <v>3130</v>
      </c>
      <c r="AX21" t="s">
        <v>137</v>
      </c>
      <c r="AY21" t="s">
        <v>137</v>
      </c>
      <c r="BA21" t="s">
        <v>3130</v>
      </c>
    </row>
    <row r="22" spans="1:59" x14ac:dyDescent="0.2">
      <c r="A22" t="s">
        <v>3180</v>
      </c>
      <c r="B22" t="s">
        <v>3181</v>
      </c>
      <c r="G22" t="s">
        <v>3129</v>
      </c>
      <c r="I22">
        <v>200</v>
      </c>
      <c r="J22" t="str">
        <f t="shared" si="0"/>
        <v>Donateurs</v>
      </c>
      <c r="K22">
        <v>200</v>
      </c>
      <c r="L22" t="str">
        <f t="shared" si="1"/>
        <v>Donateurs</v>
      </c>
      <c r="AC22" t="s">
        <v>78</v>
      </c>
      <c r="AE22" t="s">
        <v>78</v>
      </c>
      <c r="AF22" t="s">
        <v>78</v>
      </c>
      <c r="AG22" t="s">
        <v>79</v>
      </c>
      <c r="AW22" t="s">
        <v>3130</v>
      </c>
      <c r="AX22" t="s">
        <v>137</v>
      </c>
      <c r="AY22" t="s">
        <v>137</v>
      </c>
      <c r="BA22" t="s">
        <v>3130</v>
      </c>
    </row>
    <row r="23" spans="1:59" x14ac:dyDescent="0.2">
      <c r="A23" t="s">
        <v>3182</v>
      </c>
      <c r="B23" t="s">
        <v>3183</v>
      </c>
      <c r="F23" t="s">
        <v>208</v>
      </c>
      <c r="G23" t="s">
        <v>3129</v>
      </c>
      <c r="I23">
        <v>200</v>
      </c>
      <c r="J23" t="str">
        <f t="shared" si="0"/>
        <v>Donateurs</v>
      </c>
      <c r="K23">
        <v>200</v>
      </c>
      <c r="L23" t="str">
        <f t="shared" si="1"/>
        <v>Donateurs</v>
      </c>
      <c r="AC23" t="s">
        <v>78</v>
      </c>
      <c r="AE23" t="s">
        <v>78</v>
      </c>
      <c r="AF23" t="s">
        <v>78</v>
      </c>
      <c r="AG23" t="s">
        <v>79</v>
      </c>
      <c r="AW23" t="s">
        <v>3130</v>
      </c>
      <c r="AX23" t="s">
        <v>137</v>
      </c>
      <c r="AY23" t="s">
        <v>137</v>
      </c>
      <c r="BA23" t="s">
        <v>3130</v>
      </c>
      <c r="BG23" t="s">
        <v>930</v>
      </c>
    </row>
    <row r="24" spans="1:59" x14ac:dyDescent="0.2">
      <c r="A24" t="s">
        <v>3184</v>
      </c>
      <c r="B24" t="s">
        <v>292</v>
      </c>
      <c r="G24" t="s">
        <v>3129</v>
      </c>
      <c r="I24">
        <v>200</v>
      </c>
      <c r="J24" t="str">
        <f t="shared" si="0"/>
        <v>Donateurs</v>
      </c>
      <c r="K24">
        <v>200</v>
      </c>
      <c r="L24" t="str">
        <f t="shared" si="1"/>
        <v>Donateurs</v>
      </c>
      <c r="AC24" t="s">
        <v>78</v>
      </c>
      <c r="AE24" t="s">
        <v>78</v>
      </c>
      <c r="AF24" t="s">
        <v>78</v>
      </c>
      <c r="AG24" t="s">
        <v>79</v>
      </c>
      <c r="AW24" t="s">
        <v>3130</v>
      </c>
      <c r="AX24" t="s">
        <v>137</v>
      </c>
      <c r="AY24" t="s">
        <v>137</v>
      </c>
      <c r="BA24" t="s">
        <v>3130</v>
      </c>
    </row>
    <row r="25" spans="1:59" x14ac:dyDescent="0.2">
      <c r="A25" t="s">
        <v>3185</v>
      </c>
      <c r="G25" t="s">
        <v>3129</v>
      </c>
      <c r="I25">
        <v>200</v>
      </c>
      <c r="J25" t="str">
        <f t="shared" si="0"/>
        <v>Donateurs</v>
      </c>
      <c r="K25">
        <v>200</v>
      </c>
      <c r="L25" t="str">
        <f t="shared" si="1"/>
        <v>Donateurs</v>
      </c>
      <c r="AC25" t="s">
        <v>78</v>
      </c>
      <c r="AE25" t="s">
        <v>78</v>
      </c>
      <c r="AF25" t="s">
        <v>78</v>
      </c>
      <c r="AG25" t="s">
        <v>79</v>
      </c>
      <c r="AW25" t="s">
        <v>3130</v>
      </c>
      <c r="AX25" t="s">
        <v>137</v>
      </c>
      <c r="AY25" t="s">
        <v>137</v>
      </c>
      <c r="BA25" t="s">
        <v>3130</v>
      </c>
    </row>
    <row r="41" spans="38:38" x14ac:dyDescent="0.2">
      <c r="AL41" t="s">
        <v>208</v>
      </c>
    </row>
    <row r="17525" spans="3:36" x14ac:dyDescent="0.2">
      <c r="C17525" t="s">
        <v>208</v>
      </c>
    </row>
    <row r="17526" spans="3:36" x14ac:dyDescent="0.2">
      <c r="AJ17526" t="s">
        <v>208</v>
      </c>
    </row>
    <row r="17528" spans="3:36" x14ac:dyDescent="0.2">
      <c r="AJ17528" t="s">
        <v>208</v>
      </c>
    </row>
  </sheetData>
  <hyperlinks>
    <hyperlink ref="AL4" r:id="rId1" xr:uid="{00000000-0004-0000-0400-000000000000}"/>
    <hyperlink ref="AL12" r:id="rId2" xr:uid="{00000000-0004-0000-0400-000001000000}"/>
  </hyperlinks>
  <pageMargins left="0.7" right="0.7" top="0.78740157499999996" bottom="0.78740157499999996" header="0" footer="0"/>
  <ignoredErrors>
    <ignoredError sqref="A1:BJ17528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00"/>
  <sheetViews>
    <sheetView workbookViewId="0"/>
  </sheetViews>
  <sheetFormatPr baseColWidth="10" defaultRowHeight="16" x14ac:dyDescent="0.2"/>
  <sheetData>
    <row r="1" spans="1:11" x14ac:dyDescent="0.2">
      <c r="A1" t="s">
        <v>0</v>
      </c>
      <c r="B1" t="s">
        <v>3186</v>
      </c>
      <c r="C1" t="s">
        <v>3187</v>
      </c>
      <c r="D1" t="s">
        <v>3188</v>
      </c>
      <c r="E1" t="s">
        <v>3189</v>
      </c>
      <c r="F1" t="s">
        <v>3190</v>
      </c>
      <c r="G1" t="s">
        <v>3191</v>
      </c>
      <c r="H1" t="s">
        <v>3192</v>
      </c>
      <c r="I1" t="s">
        <v>3193</v>
      </c>
      <c r="J1" t="s">
        <v>3194</v>
      </c>
      <c r="K1" t="s">
        <v>3195</v>
      </c>
    </row>
    <row r="2" spans="1:11" x14ac:dyDescent="0.2">
      <c r="A2" t="s">
        <v>70</v>
      </c>
      <c r="B2" t="s">
        <v>71</v>
      </c>
      <c r="C2" t="s">
        <v>3196</v>
      </c>
      <c r="D2" t="s">
        <v>77</v>
      </c>
      <c r="E2" t="s">
        <v>77</v>
      </c>
      <c r="F2" t="s">
        <v>1334</v>
      </c>
      <c r="G2" t="s">
        <v>3197</v>
      </c>
      <c r="H2" t="s">
        <v>3198</v>
      </c>
      <c r="I2" t="s">
        <v>3039</v>
      </c>
      <c r="J2" t="s">
        <v>3039</v>
      </c>
      <c r="K2" t="s">
        <v>3199</v>
      </c>
    </row>
    <row r="3" spans="1:11" x14ac:dyDescent="0.2">
      <c r="A3" t="s">
        <v>81</v>
      </c>
      <c r="B3" t="s">
        <v>82</v>
      </c>
      <c r="C3" t="s">
        <v>3200</v>
      </c>
      <c r="D3" t="s">
        <v>88</v>
      </c>
      <c r="E3" t="s">
        <v>88</v>
      </c>
      <c r="F3" t="s">
        <v>1334</v>
      </c>
      <c r="G3" t="s">
        <v>3197</v>
      </c>
      <c r="H3" t="s">
        <v>3198</v>
      </c>
      <c r="I3" t="s">
        <v>3039</v>
      </c>
      <c r="J3" t="s">
        <v>3039</v>
      </c>
      <c r="K3" t="s">
        <v>3199</v>
      </c>
    </row>
    <row r="4" spans="1:11" x14ac:dyDescent="0.2">
      <c r="A4" t="s">
        <v>94</v>
      </c>
      <c r="B4" t="s">
        <v>95</v>
      </c>
      <c r="C4" t="s">
        <v>3201</v>
      </c>
      <c r="D4" t="s">
        <v>100</v>
      </c>
      <c r="E4" t="s">
        <v>100</v>
      </c>
      <c r="F4" t="s">
        <v>1334</v>
      </c>
      <c r="G4" t="s">
        <v>3197</v>
      </c>
      <c r="H4" t="s">
        <v>3198</v>
      </c>
      <c r="I4" t="s">
        <v>3039</v>
      </c>
      <c r="J4" t="s">
        <v>3039</v>
      </c>
      <c r="K4" t="s">
        <v>3199</v>
      </c>
    </row>
    <row r="5" spans="1:11" x14ac:dyDescent="0.2">
      <c r="A5" t="s">
        <v>102</v>
      </c>
      <c r="B5" t="s">
        <v>103</v>
      </c>
      <c r="C5" t="s">
        <v>3202</v>
      </c>
      <c r="D5" t="s">
        <v>109</v>
      </c>
      <c r="E5" t="s">
        <v>109</v>
      </c>
      <c r="F5" t="s">
        <v>1334</v>
      </c>
      <c r="G5" t="s">
        <v>3197</v>
      </c>
      <c r="H5" t="s">
        <v>3198</v>
      </c>
      <c r="I5" t="s">
        <v>3039</v>
      </c>
      <c r="J5" t="s">
        <v>3039</v>
      </c>
      <c r="K5" t="s">
        <v>3199</v>
      </c>
    </row>
    <row r="6" spans="1:11" x14ac:dyDescent="0.2">
      <c r="A6" t="s">
        <v>102</v>
      </c>
      <c r="B6" t="s">
        <v>111</v>
      </c>
      <c r="C6" t="s">
        <v>3203</v>
      </c>
      <c r="D6" t="s">
        <v>109</v>
      </c>
      <c r="E6" t="s">
        <v>109</v>
      </c>
      <c r="F6" t="s">
        <v>1334</v>
      </c>
      <c r="G6" t="s">
        <v>3204</v>
      </c>
      <c r="H6" t="s">
        <v>3205</v>
      </c>
      <c r="I6" t="s">
        <v>3206</v>
      </c>
      <c r="J6" t="s">
        <v>2999</v>
      </c>
      <c r="K6" t="s">
        <v>3199</v>
      </c>
    </row>
    <row r="7" spans="1:11" x14ac:dyDescent="0.2">
      <c r="A7" t="s">
        <v>102</v>
      </c>
      <c r="B7" t="s">
        <v>119</v>
      </c>
      <c r="C7" t="s">
        <v>3207</v>
      </c>
      <c r="D7" t="s">
        <v>109</v>
      </c>
      <c r="E7" t="s">
        <v>109</v>
      </c>
      <c r="F7" t="s">
        <v>1334</v>
      </c>
      <c r="G7" t="s">
        <v>3197</v>
      </c>
      <c r="H7" t="s">
        <v>3198</v>
      </c>
      <c r="I7" t="s">
        <v>3039</v>
      </c>
      <c r="J7" t="s">
        <v>3039</v>
      </c>
      <c r="K7" t="s">
        <v>3199</v>
      </c>
    </row>
    <row r="8" spans="1:11" x14ac:dyDescent="0.2">
      <c r="A8" t="s">
        <v>121</v>
      </c>
      <c r="B8" t="s">
        <v>122</v>
      </c>
      <c r="C8" t="s">
        <v>3208</v>
      </c>
      <c r="D8" t="s">
        <v>127</v>
      </c>
      <c r="E8" t="s">
        <v>127</v>
      </c>
      <c r="F8" t="s">
        <v>1334</v>
      </c>
      <c r="G8" t="s">
        <v>3197</v>
      </c>
      <c r="H8" t="s">
        <v>3198</v>
      </c>
      <c r="I8" t="s">
        <v>3039</v>
      </c>
      <c r="J8" t="s">
        <v>3039</v>
      </c>
      <c r="K8" t="s">
        <v>3199</v>
      </c>
    </row>
    <row r="9" spans="1:11" x14ac:dyDescent="0.2">
      <c r="A9" t="s">
        <v>128</v>
      </c>
      <c r="B9" t="s">
        <v>129</v>
      </c>
      <c r="C9" t="s">
        <v>3209</v>
      </c>
      <c r="D9" t="s">
        <v>133</v>
      </c>
      <c r="E9" t="s">
        <v>133</v>
      </c>
      <c r="F9" t="s">
        <v>1334</v>
      </c>
      <c r="G9" t="s">
        <v>3197</v>
      </c>
      <c r="H9" t="s">
        <v>3198</v>
      </c>
      <c r="I9" t="s">
        <v>3039</v>
      </c>
      <c r="J9" t="s">
        <v>3039</v>
      </c>
      <c r="K9" t="s">
        <v>3199</v>
      </c>
    </row>
    <row r="10" spans="1:11" x14ac:dyDescent="0.2">
      <c r="A10" t="s">
        <v>3210</v>
      </c>
      <c r="B10" t="s">
        <v>141</v>
      </c>
      <c r="C10" t="s">
        <v>3211</v>
      </c>
      <c r="D10" t="s">
        <v>145</v>
      </c>
      <c r="E10" t="s">
        <v>145</v>
      </c>
      <c r="F10" t="s">
        <v>1334</v>
      </c>
      <c r="G10" t="s">
        <v>3212</v>
      </c>
      <c r="H10" t="s">
        <v>3213</v>
      </c>
      <c r="I10" t="s">
        <v>3214</v>
      </c>
      <c r="J10" t="s">
        <v>3215</v>
      </c>
      <c r="K10" t="s">
        <v>3199</v>
      </c>
    </row>
    <row r="11" spans="1:11" x14ac:dyDescent="0.2">
      <c r="A11" t="s">
        <v>149</v>
      </c>
      <c r="B11" t="s">
        <v>150</v>
      </c>
      <c r="C11" t="s">
        <v>3216</v>
      </c>
      <c r="D11" t="s">
        <v>154</v>
      </c>
      <c r="E11" t="s">
        <v>154</v>
      </c>
      <c r="F11" t="s">
        <v>1334</v>
      </c>
      <c r="G11" t="s">
        <v>3217</v>
      </c>
      <c r="H11" t="s">
        <v>3204</v>
      </c>
      <c r="I11" t="s">
        <v>3218</v>
      </c>
      <c r="J11" t="s">
        <v>3008</v>
      </c>
      <c r="K11" t="s">
        <v>3199</v>
      </c>
    </row>
    <row r="12" spans="1:11" x14ac:dyDescent="0.2">
      <c r="A12" t="s">
        <v>159</v>
      </c>
      <c r="B12" t="s">
        <v>160</v>
      </c>
      <c r="C12" t="s">
        <v>3219</v>
      </c>
      <c r="D12" t="s">
        <v>145</v>
      </c>
      <c r="E12" t="s">
        <v>145</v>
      </c>
      <c r="F12" t="s">
        <v>1334</v>
      </c>
      <c r="G12" t="s">
        <v>3212</v>
      </c>
      <c r="H12" t="s">
        <v>3213</v>
      </c>
      <c r="I12" t="s">
        <v>3214</v>
      </c>
      <c r="J12" t="s">
        <v>3215</v>
      </c>
      <c r="K12" t="s">
        <v>3199</v>
      </c>
    </row>
    <row r="13" spans="1:11" x14ac:dyDescent="0.2">
      <c r="A13" t="s">
        <v>159</v>
      </c>
      <c r="B13" t="s">
        <v>170</v>
      </c>
      <c r="C13" t="s">
        <v>3220</v>
      </c>
      <c r="D13" t="s">
        <v>145</v>
      </c>
      <c r="E13" t="s">
        <v>145</v>
      </c>
      <c r="F13" t="s">
        <v>1334</v>
      </c>
      <c r="G13" t="s">
        <v>3212</v>
      </c>
      <c r="H13" t="s">
        <v>3213</v>
      </c>
      <c r="I13" t="s">
        <v>3214</v>
      </c>
      <c r="J13" t="s">
        <v>3215</v>
      </c>
      <c r="K13" t="s">
        <v>3199</v>
      </c>
    </row>
    <row r="14" spans="1:11" x14ac:dyDescent="0.2">
      <c r="A14" t="s">
        <v>175</v>
      </c>
      <c r="B14" t="s">
        <v>176</v>
      </c>
      <c r="C14" t="s">
        <v>3221</v>
      </c>
      <c r="D14" t="s">
        <v>180</v>
      </c>
      <c r="E14" t="s">
        <v>180</v>
      </c>
      <c r="F14" t="s">
        <v>1334</v>
      </c>
      <c r="G14" t="s">
        <v>3222</v>
      </c>
      <c r="H14" t="s">
        <v>3223</v>
      </c>
      <c r="I14" t="s">
        <v>3224</v>
      </c>
      <c r="J14" t="s">
        <v>2997</v>
      </c>
      <c r="K14" t="s">
        <v>3199</v>
      </c>
    </row>
    <row r="15" spans="1:11" x14ac:dyDescent="0.2">
      <c r="A15" t="s">
        <v>175</v>
      </c>
      <c r="B15" t="s">
        <v>187</v>
      </c>
      <c r="C15" t="s">
        <v>3225</v>
      </c>
      <c r="D15" t="s">
        <v>180</v>
      </c>
      <c r="E15" t="s">
        <v>180</v>
      </c>
      <c r="F15" t="s">
        <v>1334</v>
      </c>
      <c r="G15" t="s">
        <v>3197</v>
      </c>
      <c r="H15" t="s">
        <v>3198</v>
      </c>
      <c r="I15" t="s">
        <v>3039</v>
      </c>
      <c r="J15" t="s">
        <v>3039</v>
      </c>
      <c r="K15" t="s">
        <v>3199</v>
      </c>
    </row>
    <row r="16" spans="1:11" x14ac:dyDescent="0.2">
      <c r="A16" t="s">
        <v>188</v>
      </c>
      <c r="B16" t="s">
        <v>189</v>
      </c>
      <c r="C16" t="s">
        <v>3226</v>
      </c>
      <c r="D16" t="s">
        <v>193</v>
      </c>
      <c r="E16" t="s">
        <v>193</v>
      </c>
      <c r="F16" t="s">
        <v>1334</v>
      </c>
      <c r="G16" t="s">
        <v>3197</v>
      </c>
      <c r="H16" t="s">
        <v>3198</v>
      </c>
      <c r="I16" t="s">
        <v>3039</v>
      </c>
      <c r="J16" t="s">
        <v>3039</v>
      </c>
      <c r="K16" t="s">
        <v>3199</v>
      </c>
    </row>
    <row r="17" spans="1:11" x14ac:dyDescent="0.2">
      <c r="A17" t="s">
        <v>195</v>
      </c>
      <c r="B17" t="s">
        <v>196</v>
      </c>
      <c r="C17" t="s">
        <v>3227</v>
      </c>
      <c r="D17" t="s">
        <v>193</v>
      </c>
      <c r="E17" t="s">
        <v>193</v>
      </c>
      <c r="F17" t="s">
        <v>1334</v>
      </c>
      <c r="G17" t="s">
        <v>3228</v>
      </c>
      <c r="H17" t="s">
        <v>3229</v>
      </c>
      <c r="I17" t="s">
        <v>2982</v>
      </c>
      <c r="J17" t="s">
        <v>3230</v>
      </c>
      <c r="K17" t="s">
        <v>3199</v>
      </c>
    </row>
    <row r="18" spans="1:11" x14ac:dyDescent="0.2">
      <c r="A18" t="s">
        <v>202</v>
      </c>
      <c r="B18" t="s">
        <v>203</v>
      </c>
      <c r="C18" t="s">
        <v>3231</v>
      </c>
      <c r="D18" t="s">
        <v>206</v>
      </c>
      <c r="E18" t="s">
        <v>206</v>
      </c>
      <c r="F18" t="s">
        <v>1334</v>
      </c>
      <c r="G18" t="s">
        <v>3222</v>
      </c>
      <c r="H18" t="s">
        <v>3223</v>
      </c>
      <c r="I18" t="s">
        <v>3224</v>
      </c>
      <c r="J18" t="s">
        <v>2997</v>
      </c>
      <c r="K18" t="s">
        <v>3199</v>
      </c>
    </row>
    <row r="19" spans="1:11" x14ac:dyDescent="0.2">
      <c r="A19" t="s">
        <v>202</v>
      </c>
      <c r="B19" t="s">
        <v>211</v>
      </c>
      <c r="C19" t="s">
        <v>3232</v>
      </c>
      <c r="D19" t="s">
        <v>206</v>
      </c>
      <c r="E19" t="s">
        <v>206</v>
      </c>
      <c r="F19" t="s">
        <v>1334</v>
      </c>
      <c r="G19" t="s">
        <v>3197</v>
      </c>
      <c r="H19" t="s">
        <v>3198</v>
      </c>
      <c r="I19" t="s">
        <v>3039</v>
      </c>
      <c r="J19" t="s">
        <v>3039</v>
      </c>
      <c r="K19" t="s">
        <v>3199</v>
      </c>
    </row>
    <row r="20" spans="1:11" x14ac:dyDescent="0.2">
      <c r="A20" t="s">
        <v>202</v>
      </c>
      <c r="B20" t="s">
        <v>212</v>
      </c>
      <c r="C20" t="s">
        <v>3233</v>
      </c>
      <c r="D20" t="s">
        <v>206</v>
      </c>
      <c r="E20" t="s">
        <v>206</v>
      </c>
      <c r="F20" t="s">
        <v>1334</v>
      </c>
      <c r="G20" t="s">
        <v>3234</v>
      </c>
      <c r="H20" t="s">
        <v>3222</v>
      </c>
      <c r="I20" t="s">
        <v>2986</v>
      </c>
      <c r="J20" t="s">
        <v>3235</v>
      </c>
      <c r="K20" t="s">
        <v>3199</v>
      </c>
    </row>
    <row r="21" spans="1:11" x14ac:dyDescent="0.2">
      <c r="A21" t="s">
        <v>215</v>
      </c>
      <c r="B21" t="s">
        <v>216</v>
      </c>
      <c r="C21" t="s">
        <v>3236</v>
      </c>
      <c r="D21" t="s">
        <v>220</v>
      </c>
      <c r="E21" t="s">
        <v>220</v>
      </c>
      <c r="F21" t="s">
        <v>1334</v>
      </c>
      <c r="G21" t="s">
        <v>3197</v>
      </c>
      <c r="H21" t="s">
        <v>3198</v>
      </c>
      <c r="I21" t="s">
        <v>3039</v>
      </c>
      <c r="J21" t="s">
        <v>3039</v>
      </c>
      <c r="K21" t="s">
        <v>3199</v>
      </c>
    </row>
    <row r="22" spans="1:11" x14ac:dyDescent="0.2">
      <c r="A22" t="s">
        <v>215</v>
      </c>
      <c r="B22" t="s">
        <v>221</v>
      </c>
      <c r="C22" t="s">
        <v>3237</v>
      </c>
      <c r="D22" t="s">
        <v>220</v>
      </c>
      <c r="E22" t="s">
        <v>220</v>
      </c>
      <c r="F22" t="s">
        <v>1334</v>
      </c>
      <c r="G22" t="s">
        <v>3229</v>
      </c>
      <c r="H22" t="s">
        <v>3238</v>
      </c>
      <c r="I22" t="s">
        <v>25</v>
      </c>
      <c r="J22" t="s">
        <v>2993</v>
      </c>
      <c r="K22" t="s">
        <v>3199</v>
      </c>
    </row>
    <row r="23" spans="1:11" x14ac:dyDescent="0.2">
      <c r="A23" t="s">
        <v>215</v>
      </c>
      <c r="B23" t="s">
        <v>226</v>
      </c>
      <c r="C23" t="s">
        <v>3239</v>
      </c>
      <c r="D23" t="s">
        <v>220</v>
      </c>
      <c r="E23" t="s">
        <v>220</v>
      </c>
      <c r="F23" t="s">
        <v>1334</v>
      </c>
      <c r="G23" t="s">
        <v>3222</v>
      </c>
      <c r="H23" t="s">
        <v>3223</v>
      </c>
      <c r="I23" t="s">
        <v>3224</v>
      </c>
      <c r="J23" t="s">
        <v>2997</v>
      </c>
      <c r="K23" t="s">
        <v>3199</v>
      </c>
    </row>
    <row r="24" spans="1:11" x14ac:dyDescent="0.2">
      <c r="A24" t="s">
        <v>215</v>
      </c>
      <c r="B24" t="s">
        <v>230</v>
      </c>
      <c r="C24" t="s">
        <v>3240</v>
      </c>
      <c r="D24" t="s">
        <v>220</v>
      </c>
      <c r="E24" t="s">
        <v>220</v>
      </c>
      <c r="F24" t="s">
        <v>1334</v>
      </c>
      <c r="G24" t="s">
        <v>3197</v>
      </c>
      <c r="H24" t="s">
        <v>3198</v>
      </c>
      <c r="I24" t="s">
        <v>3039</v>
      </c>
      <c r="J24" t="s">
        <v>3039</v>
      </c>
      <c r="K24" t="s">
        <v>3199</v>
      </c>
    </row>
    <row r="25" spans="1:11" x14ac:dyDescent="0.2">
      <c r="A25" t="s">
        <v>231</v>
      </c>
      <c r="B25" t="s">
        <v>232</v>
      </c>
      <c r="C25" t="s">
        <v>3241</v>
      </c>
      <c r="D25" t="s">
        <v>236</v>
      </c>
      <c r="E25" t="s">
        <v>236</v>
      </c>
      <c r="F25" t="s">
        <v>1334</v>
      </c>
      <c r="G25" t="s">
        <v>3242</v>
      </c>
      <c r="H25" t="s">
        <v>3243</v>
      </c>
      <c r="I25" t="s">
        <v>3244</v>
      </c>
      <c r="J25" t="s">
        <v>3055</v>
      </c>
      <c r="K25" t="s">
        <v>3199</v>
      </c>
    </row>
    <row r="26" spans="1:11" x14ac:dyDescent="0.2">
      <c r="A26" t="s">
        <v>3245</v>
      </c>
      <c r="B26" t="s">
        <v>244</v>
      </c>
      <c r="C26" t="s">
        <v>3246</v>
      </c>
      <c r="D26" t="s">
        <v>248</v>
      </c>
      <c r="E26" t="s">
        <v>248</v>
      </c>
      <c r="F26" t="s">
        <v>1334</v>
      </c>
      <c r="G26" t="s">
        <v>3197</v>
      </c>
      <c r="H26" t="s">
        <v>3198</v>
      </c>
      <c r="I26" t="s">
        <v>3039</v>
      </c>
      <c r="J26" t="s">
        <v>3039</v>
      </c>
      <c r="K26" t="s">
        <v>3199</v>
      </c>
    </row>
    <row r="27" spans="1:11" x14ac:dyDescent="0.2">
      <c r="A27" t="s">
        <v>251</v>
      </c>
      <c r="B27" t="s">
        <v>365</v>
      </c>
      <c r="C27" t="s">
        <v>3247</v>
      </c>
      <c r="D27" t="s">
        <v>248</v>
      </c>
      <c r="E27" t="s">
        <v>248</v>
      </c>
      <c r="F27" t="s">
        <v>1334</v>
      </c>
      <c r="G27" t="s">
        <v>3217</v>
      </c>
      <c r="H27" t="s">
        <v>3204</v>
      </c>
      <c r="I27" t="s">
        <v>3218</v>
      </c>
      <c r="J27" t="s">
        <v>3008</v>
      </c>
      <c r="K27" t="s">
        <v>3199</v>
      </c>
    </row>
    <row r="28" spans="1:11" x14ac:dyDescent="0.2">
      <c r="A28" t="s">
        <v>259</v>
      </c>
      <c r="B28" t="s">
        <v>260</v>
      </c>
      <c r="C28" t="s">
        <v>3248</v>
      </c>
      <c r="D28" t="s">
        <v>145</v>
      </c>
      <c r="E28" t="s">
        <v>145</v>
      </c>
      <c r="F28" t="s">
        <v>1334</v>
      </c>
      <c r="G28" t="s">
        <v>3249</v>
      </c>
      <c r="H28" t="s">
        <v>3250</v>
      </c>
      <c r="I28" t="s">
        <v>3251</v>
      </c>
      <c r="J28" t="s">
        <v>265</v>
      </c>
      <c r="K28" t="s">
        <v>3199</v>
      </c>
    </row>
    <row r="29" spans="1:11" x14ac:dyDescent="0.2">
      <c r="A29" t="s">
        <v>272</v>
      </c>
      <c r="B29" t="s">
        <v>273</v>
      </c>
      <c r="C29" t="s">
        <v>3252</v>
      </c>
      <c r="D29" t="s">
        <v>236</v>
      </c>
      <c r="E29" t="s">
        <v>236</v>
      </c>
      <c r="F29" t="s">
        <v>1334</v>
      </c>
      <c r="G29" t="s">
        <v>3242</v>
      </c>
      <c r="H29" t="s">
        <v>3243</v>
      </c>
      <c r="I29" t="s">
        <v>3244</v>
      </c>
      <c r="J29" t="s">
        <v>3055</v>
      </c>
      <c r="K29" t="s">
        <v>3199</v>
      </c>
    </row>
    <row r="30" spans="1:11" x14ac:dyDescent="0.2">
      <c r="A30" t="s">
        <v>282</v>
      </c>
      <c r="B30" t="s">
        <v>283</v>
      </c>
      <c r="C30" t="s">
        <v>3253</v>
      </c>
      <c r="D30" t="s">
        <v>236</v>
      </c>
      <c r="E30" t="s">
        <v>236</v>
      </c>
      <c r="F30" t="s">
        <v>1334</v>
      </c>
      <c r="G30" t="s">
        <v>3242</v>
      </c>
      <c r="H30" t="s">
        <v>3243</v>
      </c>
      <c r="I30" t="s">
        <v>3244</v>
      </c>
      <c r="J30" t="s">
        <v>3055</v>
      </c>
      <c r="K30" t="s">
        <v>3199</v>
      </c>
    </row>
    <row r="31" spans="1:11" x14ac:dyDescent="0.2">
      <c r="A31" t="s">
        <v>282</v>
      </c>
      <c r="B31" t="s">
        <v>292</v>
      </c>
      <c r="C31" t="s">
        <v>3254</v>
      </c>
      <c r="D31" t="s">
        <v>236</v>
      </c>
      <c r="E31" t="s">
        <v>236</v>
      </c>
      <c r="F31" t="s">
        <v>1334</v>
      </c>
      <c r="G31" t="s">
        <v>3242</v>
      </c>
      <c r="H31" t="s">
        <v>3243</v>
      </c>
      <c r="I31" t="s">
        <v>3244</v>
      </c>
      <c r="J31" t="s">
        <v>3055</v>
      </c>
      <c r="K31" t="s">
        <v>3199</v>
      </c>
    </row>
    <row r="32" spans="1:11" x14ac:dyDescent="0.2">
      <c r="A32" t="s">
        <v>296</v>
      </c>
      <c r="B32" t="s">
        <v>297</v>
      </c>
      <c r="C32" t="s">
        <v>3255</v>
      </c>
      <c r="D32" t="s">
        <v>236</v>
      </c>
      <c r="E32" t="s">
        <v>236</v>
      </c>
      <c r="F32" t="s">
        <v>1334</v>
      </c>
      <c r="G32" t="s">
        <v>3242</v>
      </c>
      <c r="H32" t="s">
        <v>3243</v>
      </c>
      <c r="I32" t="s">
        <v>3244</v>
      </c>
      <c r="J32" t="s">
        <v>3055</v>
      </c>
      <c r="K32" t="s">
        <v>3199</v>
      </c>
    </row>
    <row r="33" spans="1:11" x14ac:dyDescent="0.2">
      <c r="A33" t="s">
        <v>306</v>
      </c>
      <c r="B33" t="s">
        <v>307</v>
      </c>
      <c r="C33" t="s">
        <v>3256</v>
      </c>
      <c r="D33" t="s">
        <v>311</v>
      </c>
      <c r="E33" t="s">
        <v>311</v>
      </c>
      <c r="F33" t="s">
        <v>1334</v>
      </c>
      <c r="G33" t="s">
        <v>3217</v>
      </c>
      <c r="H33" t="s">
        <v>3204</v>
      </c>
      <c r="I33" t="s">
        <v>3218</v>
      </c>
      <c r="J33" t="s">
        <v>3008</v>
      </c>
      <c r="K33" t="s">
        <v>3199</v>
      </c>
    </row>
    <row r="34" spans="1:11" x14ac:dyDescent="0.2">
      <c r="A34" t="s">
        <v>306</v>
      </c>
      <c r="B34" t="s">
        <v>203</v>
      </c>
      <c r="C34" t="s">
        <v>3257</v>
      </c>
      <c r="D34" t="s">
        <v>311</v>
      </c>
      <c r="E34" t="s">
        <v>311</v>
      </c>
      <c r="F34" t="s">
        <v>1334</v>
      </c>
      <c r="G34" t="s">
        <v>3197</v>
      </c>
      <c r="H34" t="s">
        <v>3198</v>
      </c>
      <c r="I34" t="s">
        <v>3039</v>
      </c>
      <c r="J34" t="s">
        <v>3039</v>
      </c>
      <c r="K34" t="s">
        <v>3199</v>
      </c>
    </row>
    <row r="35" spans="1:11" x14ac:dyDescent="0.2">
      <c r="A35" t="s">
        <v>306</v>
      </c>
      <c r="B35" t="s">
        <v>319</v>
      </c>
      <c r="C35" t="s">
        <v>3258</v>
      </c>
      <c r="D35" t="s">
        <v>311</v>
      </c>
      <c r="E35" t="s">
        <v>311</v>
      </c>
      <c r="F35" t="s">
        <v>1334</v>
      </c>
      <c r="G35" t="s">
        <v>3197</v>
      </c>
      <c r="H35" t="s">
        <v>3198</v>
      </c>
      <c r="I35" t="s">
        <v>3039</v>
      </c>
      <c r="J35" t="s">
        <v>3039</v>
      </c>
      <c r="K35" t="s">
        <v>3199</v>
      </c>
    </row>
    <row r="36" spans="1:11" x14ac:dyDescent="0.2">
      <c r="A36" t="s">
        <v>321</v>
      </c>
      <c r="B36" t="s">
        <v>322</v>
      </c>
      <c r="C36" t="s">
        <v>3259</v>
      </c>
      <c r="D36" t="s">
        <v>236</v>
      </c>
      <c r="E36" t="s">
        <v>236</v>
      </c>
      <c r="F36" t="s">
        <v>1334</v>
      </c>
      <c r="G36" t="s">
        <v>3242</v>
      </c>
      <c r="H36" t="s">
        <v>3243</v>
      </c>
      <c r="I36" t="s">
        <v>3244</v>
      </c>
      <c r="J36" t="s">
        <v>3055</v>
      </c>
      <c r="K36" t="s">
        <v>3199</v>
      </c>
    </row>
    <row r="37" spans="1:11" x14ac:dyDescent="0.2">
      <c r="A37" t="s">
        <v>332</v>
      </c>
      <c r="B37" t="s">
        <v>333</v>
      </c>
      <c r="C37" t="s">
        <v>3260</v>
      </c>
      <c r="D37" t="s">
        <v>337</v>
      </c>
      <c r="E37" t="s">
        <v>337</v>
      </c>
      <c r="F37" t="s">
        <v>1334</v>
      </c>
      <c r="G37" t="s">
        <v>3261</v>
      </c>
      <c r="H37" t="s">
        <v>3262</v>
      </c>
      <c r="I37" t="s">
        <v>3263</v>
      </c>
      <c r="J37" t="s">
        <v>3040</v>
      </c>
      <c r="K37" t="s">
        <v>3199</v>
      </c>
    </row>
    <row r="38" spans="1:11" x14ac:dyDescent="0.2">
      <c r="A38" t="s">
        <v>341</v>
      </c>
      <c r="B38" t="s">
        <v>342</v>
      </c>
      <c r="C38" t="s">
        <v>3264</v>
      </c>
      <c r="D38" t="s">
        <v>345</v>
      </c>
      <c r="E38" t="s">
        <v>345</v>
      </c>
      <c r="F38" t="s">
        <v>1334</v>
      </c>
      <c r="G38" t="s">
        <v>3197</v>
      </c>
      <c r="H38" t="s">
        <v>3198</v>
      </c>
      <c r="I38" t="s">
        <v>3039</v>
      </c>
      <c r="J38" t="s">
        <v>3039</v>
      </c>
      <c r="K38" t="s">
        <v>3199</v>
      </c>
    </row>
    <row r="39" spans="1:11" x14ac:dyDescent="0.2">
      <c r="A39" t="s">
        <v>341</v>
      </c>
      <c r="B39" t="s">
        <v>347</v>
      </c>
      <c r="C39" t="s">
        <v>3265</v>
      </c>
      <c r="D39" t="s">
        <v>345</v>
      </c>
      <c r="E39" t="s">
        <v>345</v>
      </c>
      <c r="F39" t="s">
        <v>1334</v>
      </c>
      <c r="G39" t="s">
        <v>3197</v>
      </c>
      <c r="H39" t="s">
        <v>3198</v>
      </c>
      <c r="I39" t="s">
        <v>3039</v>
      </c>
      <c r="J39" t="s">
        <v>3039</v>
      </c>
      <c r="K39" t="s">
        <v>3199</v>
      </c>
    </row>
    <row r="40" spans="1:11" x14ac:dyDescent="0.2">
      <c r="A40" t="s">
        <v>341</v>
      </c>
      <c r="B40" t="s">
        <v>348</v>
      </c>
      <c r="C40" t="s">
        <v>3266</v>
      </c>
      <c r="D40" t="s">
        <v>345</v>
      </c>
      <c r="E40" t="s">
        <v>345</v>
      </c>
      <c r="F40" t="s">
        <v>1334</v>
      </c>
      <c r="G40" t="s">
        <v>3222</v>
      </c>
      <c r="H40" t="s">
        <v>3223</v>
      </c>
      <c r="I40" t="s">
        <v>3224</v>
      </c>
      <c r="J40" t="s">
        <v>2997</v>
      </c>
      <c r="K40" t="s">
        <v>3199</v>
      </c>
    </row>
    <row r="41" spans="1:11" x14ac:dyDescent="0.2">
      <c r="A41" t="s">
        <v>353</v>
      </c>
      <c r="B41" t="s">
        <v>354</v>
      </c>
      <c r="C41" t="s">
        <v>3267</v>
      </c>
      <c r="D41" t="s">
        <v>358</v>
      </c>
      <c r="E41" t="s">
        <v>358</v>
      </c>
      <c r="F41" t="s">
        <v>1334</v>
      </c>
      <c r="G41" t="s">
        <v>3268</v>
      </c>
      <c r="H41" t="s">
        <v>3269</v>
      </c>
      <c r="I41" t="s">
        <v>2978</v>
      </c>
      <c r="J41" t="s">
        <v>3270</v>
      </c>
      <c r="K41" t="s">
        <v>3199</v>
      </c>
    </row>
    <row r="42" spans="1:11" x14ac:dyDescent="0.2">
      <c r="A42" t="s">
        <v>353</v>
      </c>
      <c r="B42" t="s">
        <v>363</v>
      </c>
      <c r="C42" t="s">
        <v>3271</v>
      </c>
      <c r="D42" t="s">
        <v>358</v>
      </c>
      <c r="E42" t="s">
        <v>358</v>
      </c>
      <c r="F42" t="s">
        <v>1334</v>
      </c>
      <c r="G42" t="s">
        <v>3197</v>
      </c>
      <c r="H42" t="s">
        <v>3198</v>
      </c>
      <c r="I42" t="s">
        <v>3039</v>
      </c>
      <c r="J42" t="s">
        <v>3039</v>
      </c>
      <c r="K42" t="s">
        <v>3199</v>
      </c>
    </row>
    <row r="43" spans="1:11" x14ac:dyDescent="0.2">
      <c r="A43" t="s">
        <v>364</v>
      </c>
      <c r="B43" t="s">
        <v>365</v>
      </c>
      <c r="C43" t="s">
        <v>3272</v>
      </c>
      <c r="D43" t="s">
        <v>236</v>
      </c>
      <c r="E43" t="s">
        <v>236</v>
      </c>
      <c r="F43" t="s">
        <v>1334</v>
      </c>
      <c r="G43" t="s">
        <v>3242</v>
      </c>
      <c r="H43" t="s">
        <v>3243</v>
      </c>
      <c r="I43" t="s">
        <v>3244</v>
      </c>
      <c r="J43" t="s">
        <v>3055</v>
      </c>
      <c r="K43" t="s">
        <v>3199</v>
      </c>
    </row>
    <row r="44" spans="1:11" x14ac:dyDescent="0.2">
      <c r="A44" t="s">
        <v>372</v>
      </c>
      <c r="B44" t="s">
        <v>373</v>
      </c>
      <c r="C44" t="s">
        <v>3273</v>
      </c>
      <c r="D44" t="s">
        <v>377</v>
      </c>
      <c r="E44" t="s">
        <v>377</v>
      </c>
      <c r="F44" t="s">
        <v>1334</v>
      </c>
      <c r="G44" t="s">
        <v>3197</v>
      </c>
      <c r="H44" t="s">
        <v>3198</v>
      </c>
      <c r="I44" t="s">
        <v>3039</v>
      </c>
      <c r="J44" t="s">
        <v>3039</v>
      </c>
      <c r="K44" t="s">
        <v>3199</v>
      </c>
    </row>
    <row r="45" spans="1:11" x14ac:dyDescent="0.2">
      <c r="A45" t="s">
        <v>372</v>
      </c>
      <c r="B45" t="s">
        <v>379</v>
      </c>
      <c r="C45" t="s">
        <v>3274</v>
      </c>
      <c r="D45" t="s">
        <v>377</v>
      </c>
      <c r="E45" t="s">
        <v>377</v>
      </c>
      <c r="F45" t="s">
        <v>1334</v>
      </c>
      <c r="G45" t="s">
        <v>3268</v>
      </c>
      <c r="H45" t="s">
        <v>3269</v>
      </c>
      <c r="I45" t="s">
        <v>2978</v>
      </c>
      <c r="J45" t="s">
        <v>3270</v>
      </c>
      <c r="K45" t="s">
        <v>3199</v>
      </c>
    </row>
    <row r="46" spans="1:11" x14ac:dyDescent="0.2">
      <c r="A46" t="s">
        <v>384</v>
      </c>
      <c r="B46" t="s">
        <v>385</v>
      </c>
      <c r="C46" t="s">
        <v>3275</v>
      </c>
      <c r="D46" t="s">
        <v>389</v>
      </c>
      <c r="E46" t="s">
        <v>389</v>
      </c>
      <c r="F46" t="s">
        <v>1334</v>
      </c>
      <c r="G46" t="s">
        <v>3197</v>
      </c>
      <c r="H46" t="s">
        <v>3198</v>
      </c>
      <c r="I46" t="s">
        <v>3039</v>
      </c>
      <c r="J46" t="s">
        <v>3039</v>
      </c>
      <c r="K46" t="s">
        <v>3199</v>
      </c>
    </row>
    <row r="47" spans="1:11" x14ac:dyDescent="0.2">
      <c r="A47" t="s">
        <v>384</v>
      </c>
      <c r="B47" t="s">
        <v>391</v>
      </c>
      <c r="C47" t="s">
        <v>3276</v>
      </c>
      <c r="D47" t="s">
        <v>389</v>
      </c>
      <c r="E47" t="s">
        <v>389</v>
      </c>
      <c r="F47" t="s">
        <v>1334</v>
      </c>
      <c r="G47" t="s">
        <v>3228</v>
      </c>
      <c r="H47" t="s">
        <v>3229</v>
      </c>
      <c r="I47" t="s">
        <v>2982</v>
      </c>
      <c r="J47" t="s">
        <v>3230</v>
      </c>
      <c r="K47" t="s">
        <v>3199</v>
      </c>
    </row>
    <row r="48" spans="1:11" x14ac:dyDescent="0.2">
      <c r="A48" t="s">
        <v>396</v>
      </c>
      <c r="B48" t="s">
        <v>397</v>
      </c>
      <c r="C48" t="s">
        <v>3277</v>
      </c>
      <c r="D48" t="s">
        <v>145</v>
      </c>
      <c r="E48" t="s">
        <v>145</v>
      </c>
      <c r="F48" t="s">
        <v>1334</v>
      </c>
      <c r="G48" t="s">
        <v>3212</v>
      </c>
      <c r="H48" t="s">
        <v>3213</v>
      </c>
      <c r="I48" t="s">
        <v>3214</v>
      </c>
      <c r="J48" t="s">
        <v>3215</v>
      </c>
      <c r="K48" t="s">
        <v>3199</v>
      </c>
    </row>
    <row r="49" spans="1:11" x14ac:dyDescent="0.2">
      <c r="A49" t="s">
        <v>406</v>
      </c>
      <c r="B49" t="s">
        <v>407</v>
      </c>
      <c r="C49" t="s">
        <v>3278</v>
      </c>
      <c r="D49" t="s">
        <v>145</v>
      </c>
      <c r="E49" t="s">
        <v>145</v>
      </c>
      <c r="F49" t="s">
        <v>1334</v>
      </c>
      <c r="G49" t="s">
        <v>3279</v>
      </c>
      <c r="H49" t="s">
        <v>3280</v>
      </c>
      <c r="I49" t="s">
        <v>3007</v>
      </c>
      <c r="J49" t="s">
        <v>3006</v>
      </c>
      <c r="K49" t="s">
        <v>3199</v>
      </c>
    </row>
    <row r="50" spans="1:11" x14ac:dyDescent="0.2">
      <c r="A50" t="s">
        <v>406</v>
      </c>
      <c r="B50" t="s">
        <v>414</v>
      </c>
      <c r="C50" t="s">
        <v>3281</v>
      </c>
      <c r="D50" t="s">
        <v>145</v>
      </c>
      <c r="E50" t="s">
        <v>145</v>
      </c>
      <c r="F50" t="s">
        <v>1334</v>
      </c>
      <c r="G50" t="s">
        <v>3279</v>
      </c>
      <c r="H50" t="s">
        <v>3280</v>
      </c>
      <c r="I50" t="s">
        <v>3007</v>
      </c>
      <c r="J50" t="s">
        <v>3006</v>
      </c>
      <c r="K50" t="s">
        <v>3199</v>
      </c>
    </row>
    <row r="51" spans="1:11" x14ac:dyDescent="0.2">
      <c r="A51" t="s">
        <v>421</v>
      </c>
      <c r="B51" t="s">
        <v>422</v>
      </c>
      <c r="C51" t="s">
        <v>3282</v>
      </c>
      <c r="D51" t="s">
        <v>426</v>
      </c>
      <c r="E51" t="s">
        <v>426</v>
      </c>
      <c r="F51" t="s">
        <v>1334</v>
      </c>
      <c r="G51" t="s">
        <v>3197</v>
      </c>
      <c r="H51" t="s">
        <v>3198</v>
      </c>
      <c r="I51" t="s">
        <v>3039</v>
      </c>
      <c r="J51" t="s">
        <v>3039</v>
      </c>
      <c r="K51" t="s">
        <v>3199</v>
      </c>
    </row>
    <row r="52" spans="1:11" x14ac:dyDescent="0.2">
      <c r="A52" t="s">
        <v>428</v>
      </c>
      <c r="B52" t="s">
        <v>429</v>
      </c>
      <c r="C52" t="s">
        <v>3283</v>
      </c>
      <c r="D52" t="s">
        <v>433</v>
      </c>
      <c r="E52" t="s">
        <v>433</v>
      </c>
      <c r="F52" t="s">
        <v>1334</v>
      </c>
      <c r="G52" t="s">
        <v>3284</v>
      </c>
      <c r="H52" t="s">
        <v>3285</v>
      </c>
      <c r="I52" t="s">
        <v>2984</v>
      </c>
      <c r="J52" t="s">
        <v>3286</v>
      </c>
      <c r="K52" t="s">
        <v>3199</v>
      </c>
    </row>
    <row r="53" spans="1:11" x14ac:dyDescent="0.2">
      <c r="A53" t="s">
        <v>428</v>
      </c>
      <c r="B53" t="s">
        <v>438</v>
      </c>
      <c r="C53" t="s">
        <v>3287</v>
      </c>
      <c r="D53" t="s">
        <v>433</v>
      </c>
      <c r="E53" t="s">
        <v>433</v>
      </c>
      <c r="F53" t="s">
        <v>1334</v>
      </c>
      <c r="G53" t="s">
        <v>3288</v>
      </c>
      <c r="H53" t="s">
        <v>3289</v>
      </c>
      <c r="I53" t="s">
        <v>3290</v>
      </c>
      <c r="J53" t="s">
        <v>3291</v>
      </c>
      <c r="K53" t="s">
        <v>3199</v>
      </c>
    </row>
    <row r="54" spans="1:11" x14ac:dyDescent="0.2">
      <c r="A54" t="s">
        <v>444</v>
      </c>
      <c r="B54" t="s">
        <v>445</v>
      </c>
      <c r="C54" t="s">
        <v>3292</v>
      </c>
      <c r="D54" t="s">
        <v>449</v>
      </c>
      <c r="E54" t="s">
        <v>449</v>
      </c>
      <c r="F54" t="s">
        <v>1334</v>
      </c>
      <c r="G54" t="s">
        <v>3197</v>
      </c>
      <c r="H54" t="s">
        <v>3198</v>
      </c>
      <c r="I54" t="s">
        <v>3039</v>
      </c>
      <c r="J54" t="s">
        <v>3039</v>
      </c>
      <c r="K54" t="s">
        <v>3199</v>
      </c>
    </row>
    <row r="55" spans="1:11" x14ac:dyDescent="0.2">
      <c r="A55" t="s">
        <v>452</v>
      </c>
      <c r="B55" t="s">
        <v>453</v>
      </c>
      <c r="C55" t="s">
        <v>3293</v>
      </c>
      <c r="D55" t="s">
        <v>457</v>
      </c>
      <c r="E55" t="s">
        <v>457</v>
      </c>
      <c r="F55" t="s">
        <v>1334</v>
      </c>
      <c r="G55" t="s">
        <v>3204</v>
      </c>
      <c r="H55" t="s">
        <v>3205</v>
      </c>
      <c r="I55" t="s">
        <v>3206</v>
      </c>
      <c r="J55" t="s">
        <v>2999</v>
      </c>
      <c r="K55" t="s">
        <v>3199</v>
      </c>
    </row>
    <row r="56" spans="1:11" x14ac:dyDescent="0.2">
      <c r="A56" t="s">
        <v>452</v>
      </c>
      <c r="B56" t="s">
        <v>463</v>
      </c>
      <c r="C56" t="s">
        <v>3294</v>
      </c>
      <c r="D56" t="s">
        <v>457</v>
      </c>
      <c r="E56" t="s">
        <v>457</v>
      </c>
      <c r="F56" t="s">
        <v>1334</v>
      </c>
      <c r="G56" t="s">
        <v>3279</v>
      </c>
      <c r="H56" t="s">
        <v>3280</v>
      </c>
      <c r="I56" t="s">
        <v>3007</v>
      </c>
      <c r="J56" t="s">
        <v>3006</v>
      </c>
      <c r="K56" t="s">
        <v>3199</v>
      </c>
    </row>
    <row r="57" spans="1:11" x14ac:dyDescent="0.2">
      <c r="A57" t="s">
        <v>452</v>
      </c>
      <c r="B57" t="s">
        <v>470</v>
      </c>
      <c r="C57" t="s">
        <v>3295</v>
      </c>
      <c r="D57" t="s">
        <v>457</v>
      </c>
      <c r="E57" t="s">
        <v>457</v>
      </c>
      <c r="F57" t="s">
        <v>1334</v>
      </c>
      <c r="G57" t="s">
        <v>3296</v>
      </c>
      <c r="H57" t="s">
        <v>3297</v>
      </c>
      <c r="I57" t="s">
        <v>46</v>
      </c>
      <c r="J57" t="s">
        <v>3023</v>
      </c>
      <c r="K57" t="s">
        <v>3199</v>
      </c>
    </row>
    <row r="58" spans="1:11" x14ac:dyDescent="0.2">
      <c r="A58" t="s">
        <v>452</v>
      </c>
      <c r="B58" t="s">
        <v>476</v>
      </c>
      <c r="C58" t="s">
        <v>3298</v>
      </c>
      <c r="D58" t="s">
        <v>457</v>
      </c>
      <c r="E58" t="s">
        <v>457</v>
      </c>
      <c r="F58" t="s">
        <v>1334</v>
      </c>
      <c r="G58" t="s">
        <v>3204</v>
      </c>
      <c r="H58" t="s">
        <v>3205</v>
      </c>
      <c r="I58" t="s">
        <v>3206</v>
      </c>
      <c r="J58" t="s">
        <v>2999</v>
      </c>
      <c r="K58" t="s">
        <v>3199</v>
      </c>
    </row>
    <row r="59" spans="1:11" x14ac:dyDescent="0.2">
      <c r="A59" t="s">
        <v>452</v>
      </c>
      <c r="B59" t="s">
        <v>479</v>
      </c>
      <c r="C59" t="s">
        <v>3299</v>
      </c>
      <c r="D59" t="s">
        <v>457</v>
      </c>
      <c r="E59" t="s">
        <v>457</v>
      </c>
      <c r="F59" t="s">
        <v>1334</v>
      </c>
      <c r="G59" t="s">
        <v>3268</v>
      </c>
      <c r="H59" t="s">
        <v>3269</v>
      </c>
      <c r="I59" t="s">
        <v>2978</v>
      </c>
      <c r="J59" t="s">
        <v>3270</v>
      </c>
      <c r="K59" t="s">
        <v>3199</v>
      </c>
    </row>
    <row r="60" spans="1:11" x14ac:dyDescent="0.2">
      <c r="A60" t="s">
        <v>482</v>
      </c>
      <c r="B60" t="s">
        <v>483</v>
      </c>
      <c r="C60" t="s">
        <v>3300</v>
      </c>
      <c r="D60" t="s">
        <v>487</v>
      </c>
      <c r="E60" t="s">
        <v>487</v>
      </c>
      <c r="F60" t="s">
        <v>1334</v>
      </c>
      <c r="G60" t="s">
        <v>3197</v>
      </c>
      <c r="H60" t="s">
        <v>3198</v>
      </c>
      <c r="I60" t="s">
        <v>3039</v>
      </c>
      <c r="J60" t="s">
        <v>3039</v>
      </c>
      <c r="K60" t="s">
        <v>3199</v>
      </c>
    </row>
    <row r="61" spans="1:11" x14ac:dyDescent="0.2">
      <c r="A61" t="s">
        <v>490</v>
      </c>
      <c r="B61" t="s">
        <v>491</v>
      </c>
      <c r="C61" t="s">
        <v>3301</v>
      </c>
      <c r="D61" t="s">
        <v>145</v>
      </c>
      <c r="E61" t="s">
        <v>145</v>
      </c>
      <c r="F61" t="s">
        <v>1334</v>
      </c>
      <c r="G61" t="s">
        <v>3297</v>
      </c>
      <c r="H61" t="s">
        <v>3212</v>
      </c>
      <c r="I61" t="s">
        <v>3302</v>
      </c>
      <c r="J61" t="s">
        <v>3302</v>
      </c>
      <c r="K61" t="s">
        <v>3199</v>
      </c>
    </row>
    <row r="62" spans="1:11" x14ac:dyDescent="0.2">
      <c r="A62" t="s">
        <v>3303</v>
      </c>
      <c r="B62" t="s">
        <v>501</v>
      </c>
      <c r="C62" t="s">
        <v>3304</v>
      </c>
      <c r="D62" t="s">
        <v>504</v>
      </c>
      <c r="E62" t="s">
        <v>504</v>
      </c>
      <c r="F62" t="s">
        <v>1334</v>
      </c>
      <c r="G62" t="s">
        <v>3197</v>
      </c>
      <c r="H62" t="s">
        <v>3198</v>
      </c>
      <c r="I62" t="s">
        <v>3039</v>
      </c>
      <c r="J62" t="s">
        <v>3039</v>
      </c>
      <c r="K62" t="s">
        <v>3199</v>
      </c>
    </row>
    <row r="63" spans="1:11" x14ac:dyDescent="0.2">
      <c r="A63" t="s">
        <v>506</v>
      </c>
      <c r="B63" t="s">
        <v>2806</v>
      </c>
      <c r="C63" t="s">
        <v>3305</v>
      </c>
      <c r="D63" t="s">
        <v>504</v>
      </c>
      <c r="E63" t="s">
        <v>504</v>
      </c>
      <c r="F63" t="s">
        <v>1334</v>
      </c>
      <c r="G63" t="s">
        <v>3217</v>
      </c>
      <c r="H63" t="s">
        <v>3204</v>
      </c>
      <c r="I63" t="s">
        <v>3218</v>
      </c>
      <c r="J63" t="s">
        <v>3008</v>
      </c>
      <c r="K63" t="s">
        <v>3199</v>
      </c>
    </row>
    <row r="64" spans="1:11" x14ac:dyDescent="0.2">
      <c r="A64" t="s">
        <v>512</v>
      </c>
      <c r="B64" t="s">
        <v>513</v>
      </c>
      <c r="C64" t="s">
        <v>3306</v>
      </c>
      <c r="D64" t="s">
        <v>517</v>
      </c>
      <c r="E64" t="s">
        <v>517</v>
      </c>
      <c r="F64" t="s">
        <v>1334</v>
      </c>
      <c r="G64" t="s">
        <v>3217</v>
      </c>
      <c r="H64" t="s">
        <v>3204</v>
      </c>
      <c r="I64" t="s">
        <v>3218</v>
      </c>
      <c r="J64" t="s">
        <v>3008</v>
      </c>
      <c r="K64" t="s">
        <v>3199</v>
      </c>
    </row>
    <row r="65" spans="1:11" x14ac:dyDescent="0.2">
      <c r="A65" t="s">
        <v>521</v>
      </c>
      <c r="B65" t="s">
        <v>211</v>
      </c>
      <c r="C65" t="s">
        <v>3307</v>
      </c>
      <c r="D65" t="s">
        <v>426</v>
      </c>
      <c r="E65" t="s">
        <v>426</v>
      </c>
      <c r="F65" t="s">
        <v>1334</v>
      </c>
      <c r="G65" t="s">
        <v>3197</v>
      </c>
      <c r="H65" t="s">
        <v>3198</v>
      </c>
      <c r="I65" t="s">
        <v>3039</v>
      </c>
      <c r="J65" t="s">
        <v>3039</v>
      </c>
      <c r="K65" t="s">
        <v>3199</v>
      </c>
    </row>
    <row r="66" spans="1:11" x14ac:dyDescent="0.2">
      <c r="A66" t="s">
        <v>521</v>
      </c>
      <c r="B66" t="s">
        <v>523</v>
      </c>
      <c r="C66" t="s">
        <v>3308</v>
      </c>
      <c r="D66" t="s">
        <v>426</v>
      </c>
      <c r="E66" t="s">
        <v>426</v>
      </c>
      <c r="F66" t="s">
        <v>1334</v>
      </c>
      <c r="G66" t="s">
        <v>3204</v>
      </c>
      <c r="H66" t="s">
        <v>3205</v>
      </c>
      <c r="I66" t="s">
        <v>3206</v>
      </c>
      <c r="J66" t="s">
        <v>2999</v>
      </c>
      <c r="K66" t="s">
        <v>3199</v>
      </c>
    </row>
    <row r="67" spans="1:11" x14ac:dyDescent="0.2">
      <c r="A67" t="s">
        <v>527</v>
      </c>
      <c r="B67" t="s">
        <v>528</v>
      </c>
      <c r="C67" t="s">
        <v>3309</v>
      </c>
      <c r="D67" t="s">
        <v>532</v>
      </c>
      <c r="E67" t="s">
        <v>532</v>
      </c>
      <c r="F67" t="s">
        <v>1334</v>
      </c>
      <c r="G67" t="s">
        <v>3310</v>
      </c>
      <c r="H67" t="s">
        <v>3311</v>
      </c>
      <c r="I67" t="s">
        <v>3312</v>
      </c>
      <c r="J67" t="s">
        <v>3084</v>
      </c>
      <c r="K67" t="s">
        <v>3199</v>
      </c>
    </row>
    <row r="68" spans="1:11" x14ac:dyDescent="0.2">
      <c r="A68" t="s">
        <v>540</v>
      </c>
      <c r="B68" t="s">
        <v>541</v>
      </c>
      <c r="C68" t="s">
        <v>3313</v>
      </c>
      <c r="D68" t="s">
        <v>532</v>
      </c>
      <c r="E68" t="s">
        <v>532</v>
      </c>
      <c r="F68" t="s">
        <v>1334</v>
      </c>
      <c r="G68" t="s">
        <v>3310</v>
      </c>
      <c r="H68" t="s">
        <v>3311</v>
      </c>
      <c r="I68" t="s">
        <v>3312</v>
      </c>
      <c r="J68" t="s">
        <v>3084</v>
      </c>
      <c r="K68" t="s">
        <v>3199</v>
      </c>
    </row>
    <row r="69" spans="1:11" x14ac:dyDescent="0.2">
      <c r="A69" t="s">
        <v>548</v>
      </c>
      <c r="B69" t="s">
        <v>549</v>
      </c>
      <c r="C69" t="s">
        <v>3314</v>
      </c>
      <c r="D69" t="s">
        <v>552</v>
      </c>
      <c r="E69" t="s">
        <v>552</v>
      </c>
      <c r="F69" t="s">
        <v>1334</v>
      </c>
      <c r="G69" t="s">
        <v>3197</v>
      </c>
      <c r="H69" t="s">
        <v>3198</v>
      </c>
      <c r="I69" t="s">
        <v>3039</v>
      </c>
      <c r="J69" t="s">
        <v>3039</v>
      </c>
      <c r="K69" t="s">
        <v>3199</v>
      </c>
    </row>
    <row r="70" spans="1:11" x14ac:dyDescent="0.2">
      <c r="A70" t="s">
        <v>554</v>
      </c>
      <c r="B70" t="s">
        <v>555</v>
      </c>
      <c r="C70" t="s">
        <v>3315</v>
      </c>
      <c r="D70" t="s">
        <v>560</v>
      </c>
      <c r="E70" t="s">
        <v>560</v>
      </c>
      <c r="F70" t="s">
        <v>1334</v>
      </c>
      <c r="G70" t="s">
        <v>3197</v>
      </c>
      <c r="H70" t="s">
        <v>3198</v>
      </c>
      <c r="I70" t="s">
        <v>3039</v>
      </c>
      <c r="J70" t="s">
        <v>3039</v>
      </c>
      <c r="K70" t="s">
        <v>3199</v>
      </c>
    </row>
    <row r="71" spans="1:11" x14ac:dyDescent="0.2">
      <c r="A71" t="s">
        <v>562</v>
      </c>
      <c r="B71" t="s">
        <v>563</v>
      </c>
      <c r="C71" t="s">
        <v>3316</v>
      </c>
      <c r="D71" t="s">
        <v>193</v>
      </c>
      <c r="E71" t="s">
        <v>193</v>
      </c>
      <c r="F71" t="s">
        <v>1334</v>
      </c>
      <c r="G71" t="s">
        <v>3197</v>
      </c>
      <c r="H71" t="s">
        <v>3198</v>
      </c>
      <c r="I71" t="s">
        <v>3039</v>
      </c>
      <c r="J71" t="s">
        <v>3039</v>
      </c>
      <c r="K71" t="s">
        <v>3199</v>
      </c>
    </row>
    <row r="72" spans="1:11" x14ac:dyDescent="0.2">
      <c r="A72" t="s">
        <v>564</v>
      </c>
      <c r="B72" t="s">
        <v>565</v>
      </c>
      <c r="C72" t="s">
        <v>3317</v>
      </c>
      <c r="D72" t="s">
        <v>569</v>
      </c>
      <c r="E72" t="s">
        <v>569</v>
      </c>
      <c r="F72" t="s">
        <v>1334</v>
      </c>
      <c r="G72" t="s">
        <v>3197</v>
      </c>
      <c r="H72" t="s">
        <v>3198</v>
      </c>
      <c r="I72" t="s">
        <v>3039</v>
      </c>
      <c r="J72" t="s">
        <v>3039</v>
      </c>
      <c r="K72" t="s">
        <v>3199</v>
      </c>
    </row>
    <row r="73" spans="1:11" x14ac:dyDescent="0.2">
      <c r="A73" t="s">
        <v>572</v>
      </c>
      <c r="B73" t="s">
        <v>573</v>
      </c>
      <c r="C73" t="s">
        <v>3318</v>
      </c>
      <c r="D73" t="s">
        <v>569</v>
      </c>
      <c r="E73" t="s">
        <v>569</v>
      </c>
      <c r="F73" t="s">
        <v>1334</v>
      </c>
      <c r="G73" t="s">
        <v>3217</v>
      </c>
      <c r="H73" t="s">
        <v>3204</v>
      </c>
      <c r="I73" t="s">
        <v>3218</v>
      </c>
      <c r="J73" t="s">
        <v>3008</v>
      </c>
      <c r="K73" t="s">
        <v>3199</v>
      </c>
    </row>
    <row r="74" spans="1:11" x14ac:dyDescent="0.2">
      <c r="A74" t="s">
        <v>580</v>
      </c>
      <c r="B74" t="s">
        <v>581</v>
      </c>
      <c r="C74" t="s">
        <v>3319</v>
      </c>
      <c r="D74" t="s">
        <v>145</v>
      </c>
      <c r="E74" t="s">
        <v>145</v>
      </c>
      <c r="F74" t="s">
        <v>1334</v>
      </c>
      <c r="G74" t="s">
        <v>3288</v>
      </c>
      <c r="H74" t="s">
        <v>3289</v>
      </c>
      <c r="I74" t="s">
        <v>3290</v>
      </c>
      <c r="J74" t="s">
        <v>3291</v>
      </c>
      <c r="K74" t="s">
        <v>3199</v>
      </c>
    </row>
    <row r="75" spans="1:11" x14ac:dyDescent="0.2">
      <c r="A75" t="s">
        <v>580</v>
      </c>
      <c r="B75" t="s">
        <v>589</v>
      </c>
      <c r="C75" t="s">
        <v>3320</v>
      </c>
      <c r="D75" t="s">
        <v>145</v>
      </c>
      <c r="E75" t="s">
        <v>145</v>
      </c>
      <c r="F75" t="s">
        <v>1334</v>
      </c>
      <c r="G75" t="s">
        <v>3249</v>
      </c>
      <c r="H75" t="s">
        <v>3250</v>
      </c>
      <c r="I75" t="s">
        <v>3251</v>
      </c>
      <c r="J75" t="s">
        <v>265</v>
      </c>
      <c r="K75" t="s">
        <v>3199</v>
      </c>
    </row>
    <row r="76" spans="1:11" x14ac:dyDescent="0.2">
      <c r="A76" t="s">
        <v>596</v>
      </c>
      <c r="B76" t="s">
        <v>597</v>
      </c>
      <c r="C76" t="s">
        <v>3321</v>
      </c>
      <c r="D76" t="s">
        <v>600</v>
      </c>
      <c r="E76" t="s">
        <v>600</v>
      </c>
      <c r="F76" t="s">
        <v>1334</v>
      </c>
      <c r="G76" t="s">
        <v>3197</v>
      </c>
      <c r="H76" t="s">
        <v>3198</v>
      </c>
      <c r="I76" t="s">
        <v>3039</v>
      </c>
      <c r="J76" t="s">
        <v>3039</v>
      </c>
      <c r="K76" t="s">
        <v>3199</v>
      </c>
    </row>
    <row r="77" spans="1:11" x14ac:dyDescent="0.2">
      <c r="A77" t="s">
        <v>601</v>
      </c>
      <c r="B77" t="s">
        <v>602</v>
      </c>
      <c r="C77" t="s">
        <v>3322</v>
      </c>
      <c r="D77" t="s">
        <v>604</v>
      </c>
      <c r="E77" t="s">
        <v>604</v>
      </c>
      <c r="F77" t="s">
        <v>1334</v>
      </c>
      <c r="G77" t="s">
        <v>3268</v>
      </c>
      <c r="H77" t="s">
        <v>3269</v>
      </c>
      <c r="I77" t="s">
        <v>2978</v>
      </c>
      <c r="J77" t="s">
        <v>3270</v>
      </c>
      <c r="K77" t="s">
        <v>3199</v>
      </c>
    </row>
    <row r="78" spans="1:11" x14ac:dyDescent="0.2">
      <c r="A78" t="s">
        <v>601</v>
      </c>
      <c r="B78" t="s">
        <v>611</v>
      </c>
      <c r="C78" t="s">
        <v>3323</v>
      </c>
      <c r="D78" t="s">
        <v>604</v>
      </c>
      <c r="E78" t="s">
        <v>604</v>
      </c>
      <c r="F78" t="s">
        <v>1334</v>
      </c>
      <c r="G78" t="s">
        <v>3228</v>
      </c>
      <c r="H78" t="s">
        <v>3229</v>
      </c>
      <c r="I78" t="s">
        <v>2982</v>
      </c>
      <c r="J78" t="s">
        <v>3230</v>
      </c>
      <c r="K78" t="s">
        <v>3199</v>
      </c>
    </row>
    <row r="79" spans="1:11" x14ac:dyDescent="0.2">
      <c r="A79" t="s">
        <v>601</v>
      </c>
      <c r="B79" t="s">
        <v>614</v>
      </c>
      <c r="C79" t="s">
        <v>3324</v>
      </c>
      <c r="D79" t="s">
        <v>604</v>
      </c>
      <c r="E79" t="s">
        <v>604</v>
      </c>
      <c r="F79" t="s">
        <v>1334</v>
      </c>
      <c r="G79" t="s">
        <v>3197</v>
      </c>
      <c r="H79" t="s">
        <v>3198</v>
      </c>
      <c r="I79" t="s">
        <v>3039</v>
      </c>
      <c r="J79" t="s">
        <v>3039</v>
      </c>
      <c r="K79" t="s">
        <v>3199</v>
      </c>
    </row>
    <row r="80" spans="1:11" x14ac:dyDescent="0.2">
      <c r="A80" t="s">
        <v>616</v>
      </c>
      <c r="B80" t="s">
        <v>617</v>
      </c>
      <c r="C80" t="s">
        <v>3325</v>
      </c>
      <c r="D80" t="s">
        <v>621</v>
      </c>
      <c r="E80" t="s">
        <v>621</v>
      </c>
      <c r="F80" t="s">
        <v>1334</v>
      </c>
      <c r="G80" t="s">
        <v>3197</v>
      </c>
      <c r="H80" t="s">
        <v>3198</v>
      </c>
      <c r="I80" t="s">
        <v>3039</v>
      </c>
      <c r="J80" t="s">
        <v>3039</v>
      </c>
      <c r="K80" t="s">
        <v>3199</v>
      </c>
    </row>
    <row r="81" spans="1:11" x14ac:dyDescent="0.2">
      <c r="A81" t="s">
        <v>616</v>
      </c>
      <c r="B81" t="s">
        <v>319</v>
      </c>
      <c r="C81" t="s">
        <v>3326</v>
      </c>
      <c r="D81" t="s">
        <v>621</v>
      </c>
      <c r="E81" t="s">
        <v>621</v>
      </c>
      <c r="F81" t="s">
        <v>1334</v>
      </c>
      <c r="G81" t="s">
        <v>3228</v>
      </c>
      <c r="H81" t="s">
        <v>3229</v>
      </c>
      <c r="I81" t="s">
        <v>2982</v>
      </c>
      <c r="J81" t="s">
        <v>3230</v>
      </c>
      <c r="K81" t="s">
        <v>3199</v>
      </c>
    </row>
    <row r="82" spans="1:11" x14ac:dyDescent="0.2">
      <c r="A82" t="s">
        <v>616</v>
      </c>
      <c r="B82" t="s">
        <v>322</v>
      </c>
      <c r="C82" t="s">
        <v>3327</v>
      </c>
      <c r="D82" t="s">
        <v>621</v>
      </c>
      <c r="E82" t="s">
        <v>621</v>
      </c>
      <c r="F82" t="s">
        <v>1334</v>
      </c>
      <c r="G82" t="s">
        <v>3234</v>
      </c>
      <c r="H82" t="s">
        <v>3222</v>
      </c>
      <c r="I82" t="s">
        <v>2986</v>
      </c>
      <c r="J82" t="s">
        <v>3235</v>
      </c>
      <c r="K82" t="s">
        <v>3199</v>
      </c>
    </row>
    <row r="83" spans="1:11" x14ac:dyDescent="0.2">
      <c r="A83" t="s">
        <v>630</v>
      </c>
      <c r="B83" t="s">
        <v>631</v>
      </c>
      <c r="C83" t="s">
        <v>3328</v>
      </c>
      <c r="D83" t="s">
        <v>634</v>
      </c>
      <c r="E83" t="s">
        <v>634</v>
      </c>
      <c r="F83" t="s">
        <v>1334</v>
      </c>
      <c r="G83" t="s">
        <v>3197</v>
      </c>
      <c r="H83" t="s">
        <v>3198</v>
      </c>
      <c r="I83" t="s">
        <v>3039</v>
      </c>
      <c r="J83" t="s">
        <v>3039</v>
      </c>
      <c r="K83" t="s">
        <v>3199</v>
      </c>
    </row>
    <row r="84" spans="1:11" x14ac:dyDescent="0.2">
      <c r="A84" t="s">
        <v>639</v>
      </c>
      <c r="B84" t="s">
        <v>640</v>
      </c>
      <c r="C84" t="s">
        <v>3329</v>
      </c>
      <c r="D84" t="s">
        <v>77</v>
      </c>
      <c r="E84" t="s">
        <v>77</v>
      </c>
      <c r="F84" t="s">
        <v>1334</v>
      </c>
      <c r="G84" t="s">
        <v>3330</v>
      </c>
      <c r="H84" t="s">
        <v>3249</v>
      </c>
      <c r="I84" t="s">
        <v>2974</v>
      </c>
      <c r="J84" t="s">
        <v>3331</v>
      </c>
      <c r="K84" t="s">
        <v>3199</v>
      </c>
    </row>
    <row r="85" spans="1:11" x14ac:dyDescent="0.2">
      <c r="A85" t="s">
        <v>639</v>
      </c>
      <c r="B85" t="s">
        <v>644</v>
      </c>
      <c r="C85" t="s">
        <v>3332</v>
      </c>
      <c r="D85" t="s">
        <v>77</v>
      </c>
      <c r="E85" t="s">
        <v>77</v>
      </c>
      <c r="F85" t="s">
        <v>1334</v>
      </c>
      <c r="G85" t="s">
        <v>3197</v>
      </c>
      <c r="H85" t="s">
        <v>3198</v>
      </c>
      <c r="I85" t="s">
        <v>3039</v>
      </c>
      <c r="J85" t="s">
        <v>3039</v>
      </c>
      <c r="K85" t="s">
        <v>3199</v>
      </c>
    </row>
    <row r="86" spans="1:11" x14ac:dyDescent="0.2">
      <c r="A86" t="s">
        <v>649</v>
      </c>
      <c r="B86" t="s">
        <v>650</v>
      </c>
      <c r="C86" t="s">
        <v>3333</v>
      </c>
      <c r="D86" t="s">
        <v>653</v>
      </c>
      <c r="E86" t="s">
        <v>653</v>
      </c>
      <c r="F86" t="s">
        <v>1334</v>
      </c>
      <c r="G86" t="s">
        <v>3197</v>
      </c>
      <c r="H86" t="s">
        <v>3198</v>
      </c>
      <c r="I86" t="s">
        <v>3039</v>
      </c>
      <c r="J86" t="s">
        <v>3039</v>
      </c>
      <c r="K86" t="s">
        <v>3199</v>
      </c>
    </row>
    <row r="87" spans="1:11" x14ac:dyDescent="0.2">
      <c r="A87" t="s">
        <v>649</v>
      </c>
      <c r="B87" t="s">
        <v>656</v>
      </c>
      <c r="C87" t="s">
        <v>3334</v>
      </c>
      <c r="D87" t="s">
        <v>653</v>
      </c>
      <c r="E87" t="s">
        <v>653</v>
      </c>
      <c r="F87" t="s">
        <v>1334</v>
      </c>
      <c r="G87" t="s">
        <v>3284</v>
      </c>
      <c r="H87" t="s">
        <v>3285</v>
      </c>
      <c r="I87" t="s">
        <v>2984</v>
      </c>
      <c r="J87" t="s">
        <v>3286</v>
      </c>
      <c r="K87" t="s">
        <v>3199</v>
      </c>
    </row>
    <row r="88" spans="1:11" x14ac:dyDescent="0.2">
      <c r="A88" t="s">
        <v>661</v>
      </c>
      <c r="B88" t="s">
        <v>662</v>
      </c>
      <c r="C88" t="s">
        <v>3335</v>
      </c>
      <c r="D88" t="s">
        <v>145</v>
      </c>
      <c r="E88" t="s">
        <v>145</v>
      </c>
      <c r="F88" t="s">
        <v>1334</v>
      </c>
      <c r="G88" t="s">
        <v>3296</v>
      </c>
      <c r="H88" t="s">
        <v>3297</v>
      </c>
      <c r="I88" t="s">
        <v>46</v>
      </c>
      <c r="J88" t="s">
        <v>3023</v>
      </c>
      <c r="K88" t="s">
        <v>3199</v>
      </c>
    </row>
    <row r="89" spans="1:11" x14ac:dyDescent="0.2">
      <c r="A89" t="s">
        <v>676</v>
      </c>
      <c r="B89" t="s">
        <v>677</v>
      </c>
      <c r="C89" t="s">
        <v>3336</v>
      </c>
      <c r="D89" t="s">
        <v>449</v>
      </c>
      <c r="E89" t="s">
        <v>449</v>
      </c>
      <c r="F89" t="s">
        <v>1334</v>
      </c>
      <c r="G89" t="s">
        <v>3228</v>
      </c>
      <c r="H89" t="s">
        <v>3229</v>
      </c>
      <c r="I89" t="s">
        <v>2982</v>
      </c>
      <c r="J89" t="s">
        <v>3230</v>
      </c>
      <c r="K89" t="s">
        <v>3199</v>
      </c>
    </row>
    <row r="90" spans="1:11" x14ac:dyDescent="0.2">
      <c r="A90" t="s">
        <v>676</v>
      </c>
      <c r="B90" t="s">
        <v>682</v>
      </c>
      <c r="C90" t="s">
        <v>3337</v>
      </c>
      <c r="D90" t="s">
        <v>449</v>
      </c>
      <c r="E90" t="s">
        <v>449</v>
      </c>
      <c r="F90" t="s">
        <v>1334</v>
      </c>
      <c r="G90" t="s">
        <v>3197</v>
      </c>
      <c r="H90" t="s">
        <v>3198</v>
      </c>
      <c r="I90" t="s">
        <v>3039</v>
      </c>
      <c r="J90" t="s">
        <v>3039</v>
      </c>
      <c r="K90" t="s">
        <v>3199</v>
      </c>
    </row>
    <row r="91" spans="1:11" x14ac:dyDescent="0.2">
      <c r="A91" t="s">
        <v>687</v>
      </c>
      <c r="B91" t="s">
        <v>688</v>
      </c>
      <c r="C91" t="s">
        <v>3338</v>
      </c>
      <c r="D91" t="s">
        <v>691</v>
      </c>
      <c r="E91" t="s">
        <v>691</v>
      </c>
      <c r="F91" t="s">
        <v>1334</v>
      </c>
      <c r="G91" t="s">
        <v>3213</v>
      </c>
      <c r="H91" t="s">
        <v>3339</v>
      </c>
      <c r="I91" t="s">
        <v>3340</v>
      </c>
      <c r="J91" t="s">
        <v>3341</v>
      </c>
      <c r="K91" t="s">
        <v>3199</v>
      </c>
    </row>
    <row r="92" spans="1:11" x14ac:dyDescent="0.2">
      <c r="A92" t="s">
        <v>696</v>
      </c>
      <c r="B92" t="s">
        <v>697</v>
      </c>
      <c r="C92" t="s">
        <v>3342</v>
      </c>
      <c r="D92" t="s">
        <v>699</v>
      </c>
      <c r="E92" t="s">
        <v>699</v>
      </c>
      <c r="F92" t="s">
        <v>1334</v>
      </c>
      <c r="G92" t="s">
        <v>3197</v>
      </c>
      <c r="H92" t="s">
        <v>3198</v>
      </c>
      <c r="I92" t="s">
        <v>3039</v>
      </c>
      <c r="J92" t="s">
        <v>3039</v>
      </c>
      <c r="K92" t="s">
        <v>3199</v>
      </c>
    </row>
    <row r="93" spans="1:11" x14ac:dyDescent="0.2">
      <c r="A93" t="s">
        <v>701</v>
      </c>
      <c r="B93" t="s">
        <v>702</v>
      </c>
      <c r="C93" t="s">
        <v>3343</v>
      </c>
      <c r="D93" t="s">
        <v>706</v>
      </c>
      <c r="E93" t="s">
        <v>706</v>
      </c>
      <c r="F93" t="s">
        <v>1334</v>
      </c>
      <c r="G93" t="s">
        <v>3234</v>
      </c>
      <c r="H93" t="s">
        <v>3222</v>
      </c>
      <c r="I93" t="s">
        <v>2986</v>
      </c>
      <c r="J93" t="s">
        <v>3235</v>
      </c>
      <c r="K93" t="s">
        <v>3199</v>
      </c>
    </row>
    <row r="94" spans="1:11" x14ac:dyDescent="0.2">
      <c r="A94" t="s">
        <v>701</v>
      </c>
      <c r="B94" t="s">
        <v>712</v>
      </c>
      <c r="C94" t="s">
        <v>3344</v>
      </c>
      <c r="D94" t="s">
        <v>706</v>
      </c>
      <c r="E94" t="s">
        <v>706</v>
      </c>
      <c r="F94" t="s">
        <v>1334</v>
      </c>
      <c r="G94" t="s">
        <v>3217</v>
      </c>
      <c r="H94" t="s">
        <v>3204</v>
      </c>
      <c r="I94" t="s">
        <v>3218</v>
      </c>
      <c r="J94" t="s">
        <v>3008</v>
      </c>
      <c r="K94" t="s">
        <v>3199</v>
      </c>
    </row>
    <row r="95" spans="1:11" x14ac:dyDescent="0.2">
      <c r="A95" t="s">
        <v>701</v>
      </c>
      <c r="B95" t="s">
        <v>715</v>
      </c>
      <c r="C95" t="s">
        <v>3345</v>
      </c>
      <c r="D95" t="s">
        <v>706</v>
      </c>
      <c r="E95" t="s">
        <v>706</v>
      </c>
      <c r="F95" t="s">
        <v>1334</v>
      </c>
      <c r="G95" t="s">
        <v>3197</v>
      </c>
      <c r="H95" t="s">
        <v>3198</v>
      </c>
      <c r="I95" t="s">
        <v>3039</v>
      </c>
      <c r="J95" t="s">
        <v>3039</v>
      </c>
      <c r="K95" t="s">
        <v>3199</v>
      </c>
    </row>
    <row r="96" spans="1:11" x14ac:dyDescent="0.2">
      <c r="A96" t="s">
        <v>719</v>
      </c>
      <c r="B96" t="s">
        <v>720</v>
      </c>
      <c r="C96" t="s">
        <v>3346</v>
      </c>
      <c r="D96" t="s">
        <v>723</v>
      </c>
      <c r="E96" t="s">
        <v>723</v>
      </c>
      <c r="F96" t="s">
        <v>1334</v>
      </c>
      <c r="G96" t="s">
        <v>3229</v>
      </c>
      <c r="H96" t="s">
        <v>3238</v>
      </c>
      <c r="I96" t="s">
        <v>25</v>
      </c>
      <c r="J96" t="s">
        <v>2993</v>
      </c>
      <c r="K96" t="s">
        <v>3199</v>
      </c>
    </row>
    <row r="97" spans="1:11" x14ac:dyDescent="0.2">
      <c r="A97" t="s">
        <v>719</v>
      </c>
      <c r="B97" t="s">
        <v>727</v>
      </c>
      <c r="C97" t="s">
        <v>1334</v>
      </c>
      <c r="D97" t="s">
        <v>1334</v>
      </c>
      <c r="E97" t="s">
        <v>723</v>
      </c>
      <c r="F97" t="s">
        <v>3347</v>
      </c>
      <c r="G97" t="s">
        <v>3197</v>
      </c>
      <c r="H97" t="s">
        <v>3198</v>
      </c>
      <c r="I97" t="s">
        <v>3039</v>
      </c>
      <c r="J97" t="s">
        <v>3039</v>
      </c>
      <c r="K97" t="s">
        <v>1334</v>
      </c>
    </row>
    <row r="98" spans="1:11" x14ac:dyDescent="0.2">
      <c r="A98" t="s">
        <v>719</v>
      </c>
      <c r="B98" t="s">
        <v>3348</v>
      </c>
      <c r="C98" t="s">
        <v>1334</v>
      </c>
      <c r="D98" t="s">
        <v>1334</v>
      </c>
      <c r="E98" t="s">
        <v>723</v>
      </c>
      <c r="F98" t="s">
        <v>3347</v>
      </c>
      <c r="G98" t="s">
        <v>3197</v>
      </c>
      <c r="H98" t="s">
        <v>3198</v>
      </c>
      <c r="I98" t="s">
        <v>3039</v>
      </c>
      <c r="J98" t="s">
        <v>3039</v>
      </c>
      <c r="K98" t="s">
        <v>1334</v>
      </c>
    </row>
    <row r="99" spans="1:11" x14ac:dyDescent="0.2">
      <c r="A99" t="s">
        <v>728</v>
      </c>
      <c r="B99" t="s">
        <v>729</v>
      </c>
      <c r="C99" t="s">
        <v>3349</v>
      </c>
      <c r="D99" t="s">
        <v>733</v>
      </c>
      <c r="E99" t="s">
        <v>733</v>
      </c>
      <c r="F99" t="s">
        <v>1334</v>
      </c>
      <c r="G99" t="s">
        <v>3296</v>
      </c>
      <c r="H99" t="s">
        <v>3297</v>
      </c>
      <c r="I99" t="s">
        <v>46</v>
      </c>
      <c r="J99" t="s">
        <v>3023</v>
      </c>
      <c r="K99" t="s">
        <v>3199</v>
      </c>
    </row>
    <row r="100" spans="1:11" x14ac:dyDescent="0.2">
      <c r="A100" t="s">
        <v>728</v>
      </c>
      <c r="B100" t="s">
        <v>741</v>
      </c>
      <c r="C100" t="s">
        <v>3350</v>
      </c>
      <c r="D100" t="s">
        <v>733</v>
      </c>
      <c r="E100" t="s">
        <v>733</v>
      </c>
      <c r="F100" t="s">
        <v>1334</v>
      </c>
      <c r="G100" t="s">
        <v>3249</v>
      </c>
      <c r="H100" t="s">
        <v>3250</v>
      </c>
      <c r="I100" t="s">
        <v>3251</v>
      </c>
      <c r="J100" t="s">
        <v>265</v>
      </c>
      <c r="K100" t="s">
        <v>3199</v>
      </c>
    </row>
    <row r="101" spans="1:11" x14ac:dyDescent="0.2">
      <c r="A101" t="s">
        <v>747</v>
      </c>
      <c r="B101" t="s">
        <v>748</v>
      </c>
      <c r="C101" t="s">
        <v>3351</v>
      </c>
      <c r="D101" t="s">
        <v>752</v>
      </c>
      <c r="E101" t="s">
        <v>752</v>
      </c>
      <c r="F101" t="s">
        <v>1334</v>
      </c>
      <c r="G101" t="s">
        <v>3197</v>
      </c>
      <c r="H101" t="s">
        <v>3198</v>
      </c>
      <c r="I101" t="s">
        <v>3039</v>
      </c>
      <c r="J101" t="s">
        <v>3039</v>
      </c>
      <c r="K101" t="s">
        <v>3199</v>
      </c>
    </row>
    <row r="102" spans="1:11" x14ac:dyDescent="0.2">
      <c r="A102" t="s">
        <v>755</v>
      </c>
      <c r="B102" t="s">
        <v>756</v>
      </c>
      <c r="C102" t="s">
        <v>3352</v>
      </c>
      <c r="D102" t="s">
        <v>504</v>
      </c>
      <c r="E102" t="s">
        <v>504</v>
      </c>
      <c r="F102" t="s">
        <v>1334</v>
      </c>
      <c r="G102" t="s">
        <v>3197</v>
      </c>
      <c r="H102" t="s">
        <v>3198</v>
      </c>
      <c r="I102" t="s">
        <v>3039</v>
      </c>
      <c r="J102" t="s">
        <v>3039</v>
      </c>
      <c r="K102" t="s">
        <v>3199</v>
      </c>
    </row>
    <row r="103" spans="1:11" x14ac:dyDescent="0.2">
      <c r="A103" t="s">
        <v>758</v>
      </c>
      <c r="B103" t="s">
        <v>759</v>
      </c>
      <c r="C103" t="s">
        <v>3353</v>
      </c>
      <c r="D103" t="s">
        <v>762</v>
      </c>
      <c r="E103" t="s">
        <v>762</v>
      </c>
      <c r="F103" t="s">
        <v>1334</v>
      </c>
      <c r="G103" t="s">
        <v>3197</v>
      </c>
      <c r="H103" t="s">
        <v>3198</v>
      </c>
      <c r="I103" t="s">
        <v>3039</v>
      </c>
      <c r="J103" t="s">
        <v>3039</v>
      </c>
      <c r="K103" t="s">
        <v>3199</v>
      </c>
    </row>
    <row r="104" spans="1:11" x14ac:dyDescent="0.2">
      <c r="A104" t="s">
        <v>758</v>
      </c>
      <c r="B104" t="s">
        <v>176</v>
      </c>
      <c r="C104" t="s">
        <v>3354</v>
      </c>
      <c r="D104" t="s">
        <v>762</v>
      </c>
      <c r="E104" t="s">
        <v>762</v>
      </c>
      <c r="F104" t="s">
        <v>1334</v>
      </c>
      <c r="G104" t="s">
        <v>3222</v>
      </c>
      <c r="H104" t="s">
        <v>3223</v>
      </c>
      <c r="I104" t="s">
        <v>3224</v>
      </c>
      <c r="J104" t="s">
        <v>2997</v>
      </c>
      <c r="K104" t="s">
        <v>3199</v>
      </c>
    </row>
    <row r="105" spans="1:11" x14ac:dyDescent="0.2">
      <c r="A105" t="s">
        <v>766</v>
      </c>
      <c r="B105" t="s">
        <v>767</v>
      </c>
      <c r="C105" t="s">
        <v>3355</v>
      </c>
      <c r="D105" t="s">
        <v>770</v>
      </c>
      <c r="E105" t="s">
        <v>770</v>
      </c>
      <c r="F105" t="s">
        <v>1334</v>
      </c>
      <c r="G105" t="s">
        <v>3197</v>
      </c>
      <c r="H105" t="s">
        <v>3198</v>
      </c>
      <c r="I105" t="s">
        <v>3039</v>
      </c>
      <c r="J105" t="s">
        <v>3039</v>
      </c>
      <c r="K105" t="s">
        <v>3199</v>
      </c>
    </row>
    <row r="106" spans="1:11" x14ac:dyDescent="0.2">
      <c r="A106" t="s">
        <v>772</v>
      </c>
      <c r="B106" t="s">
        <v>773</v>
      </c>
      <c r="C106" t="s">
        <v>3356</v>
      </c>
      <c r="D106" t="s">
        <v>776</v>
      </c>
      <c r="E106" t="s">
        <v>776</v>
      </c>
      <c r="F106" t="s">
        <v>1334</v>
      </c>
      <c r="G106" t="s">
        <v>3330</v>
      </c>
      <c r="H106" t="s">
        <v>3249</v>
      </c>
      <c r="I106" t="s">
        <v>2974</v>
      </c>
      <c r="J106" t="s">
        <v>3331</v>
      </c>
      <c r="K106" t="s">
        <v>3199</v>
      </c>
    </row>
    <row r="107" spans="1:11" x14ac:dyDescent="0.2">
      <c r="A107" t="s">
        <v>784</v>
      </c>
      <c r="B107" t="s">
        <v>785</v>
      </c>
      <c r="C107" t="s">
        <v>3357</v>
      </c>
      <c r="D107" t="s">
        <v>776</v>
      </c>
      <c r="E107" t="s">
        <v>776</v>
      </c>
      <c r="F107" t="s">
        <v>1334</v>
      </c>
      <c r="G107" t="s">
        <v>3197</v>
      </c>
      <c r="H107" t="s">
        <v>3198</v>
      </c>
      <c r="I107" t="s">
        <v>3039</v>
      </c>
      <c r="J107" t="s">
        <v>3039</v>
      </c>
      <c r="K107" t="s">
        <v>3199</v>
      </c>
    </row>
    <row r="108" spans="1:11" x14ac:dyDescent="0.2">
      <c r="A108" t="s">
        <v>787</v>
      </c>
      <c r="B108" t="s">
        <v>788</v>
      </c>
      <c r="C108" t="s">
        <v>3358</v>
      </c>
      <c r="D108" t="s">
        <v>793</v>
      </c>
      <c r="E108" t="s">
        <v>793</v>
      </c>
      <c r="F108" t="s">
        <v>1334</v>
      </c>
      <c r="G108" t="s">
        <v>3197</v>
      </c>
      <c r="H108" t="s">
        <v>3198</v>
      </c>
      <c r="I108" t="s">
        <v>3039</v>
      </c>
      <c r="J108" t="s">
        <v>3039</v>
      </c>
      <c r="K108" t="s">
        <v>3199</v>
      </c>
    </row>
    <row r="109" spans="1:11" x14ac:dyDescent="0.2">
      <c r="A109" t="s">
        <v>787</v>
      </c>
      <c r="B109" t="s">
        <v>794</v>
      </c>
      <c r="C109" t="s">
        <v>3359</v>
      </c>
      <c r="D109" t="s">
        <v>793</v>
      </c>
      <c r="E109" t="s">
        <v>793</v>
      </c>
      <c r="F109" t="s">
        <v>1334</v>
      </c>
      <c r="G109" t="s">
        <v>3249</v>
      </c>
      <c r="H109" t="s">
        <v>3250</v>
      </c>
      <c r="I109" t="s">
        <v>3251</v>
      </c>
      <c r="J109" t="s">
        <v>265</v>
      </c>
      <c r="K109" t="s">
        <v>3199</v>
      </c>
    </row>
    <row r="110" spans="1:11" x14ac:dyDescent="0.2">
      <c r="A110" t="s">
        <v>799</v>
      </c>
      <c r="B110" t="s">
        <v>800</v>
      </c>
      <c r="C110" t="s">
        <v>3360</v>
      </c>
      <c r="D110" t="s">
        <v>145</v>
      </c>
      <c r="E110" t="s">
        <v>145</v>
      </c>
      <c r="F110" t="s">
        <v>1334</v>
      </c>
      <c r="G110" t="s">
        <v>3296</v>
      </c>
      <c r="H110" t="s">
        <v>3297</v>
      </c>
      <c r="I110" t="s">
        <v>46</v>
      </c>
      <c r="J110" t="s">
        <v>3023</v>
      </c>
      <c r="K110" t="s">
        <v>3199</v>
      </c>
    </row>
    <row r="111" spans="1:11" x14ac:dyDescent="0.2">
      <c r="A111" t="s">
        <v>813</v>
      </c>
      <c r="B111" t="s">
        <v>814</v>
      </c>
      <c r="C111" t="s">
        <v>3361</v>
      </c>
      <c r="D111" t="s">
        <v>817</v>
      </c>
      <c r="E111" t="s">
        <v>817</v>
      </c>
      <c r="F111" t="s">
        <v>1334</v>
      </c>
      <c r="G111" t="s">
        <v>3268</v>
      </c>
      <c r="H111" t="s">
        <v>3269</v>
      </c>
      <c r="I111" t="s">
        <v>2978</v>
      </c>
      <c r="J111" t="s">
        <v>3270</v>
      </c>
      <c r="K111" t="s">
        <v>3199</v>
      </c>
    </row>
    <row r="112" spans="1:11" x14ac:dyDescent="0.2">
      <c r="A112" t="s">
        <v>823</v>
      </c>
      <c r="B112" t="s">
        <v>824</v>
      </c>
      <c r="C112" t="s">
        <v>3362</v>
      </c>
      <c r="D112" t="s">
        <v>817</v>
      </c>
      <c r="E112" t="s">
        <v>817</v>
      </c>
      <c r="F112" t="s">
        <v>1334</v>
      </c>
      <c r="G112" t="s">
        <v>3197</v>
      </c>
      <c r="H112" t="s">
        <v>3198</v>
      </c>
      <c r="I112" t="s">
        <v>3039</v>
      </c>
      <c r="J112" t="s">
        <v>3039</v>
      </c>
      <c r="K112" t="s">
        <v>3199</v>
      </c>
    </row>
    <row r="113" spans="1:11" x14ac:dyDescent="0.2">
      <c r="A113" t="s">
        <v>825</v>
      </c>
      <c r="B113" t="s">
        <v>513</v>
      </c>
      <c r="C113" t="s">
        <v>3363</v>
      </c>
      <c r="D113" t="s">
        <v>829</v>
      </c>
      <c r="E113" t="s">
        <v>829</v>
      </c>
      <c r="F113" t="s">
        <v>1334</v>
      </c>
      <c r="G113" t="s">
        <v>3197</v>
      </c>
      <c r="H113" t="s">
        <v>3198</v>
      </c>
      <c r="I113" t="s">
        <v>3039</v>
      </c>
      <c r="J113" t="s">
        <v>3039</v>
      </c>
      <c r="K113" t="s">
        <v>3199</v>
      </c>
    </row>
    <row r="114" spans="1:11" x14ac:dyDescent="0.2">
      <c r="A114" t="s">
        <v>830</v>
      </c>
      <c r="B114" t="s">
        <v>3364</v>
      </c>
      <c r="C114" t="s">
        <v>3365</v>
      </c>
      <c r="D114" t="s">
        <v>837</v>
      </c>
      <c r="E114" t="s">
        <v>837</v>
      </c>
      <c r="F114" t="s">
        <v>1334</v>
      </c>
      <c r="G114" t="s">
        <v>3204</v>
      </c>
      <c r="H114" t="s">
        <v>3205</v>
      </c>
      <c r="I114" t="s">
        <v>3206</v>
      </c>
      <c r="J114" t="s">
        <v>2999</v>
      </c>
      <c r="K114" t="s">
        <v>3199</v>
      </c>
    </row>
    <row r="115" spans="1:11" x14ac:dyDescent="0.2">
      <c r="A115" t="s">
        <v>830</v>
      </c>
      <c r="B115" t="s">
        <v>843</v>
      </c>
      <c r="C115" t="s">
        <v>3366</v>
      </c>
      <c r="D115" t="s">
        <v>837</v>
      </c>
      <c r="E115" t="s">
        <v>837</v>
      </c>
      <c r="F115" t="s">
        <v>1334</v>
      </c>
      <c r="G115" t="s">
        <v>3197</v>
      </c>
      <c r="H115" t="s">
        <v>3198</v>
      </c>
      <c r="I115" t="s">
        <v>3039</v>
      </c>
      <c r="J115" t="s">
        <v>3039</v>
      </c>
      <c r="K115" t="s">
        <v>3199</v>
      </c>
    </row>
    <row r="116" spans="1:11" x14ac:dyDescent="0.2">
      <c r="A116" t="s">
        <v>844</v>
      </c>
      <c r="B116" t="s">
        <v>845</v>
      </c>
      <c r="C116" t="s">
        <v>3367</v>
      </c>
      <c r="D116" t="s">
        <v>762</v>
      </c>
      <c r="E116" t="s">
        <v>762</v>
      </c>
      <c r="F116" t="s">
        <v>1334</v>
      </c>
      <c r="G116" t="s">
        <v>3368</v>
      </c>
      <c r="H116" t="s">
        <v>3198</v>
      </c>
      <c r="I116" t="s">
        <v>3039</v>
      </c>
      <c r="J116" t="s">
        <v>3034</v>
      </c>
      <c r="K116" t="s">
        <v>3199</v>
      </c>
    </row>
    <row r="117" spans="1:11" x14ac:dyDescent="0.2">
      <c r="A117" t="s">
        <v>846</v>
      </c>
      <c r="B117" t="s">
        <v>483</v>
      </c>
      <c r="C117" t="s">
        <v>3369</v>
      </c>
      <c r="D117" t="s">
        <v>145</v>
      </c>
      <c r="E117" t="s">
        <v>145</v>
      </c>
      <c r="F117" t="s">
        <v>1334</v>
      </c>
      <c r="G117" t="s">
        <v>3370</v>
      </c>
      <c r="H117" t="s">
        <v>3371</v>
      </c>
      <c r="I117" t="s">
        <v>3372</v>
      </c>
      <c r="J117" t="s">
        <v>3064</v>
      </c>
      <c r="K117" t="s">
        <v>3199</v>
      </c>
    </row>
    <row r="118" spans="1:11" x14ac:dyDescent="0.2">
      <c r="A118" t="s">
        <v>855</v>
      </c>
      <c r="B118" t="s">
        <v>856</v>
      </c>
      <c r="C118" t="s">
        <v>3373</v>
      </c>
      <c r="D118" t="s">
        <v>858</v>
      </c>
      <c r="E118" t="s">
        <v>858</v>
      </c>
      <c r="F118" t="s">
        <v>1334</v>
      </c>
      <c r="G118" t="s">
        <v>3197</v>
      </c>
      <c r="H118" t="s">
        <v>3198</v>
      </c>
      <c r="I118" t="s">
        <v>3039</v>
      </c>
      <c r="J118" t="s">
        <v>3039</v>
      </c>
      <c r="K118" t="s">
        <v>3199</v>
      </c>
    </row>
    <row r="119" spans="1:11" x14ac:dyDescent="0.2">
      <c r="A119" t="s">
        <v>859</v>
      </c>
      <c r="B119" t="s">
        <v>170</v>
      </c>
      <c r="C119" t="s">
        <v>3374</v>
      </c>
      <c r="D119" t="s">
        <v>145</v>
      </c>
      <c r="E119" t="s">
        <v>145</v>
      </c>
      <c r="F119" t="s">
        <v>1334</v>
      </c>
      <c r="G119" t="s">
        <v>3330</v>
      </c>
      <c r="H119" t="s">
        <v>3249</v>
      </c>
      <c r="I119" t="s">
        <v>2974</v>
      </c>
      <c r="J119" t="s">
        <v>3331</v>
      </c>
      <c r="K119" t="s">
        <v>3199</v>
      </c>
    </row>
    <row r="120" spans="1:11" x14ac:dyDescent="0.2">
      <c r="A120" t="s">
        <v>866</v>
      </c>
      <c r="B120" t="s">
        <v>867</v>
      </c>
      <c r="C120" t="s">
        <v>3375</v>
      </c>
      <c r="D120" t="s">
        <v>871</v>
      </c>
      <c r="E120" t="s">
        <v>871</v>
      </c>
      <c r="F120" t="s">
        <v>1334</v>
      </c>
      <c r="G120" t="s">
        <v>3222</v>
      </c>
      <c r="H120" t="s">
        <v>3223</v>
      </c>
      <c r="I120" t="s">
        <v>3224</v>
      </c>
      <c r="J120" t="s">
        <v>2997</v>
      </c>
      <c r="K120" t="s">
        <v>3199</v>
      </c>
    </row>
    <row r="121" spans="1:11" x14ac:dyDescent="0.2">
      <c r="A121" t="s">
        <v>866</v>
      </c>
      <c r="B121" t="s">
        <v>877</v>
      </c>
      <c r="C121" t="s">
        <v>3376</v>
      </c>
      <c r="D121" t="s">
        <v>871</v>
      </c>
      <c r="E121" t="s">
        <v>871</v>
      </c>
      <c r="F121" t="s">
        <v>1334</v>
      </c>
      <c r="G121" t="s">
        <v>3234</v>
      </c>
      <c r="H121" t="s">
        <v>3222</v>
      </c>
      <c r="I121" t="s">
        <v>2986</v>
      </c>
      <c r="J121" t="s">
        <v>3235</v>
      </c>
      <c r="K121" t="s">
        <v>3199</v>
      </c>
    </row>
    <row r="122" spans="1:11" x14ac:dyDescent="0.2">
      <c r="A122" t="s">
        <v>866</v>
      </c>
      <c r="B122" t="s">
        <v>614</v>
      </c>
      <c r="C122" t="s">
        <v>3377</v>
      </c>
      <c r="D122" t="s">
        <v>871</v>
      </c>
      <c r="E122" t="s">
        <v>871</v>
      </c>
      <c r="F122" t="s">
        <v>1334</v>
      </c>
      <c r="G122" t="s">
        <v>3197</v>
      </c>
      <c r="H122" t="s">
        <v>3198</v>
      </c>
      <c r="I122" t="s">
        <v>3039</v>
      </c>
      <c r="J122" t="s">
        <v>3039</v>
      </c>
      <c r="K122" t="s">
        <v>3199</v>
      </c>
    </row>
    <row r="123" spans="1:11" x14ac:dyDescent="0.2">
      <c r="A123" t="s">
        <v>881</v>
      </c>
      <c r="B123" t="s">
        <v>882</v>
      </c>
      <c r="C123" t="s">
        <v>3378</v>
      </c>
      <c r="D123" t="s">
        <v>886</v>
      </c>
      <c r="E123" t="s">
        <v>886</v>
      </c>
      <c r="F123" t="s">
        <v>1334</v>
      </c>
      <c r="G123" t="s">
        <v>3204</v>
      </c>
      <c r="H123" t="s">
        <v>3205</v>
      </c>
      <c r="I123" t="s">
        <v>3206</v>
      </c>
      <c r="J123" t="s">
        <v>2999</v>
      </c>
      <c r="K123" t="s">
        <v>3199</v>
      </c>
    </row>
    <row r="124" spans="1:11" x14ac:dyDescent="0.2">
      <c r="A124" t="s">
        <v>881</v>
      </c>
      <c r="B124" t="s">
        <v>892</v>
      </c>
      <c r="C124" t="s">
        <v>3379</v>
      </c>
      <c r="D124" t="s">
        <v>886</v>
      </c>
      <c r="E124" t="s">
        <v>886</v>
      </c>
      <c r="F124" t="s">
        <v>1334</v>
      </c>
      <c r="G124" t="s">
        <v>3197</v>
      </c>
      <c r="H124" t="s">
        <v>3198</v>
      </c>
      <c r="I124" t="s">
        <v>3039</v>
      </c>
      <c r="J124" t="s">
        <v>3039</v>
      </c>
      <c r="K124" t="s">
        <v>3199</v>
      </c>
    </row>
    <row r="125" spans="1:11" x14ac:dyDescent="0.2">
      <c r="A125" t="s">
        <v>893</v>
      </c>
      <c r="B125" t="s">
        <v>894</v>
      </c>
      <c r="C125" t="s">
        <v>3380</v>
      </c>
      <c r="D125" t="s">
        <v>145</v>
      </c>
      <c r="E125" t="s">
        <v>145</v>
      </c>
      <c r="F125" t="s">
        <v>1334</v>
      </c>
      <c r="G125" t="s">
        <v>3288</v>
      </c>
      <c r="H125" t="s">
        <v>3289</v>
      </c>
      <c r="I125" t="s">
        <v>3290</v>
      </c>
      <c r="J125" t="s">
        <v>3291</v>
      </c>
      <c r="K125" t="s">
        <v>3199</v>
      </c>
    </row>
    <row r="126" spans="1:11" x14ac:dyDescent="0.2">
      <c r="A126" t="s">
        <v>893</v>
      </c>
      <c r="B126" t="s">
        <v>899</v>
      </c>
      <c r="C126" t="s">
        <v>3381</v>
      </c>
      <c r="D126" t="s">
        <v>145</v>
      </c>
      <c r="E126" t="s">
        <v>145</v>
      </c>
      <c r="F126" t="s">
        <v>1334</v>
      </c>
      <c r="G126" t="s">
        <v>3249</v>
      </c>
      <c r="H126" t="s">
        <v>3250</v>
      </c>
      <c r="I126" t="s">
        <v>3251</v>
      </c>
      <c r="J126" t="s">
        <v>265</v>
      </c>
      <c r="K126" t="s">
        <v>3199</v>
      </c>
    </row>
    <row r="127" spans="1:11" x14ac:dyDescent="0.2">
      <c r="A127" t="s">
        <v>893</v>
      </c>
      <c r="B127" t="s">
        <v>904</v>
      </c>
      <c r="C127" t="s">
        <v>3382</v>
      </c>
      <c r="D127" t="s">
        <v>145</v>
      </c>
      <c r="E127" t="s">
        <v>145</v>
      </c>
      <c r="F127" t="s">
        <v>1334</v>
      </c>
      <c r="G127" t="s">
        <v>3296</v>
      </c>
      <c r="H127" t="s">
        <v>3297</v>
      </c>
      <c r="I127" t="s">
        <v>46</v>
      </c>
      <c r="J127" t="s">
        <v>3023</v>
      </c>
      <c r="K127" t="s">
        <v>3199</v>
      </c>
    </row>
    <row r="128" spans="1:11" x14ac:dyDescent="0.2">
      <c r="A128" t="s">
        <v>913</v>
      </c>
      <c r="B128" t="s">
        <v>914</v>
      </c>
      <c r="C128" t="s">
        <v>3383</v>
      </c>
      <c r="D128" t="s">
        <v>145</v>
      </c>
      <c r="E128" t="s">
        <v>145</v>
      </c>
      <c r="F128" t="s">
        <v>1334</v>
      </c>
      <c r="G128" t="s">
        <v>3384</v>
      </c>
      <c r="H128" t="s">
        <v>3385</v>
      </c>
      <c r="I128" t="s">
        <v>3033</v>
      </c>
      <c r="J128" t="s">
        <v>3033</v>
      </c>
      <c r="K128" t="s">
        <v>3199</v>
      </c>
    </row>
    <row r="129" spans="1:11" x14ac:dyDescent="0.2">
      <c r="A129" t="s">
        <v>3386</v>
      </c>
      <c r="B129" t="s">
        <v>365</v>
      </c>
      <c r="C129" t="s">
        <v>3387</v>
      </c>
      <c r="D129" t="s">
        <v>924</v>
      </c>
      <c r="E129" t="s">
        <v>924</v>
      </c>
      <c r="F129" t="s">
        <v>1334</v>
      </c>
      <c r="G129" t="s">
        <v>3212</v>
      </c>
      <c r="H129" t="s">
        <v>3213</v>
      </c>
      <c r="I129" t="s">
        <v>3214</v>
      </c>
      <c r="J129" t="s">
        <v>3215</v>
      </c>
      <c r="K129" t="s">
        <v>3199</v>
      </c>
    </row>
    <row r="130" spans="1:11" x14ac:dyDescent="0.2">
      <c r="A130" t="s">
        <v>3386</v>
      </c>
      <c r="B130" t="s">
        <v>931</v>
      </c>
      <c r="C130" t="s">
        <v>3388</v>
      </c>
      <c r="D130" t="s">
        <v>924</v>
      </c>
      <c r="E130" t="s">
        <v>924</v>
      </c>
      <c r="F130" t="s">
        <v>1334</v>
      </c>
      <c r="G130" t="s">
        <v>3297</v>
      </c>
      <c r="H130" t="s">
        <v>3212</v>
      </c>
      <c r="I130" t="s">
        <v>3302</v>
      </c>
      <c r="J130" t="s">
        <v>3302</v>
      </c>
      <c r="K130" t="s">
        <v>3199</v>
      </c>
    </row>
    <row r="131" spans="1:11" x14ac:dyDescent="0.2">
      <c r="A131" t="s">
        <v>935</v>
      </c>
      <c r="B131" t="s">
        <v>936</v>
      </c>
      <c r="C131" t="s">
        <v>3389</v>
      </c>
      <c r="D131" t="s">
        <v>145</v>
      </c>
      <c r="E131" t="s">
        <v>145</v>
      </c>
      <c r="F131" t="s">
        <v>1334</v>
      </c>
      <c r="G131" t="s">
        <v>3249</v>
      </c>
      <c r="H131" t="s">
        <v>3250</v>
      </c>
      <c r="I131" t="s">
        <v>3251</v>
      </c>
      <c r="J131" t="s">
        <v>265</v>
      </c>
      <c r="K131" t="s">
        <v>3199</v>
      </c>
    </row>
    <row r="132" spans="1:11" x14ac:dyDescent="0.2">
      <c r="A132" t="s">
        <v>941</v>
      </c>
      <c r="B132" t="s">
        <v>942</v>
      </c>
      <c r="C132" t="s">
        <v>3390</v>
      </c>
      <c r="D132" t="s">
        <v>945</v>
      </c>
      <c r="E132" t="s">
        <v>945</v>
      </c>
      <c r="F132" t="s">
        <v>1334</v>
      </c>
      <c r="G132" t="s">
        <v>3197</v>
      </c>
      <c r="H132" t="s">
        <v>3198</v>
      </c>
      <c r="I132" t="s">
        <v>3039</v>
      </c>
      <c r="J132" t="s">
        <v>3039</v>
      </c>
      <c r="K132" t="s">
        <v>3199</v>
      </c>
    </row>
    <row r="133" spans="1:11" x14ac:dyDescent="0.2">
      <c r="A133" t="s">
        <v>941</v>
      </c>
      <c r="B133" t="s">
        <v>947</v>
      </c>
      <c r="C133" t="s">
        <v>3391</v>
      </c>
      <c r="D133" t="s">
        <v>945</v>
      </c>
      <c r="E133" t="s">
        <v>945</v>
      </c>
      <c r="F133" t="s">
        <v>1334</v>
      </c>
      <c r="G133" t="s">
        <v>3217</v>
      </c>
      <c r="H133" t="s">
        <v>3204</v>
      </c>
      <c r="I133" t="s">
        <v>3218</v>
      </c>
      <c r="J133" t="s">
        <v>3008</v>
      </c>
      <c r="K133" t="s">
        <v>3199</v>
      </c>
    </row>
    <row r="134" spans="1:11" x14ac:dyDescent="0.2">
      <c r="A134" t="s">
        <v>941</v>
      </c>
      <c r="B134" t="s">
        <v>950</v>
      </c>
      <c r="C134" t="s">
        <v>3392</v>
      </c>
      <c r="D134" t="s">
        <v>945</v>
      </c>
      <c r="E134" t="s">
        <v>945</v>
      </c>
      <c r="F134" t="s">
        <v>1334</v>
      </c>
      <c r="G134" t="s">
        <v>3234</v>
      </c>
      <c r="H134" t="s">
        <v>3222</v>
      </c>
      <c r="I134" t="s">
        <v>2986</v>
      </c>
      <c r="J134" t="s">
        <v>3235</v>
      </c>
      <c r="K134" t="s">
        <v>3199</v>
      </c>
    </row>
    <row r="135" spans="1:11" x14ac:dyDescent="0.2">
      <c r="A135" t="s">
        <v>941</v>
      </c>
      <c r="B135" t="s">
        <v>953</v>
      </c>
      <c r="C135" t="s">
        <v>3393</v>
      </c>
      <c r="D135" t="s">
        <v>945</v>
      </c>
      <c r="E135" t="s">
        <v>945</v>
      </c>
      <c r="F135" t="s">
        <v>1334</v>
      </c>
      <c r="G135" t="s">
        <v>3284</v>
      </c>
      <c r="H135" t="s">
        <v>3285</v>
      </c>
      <c r="I135" t="s">
        <v>2984</v>
      </c>
      <c r="J135" t="s">
        <v>3286</v>
      </c>
      <c r="K135" t="s">
        <v>3199</v>
      </c>
    </row>
    <row r="136" spans="1:11" x14ac:dyDescent="0.2">
      <c r="A136" t="s">
        <v>956</v>
      </c>
      <c r="B136" t="s">
        <v>957</v>
      </c>
      <c r="C136" t="s">
        <v>3394</v>
      </c>
      <c r="D136" t="s">
        <v>959</v>
      </c>
      <c r="E136" t="s">
        <v>959</v>
      </c>
      <c r="F136" t="s">
        <v>1334</v>
      </c>
      <c r="G136" t="s">
        <v>3197</v>
      </c>
      <c r="H136" t="s">
        <v>3198</v>
      </c>
      <c r="I136" t="s">
        <v>3039</v>
      </c>
      <c r="J136" t="s">
        <v>3039</v>
      </c>
      <c r="K136" t="s">
        <v>3199</v>
      </c>
    </row>
    <row r="137" spans="1:11" x14ac:dyDescent="0.2">
      <c r="A137" t="s">
        <v>3395</v>
      </c>
      <c r="B137" t="s">
        <v>962</v>
      </c>
      <c r="C137" t="s">
        <v>3396</v>
      </c>
      <c r="D137" t="s">
        <v>145</v>
      </c>
      <c r="E137" t="s">
        <v>145</v>
      </c>
      <c r="F137" t="s">
        <v>1334</v>
      </c>
      <c r="G137" t="s">
        <v>3212</v>
      </c>
      <c r="H137" t="s">
        <v>3213</v>
      </c>
      <c r="I137" t="s">
        <v>3214</v>
      </c>
      <c r="J137" t="s">
        <v>3215</v>
      </c>
      <c r="K137" t="s">
        <v>3199</v>
      </c>
    </row>
    <row r="138" spans="1:11" x14ac:dyDescent="0.2">
      <c r="A138" t="s">
        <v>969</v>
      </c>
      <c r="B138" t="s">
        <v>970</v>
      </c>
      <c r="C138" t="s">
        <v>3397</v>
      </c>
      <c r="D138" t="s">
        <v>133</v>
      </c>
      <c r="E138" t="s">
        <v>133</v>
      </c>
      <c r="F138" t="s">
        <v>1334</v>
      </c>
      <c r="G138" t="s">
        <v>3269</v>
      </c>
      <c r="H138" t="s">
        <v>3398</v>
      </c>
      <c r="I138" t="s">
        <v>3399</v>
      </c>
      <c r="J138" t="s">
        <v>2991</v>
      </c>
      <c r="K138" t="s">
        <v>3199</v>
      </c>
    </row>
    <row r="139" spans="1:11" x14ac:dyDescent="0.2">
      <c r="A139" t="s">
        <v>969</v>
      </c>
      <c r="B139" t="s">
        <v>976</v>
      </c>
      <c r="C139" t="s">
        <v>3400</v>
      </c>
      <c r="D139" t="s">
        <v>133</v>
      </c>
      <c r="E139" t="s">
        <v>133</v>
      </c>
      <c r="F139" t="s">
        <v>1334</v>
      </c>
      <c r="G139" t="s">
        <v>3229</v>
      </c>
      <c r="H139" t="s">
        <v>3238</v>
      </c>
      <c r="I139" t="s">
        <v>25</v>
      </c>
      <c r="J139" t="s">
        <v>2993</v>
      </c>
      <c r="K139" t="s">
        <v>3199</v>
      </c>
    </row>
    <row r="140" spans="1:11" x14ac:dyDescent="0.2">
      <c r="A140" t="s">
        <v>979</v>
      </c>
      <c r="B140" t="s">
        <v>980</v>
      </c>
      <c r="C140" t="s">
        <v>3401</v>
      </c>
      <c r="D140" t="s">
        <v>983</v>
      </c>
      <c r="E140" t="s">
        <v>983</v>
      </c>
      <c r="F140" t="s">
        <v>1334</v>
      </c>
      <c r="G140" t="s">
        <v>3197</v>
      </c>
      <c r="H140" t="s">
        <v>3198</v>
      </c>
      <c r="I140" t="s">
        <v>3039</v>
      </c>
      <c r="J140" t="s">
        <v>3039</v>
      </c>
      <c r="K140" t="s">
        <v>3199</v>
      </c>
    </row>
    <row r="141" spans="1:11" x14ac:dyDescent="0.2">
      <c r="A141" t="s">
        <v>985</v>
      </c>
      <c r="B141" t="s">
        <v>986</v>
      </c>
      <c r="C141" t="s">
        <v>3402</v>
      </c>
      <c r="D141" t="s">
        <v>990</v>
      </c>
      <c r="E141" t="s">
        <v>990</v>
      </c>
      <c r="F141" t="s">
        <v>1334</v>
      </c>
      <c r="G141" t="s">
        <v>3197</v>
      </c>
      <c r="H141" t="s">
        <v>3198</v>
      </c>
      <c r="I141" t="s">
        <v>3039</v>
      </c>
      <c r="J141" t="s">
        <v>3039</v>
      </c>
      <c r="K141" t="s">
        <v>3199</v>
      </c>
    </row>
    <row r="142" spans="1:11" x14ac:dyDescent="0.2">
      <c r="A142" t="s">
        <v>985</v>
      </c>
      <c r="B142" t="s">
        <v>993</v>
      </c>
      <c r="C142" t="s">
        <v>3403</v>
      </c>
      <c r="D142" t="s">
        <v>990</v>
      </c>
      <c r="E142" t="s">
        <v>990</v>
      </c>
      <c r="F142" t="s">
        <v>1334</v>
      </c>
      <c r="G142" t="s">
        <v>3330</v>
      </c>
      <c r="H142" t="s">
        <v>3249</v>
      </c>
      <c r="I142" t="s">
        <v>2974</v>
      </c>
      <c r="J142" t="s">
        <v>3331</v>
      </c>
      <c r="K142" t="s">
        <v>3199</v>
      </c>
    </row>
    <row r="143" spans="1:11" x14ac:dyDescent="0.2">
      <c r="A143" t="s">
        <v>998</v>
      </c>
      <c r="B143" t="s">
        <v>999</v>
      </c>
      <c r="C143" t="s">
        <v>3404</v>
      </c>
      <c r="D143" t="s">
        <v>1002</v>
      </c>
      <c r="E143" t="s">
        <v>1002</v>
      </c>
      <c r="F143" t="s">
        <v>1334</v>
      </c>
      <c r="G143" t="s">
        <v>3197</v>
      </c>
      <c r="H143" t="s">
        <v>3198</v>
      </c>
      <c r="I143" t="s">
        <v>3039</v>
      </c>
      <c r="J143" t="s">
        <v>3039</v>
      </c>
      <c r="K143" t="s">
        <v>3199</v>
      </c>
    </row>
    <row r="144" spans="1:11" x14ac:dyDescent="0.2">
      <c r="A144" t="s">
        <v>1004</v>
      </c>
      <c r="B144" t="s">
        <v>773</v>
      </c>
      <c r="C144" t="s">
        <v>3405</v>
      </c>
      <c r="D144" t="s">
        <v>1007</v>
      </c>
      <c r="E144" t="s">
        <v>1007</v>
      </c>
      <c r="F144" t="s">
        <v>1334</v>
      </c>
      <c r="G144" t="s">
        <v>3197</v>
      </c>
      <c r="H144" t="s">
        <v>3198</v>
      </c>
      <c r="I144" t="s">
        <v>3039</v>
      </c>
      <c r="J144" t="s">
        <v>3039</v>
      </c>
      <c r="K144" t="s">
        <v>3199</v>
      </c>
    </row>
    <row r="145" spans="1:11" x14ac:dyDescent="0.2">
      <c r="A145" t="s">
        <v>1004</v>
      </c>
      <c r="B145" t="s">
        <v>814</v>
      </c>
      <c r="C145" t="s">
        <v>3406</v>
      </c>
      <c r="D145" t="s">
        <v>1007</v>
      </c>
      <c r="E145" t="s">
        <v>1007</v>
      </c>
      <c r="F145" t="s">
        <v>1334</v>
      </c>
      <c r="G145" t="s">
        <v>3268</v>
      </c>
      <c r="H145" t="s">
        <v>3269</v>
      </c>
      <c r="I145" t="s">
        <v>2978</v>
      </c>
      <c r="J145" t="s">
        <v>3270</v>
      </c>
      <c r="K145" t="s">
        <v>3199</v>
      </c>
    </row>
    <row r="146" spans="1:11" x14ac:dyDescent="0.2">
      <c r="A146" t="s">
        <v>1012</v>
      </c>
      <c r="B146" t="s">
        <v>1013</v>
      </c>
      <c r="C146" t="s">
        <v>3407</v>
      </c>
      <c r="D146" t="s">
        <v>1015</v>
      </c>
      <c r="E146" t="s">
        <v>1015</v>
      </c>
      <c r="F146" t="s">
        <v>1334</v>
      </c>
      <c r="G146" t="s">
        <v>3197</v>
      </c>
      <c r="H146" t="s">
        <v>3198</v>
      </c>
      <c r="I146" t="s">
        <v>3039</v>
      </c>
      <c r="J146" t="s">
        <v>3039</v>
      </c>
      <c r="K146" t="s">
        <v>3199</v>
      </c>
    </row>
    <row r="147" spans="1:11" x14ac:dyDescent="0.2">
      <c r="A147" t="s">
        <v>1012</v>
      </c>
      <c r="B147" t="s">
        <v>1017</v>
      </c>
      <c r="C147" t="s">
        <v>3408</v>
      </c>
      <c r="D147" t="s">
        <v>1015</v>
      </c>
      <c r="E147" t="s">
        <v>1015</v>
      </c>
      <c r="F147" t="s">
        <v>1334</v>
      </c>
      <c r="G147" t="s">
        <v>3204</v>
      </c>
      <c r="H147" t="s">
        <v>3205</v>
      </c>
      <c r="I147" t="s">
        <v>3206</v>
      </c>
      <c r="J147" t="s">
        <v>2999</v>
      </c>
      <c r="K147" t="s">
        <v>3199</v>
      </c>
    </row>
    <row r="148" spans="1:11" x14ac:dyDescent="0.2">
      <c r="A148" t="s">
        <v>1022</v>
      </c>
      <c r="B148" t="s">
        <v>602</v>
      </c>
      <c r="C148" t="s">
        <v>3409</v>
      </c>
      <c r="D148" t="s">
        <v>1026</v>
      </c>
      <c r="E148" t="s">
        <v>1026</v>
      </c>
      <c r="F148" t="s">
        <v>1334</v>
      </c>
      <c r="G148" t="s">
        <v>3284</v>
      </c>
      <c r="H148" t="s">
        <v>3285</v>
      </c>
      <c r="I148" t="s">
        <v>2984</v>
      </c>
      <c r="J148" t="s">
        <v>3286</v>
      </c>
      <c r="K148" t="s">
        <v>3199</v>
      </c>
    </row>
    <row r="149" spans="1:11" x14ac:dyDescent="0.2">
      <c r="A149" t="s">
        <v>1022</v>
      </c>
      <c r="B149" t="s">
        <v>211</v>
      </c>
      <c r="C149" t="s">
        <v>3410</v>
      </c>
      <c r="D149" t="s">
        <v>1026</v>
      </c>
      <c r="E149" t="s">
        <v>1026</v>
      </c>
      <c r="F149" t="s">
        <v>1334</v>
      </c>
      <c r="G149" t="s">
        <v>3197</v>
      </c>
      <c r="H149" t="s">
        <v>3198</v>
      </c>
      <c r="I149" t="s">
        <v>3039</v>
      </c>
      <c r="J149" t="s">
        <v>3039</v>
      </c>
      <c r="K149" t="s">
        <v>3199</v>
      </c>
    </row>
    <row r="150" spans="1:11" x14ac:dyDescent="0.2">
      <c r="A150" t="s">
        <v>1022</v>
      </c>
      <c r="B150" t="s">
        <v>1032</v>
      </c>
      <c r="C150" t="s">
        <v>3411</v>
      </c>
      <c r="D150" t="s">
        <v>1026</v>
      </c>
      <c r="E150" t="s">
        <v>1026</v>
      </c>
      <c r="F150" t="s">
        <v>1334</v>
      </c>
      <c r="G150" t="s">
        <v>3234</v>
      </c>
      <c r="H150" t="s">
        <v>3222</v>
      </c>
      <c r="I150" t="s">
        <v>2986</v>
      </c>
      <c r="J150" t="s">
        <v>3235</v>
      </c>
      <c r="K150" t="s">
        <v>3199</v>
      </c>
    </row>
    <row r="151" spans="1:11" x14ac:dyDescent="0.2">
      <c r="A151" t="s">
        <v>1034</v>
      </c>
      <c r="B151" t="s">
        <v>1035</v>
      </c>
      <c r="C151" t="s">
        <v>3412</v>
      </c>
      <c r="D151" t="s">
        <v>1026</v>
      </c>
      <c r="E151" t="s">
        <v>1026</v>
      </c>
      <c r="F151" t="s">
        <v>1334</v>
      </c>
      <c r="G151" t="s">
        <v>3197</v>
      </c>
      <c r="H151" t="s">
        <v>3198</v>
      </c>
      <c r="I151" t="s">
        <v>3039</v>
      </c>
      <c r="J151" t="s">
        <v>3039</v>
      </c>
      <c r="K151" t="s">
        <v>3199</v>
      </c>
    </row>
    <row r="152" spans="1:11" x14ac:dyDescent="0.2">
      <c r="A152" t="s">
        <v>1036</v>
      </c>
      <c r="B152" t="s">
        <v>1037</v>
      </c>
      <c r="C152" t="s">
        <v>3413</v>
      </c>
      <c r="D152" t="s">
        <v>569</v>
      </c>
      <c r="E152" t="s">
        <v>569</v>
      </c>
      <c r="F152" t="s">
        <v>1334</v>
      </c>
      <c r="G152" t="s">
        <v>3197</v>
      </c>
      <c r="H152" t="s">
        <v>3198</v>
      </c>
      <c r="I152" t="s">
        <v>3039</v>
      </c>
      <c r="J152" t="s">
        <v>3039</v>
      </c>
      <c r="K152" t="s">
        <v>3199</v>
      </c>
    </row>
    <row r="153" spans="1:11" x14ac:dyDescent="0.2">
      <c r="A153" t="s">
        <v>1040</v>
      </c>
      <c r="B153" t="s">
        <v>1041</v>
      </c>
      <c r="C153" t="s">
        <v>3414</v>
      </c>
      <c r="D153" t="s">
        <v>1045</v>
      </c>
      <c r="E153" t="s">
        <v>1045</v>
      </c>
      <c r="F153" t="s">
        <v>1334</v>
      </c>
      <c r="G153" t="s">
        <v>3204</v>
      </c>
      <c r="H153" t="s">
        <v>3205</v>
      </c>
      <c r="I153" t="s">
        <v>3206</v>
      </c>
      <c r="J153" t="s">
        <v>2999</v>
      </c>
      <c r="K153" t="s">
        <v>3199</v>
      </c>
    </row>
    <row r="154" spans="1:11" x14ac:dyDescent="0.2">
      <c r="A154" t="s">
        <v>1040</v>
      </c>
      <c r="B154" t="s">
        <v>1051</v>
      </c>
      <c r="C154" t="s">
        <v>3415</v>
      </c>
      <c r="D154" t="s">
        <v>1045</v>
      </c>
      <c r="E154" t="s">
        <v>1045</v>
      </c>
      <c r="F154" t="s">
        <v>1334</v>
      </c>
      <c r="G154" t="s">
        <v>3197</v>
      </c>
      <c r="H154" t="s">
        <v>3198</v>
      </c>
      <c r="I154" t="s">
        <v>3039</v>
      </c>
      <c r="J154" t="s">
        <v>3039</v>
      </c>
      <c r="K154" t="s">
        <v>3199</v>
      </c>
    </row>
    <row r="155" spans="1:11" x14ac:dyDescent="0.2">
      <c r="A155" t="s">
        <v>1040</v>
      </c>
      <c r="B155" t="s">
        <v>1054</v>
      </c>
      <c r="C155" t="s">
        <v>3416</v>
      </c>
      <c r="D155" t="s">
        <v>1045</v>
      </c>
      <c r="E155" t="s">
        <v>1045</v>
      </c>
      <c r="F155" t="s">
        <v>1334</v>
      </c>
      <c r="G155" t="s">
        <v>3217</v>
      </c>
      <c r="H155" t="s">
        <v>3204</v>
      </c>
      <c r="I155" t="s">
        <v>3218</v>
      </c>
      <c r="J155" t="s">
        <v>3008</v>
      </c>
      <c r="K155" t="s">
        <v>3199</v>
      </c>
    </row>
    <row r="156" spans="1:11" x14ac:dyDescent="0.2">
      <c r="A156" t="s">
        <v>1058</v>
      </c>
      <c r="B156" t="s">
        <v>1059</v>
      </c>
      <c r="C156" t="s">
        <v>3417</v>
      </c>
      <c r="D156" t="s">
        <v>1063</v>
      </c>
      <c r="E156" t="s">
        <v>1063</v>
      </c>
      <c r="F156" t="s">
        <v>1334</v>
      </c>
      <c r="G156" t="s">
        <v>3197</v>
      </c>
      <c r="H156" t="s">
        <v>3198</v>
      </c>
      <c r="I156" t="s">
        <v>3039</v>
      </c>
      <c r="J156" t="s">
        <v>3039</v>
      </c>
      <c r="K156" t="s">
        <v>3199</v>
      </c>
    </row>
    <row r="157" spans="1:11" x14ac:dyDescent="0.2">
      <c r="A157" t="s">
        <v>1065</v>
      </c>
      <c r="B157" t="s">
        <v>1066</v>
      </c>
      <c r="C157" t="s">
        <v>3418</v>
      </c>
      <c r="D157" t="s">
        <v>1070</v>
      </c>
      <c r="E157" t="s">
        <v>1070</v>
      </c>
      <c r="F157" t="s">
        <v>1334</v>
      </c>
      <c r="G157" t="s">
        <v>3296</v>
      </c>
      <c r="H157" t="s">
        <v>3297</v>
      </c>
      <c r="I157" t="s">
        <v>46</v>
      </c>
      <c r="J157" t="s">
        <v>3023</v>
      </c>
      <c r="K157" t="s">
        <v>3199</v>
      </c>
    </row>
    <row r="158" spans="1:11" x14ac:dyDescent="0.2">
      <c r="A158" t="s">
        <v>1065</v>
      </c>
      <c r="B158" t="s">
        <v>1076</v>
      </c>
      <c r="C158" t="s">
        <v>3419</v>
      </c>
      <c r="D158" t="s">
        <v>1070</v>
      </c>
      <c r="E158" t="s">
        <v>1070</v>
      </c>
      <c r="F158" t="s">
        <v>1334</v>
      </c>
      <c r="G158" t="s">
        <v>3330</v>
      </c>
      <c r="H158" t="s">
        <v>3213</v>
      </c>
      <c r="I158" t="s">
        <v>3214</v>
      </c>
      <c r="J158" t="s">
        <v>3331</v>
      </c>
      <c r="K158" t="s">
        <v>3199</v>
      </c>
    </row>
    <row r="159" spans="1:11" x14ac:dyDescent="0.2">
      <c r="A159" t="s">
        <v>1083</v>
      </c>
      <c r="B159" t="s">
        <v>1066</v>
      </c>
      <c r="C159" t="s">
        <v>3420</v>
      </c>
      <c r="D159" t="s">
        <v>1085</v>
      </c>
      <c r="E159" t="s">
        <v>1085</v>
      </c>
      <c r="F159" t="s">
        <v>1334</v>
      </c>
      <c r="G159" t="s">
        <v>3284</v>
      </c>
      <c r="H159" t="s">
        <v>3285</v>
      </c>
      <c r="I159" t="s">
        <v>2984</v>
      </c>
      <c r="J159" t="s">
        <v>3286</v>
      </c>
      <c r="K159" t="s">
        <v>3199</v>
      </c>
    </row>
    <row r="160" spans="1:11" x14ac:dyDescent="0.2">
      <c r="A160" t="s">
        <v>1083</v>
      </c>
      <c r="B160" t="s">
        <v>617</v>
      </c>
      <c r="C160" t="s">
        <v>3421</v>
      </c>
      <c r="D160" t="s">
        <v>1085</v>
      </c>
      <c r="E160" t="s">
        <v>1085</v>
      </c>
      <c r="F160" t="s">
        <v>1334</v>
      </c>
      <c r="G160" t="s">
        <v>3197</v>
      </c>
      <c r="H160" t="s">
        <v>3198</v>
      </c>
      <c r="I160" t="s">
        <v>3039</v>
      </c>
      <c r="J160" t="s">
        <v>3039</v>
      </c>
      <c r="K160" t="s">
        <v>3199</v>
      </c>
    </row>
    <row r="161" spans="1:11" x14ac:dyDescent="0.2">
      <c r="A161" t="s">
        <v>1093</v>
      </c>
      <c r="B161" t="s">
        <v>3422</v>
      </c>
      <c r="C161" t="s">
        <v>3423</v>
      </c>
      <c r="D161" t="s">
        <v>1096</v>
      </c>
      <c r="E161" t="s">
        <v>1096</v>
      </c>
      <c r="F161" t="s">
        <v>1334</v>
      </c>
      <c r="G161" t="s">
        <v>3213</v>
      </c>
      <c r="H161" t="s">
        <v>3339</v>
      </c>
      <c r="I161" t="s">
        <v>3340</v>
      </c>
      <c r="J161" t="s">
        <v>3341</v>
      </c>
      <c r="K161" t="s">
        <v>3199</v>
      </c>
    </row>
    <row r="162" spans="1:11" x14ac:dyDescent="0.2">
      <c r="A162" t="s">
        <v>1102</v>
      </c>
      <c r="B162" t="s">
        <v>1103</v>
      </c>
      <c r="C162" t="s">
        <v>3424</v>
      </c>
      <c r="D162" t="s">
        <v>1105</v>
      </c>
      <c r="E162" t="s">
        <v>1105</v>
      </c>
      <c r="F162" t="s">
        <v>1334</v>
      </c>
      <c r="G162" t="s">
        <v>3197</v>
      </c>
      <c r="H162" t="s">
        <v>3198</v>
      </c>
      <c r="I162" t="s">
        <v>3039</v>
      </c>
      <c r="J162" t="s">
        <v>3039</v>
      </c>
      <c r="K162" t="s">
        <v>3199</v>
      </c>
    </row>
    <row r="163" spans="1:11" x14ac:dyDescent="0.2">
      <c r="A163" t="s">
        <v>1102</v>
      </c>
      <c r="B163" t="s">
        <v>1107</v>
      </c>
      <c r="C163" t="s">
        <v>3425</v>
      </c>
      <c r="D163" t="s">
        <v>145</v>
      </c>
      <c r="E163" t="s">
        <v>145</v>
      </c>
      <c r="F163" t="s">
        <v>1334</v>
      </c>
      <c r="G163" t="s">
        <v>3288</v>
      </c>
      <c r="H163" t="s">
        <v>3289</v>
      </c>
      <c r="I163" t="s">
        <v>3290</v>
      </c>
      <c r="J163" t="s">
        <v>3291</v>
      </c>
      <c r="K163" t="s">
        <v>3199</v>
      </c>
    </row>
    <row r="164" spans="1:11" x14ac:dyDescent="0.2">
      <c r="A164" t="s">
        <v>1102</v>
      </c>
      <c r="B164" t="s">
        <v>1119</v>
      </c>
      <c r="C164" t="s">
        <v>3426</v>
      </c>
      <c r="D164" t="s">
        <v>1121</v>
      </c>
      <c r="E164" t="s">
        <v>1121</v>
      </c>
      <c r="F164" t="s">
        <v>1334</v>
      </c>
      <c r="G164" t="s">
        <v>3284</v>
      </c>
      <c r="H164" t="s">
        <v>3285</v>
      </c>
      <c r="I164" t="s">
        <v>2984</v>
      </c>
      <c r="J164" t="s">
        <v>3286</v>
      </c>
      <c r="K164" t="s">
        <v>3199</v>
      </c>
    </row>
    <row r="165" spans="1:11" x14ac:dyDescent="0.2">
      <c r="A165" t="s">
        <v>1102</v>
      </c>
      <c r="B165" t="s">
        <v>1126</v>
      </c>
      <c r="C165" t="s">
        <v>3427</v>
      </c>
      <c r="D165" t="s">
        <v>1121</v>
      </c>
      <c r="E165" t="s">
        <v>1121</v>
      </c>
      <c r="F165" t="s">
        <v>1334</v>
      </c>
      <c r="G165" t="s">
        <v>3197</v>
      </c>
      <c r="H165" t="s">
        <v>3198</v>
      </c>
      <c r="I165" t="s">
        <v>3039</v>
      </c>
      <c r="J165" t="s">
        <v>3039</v>
      </c>
      <c r="K165" t="s">
        <v>3199</v>
      </c>
    </row>
    <row r="166" spans="1:11" x14ac:dyDescent="0.2">
      <c r="A166" t="s">
        <v>1127</v>
      </c>
      <c r="B166" t="s">
        <v>1128</v>
      </c>
      <c r="C166" t="s">
        <v>3428</v>
      </c>
      <c r="D166" t="s">
        <v>145</v>
      </c>
      <c r="E166" t="s">
        <v>145</v>
      </c>
      <c r="F166" t="s">
        <v>1334</v>
      </c>
      <c r="G166" t="s">
        <v>3288</v>
      </c>
      <c r="H166" t="s">
        <v>3289</v>
      </c>
      <c r="I166" t="s">
        <v>3290</v>
      </c>
      <c r="J166" t="s">
        <v>3291</v>
      </c>
      <c r="K166" t="s">
        <v>3199</v>
      </c>
    </row>
    <row r="167" spans="1:11" x14ac:dyDescent="0.2">
      <c r="A167" t="s">
        <v>1137</v>
      </c>
      <c r="B167" t="s">
        <v>1138</v>
      </c>
      <c r="C167" t="s">
        <v>3429</v>
      </c>
      <c r="D167" t="s">
        <v>733</v>
      </c>
      <c r="E167" t="s">
        <v>733</v>
      </c>
      <c r="F167" t="s">
        <v>1334</v>
      </c>
      <c r="G167" t="s">
        <v>3279</v>
      </c>
      <c r="H167" t="s">
        <v>3280</v>
      </c>
      <c r="I167" t="s">
        <v>3007</v>
      </c>
      <c r="J167" t="s">
        <v>3006</v>
      </c>
      <c r="K167" t="s">
        <v>3199</v>
      </c>
    </row>
    <row r="168" spans="1:11" x14ac:dyDescent="0.2">
      <c r="A168" t="s">
        <v>1144</v>
      </c>
      <c r="B168" t="s">
        <v>1145</v>
      </c>
      <c r="C168" t="s">
        <v>3430</v>
      </c>
      <c r="D168" t="s">
        <v>145</v>
      </c>
      <c r="E168" t="s">
        <v>145</v>
      </c>
      <c r="F168" t="s">
        <v>1334</v>
      </c>
      <c r="G168" t="s">
        <v>3249</v>
      </c>
      <c r="H168" t="s">
        <v>3250</v>
      </c>
      <c r="I168" t="s">
        <v>3251</v>
      </c>
      <c r="J168" t="s">
        <v>265</v>
      </c>
      <c r="K168" t="s">
        <v>3199</v>
      </c>
    </row>
    <row r="169" spans="1:11" x14ac:dyDescent="0.2">
      <c r="A169" t="s">
        <v>1154</v>
      </c>
      <c r="B169" t="s">
        <v>189</v>
      </c>
      <c r="C169" t="s">
        <v>3431</v>
      </c>
      <c r="D169" t="s">
        <v>1156</v>
      </c>
      <c r="E169" t="s">
        <v>1156</v>
      </c>
      <c r="F169" t="s">
        <v>1334</v>
      </c>
      <c r="G169" t="s">
        <v>3297</v>
      </c>
      <c r="H169" t="s">
        <v>3212</v>
      </c>
      <c r="I169" t="s">
        <v>3302</v>
      </c>
      <c r="J169" t="s">
        <v>3302</v>
      </c>
      <c r="K169" t="s">
        <v>3199</v>
      </c>
    </row>
    <row r="170" spans="1:11" x14ac:dyDescent="0.2">
      <c r="A170" t="s">
        <v>1160</v>
      </c>
      <c r="B170" t="s">
        <v>3152</v>
      </c>
      <c r="C170" t="s">
        <v>3432</v>
      </c>
      <c r="D170" t="s">
        <v>1156</v>
      </c>
      <c r="E170" t="s">
        <v>1156</v>
      </c>
      <c r="F170" t="s">
        <v>1334</v>
      </c>
      <c r="G170" t="s">
        <v>3204</v>
      </c>
      <c r="H170" t="s">
        <v>3205</v>
      </c>
      <c r="I170" t="s">
        <v>3206</v>
      </c>
      <c r="J170" t="s">
        <v>2999</v>
      </c>
      <c r="K170" t="s">
        <v>3199</v>
      </c>
    </row>
    <row r="171" spans="1:11" x14ac:dyDescent="0.2">
      <c r="A171" t="s">
        <v>1160</v>
      </c>
      <c r="B171" t="s">
        <v>1167</v>
      </c>
      <c r="C171" t="s">
        <v>3433</v>
      </c>
      <c r="D171" t="s">
        <v>1156</v>
      </c>
      <c r="E171" t="s">
        <v>1156</v>
      </c>
      <c r="F171" t="s">
        <v>1334</v>
      </c>
      <c r="G171" t="s">
        <v>3204</v>
      </c>
      <c r="H171" t="s">
        <v>3205</v>
      </c>
      <c r="I171" t="s">
        <v>3206</v>
      </c>
      <c r="J171" t="s">
        <v>2999</v>
      </c>
      <c r="K171" t="s">
        <v>3199</v>
      </c>
    </row>
    <row r="172" spans="1:11" x14ac:dyDescent="0.2">
      <c r="A172" t="s">
        <v>1160</v>
      </c>
      <c r="B172" t="s">
        <v>1054</v>
      </c>
      <c r="C172" t="s">
        <v>3434</v>
      </c>
      <c r="D172" t="s">
        <v>1156</v>
      </c>
      <c r="E172" t="s">
        <v>1156</v>
      </c>
      <c r="F172" t="s">
        <v>1334</v>
      </c>
      <c r="G172" t="s">
        <v>3228</v>
      </c>
      <c r="H172" t="s">
        <v>3229</v>
      </c>
      <c r="I172" t="s">
        <v>2982</v>
      </c>
      <c r="J172" t="s">
        <v>3230</v>
      </c>
      <c r="K172" t="s">
        <v>3199</v>
      </c>
    </row>
    <row r="173" spans="1:11" x14ac:dyDescent="0.2">
      <c r="A173" t="s">
        <v>1172</v>
      </c>
      <c r="B173" t="s">
        <v>1173</v>
      </c>
      <c r="C173" t="s">
        <v>3435</v>
      </c>
      <c r="D173" t="s">
        <v>433</v>
      </c>
      <c r="E173" t="s">
        <v>433</v>
      </c>
      <c r="F173" t="s">
        <v>1334</v>
      </c>
      <c r="G173" t="s">
        <v>3197</v>
      </c>
      <c r="H173" t="s">
        <v>3198</v>
      </c>
      <c r="I173" t="s">
        <v>3039</v>
      </c>
      <c r="J173" t="s">
        <v>3039</v>
      </c>
      <c r="K173" t="s">
        <v>3199</v>
      </c>
    </row>
    <row r="174" spans="1:11" x14ac:dyDescent="0.2">
      <c r="A174" t="s">
        <v>1174</v>
      </c>
      <c r="B174" t="s">
        <v>617</v>
      </c>
      <c r="C174" t="s">
        <v>3436</v>
      </c>
      <c r="D174" t="s">
        <v>1177</v>
      </c>
      <c r="E174" t="s">
        <v>1177</v>
      </c>
      <c r="F174" t="s">
        <v>1334</v>
      </c>
      <c r="G174" t="s">
        <v>3197</v>
      </c>
      <c r="H174" t="s">
        <v>3198</v>
      </c>
      <c r="I174" t="s">
        <v>3039</v>
      </c>
      <c r="J174" t="s">
        <v>3039</v>
      </c>
      <c r="K174" t="s">
        <v>3199</v>
      </c>
    </row>
    <row r="175" spans="1:11" x14ac:dyDescent="0.2">
      <c r="A175" t="s">
        <v>1174</v>
      </c>
      <c r="B175" t="s">
        <v>1178</v>
      </c>
      <c r="C175" t="s">
        <v>3437</v>
      </c>
      <c r="D175" t="s">
        <v>1177</v>
      </c>
      <c r="E175" t="s">
        <v>1177</v>
      </c>
      <c r="F175" t="s">
        <v>1334</v>
      </c>
      <c r="G175" t="s">
        <v>3217</v>
      </c>
      <c r="H175" t="s">
        <v>3204</v>
      </c>
      <c r="I175" t="s">
        <v>3218</v>
      </c>
      <c r="J175" t="s">
        <v>3008</v>
      </c>
      <c r="K175" t="s">
        <v>3199</v>
      </c>
    </row>
    <row r="176" spans="1:11" x14ac:dyDescent="0.2">
      <c r="A176" t="s">
        <v>3438</v>
      </c>
      <c r="B176" t="s">
        <v>1183</v>
      </c>
      <c r="C176" t="s">
        <v>3439</v>
      </c>
      <c r="D176" t="s">
        <v>1187</v>
      </c>
      <c r="E176" t="s">
        <v>1187</v>
      </c>
      <c r="F176" t="s">
        <v>1334</v>
      </c>
      <c r="G176" t="s">
        <v>3197</v>
      </c>
      <c r="H176" t="s">
        <v>3198</v>
      </c>
      <c r="I176" t="s">
        <v>3039</v>
      </c>
      <c r="J176" t="s">
        <v>3039</v>
      </c>
      <c r="K176" t="s">
        <v>3199</v>
      </c>
    </row>
    <row r="177" spans="1:11" x14ac:dyDescent="0.2">
      <c r="A177" t="s">
        <v>1189</v>
      </c>
      <c r="B177" t="s">
        <v>1190</v>
      </c>
      <c r="C177" t="s">
        <v>3440</v>
      </c>
      <c r="D177" t="s">
        <v>1187</v>
      </c>
      <c r="E177" t="s">
        <v>1187</v>
      </c>
      <c r="F177" t="s">
        <v>1334</v>
      </c>
      <c r="G177" t="s">
        <v>3204</v>
      </c>
      <c r="H177" t="s">
        <v>3205</v>
      </c>
      <c r="I177" t="s">
        <v>3206</v>
      </c>
      <c r="J177" t="s">
        <v>2999</v>
      </c>
      <c r="K177" t="s">
        <v>3199</v>
      </c>
    </row>
    <row r="178" spans="1:11" x14ac:dyDescent="0.2">
      <c r="A178" t="s">
        <v>1189</v>
      </c>
      <c r="B178" t="s">
        <v>1193</v>
      </c>
      <c r="C178" t="s">
        <v>3441</v>
      </c>
      <c r="D178" t="s">
        <v>1187</v>
      </c>
      <c r="E178" t="s">
        <v>1187</v>
      </c>
      <c r="F178" t="s">
        <v>1334</v>
      </c>
      <c r="G178" t="s">
        <v>3217</v>
      </c>
      <c r="H178" t="s">
        <v>3204</v>
      </c>
      <c r="I178" t="s">
        <v>3218</v>
      </c>
      <c r="J178" t="s">
        <v>3008</v>
      </c>
      <c r="K178" t="s">
        <v>3199</v>
      </c>
    </row>
    <row r="179" spans="1:11" x14ac:dyDescent="0.2">
      <c r="A179" t="s">
        <v>1196</v>
      </c>
      <c r="B179" t="s">
        <v>111</v>
      </c>
      <c r="C179" t="s">
        <v>3442</v>
      </c>
      <c r="D179" t="s">
        <v>1198</v>
      </c>
      <c r="E179" t="s">
        <v>1198</v>
      </c>
      <c r="F179" t="s">
        <v>1334</v>
      </c>
      <c r="G179" t="s">
        <v>3197</v>
      </c>
      <c r="H179" t="s">
        <v>3198</v>
      </c>
      <c r="I179" t="s">
        <v>3039</v>
      </c>
      <c r="J179" t="s">
        <v>3039</v>
      </c>
      <c r="K179" t="s">
        <v>3199</v>
      </c>
    </row>
    <row r="180" spans="1:11" x14ac:dyDescent="0.2">
      <c r="A180" t="s">
        <v>1200</v>
      </c>
      <c r="B180" t="s">
        <v>1201</v>
      </c>
      <c r="C180" t="s">
        <v>3443</v>
      </c>
      <c r="D180" t="s">
        <v>145</v>
      </c>
      <c r="E180" t="s">
        <v>145</v>
      </c>
      <c r="F180" t="s">
        <v>1334</v>
      </c>
      <c r="G180" t="s">
        <v>3288</v>
      </c>
      <c r="H180" t="s">
        <v>3289</v>
      </c>
      <c r="I180" t="s">
        <v>3290</v>
      </c>
      <c r="J180" t="s">
        <v>3291</v>
      </c>
      <c r="K180" t="s">
        <v>3199</v>
      </c>
    </row>
    <row r="181" spans="1:11" x14ac:dyDescent="0.2">
      <c r="A181" t="s">
        <v>1205</v>
      </c>
      <c r="B181" t="s">
        <v>1206</v>
      </c>
      <c r="C181" t="s">
        <v>3444</v>
      </c>
      <c r="D181" t="s">
        <v>1210</v>
      </c>
      <c r="E181" t="s">
        <v>1210</v>
      </c>
      <c r="F181" t="s">
        <v>1334</v>
      </c>
      <c r="G181" t="s">
        <v>3197</v>
      </c>
      <c r="H181" t="s">
        <v>3198</v>
      </c>
      <c r="I181" t="s">
        <v>3039</v>
      </c>
      <c r="J181" t="s">
        <v>3039</v>
      </c>
      <c r="K181" t="s">
        <v>3199</v>
      </c>
    </row>
    <row r="182" spans="1:11" x14ac:dyDescent="0.2">
      <c r="A182" t="s">
        <v>1213</v>
      </c>
      <c r="B182" t="s">
        <v>221</v>
      </c>
      <c r="C182" t="s">
        <v>3445</v>
      </c>
      <c r="D182" t="s">
        <v>248</v>
      </c>
      <c r="E182" t="s">
        <v>248</v>
      </c>
      <c r="F182" t="s">
        <v>1334</v>
      </c>
      <c r="G182" t="s">
        <v>3197</v>
      </c>
      <c r="H182" t="s">
        <v>3198</v>
      </c>
      <c r="I182" t="s">
        <v>3039</v>
      </c>
      <c r="J182" t="s">
        <v>3039</v>
      </c>
      <c r="K182" t="s">
        <v>3199</v>
      </c>
    </row>
    <row r="183" spans="1:11" x14ac:dyDescent="0.2">
      <c r="A183" t="s">
        <v>1218</v>
      </c>
      <c r="B183" t="s">
        <v>1219</v>
      </c>
      <c r="C183" t="s">
        <v>3446</v>
      </c>
      <c r="D183" t="s">
        <v>1937</v>
      </c>
      <c r="E183" t="s">
        <v>1937</v>
      </c>
      <c r="F183" t="s">
        <v>1334</v>
      </c>
      <c r="G183" t="s">
        <v>3279</v>
      </c>
      <c r="H183" t="s">
        <v>3447</v>
      </c>
      <c r="I183" t="s">
        <v>3006</v>
      </c>
      <c r="J183" t="s">
        <v>3006</v>
      </c>
      <c r="K183" t="s">
        <v>3199</v>
      </c>
    </row>
    <row r="184" spans="1:11" x14ac:dyDescent="0.2">
      <c r="A184" t="s">
        <v>1218</v>
      </c>
      <c r="B184" t="s">
        <v>1219</v>
      </c>
      <c r="C184" t="s">
        <v>3446</v>
      </c>
      <c r="D184" t="s">
        <v>1937</v>
      </c>
      <c r="E184" t="s">
        <v>1223</v>
      </c>
      <c r="F184" t="s">
        <v>3448</v>
      </c>
      <c r="G184" t="s">
        <v>3197</v>
      </c>
      <c r="H184" t="s">
        <v>3198</v>
      </c>
      <c r="I184" t="s">
        <v>3039</v>
      </c>
      <c r="J184" t="s">
        <v>3039</v>
      </c>
      <c r="K184" t="s">
        <v>3199</v>
      </c>
    </row>
    <row r="185" spans="1:11" x14ac:dyDescent="0.2">
      <c r="A185" t="s">
        <v>1228</v>
      </c>
      <c r="B185" t="s">
        <v>1229</v>
      </c>
      <c r="C185" t="s">
        <v>3449</v>
      </c>
      <c r="D185" t="s">
        <v>1223</v>
      </c>
      <c r="E185" t="s">
        <v>1223</v>
      </c>
      <c r="F185" t="s">
        <v>1334</v>
      </c>
      <c r="G185" t="s">
        <v>3222</v>
      </c>
      <c r="H185" t="s">
        <v>3223</v>
      </c>
      <c r="I185" t="s">
        <v>3224</v>
      </c>
      <c r="J185" t="s">
        <v>2997</v>
      </c>
      <c r="K185" t="s">
        <v>3199</v>
      </c>
    </row>
    <row r="186" spans="1:11" x14ac:dyDescent="0.2">
      <c r="A186" t="s">
        <v>1233</v>
      </c>
      <c r="B186" t="s">
        <v>1234</v>
      </c>
      <c r="C186" t="s">
        <v>3450</v>
      </c>
      <c r="D186" t="s">
        <v>1236</v>
      </c>
      <c r="E186" t="s">
        <v>1236</v>
      </c>
      <c r="F186" t="s">
        <v>1334</v>
      </c>
      <c r="G186" t="s">
        <v>3197</v>
      </c>
      <c r="H186" t="s">
        <v>3198</v>
      </c>
      <c r="I186" t="s">
        <v>3039</v>
      </c>
      <c r="J186" t="s">
        <v>3039</v>
      </c>
      <c r="K186" t="s">
        <v>3199</v>
      </c>
    </row>
    <row r="187" spans="1:11" x14ac:dyDescent="0.2">
      <c r="A187" t="s">
        <v>1238</v>
      </c>
      <c r="B187" t="s">
        <v>1239</v>
      </c>
      <c r="C187" t="s">
        <v>3451</v>
      </c>
      <c r="D187" t="s">
        <v>145</v>
      </c>
      <c r="E187" t="s">
        <v>145</v>
      </c>
      <c r="F187" t="s">
        <v>1334</v>
      </c>
      <c r="G187" t="s">
        <v>3212</v>
      </c>
      <c r="H187" t="s">
        <v>3213</v>
      </c>
      <c r="I187" t="s">
        <v>3214</v>
      </c>
      <c r="J187" t="s">
        <v>3215</v>
      </c>
      <c r="K187" t="s">
        <v>3199</v>
      </c>
    </row>
    <row r="188" spans="1:11" x14ac:dyDescent="0.2">
      <c r="A188" t="s">
        <v>1246</v>
      </c>
      <c r="B188" t="s">
        <v>1051</v>
      </c>
      <c r="C188" t="s">
        <v>3452</v>
      </c>
      <c r="D188" t="s">
        <v>145</v>
      </c>
      <c r="E188" t="s">
        <v>145</v>
      </c>
      <c r="F188" t="s">
        <v>1334</v>
      </c>
      <c r="G188" t="s">
        <v>3453</v>
      </c>
      <c r="H188" t="s">
        <v>3217</v>
      </c>
      <c r="I188" t="s">
        <v>3454</v>
      </c>
      <c r="J188" t="s">
        <v>3017</v>
      </c>
      <c r="K188" t="s">
        <v>3199</v>
      </c>
    </row>
    <row r="189" spans="1:11" x14ac:dyDescent="0.2">
      <c r="A189" t="s">
        <v>1259</v>
      </c>
      <c r="B189" t="s">
        <v>1260</v>
      </c>
      <c r="C189" t="s">
        <v>3455</v>
      </c>
      <c r="D189" t="s">
        <v>145</v>
      </c>
      <c r="E189" t="s">
        <v>145</v>
      </c>
      <c r="F189" t="s">
        <v>1334</v>
      </c>
      <c r="G189" t="s">
        <v>3212</v>
      </c>
      <c r="H189" t="s">
        <v>3213</v>
      </c>
      <c r="I189" t="s">
        <v>3214</v>
      </c>
      <c r="J189" t="s">
        <v>3215</v>
      </c>
      <c r="K189" t="s">
        <v>3199</v>
      </c>
    </row>
    <row r="190" spans="1:11" x14ac:dyDescent="0.2">
      <c r="A190" t="s">
        <v>1266</v>
      </c>
      <c r="B190" t="s">
        <v>1267</v>
      </c>
      <c r="C190" t="s">
        <v>3456</v>
      </c>
      <c r="D190" t="s">
        <v>1271</v>
      </c>
      <c r="E190" t="s">
        <v>1271</v>
      </c>
      <c r="F190" t="s">
        <v>1334</v>
      </c>
      <c r="G190" t="s">
        <v>3197</v>
      </c>
      <c r="H190" t="s">
        <v>3198</v>
      </c>
      <c r="I190" t="s">
        <v>3039</v>
      </c>
      <c r="J190" t="s">
        <v>3039</v>
      </c>
      <c r="K190" t="s">
        <v>3199</v>
      </c>
    </row>
    <row r="191" spans="1:11" x14ac:dyDescent="0.2">
      <c r="A191" t="s">
        <v>1266</v>
      </c>
      <c r="B191" t="s">
        <v>1273</v>
      </c>
      <c r="C191" t="s">
        <v>3457</v>
      </c>
      <c r="D191" t="s">
        <v>1271</v>
      </c>
      <c r="E191" t="s">
        <v>1271</v>
      </c>
      <c r="F191" t="s">
        <v>1334</v>
      </c>
      <c r="G191" t="s">
        <v>3217</v>
      </c>
      <c r="H191" t="s">
        <v>3204</v>
      </c>
      <c r="I191" t="s">
        <v>3218</v>
      </c>
      <c r="J191" t="s">
        <v>3008</v>
      </c>
      <c r="K191" t="s">
        <v>3199</v>
      </c>
    </row>
    <row r="192" spans="1:11" x14ac:dyDescent="0.2">
      <c r="A192" t="s">
        <v>1277</v>
      </c>
      <c r="B192" t="s">
        <v>741</v>
      </c>
      <c r="C192" t="s">
        <v>3458</v>
      </c>
      <c r="D192" t="s">
        <v>1279</v>
      </c>
      <c r="E192" t="s">
        <v>1279</v>
      </c>
      <c r="F192" t="s">
        <v>1334</v>
      </c>
      <c r="G192" t="s">
        <v>3197</v>
      </c>
      <c r="H192" t="s">
        <v>3198</v>
      </c>
      <c r="I192" t="s">
        <v>3039</v>
      </c>
      <c r="J192" t="s">
        <v>3039</v>
      </c>
      <c r="K192" t="s">
        <v>3199</v>
      </c>
    </row>
    <row r="193" spans="1:11" x14ac:dyDescent="0.2">
      <c r="A193" t="s">
        <v>1282</v>
      </c>
      <c r="B193" t="s">
        <v>1283</v>
      </c>
      <c r="C193" t="s">
        <v>3459</v>
      </c>
      <c r="D193" t="s">
        <v>1177</v>
      </c>
      <c r="E193" t="s">
        <v>1177</v>
      </c>
      <c r="F193" t="s">
        <v>1334</v>
      </c>
      <c r="G193" t="s">
        <v>3197</v>
      </c>
      <c r="H193" t="s">
        <v>3198</v>
      </c>
      <c r="I193" t="s">
        <v>3039</v>
      </c>
      <c r="J193" t="s">
        <v>3039</v>
      </c>
      <c r="K193" t="s">
        <v>3199</v>
      </c>
    </row>
    <row r="194" spans="1:11" x14ac:dyDescent="0.2">
      <c r="A194" t="s">
        <v>1284</v>
      </c>
      <c r="B194" t="s">
        <v>986</v>
      </c>
      <c r="C194" t="s">
        <v>3460</v>
      </c>
      <c r="D194" t="s">
        <v>3461</v>
      </c>
      <c r="E194" t="s">
        <v>3461</v>
      </c>
      <c r="F194" t="s">
        <v>1334</v>
      </c>
      <c r="G194" t="s">
        <v>3197</v>
      </c>
      <c r="H194" t="s">
        <v>3198</v>
      </c>
      <c r="I194" t="s">
        <v>3039</v>
      </c>
      <c r="J194" t="s">
        <v>3039</v>
      </c>
      <c r="K194" t="s">
        <v>3199</v>
      </c>
    </row>
    <row r="195" spans="1:11" x14ac:dyDescent="0.2">
      <c r="A195" t="s">
        <v>1284</v>
      </c>
      <c r="B195" t="s">
        <v>1290</v>
      </c>
      <c r="C195" t="s">
        <v>3462</v>
      </c>
      <c r="D195" t="s">
        <v>3461</v>
      </c>
      <c r="E195" t="s">
        <v>3461</v>
      </c>
      <c r="F195" t="s">
        <v>1334</v>
      </c>
      <c r="G195" t="s">
        <v>3229</v>
      </c>
      <c r="H195" t="s">
        <v>3238</v>
      </c>
      <c r="I195" t="s">
        <v>25</v>
      </c>
      <c r="J195" t="s">
        <v>2993</v>
      </c>
      <c r="K195" t="s">
        <v>3199</v>
      </c>
    </row>
    <row r="196" spans="1:11" x14ac:dyDescent="0.2">
      <c r="A196" t="s">
        <v>1297</v>
      </c>
      <c r="B196" t="s">
        <v>1298</v>
      </c>
      <c r="C196" t="s">
        <v>3463</v>
      </c>
      <c r="D196" t="s">
        <v>1301</v>
      </c>
      <c r="E196" t="s">
        <v>1301</v>
      </c>
      <c r="F196" t="s">
        <v>1334</v>
      </c>
      <c r="G196" t="s">
        <v>3197</v>
      </c>
      <c r="H196" t="s">
        <v>3198</v>
      </c>
      <c r="I196" t="s">
        <v>3039</v>
      </c>
      <c r="J196" t="s">
        <v>3039</v>
      </c>
      <c r="K196" t="s">
        <v>3199</v>
      </c>
    </row>
    <row r="197" spans="1:11" x14ac:dyDescent="0.2">
      <c r="A197" t="s">
        <v>3464</v>
      </c>
      <c r="B197" t="s">
        <v>1306</v>
      </c>
      <c r="C197" t="s">
        <v>3465</v>
      </c>
      <c r="D197" t="s">
        <v>1309</v>
      </c>
      <c r="E197" t="s">
        <v>1309</v>
      </c>
      <c r="F197" t="s">
        <v>1334</v>
      </c>
      <c r="G197" t="s">
        <v>3197</v>
      </c>
      <c r="H197" t="s">
        <v>3198</v>
      </c>
      <c r="I197" t="s">
        <v>3039</v>
      </c>
      <c r="J197" t="s">
        <v>3039</v>
      </c>
      <c r="K197" t="s">
        <v>3199</v>
      </c>
    </row>
    <row r="198" spans="1:11" x14ac:dyDescent="0.2">
      <c r="A198" t="s">
        <v>3466</v>
      </c>
      <c r="B198" t="s">
        <v>1260</v>
      </c>
      <c r="C198" t="s">
        <v>3467</v>
      </c>
      <c r="D198" t="s">
        <v>752</v>
      </c>
      <c r="E198" t="s">
        <v>752</v>
      </c>
      <c r="F198" t="s">
        <v>1334</v>
      </c>
      <c r="G198" t="s">
        <v>3197</v>
      </c>
      <c r="H198" t="s">
        <v>3198</v>
      </c>
      <c r="I198" t="s">
        <v>3039</v>
      </c>
      <c r="J198" t="s">
        <v>3039</v>
      </c>
      <c r="K198" t="s">
        <v>3199</v>
      </c>
    </row>
    <row r="199" spans="1:11" x14ac:dyDescent="0.2">
      <c r="A199" t="s">
        <v>1314</v>
      </c>
      <c r="B199" t="s">
        <v>1315</v>
      </c>
      <c r="C199" t="s">
        <v>3468</v>
      </c>
      <c r="D199" t="s">
        <v>752</v>
      </c>
      <c r="E199" t="s">
        <v>752</v>
      </c>
      <c r="F199" t="s">
        <v>1334</v>
      </c>
      <c r="G199" t="s">
        <v>3234</v>
      </c>
      <c r="H199" t="s">
        <v>3222</v>
      </c>
      <c r="I199" t="s">
        <v>2986</v>
      </c>
      <c r="J199" t="s">
        <v>3235</v>
      </c>
      <c r="K199" t="s">
        <v>3199</v>
      </c>
    </row>
    <row r="200" spans="1:11" x14ac:dyDescent="0.2">
      <c r="A200" t="s">
        <v>1320</v>
      </c>
      <c r="B200" t="s">
        <v>1321</v>
      </c>
      <c r="C200" t="s">
        <v>3469</v>
      </c>
      <c r="D200" t="s">
        <v>145</v>
      </c>
      <c r="E200" t="s">
        <v>145</v>
      </c>
      <c r="F200" t="s">
        <v>1334</v>
      </c>
      <c r="G200" t="s">
        <v>3288</v>
      </c>
      <c r="H200" t="s">
        <v>3289</v>
      </c>
      <c r="I200" t="s">
        <v>3290</v>
      </c>
      <c r="J200" t="s">
        <v>3291</v>
      </c>
      <c r="K200" t="s">
        <v>3199</v>
      </c>
    </row>
    <row r="201" spans="1:11" x14ac:dyDescent="0.2">
      <c r="A201" t="s">
        <v>1332</v>
      </c>
      <c r="B201" t="s">
        <v>1333</v>
      </c>
      <c r="C201" t="s">
        <v>1334</v>
      </c>
      <c r="D201" t="s">
        <v>1334</v>
      </c>
      <c r="E201" t="s">
        <v>1336</v>
      </c>
      <c r="F201" t="s">
        <v>3448</v>
      </c>
      <c r="G201" t="s">
        <v>3222</v>
      </c>
      <c r="H201" t="s">
        <v>3223</v>
      </c>
      <c r="I201" t="s">
        <v>3224</v>
      </c>
      <c r="J201" t="s">
        <v>2997</v>
      </c>
      <c r="K201" t="s">
        <v>3199</v>
      </c>
    </row>
    <row r="202" spans="1:11" x14ac:dyDescent="0.2">
      <c r="A202" t="s">
        <v>1340</v>
      </c>
      <c r="B202" t="s">
        <v>1341</v>
      </c>
      <c r="C202" t="s">
        <v>3470</v>
      </c>
      <c r="D202" t="s">
        <v>1344</v>
      </c>
      <c r="E202" t="s">
        <v>1344</v>
      </c>
      <c r="F202" t="s">
        <v>1334</v>
      </c>
      <c r="G202" t="s">
        <v>3197</v>
      </c>
      <c r="H202" t="s">
        <v>3198</v>
      </c>
      <c r="I202" t="s">
        <v>3039</v>
      </c>
      <c r="J202" t="s">
        <v>3039</v>
      </c>
      <c r="K202" t="s">
        <v>3199</v>
      </c>
    </row>
    <row r="203" spans="1:11" x14ac:dyDescent="0.2">
      <c r="A203" t="s">
        <v>1340</v>
      </c>
      <c r="B203" t="s">
        <v>602</v>
      </c>
      <c r="C203" t="s">
        <v>3471</v>
      </c>
      <c r="D203" t="s">
        <v>1344</v>
      </c>
      <c r="E203" t="s">
        <v>1344</v>
      </c>
      <c r="F203" t="s">
        <v>1334</v>
      </c>
      <c r="G203" t="s">
        <v>3217</v>
      </c>
      <c r="H203" t="s">
        <v>3204</v>
      </c>
      <c r="I203" t="s">
        <v>3218</v>
      </c>
      <c r="J203" t="s">
        <v>3008</v>
      </c>
      <c r="K203" t="s">
        <v>3199</v>
      </c>
    </row>
    <row r="204" spans="1:11" x14ac:dyDescent="0.2">
      <c r="A204" t="s">
        <v>1340</v>
      </c>
      <c r="B204" t="s">
        <v>1349</v>
      </c>
      <c r="C204" t="s">
        <v>3472</v>
      </c>
      <c r="D204" t="s">
        <v>1353</v>
      </c>
      <c r="E204" t="s">
        <v>1353</v>
      </c>
      <c r="F204" t="s">
        <v>1334</v>
      </c>
      <c r="G204" t="s">
        <v>3234</v>
      </c>
      <c r="H204" t="s">
        <v>3222</v>
      </c>
      <c r="I204" t="s">
        <v>2986</v>
      </c>
      <c r="J204" t="s">
        <v>3235</v>
      </c>
      <c r="K204" t="s">
        <v>3199</v>
      </c>
    </row>
    <row r="205" spans="1:11" x14ac:dyDescent="0.2">
      <c r="A205" t="s">
        <v>1340</v>
      </c>
      <c r="B205" t="s">
        <v>283</v>
      </c>
      <c r="C205" t="s">
        <v>3473</v>
      </c>
      <c r="D205" t="s">
        <v>1353</v>
      </c>
      <c r="E205" t="s">
        <v>1353</v>
      </c>
      <c r="F205" t="s">
        <v>1334</v>
      </c>
      <c r="G205" t="s">
        <v>3197</v>
      </c>
      <c r="H205" t="s">
        <v>3198</v>
      </c>
      <c r="I205" t="s">
        <v>3039</v>
      </c>
      <c r="J205" t="s">
        <v>3039</v>
      </c>
      <c r="K205" t="s">
        <v>3199</v>
      </c>
    </row>
    <row r="206" spans="1:11" x14ac:dyDescent="0.2">
      <c r="A206" t="s">
        <v>1340</v>
      </c>
      <c r="B206" t="s">
        <v>1359</v>
      </c>
      <c r="C206" t="s">
        <v>3474</v>
      </c>
      <c r="D206" t="s">
        <v>1353</v>
      </c>
      <c r="E206" t="s">
        <v>1353</v>
      </c>
      <c r="F206" t="s">
        <v>1334</v>
      </c>
      <c r="G206" t="s">
        <v>3217</v>
      </c>
      <c r="H206" t="s">
        <v>3204</v>
      </c>
      <c r="I206" t="s">
        <v>3218</v>
      </c>
      <c r="J206" t="s">
        <v>3008</v>
      </c>
      <c r="K206" t="s">
        <v>3199</v>
      </c>
    </row>
    <row r="207" spans="1:11" x14ac:dyDescent="0.2">
      <c r="A207" t="s">
        <v>1363</v>
      </c>
      <c r="B207" t="s">
        <v>1364</v>
      </c>
      <c r="C207" t="s">
        <v>3475</v>
      </c>
      <c r="D207" t="s">
        <v>145</v>
      </c>
      <c r="E207" t="s">
        <v>145</v>
      </c>
      <c r="F207" t="s">
        <v>1334</v>
      </c>
      <c r="G207" t="s">
        <v>3212</v>
      </c>
      <c r="H207" t="s">
        <v>3213</v>
      </c>
      <c r="I207" t="s">
        <v>3214</v>
      </c>
      <c r="J207" t="s">
        <v>3215</v>
      </c>
      <c r="K207" t="s">
        <v>3199</v>
      </c>
    </row>
    <row r="208" spans="1:11" x14ac:dyDescent="0.2">
      <c r="A208" t="s">
        <v>1369</v>
      </c>
      <c r="B208" t="s">
        <v>1370</v>
      </c>
      <c r="C208" t="s">
        <v>3476</v>
      </c>
      <c r="D208" t="s">
        <v>1372</v>
      </c>
      <c r="E208" t="s">
        <v>1372</v>
      </c>
      <c r="F208" t="s">
        <v>1334</v>
      </c>
      <c r="G208" t="s">
        <v>3197</v>
      </c>
      <c r="H208" t="s">
        <v>3198</v>
      </c>
      <c r="I208" t="s">
        <v>3039</v>
      </c>
      <c r="J208" t="s">
        <v>3039</v>
      </c>
      <c r="K208" t="s">
        <v>3199</v>
      </c>
    </row>
    <row r="209" spans="1:11" x14ac:dyDescent="0.2">
      <c r="A209" t="s">
        <v>1374</v>
      </c>
      <c r="B209" t="s">
        <v>1375</v>
      </c>
      <c r="C209" t="s">
        <v>3477</v>
      </c>
      <c r="D209" t="s">
        <v>180</v>
      </c>
      <c r="E209" t="s">
        <v>180</v>
      </c>
      <c r="F209" t="s">
        <v>1334</v>
      </c>
      <c r="G209" t="s">
        <v>3197</v>
      </c>
      <c r="H209" t="s">
        <v>3198</v>
      </c>
      <c r="I209" t="s">
        <v>3039</v>
      </c>
      <c r="J209" t="s">
        <v>3039</v>
      </c>
      <c r="K209" t="s">
        <v>3199</v>
      </c>
    </row>
    <row r="210" spans="1:11" x14ac:dyDescent="0.2">
      <c r="A210" t="s">
        <v>1376</v>
      </c>
      <c r="B210" t="s">
        <v>1377</v>
      </c>
      <c r="C210" t="s">
        <v>3478</v>
      </c>
      <c r="D210" t="s">
        <v>1380</v>
      </c>
      <c r="E210" t="s">
        <v>1380</v>
      </c>
      <c r="F210" t="s">
        <v>1334</v>
      </c>
      <c r="G210" t="s">
        <v>3197</v>
      </c>
      <c r="H210" t="s">
        <v>3198</v>
      </c>
      <c r="I210" t="s">
        <v>3039</v>
      </c>
      <c r="J210" t="s">
        <v>3039</v>
      </c>
      <c r="K210" t="s">
        <v>3199</v>
      </c>
    </row>
    <row r="211" spans="1:11" x14ac:dyDescent="0.2">
      <c r="A211" t="s">
        <v>1381</v>
      </c>
      <c r="B211" t="s">
        <v>1382</v>
      </c>
      <c r="C211" t="s">
        <v>3479</v>
      </c>
      <c r="D211" t="s">
        <v>600</v>
      </c>
      <c r="E211" t="s">
        <v>600</v>
      </c>
      <c r="F211" t="s">
        <v>1334</v>
      </c>
      <c r="G211" t="s">
        <v>3217</v>
      </c>
      <c r="H211" t="s">
        <v>3204</v>
      </c>
      <c r="I211" t="s">
        <v>3218</v>
      </c>
      <c r="J211" t="s">
        <v>3008</v>
      </c>
      <c r="K211" t="s">
        <v>3199</v>
      </c>
    </row>
    <row r="212" spans="1:11" x14ac:dyDescent="0.2">
      <c r="A212" t="s">
        <v>1381</v>
      </c>
      <c r="B212" t="s">
        <v>1178</v>
      </c>
      <c r="C212" t="s">
        <v>3480</v>
      </c>
      <c r="D212" t="s">
        <v>600</v>
      </c>
      <c r="E212" t="s">
        <v>600</v>
      </c>
      <c r="F212" t="s">
        <v>1334</v>
      </c>
      <c r="G212" t="s">
        <v>3384</v>
      </c>
      <c r="H212" t="s">
        <v>3385</v>
      </c>
      <c r="I212" t="s">
        <v>3033</v>
      </c>
      <c r="J212" t="s">
        <v>3033</v>
      </c>
      <c r="K212" t="s">
        <v>3199</v>
      </c>
    </row>
    <row r="213" spans="1:11" x14ac:dyDescent="0.2">
      <c r="A213" t="s">
        <v>1389</v>
      </c>
      <c r="B213" t="s">
        <v>1390</v>
      </c>
      <c r="C213" t="s">
        <v>3481</v>
      </c>
      <c r="D213" t="s">
        <v>1394</v>
      </c>
      <c r="E213" t="s">
        <v>1394</v>
      </c>
      <c r="F213" t="s">
        <v>1334</v>
      </c>
      <c r="G213" t="s">
        <v>3212</v>
      </c>
      <c r="H213" t="s">
        <v>3213</v>
      </c>
      <c r="I213" t="s">
        <v>3214</v>
      </c>
      <c r="J213" t="s">
        <v>3215</v>
      </c>
      <c r="K213" t="s">
        <v>3199</v>
      </c>
    </row>
    <row r="214" spans="1:11" x14ac:dyDescent="0.2">
      <c r="A214" t="s">
        <v>1401</v>
      </c>
      <c r="B214" t="s">
        <v>1402</v>
      </c>
      <c r="C214" t="s">
        <v>3482</v>
      </c>
      <c r="D214" t="s">
        <v>1380</v>
      </c>
      <c r="E214" t="s">
        <v>1380</v>
      </c>
      <c r="F214" t="s">
        <v>1334</v>
      </c>
      <c r="G214" t="s">
        <v>3197</v>
      </c>
      <c r="H214" t="s">
        <v>3198</v>
      </c>
      <c r="I214" t="s">
        <v>3039</v>
      </c>
      <c r="J214" t="s">
        <v>3039</v>
      </c>
      <c r="K214" t="s">
        <v>3199</v>
      </c>
    </row>
    <row r="215" spans="1:11" x14ac:dyDescent="0.2">
      <c r="A215" t="s">
        <v>1401</v>
      </c>
      <c r="B215" t="s">
        <v>1404</v>
      </c>
      <c r="C215" t="s">
        <v>3483</v>
      </c>
      <c r="D215" t="s">
        <v>1380</v>
      </c>
      <c r="E215" t="s">
        <v>1380</v>
      </c>
      <c r="F215" t="s">
        <v>1334</v>
      </c>
      <c r="G215" t="s">
        <v>3268</v>
      </c>
      <c r="H215" t="s">
        <v>3269</v>
      </c>
      <c r="I215" t="s">
        <v>2978</v>
      </c>
      <c r="J215" t="s">
        <v>3270</v>
      </c>
      <c r="K215" t="s">
        <v>3199</v>
      </c>
    </row>
    <row r="216" spans="1:11" x14ac:dyDescent="0.2">
      <c r="A216" t="s">
        <v>1408</v>
      </c>
      <c r="B216" t="s">
        <v>1409</v>
      </c>
      <c r="C216" t="s">
        <v>3484</v>
      </c>
      <c r="D216" t="s">
        <v>1412</v>
      </c>
      <c r="E216" t="s">
        <v>1412</v>
      </c>
      <c r="F216" t="s">
        <v>1334</v>
      </c>
      <c r="G216" t="s">
        <v>3229</v>
      </c>
      <c r="H216" t="s">
        <v>3238</v>
      </c>
      <c r="I216" t="s">
        <v>25</v>
      </c>
      <c r="J216" t="s">
        <v>2993</v>
      </c>
      <c r="K216" t="s">
        <v>3199</v>
      </c>
    </row>
    <row r="217" spans="1:11" x14ac:dyDescent="0.2">
      <c r="A217" t="s">
        <v>1408</v>
      </c>
      <c r="B217" t="s">
        <v>1418</v>
      </c>
      <c r="C217" t="s">
        <v>3485</v>
      </c>
      <c r="D217" t="s">
        <v>1412</v>
      </c>
      <c r="E217" t="s">
        <v>1412</v>
      </c>
      <c r="F217" t="s">
        <v>1334</v>
      </c>
      <c r="G217" t="s">
        <v>3222</v>
      </c>
      <c r="H217" t="s">
        <v>3223</v>
      </c>
      <c r="I217" t="s">
        <v>3224</v>
      </c>
      <c r="J217" t="s">
        <v>2997</v>
      </c>
      <c r="K217" t="s">
        <v>3199</v>
      </c>
    </row>
    <row r="218" spans="1:11" x14ac:dyDescent="0.2">
      <c r="A218" t="s">
        <v>1408</v>
      </c>
      <c r="B218" t="s">
        <v>1421</v>
      </c>
      <c r="C218" t="s">
        <v>3486</v>
      </c>
      <c r="D218" t="s">
        <v>1412</v>
      </c>
      <c r="E218" t="s">
        <v>1412</v>
      </c>
      <c r="F218" t="s">
        <v>1334</v>
      </c>
      <c r="G218" t="s">
        <v>3197</v>
      </c>
      <c r="H218" t="s">
        <v>3198</v>
      </c>
      <c r="I218" t="s">
        <v>3039</v>
      </c>
      <c r="J218" t="s">
        <v>3039</v>
      </c>
      <c r="K218" t="s">
        <v>3199</v>
      </c>
    </row>
    <row r="219" spans="1:11" x14ac:dyDescent="0.2">
      <c r="A219" t="s">
        <v>1423</v>
      </c>
      <c r="B219" t="s">
        <v>1424</v>
      </c>
      <c r="C219" t="s">
        <v>3487</v>
      </c>
      <c r="D219" t="s">
        <v>871</v>
      </c>
      <c r="E219" t="s">
        <v>871</v>
      </c>
      <c r="F219" t="s">
        <v>1334</v>
      </c>
      <c r="G219" t="s">
        <v>3197</v>
      </c>
      <c r="H219" t="s">
        <v>3198</v>
      </c>
      <c r="I219" t="s">
        <v>3039</v>
      </c>
      <c r="J219" t="s">
        <v>3039</v>
      </c>
      <c r="K219" t="s">
        <v>3199</v>
      </c>
    </row>
    <row r="220" spans="1:11" x14ac:dyDescent="0.2">
      <c r="A220" t="s">
        <v>1425</v>
      </c>
      <c r="B220" t="s">
        <v>1426</v>
      </c>
      <c r="C220" t="s">
        <v>3488</v>
      </c>
      <c r="D220" t="s">
        <v>924</v>
      </c>
      <c r="E220" t="s">
        <v>924</v>
      </c>
      <c r="F220" t="s">
        <v>1334</v>
      </c>
      <c r="G220" t="s">
        <v>3197</v>
      </c>
      <c r="H220" t="s">
        <v>3198</v>
      </c>
      <c r="I220" t="s">
        <v>3039</v>
      </c>
      <c r="J220" t="s">
        <v>3039</v>
      </c>
      <c r="K220" t="s">
        <v>3199</v>
      </c>
    </row>
    <row r="221" spans="1:11" x14ac:dyDescent="0.2">
      <c r="A221" t="s">
        <v>1427</v>
      </c>
      <c r="B221" t="s">
        <v>1428</v>
      </c>
      <c r="C221" t="s">
        <v>3489</v>
      </c>
      <c r="D221" t="s">
        <v>1430</v>
      </c>
      <c r="E221" t="s">
        <v>1430</v>
      </c>
      <c r="F221" t="s">
        <v>1334</v>
      </c>
      <c r="G221" t="s">
        <v>3339</v>
      </c>
      <c r="H221" t="s">
        <v>3490</v>
      </c>
      <c r="I221" t="s">
        <v>2976</v>
      </c>
      <c r="J221" t="s">
        <v>3491</v>
      </c>
      <c r="K221" t="s">
        <v>3199</v>
      </c>
    </row>
    <row r="222" spans="1:11" x14ac:dyDescent="0.2">
      <c r="A222" t="s">
        <v>1427</v>
      </c>
      <c r="B222" t="s">
        <v>1178</v>
      </c>
      <c r="C222" t="s">
        <v>3492</v>
      </c>
      <c r="D222" t="s">
        <v>1430</v>
      </c>
      <c r="E222" t="s">
        <v>1430</v>
      </c>
      <c r="F222" t="s">
        <v>1334</v>
      </c>
      <c r="G222" t="s">
        <v>3197</v>
      </c>
      <c r="H222" t="s">
        <v>3198</v>
      </c>
      <c r="I222" t="s">
        <v>3039</v>
      </c>
      <c r="J222" t="s">
        <v>3039</v>
      </c>
      <c r="K222" t="s">
        <v>3199</v>
      </c>
    </row>
    <row r="223" spans="1:11" x14ac:dyDescent="0.2">
      <c r="A223" t="s">
        <v>1434</v>
      </c>
      <c r="B223" t="s">
        <v>1435</v>
      </c>
      <c r="C223" t="s">
        <v>3493</v>
      </c>
      <c r="D223" t="s">
        <v>1438</v>
      </c>
      <c r="E223" t="s">
        <v>1438</v>
      </c>
      <c r="F223" t="s">
        <v>1334</v>
      </c>
      <c r="G223" t="s">
        <v>3229</v>
      </c>
      <c r="H223" t="s">
        <v>3238</v>
      </c>
      <c r="I223" t="s">
        <v>25</v>
      </c>
      <c r="J223" t="s">
        <v>2993</v>
      </c>
      <c r="K223" t="s">
        <v>3199</v>
      </c>
    </row>
    <row r="224" spans="1:11" x14ac:dyDescent="0.2">
      <c r="A224" t="s">
        <v>1434</v>
      </c>
      <c r="B224" t="s">
        <v>1443</v>
      </c>
      <c r="C224" t="s">
        <v>3494</v>
      </c>
      <c r="D224" t="s">
        <v>1438</v>
      </c>
      <c r="E224" t="s">
        <v>1438</v>
      </c>
      <c r="F224" t="s">
        <v>1334</v>
      </c>
      <c r="G224" t="s">
        <v>3269</v>
      </c>
      <c r="H224" t="s">
        <v>3398</v>
      </c>
      <c r="I224" t="s">
        <v>3399</v>
      </c>
      <c r="J224" t="s">
        <v>2991</v>
      </c>
      <c r="K224" t="s">
        <v>3199</v>
      </c>
    </row>
    <row r="225" spans="1:11" x14ac:dyDescent="0.2">
      <c r="A225" t="s">
        <v>1434</v>
      </c>
      <c r="B225" t="s">
        <v>617</v>
      </c>
      <c r="C225" t="s">
        <v>3495</v>
      </c>
      <c r="D225" t="s">
        <v>1438</v>
      </c>
      <c r="E225" t="s">
        <v>1438</v>
      </c>
      <c r="F225" t="s">
        <v>1334</v>
      </c>
      <c r="G225" t="s">
        <v>3197</v>
      </c>
      <c r="H225" t="s">
        <v>3198</v>
      </c>
      <c r="I225" t="s">
        <v>3039</v>
      </c>
      <c r="J225" t="s">
        <v>3039</v>
      </c>
      <c r="K225" t="s">
        <v>3199</v>
      </c>
    </row>
    <row r="226" spans="1:11" x14ac:dyDescent="0.2">
      <c r="A226" t="s">
        <v>1446</v>
      </c>
      <c r="B226" t="s">
        <v>1447</v>
      </c>
      <c r="C226" t="s">
        <v>3496</v>
      </c>
      <c r="D226" t="s">
        <v>1438</v>
      </c>
      <c r="E226" t="s">
        <v>1438</v>
      </c>
      <c r="F226" t="s">
        <v>1334</v>
      </c>
      <c r="G226" t="s">
        <v>3197</v>
      </c>
      <c r="H226" t="s">
        <v>3198</v>
      </c>
      <c r="I226" t="s">
        <v>3039</v>
      </c>
      <c r="J226" t="s">
        <v>3039</v>
      </c>
      <c r="K226" t="s">
        <v>3199</v>
      </c>
    </row>
    <row r="227" spans="1:11" x14ac:dyDescent="0.2">
      <c r="A227" t="s">
        <v>1448</v>
      </c>
      <c r="B227" t="s">
        <v>1449</v>
      </c>
      <c r="C227" t="s">
        <v>3497</v>
      </c>
      <c r="D227" t="s">
        <v>1451</v>
      </c>
      <c r="E227" t="s">
        <v>1451</v>
      </c>
      <c r="F227" t="s">
        <v>1334</v>
      </c>
      <c r="G227" t="s">
        <v>3197</v>
      </c>
      <c r="H227" t="s">
        <v>3198</v>
      </c>
      <c r="I227" t="s">
        <v>3039</v>
      </c>
      <c r="J227" t="s">
        <v>3039</v>
      </c>
      <c r="K227" t="s">
        <v>3199</v>
      </c>
    </row>
    <row r="228" spans="1:11" x14ac:dyDescent="0.2">
      <c r="A228" t="s">
        <v>1448</v>
      </c>
      <c r="B228" t="s">
        <v>111</v>
      </c>
      <c r="C228" t="s">
        <v>3498</v>
      </c>
      <c r="D228" t="s">
        <v>1451</v>
      </c>
      <c r="E228" t="s">
        <v>1451</v>
      </c>
      <c r="F228" t="s">
        <v>1334</v>
      </c>
      <c r="G228" t="s">
        <v>3222</v>
      </c>
      <c r="H228" t="s">
        <v>3223</v>
      </c>
      <c r="I228" t="s">
        <v>3224</v>
      </c>
      <c r="J228" t="s">
        <v>2997</v>
      </c>
      <c r="K228" t="s">
        <v>3199</v>
      </c>
    </row>
    <row r="229" spans="1:11" x14ac:dyDescent="0.2">
      <c r="A229" t="s">
        <v>1448</v>
      </c>
      <c r="B229" t="s">
        <v>1456</v>
      </c>
      <c r="C229" t="s">
        <v>3499</v>
      </c>
      <c r="D229" t="s">
        <v>1451</v>
      </c>
      <c r="E229" t="s">
        <v>1451</v>
      </c>
      <c r="F229" t="s">
        <v>1334</v>
      </c>
      <c r="G229" t="s">
        <v>3228</v>
      </c>
      <c r="H229" t="s">
        <v>3229</v>
      </c>
      <c r="I229" t="s">
        <v>2982</v>
      </c>
      <c r="J229" t="s">
        <v>3230</v>
      </c>
      <c r="K229" t="s">
        <v>3199</v>
      </c>
    </row>
    <row r="230" spans="1:11" x14ac:dyDescent="0.2">
      <c r="A230" t="s">
        <v>1459</v>
      </c>
      <c r="B230" t="s">
        <v>1460</v>
      </c>
      <c r="C230" t="s">
        <v>3500</v>
      </c>
      <c r="D230" t="s">
        <v>1451</v>
      </c>
      <c r="E230" t="s">
        <v>1451</v>
      </c>
      <c r="F230" t="s">
        <v>1334</v>
      </c>
      <c r="G230" t="s">
        <v>3197</v>
      </c>
      <c r="H230" t="s">
        <v>3198</v>
      </c>
      <c r="I230" t="s">
        <v>3039</v>
      </c>
      <c r="J230" t="s">
        <v>3039</v>
      </c>
      <c r="K230" t="s">
        <v>3199</v>
      </c>
    </row>
    <row r="231" spans="1:11" x14ac:dyDescent="0.2">
      <c r="A231" t="s">
        <v>1461</v>
      </c>
      <c r="B231" t="s">
        <v>1462</v>
      </c>
      <c r="C231" t="s">
        <v>3501</v>
      </c>
      <c r="D231" t="s">
        <v>1465</v>
      </c>
      <c r="E231" t="s">
        <v>1465</v>
      </c>
      <c r="F231" t="s">
        <v>1334</v>
      </c>
      <c r="G231" t="s">
        <v>3197</v>
      </c>
      <c r="H231" t="s">
        <v>3198</v>
      </c>
      <c r="I231" t="s">
        <v>3039</v>
      </c>
      <c r="J231" t="s">
        <v>3039</v>
      </c>
      <c r="K231" t="s">
        <v>3199</v>
      </c>
    </row>
    <row r="232" spans="1:11" x14ac:dyDescent="0.2">
      <c r="A232" t="s">
        <v>1461</v>
      </c>
      <c r="B232" t="s">
        <v>1468</v>
      </c>
      <c r="C232" t="s">
        <v>3502</v>
      </c>
      <c r="D232" t="s">
        <v>1465</v>
      </c>
      <c r="E232" t="s">
        <v>1465</v>
      </c>
      <c r="F232" t="s">
        <v>1334</v>
      </c>
      <c r="G232" t="s">
        <v>3234</v>
      </c>
      <c r="H232" t="s">
        <v>3222</v>
      </c>
      <c r="I232" t="s">
        <v>2986</v>
      </c>
      <c r="J232" t="s">
        <v>3235</v>
      </c>
      <c r="K232" t="s">
        <v>3199</v>
      </c>
    </row>
    <row r="233" spans="1:11" x14ac:dyDescent="0.2">
      <c r="A233" t="s">
        <v>1471</v>
      </c>
      <c r="B233" t="s">
        <v>1472</v>
      </c>
      <c r="C233" t="s">
        <v>3503</v>
      </c>
      <c r="D233" t="s">
        <v>145</v>
      </c>
      <c r="E233" t="s">
        <v>145</v>
      </c>
      <c r="F233" t="s">
        <v>1334</v>
      </c>
      <c r="G233" t="s">
        <v>3249</v>
      </c>
      <c r="H233" t="s">
        <v>3250</v>
      </c>
      <c r="I233" t="s">
        <v>3251</v>
      </c>
      <c r="J233" t="s">
        <v>265</v>
      </c>
      <c r="K233" t="s">
        <v>3199</v>
      </c>
    </row>
    <row r="234" spans="1:11" x14ac:dyDescent="0.2">
      <c r="A234" t="s">
        <v>1479</v>
      </c>
      <c r="B234" t="s">
        <v>1480</v>
      </c>
      <c r="C234" t="s">
        <v>3504</v>
      </c>
      <c r="D234" t="s">
        <v>1236</v>
      </c>
      <c r="E234" t="s">
        <v>1236</v>
      </c>
      <c r="F234" t="s">
        <v>1334</v>
      </c>
      <c r="G234" t="s">
        <v>3197</v>
      </c>
      <c r="H234" t="s">
        <v>3198</v>
      </c>
      <c r="I234" t="s">
        <v>3039</v>
      </c>
      <c r="J234" t="s">
        <v>3039</v>
      </c>
      <c r="K234" t="s">
        <v>3199</v>
      </c>
    </row>
    <row r="235" spans="1:11" x14ac:dyDescent="0.2">
      <c r="A235" t="s">
        <v>1479</v>
      </c>
      <c r="B235" t="s">
        <v>232</v>
      </c>
      <c r="C235" t="s">
        <v>3505</v>
      </c>
      <c r="D235" t="s">
        <v>1236</v>
      </c>
      <c r="E235" t="s">
        <v>1236</v>
      </c>
      <c r="F235" t="s">
        <v>1334</v>
      </c>
      <c r="G235" t="s">
        <v>3234</v>
      </c>
      <c r="H235" t="s">
        <v>3222</v>
      </c>
      <c r="I235" t="s">
        <v>2986</v>
      </c>
      <c r="J235" t="s">
        <v>3235</v>
      </c>
      <c r="K235" t="s">
        <v>3199</v>
      </c>
    </row>
    <row r="236" spans="1:11" x14ac:dyDescent="0.2">
      <c r="A236" t="s">
        <v>1485</v>
      </c>
      <c r="B236" t="s">
        <v>1486</v>
      </c>
      <c r="C236" t="s">
        <v>3506</v>
      </c>
      <c r="D236" t="s">
        <v>389</v>
      </c>
      <c r="E236" t="s">
        <v>389</v>
      </c>
      <c r="F236" t="s">
        <v>1334</v>
      </c>
      <c r="G236" t="s">
        <v>3197</v>
      </c>
      <c r="H236" t="s">
        <v>3198</v>
      </c>
      <c r="I236" t="s">
        <v>3039</v>
      </c>
      <c r="J236" t="s">
        <v>3039</v>
      </c>
      <c r="K236" t="s">
        <v>3199</v>
      </c>
    </row>
    <row r="237" spans="1:11" x14ac:dyDescent="0.2">
      <c r="A237" t="s">
        <v>1487</v>
      </c>
      <c r="B237" t="s">
        <v>1267</v>
      </c>
      <c r="C237" t="s">
        <v>3507</v>
      </c>
      <c r="D237" t="s">
        <v>1489</v>
      </c>
      <c r="E237" t="s">
        <v>1489</v>
      </c>
      <c r="F237" t="s">
        <v>1334</v>
      </c>
      <c r="G237" t="s">
        <v>3197</v>
      </c>
      <c r="H237" t="s">
        <v>3198</v>
      </c>
      <c r="I237" t="s">
        <v>3039</v>
      </c>
      <c r="J237" t="s">
        <v>3039</v>
      </c>
      <c r="K237" t="s">
        <v>3199</v>
      </c>
    </row>
    <row r="238" spans="1:11" x14ac:dyDescent="0.2">
      <c r="A238" t="s">
        <v>1487</v>
      </c>
      <c r="B238" t="s">
        <v>1492</v>
      </c>
      <c r="C238" t="s">
        <v>3508</v>
      </c>
      <c r="D238" t="s">
        <v>1489</v>
      </c>
      <c r="E238" t="s">
        <v>1489</v>
      </c>
      <c r="F238" t="s">
        <v>1334</v>
      </c>
      <c r="G238" t="s">
        <v>3284</v>
      </c>
      <c r="H238" t="s">
        <v>3285</v>
      </c>
      <c r="I238" t="s">
        <v>2984</v>
      </c>
      <c r="J238" t="s">
        <v>3286</v>
      </c>
      <c r="K238" t="s">
        <v>3199</v>
      </c>
    </row>
    <row r="239" spans="1:11" x14ac:dyDescent="0.2">
      <c r="A239" t="s">
        <v>1487</v>
      </c>
      <c r="B239" t="s">
        <v>1497</v>
      </c>
      <c r="C239" t="s">
        <v>3509</v>
      </c>
      <c r="D239" t="s">
        <v>1489</v>
      </c>
      <c r="E239" t="s">
        <v>1489</v>
      </c>
      <c r="F239" t="s">
        <v>1334</v>
      </c>
      <c r="G239" t="s">
        <v>3284</v>
      </c>
      <c r="H239" t="s">
        <v>3285</v>
      </c>
      <c r="I239" t="s">
        <v>2984</v>
      </c>
      <c r="J239" t="s">
        <v>3286</v>
      </c>
      <c r="K239" t="s">
        <v>3199</v>
      </c>
    </row>
    <row r="240" spans="1:11" x14ac:dyDescent="0.2">
      <c r="A240" t="s">
        <v>1501</v>
      </c>
      <c r="B240" t="s">
        <v>1502</v>
      </c>
      <c r="C240" t="s">
        <v>3510</v>
      </c>
      <c r="D240" t="s">
        <v>1489</v>
      </c>
      <c r="E240" t="s">
        <v>1489</v>
      </c>
      <c r="F240" t="s">
        <v>1334</v>
      </c>
      <c r="G240" t="s">
        <v>3197</v>
      </c>
      <c r="H240" t="s">
        <v>3198</v>
      </c>
      <c r="I240" t="s">
        <v>3039</v>
      </c>
      <c r="J240" t="s">
        <v>3039</v>
      </c>
      <c r="K240" t="s">
        <v>3199</v>
      </c>
    </row>
    <row r="241" spans="1:11" x14ac:dyDescent="0.2">
      <c r="A241" t="s">
        <v>1504</v>
      </c>
      <c r="B241" t="s">
        <v>1505</v>
      </c>
      <c r="C241" t="s">
        <v>3511</v>
      </c>
      <c r="D241" t="s">
        <v>1509</v>
      </c>
      <c r="E241" t="s">
        <v>1509</v>
      </c>
      <c r="F241" t="s">
        <v>1334</v>
      </c>
      <c r="G241" t="s">
        <v>3222</v>
      </c>
      <c r="H241" t="s">
        <v>3223</v>
      </c>
      <c r="I241" t="s">
        <v>3224</v>
      </c>
      <c r="J241" t="s">
        <v>2997</v>
      </c>
      <c r="K241" t="s">
        <v>3199</v>
      </c>
    </row>
    <row r="242" spans="1:11" x14ac:dyDescent="0.2">
      <c r="A242" t="s">
        <v>1504</v>
      </c>
      <c r="B242" t="s">
        <v>1513</v>
      </c>
      <c r="C242" t="s">
        <v>3512</v>
      </c>
      <c r="D242" t="s">
        <v>1509</v>
      </c>
      <c r="E242" t="s">
        <v>1509</v>
      </c>
      <c r="F242" t="s">
        <v>1334</v>
      </c>
      <c r="G242" t="s">
        <v>3197</v>
      </c>
      <c r="H242" t="s">
        <v>3198</v>
      </c>
      <c r="I242" t="s">
        <v>3039</v>
      </c>
      <c r="J242" t="s">
        <v>3039</v>
      </c>
      <c r="K242" t="s">
        <v>3199</v>
      </c>
    </row>
    <row r="243" spans="1:11" x14ac:dyDescent="0.2">
      <c r="A243" t="s">
        <v>1504</v>
      </c>
      <c r="B243" t="s">
        <v>1514</v>
      </c>
      <c r="C243" t="s">
        <v>3513</v>
      </c>
      <c r="D243" t="s">
        <v>1509</v>
      </c>
      <c r="E243" t="s">
        <v>1509</v>
      </c>
      <c r="F243" t="s">
        <v>1334</v>
      </c>
      <c r="G243" t="s">
        <v>3197</v>
      </c>
      <c r="H243" t="s">
        <v>3198</v>
      </c>
      <c r="I243" t="s">
        <v>3039</v>
      </c>
      <c r="J243" t="s">
        <v>3039</v>
      </c>
      <c r="K243" t="s">
        <v>3199</v>
      </c>
    </row>
    <row r="244" spans="1:11" x14ac:dyDescent="0.2">
      <c r="A244" t="s">
        <v>1516</v>
      </c>
      <c r="B244" t="s">
        <v>1517</v>
      </c>
      <c r="C244" t="s">
        <v>3514</v>
      </c>
      <c r="D244" t="s">
        <v>1187</v>
      </c>
      <c r="E244" t="s">
        <v>1187</v>
      </c>
      <c r="F244" t="s">
        <v>1334</v>
      </c>
      <c r="G244" t="s">
        <v>3197</v>
      </c>
      <c r="H244" t="s">
        <v>3198</v>
      </c>
      <c r="I244" t="s">
        <v>3039</v>
      </c>
      <c r="J244" t="s">
        <v>3039</v>
      </c>
      <c r="K244" t="s">
        <v>3199</v>
      </c>
    </row>
    <row r="245" spans="1:11" x14ac:dyDescent="0.2">
      <c r="A245" t="s">
        <v>1518</v>
      </c>
      <c r="B245" t="s">
        <v>697</v>
      </c>
      <c r="C245" t="s">
        <v>3515</v>
      </c>
      <c r="D245" t="s">
        <v>1344</v>
      </c>
      <c r="E245" t="s">
        <v>1344</v>
      </c>
      <c r="F245" t="s">
        <v>1334</v>
      </c>
      <c r="G245" t="s">
        <v>3197</v>
      </c>
      <c r="H245" t="s">
        <v>3198</v>
      </c>
      <c r="I245" t="s">
        <v>3039</v>
      </c>
      <c r="J245" t="s">
        <v>3039</v>
      </c>
      <c r="K245" t="s">
        <v>3199</v>
      </c>
    </row>
    <row r="246" spans="1:11" x14ac:dyDescent="0.2">
      <c r="A246" t="s">
        <v>1519</v>
      </c>
      <c r="B246" t="s">
        <v>1520</v>
      </c>
      <c r="C246" t="s">
        <v>3516</v>
      </c>
      <c r="D246" t="s">
        <v>145</v>
      </c>
      <c r="E246" t="s">
        <v>145</v>
      </c>
      <c r="F246" t="s">
        <v>1334</v>
      </c>
      <c r="G246" t="s">
        <v>3212</v>
      </c>
      <c r="H246" t="s">
        <v>3213</v>
      </c>
      <c r="I246" t="s">
        <v>3214</v>
      </c>
      <c r="J246" t="s">
        <v>3215</v>
      </c>
      <c r="K246" t="s">
        <v>3199</v>
      </c>
    </row>
    <row r="247" spans="1:11" x14ac:dyDescent="0.2">
      <c r="A247" t="s">
        <v>1529</v>
      </c>
      <c r="B247" t="s">
        <v>1530</v>
      </c>
      <c r="C247" t="s">
        <v>3517</v>
      </c>
      <c r="D247" t="s">
        <v>1533</v>
      </c>
      <c r="E247" t="s">
        <v>1533</v>
      </c>
      <c r="F247" t="s">
        <v>1334</v>
      </c>
      <c r="G247" t="s">
        <v>3197</v>
      </c>
      <c r="H247" t="s">
        <v>3198</v>
      </c>
      <c r="I247" t="s">
        <v>3039</v>
      </c>
      <c r="J247" t="s">
        <v>3039</v>
      </c>
      <c r="K247" t="s">
        <v>3199</v>
      </c>
    </row>
    <row r="248" spans="1:11" x14ac:dyDescent="0.2">
      <c r="A248" t="s">
        <v>1536</v>
      </c>
      <c r="B248" t="s">
        <v>1537</v>
      </c>
      <c r="C248" t="s">
        <v>3518</v>
      </c>
      <c r="D248" t="s">
        <v>145</v>
      </c>
      <c r="E248" t="s">
        <v>145</v>
      </c>
      <c r="F248" t="s">
        <v>1334</v>
      </c>
      <c r="G248" t="s">
        <v>3212</v>
      </c>
      <c r="H248" t="s">
        <v>3213</v>
      </c>
      <c r="I248" t="s">
        <v>3214</v>
      </c>
      <c r="J248" t="s">
        <v>3215</v>
      </c>
      <c r="K248" t="s">
        <v>3199</v>
      </c>
    </row>
    <row r="249" spans="1:11" x14ac:dyDescent="0.2">
      <c r="A249" t="s">
        <v>1544</v>
      </c>
      <c r="B249" t="s">
        <v>1545</v>
      </c>
      <c r="C249" t="s">
        <v>3519</v>
      </c>
      <c r="D249" t="s">
        <v>1549</v>
      </c>
      <c r="E249" t="s">
        <v>1549</v>
      </c>
      <c r="F249" t="s">
        <v>1334</v>
      </c>
      <c r="G249" t="s">
        <v>3197</v>
      </c>
      <c r="H249" t="s">
        <v>3198</v>
      </c>
      <c r="I249" t="s">
        <v>3039</v>
      </c>
      <c r="J249" t="s">
        <v>3039</v>
      </c>
      <c r="K249" t="s">
        <v>3199</v>
      </c>
    </row>
    <row r="250" spans="1:11" x14ac:dyDescent="0.2">
      <c r="A250" t="s">
        <v>1550</v>
      </c>
      <c r="B250" t="s">
        <v>3520</v>
      </c>
      <c r="C250" t="s">
        <v>3521</v>
      </c>
      <c r="D250" t="s">
        <v>145</v>
      </c>
      <c r="E250" t="s">
        <v>145</v>
      </c>
      <c r="F250" t="s">
        <v>1334</v>
      </c>
      <c r="G250" t="s">
        <v>3212</v>
      </c>
      <c r="H250" t="s">
        <v>3213</v>
      </c>
      <c r="I250" t="s">
        <v>3214</v>
      </c>
      <c r="J250" t="s">
        <v>3215</v>
      </c>
      <c r="K250" t="s">
        <v>3199</v>
      </c>
    </row>
    <row r="251" spans="1:11" x14ac:dyDescent="0.2">
      <c r="A251" t="s">
        <v>1556</v>
      </c>
      <c r="B251" t="s">
        <v>800</v>
      </c>
      <c r="C251" t="s">
        <v>3522</v>
      </c>
      <c r="D251" t="s">
        <v>1558</v>
      </c>
      <c r="E251" t="s">
        <v>1558</v>
      </c>
      <c r="F251" t="s">
        <v>1334</v>
      </c>
      <c r="G251" t="s">
        <v>3197</v>
      </c>
      <c r="H251" t="s">
        <v>3198</v>
      </c>
      <c r="I251" t="s">
        <v>3039</v>
      </c>
      <c r="J251" t="s">
        <v>3039</v>
      </c>
      <c r="K251" t="s">
        <v>3199</v>
      </c>
    </row>
    <row r="252" spans="1:11" x14ac:dyDescent="0.2">
      <c r="A252" t="s">
        <v>1556</v>
      </c>
      <c r="B252" t="s">
        <v>176</v>
      </c>
      <c r="C252" t="s">
        <v>3523</v>
      </c>
      <c r="D252" t="s">
        <v>1558</v>
      </c>
      <c r="E252" t="s">
        <v>1558</v>
      </c>
      <c r="F252" t="s">
        <v>1334</v>
      </c>
      <c r="G252" t="s">
        <v>3197</v>
      </c>
      <c r="H252" t="s">
        <v>3198</v>
      </c>
      <c r="I252" t="s">
        <v>3039</v>
      </c>
      <c r="J252" t="s">
        <v>3039</v>
      </c>
      <c r="K252" t="s">
        <v>3199</v>
      </c>
    </row>
    <row r="253" spans="1:11" x14ac:dyDescent="0.2">
      <c r="A253" t="s">
        <v>1556</v>
      </c>
      <c r="B253" t="s">
        <v>1563</v>
      </c>
      <c r="C253" t="s">
        <v>3524</v>
      </c>
      <c r="D253" t="s">
        <v>1558</v>
      </c>
      <c r="E253" t="s">
        <v>1558</v>
      </c>
      <c r="F253" t="s">
        <v>1334</v>
      </c>
      <c r="G253" t="s">
        <v>3204</v>
      </c>
      <c r="H253" t="s">
        <v>3205</v>
      </c>
      <c r="I253" t="s">
        <v>3206</v>
      </c>
      <c r="J253" t="s">
        <v>2999</v>
      </c>
      <c r="K253" t="s">
        <v>3199</v>
      </c>
    </row>
    <row r="254" spans="1:11" x14ac:dyDescent="0.2">
      <c r="A254" t="s">
        <v>1556</v>
      </c>
      <c r="B254" t="s">
        <v>1178</v>
      </c>
      <c r="C254" t="s">
        <v>3525</v>
      </c>
      <c r="D254" t="s">
        <v>1558</v>
      </c>
      <c r="E254" t="s">
        <v>1558</v>
      </c>
      <c r="F254" t="s">
        <v>1334</v>
      </c>
      <c r="G254" t="s">
        <v>3217</v>
      </c>
      <c r="H254" t="s">
        <v>3204</v>
      </c>
      <c r="I254" t="s">
        <v>3218</v>
      </c>
      <c r="J254" t="s">
        <v>3008</v>
      </c>
      <c r="K254" t="s">
        <v>3199</v>
      </c>
    </row>
    <row r="255" spans="1:11" x14ac:dyDescent="0.2">
      <c r="A255" t="s">
        <v>1573</v>
      </c>
      <c r="B255" t="s">
        <v>1574</v>
      </c>
      <c r="C255" t="s">
        <v>3526</v>
      </c>
      <c r="D255" t="s">
        <v>1577</v>
      </c>
      <c r="E255" t="s">
        <v>1577</v>
      </c>
      <c r="F255" t="s">
        <v>1334</v>
      </c>
      <c r="G255" t="s">
        <v>3197</v>
      </c>
      <c r="H255" t="s">
        <v>3198</v>
      </c>
      <c r="I255" t="s">
        <v>3039</v>
      </c>
      <c r="J255" t="s">
        <v>3039</v>
      </c>
      <c r="K255" t="s">
        <v>3199</v>
      </c>
    </row>
    <row r="256" spans="1:11" x14ac:dyDescent="0.2">
      <c r="A256" t="s">
        <v>1579</v>
      </c>
      <c r="B256" t="s">
        <v>414</v>
      </c>
      <c r="C256" t="s">
        <v>3527</v>
      </c>
      <c r="D256" t="s">
        <v>1582</v>
      </c>
      <c r="E256" t="s">
        <v>1582</v>
      </c>
      <c r="F256" t="s">
        <v>1334</v>
      </c>
      <c r="G256" t="s">
        <v>3197</v>
      </c>
      <c r="H256" t="s">
        <v>3198</v>
      </c>
      <c r="I256" t="s">
        <v>3039</v>
      </c>
      <c r="J256" t="s">
        <v>3039</v>
      </c>
      <c r="K256" t="s">
        <v>3199</v>
      </c>
    </row>
    <row r="257" spans="1:11" x14ac:dyDescent="0.2">
      <c r="A257" t="s">
        <v>3528</v>
      </c>
      <c r="B257" t="s">
        <v>1585</v>
      </c>
      <c r="C257" t="s">
        <v>3529</v>
      </c>
      <c r="D257" t="s">
        <v>1588</v>
      </c>
      <c r="E257" t="s">
        <v>1588</v>
      </c>
      <c r="F257" t="s">
        <v>1334</v>
      </c>
      <c r="G257" t="s">
        <v>3197</v>
      </c>
      <c r="H257" t="s">
        <v>3198</v>
      </c>
      <c r="I257" t="s">
        <v>3039</v>
      </c>
      <c r="J257" t="s">
        <v>3039</v>
      </c>
      <c r="K257" t="s">
        <v>3199</v>
      </c>
    </row>
    <row r="258" spans="1:11" x14ac:dyDescent="0.2">
      <c r="A258" t="s">
        <v>1589</v>
      </c>
      <c r="B258" t="s">
        <v>1590</v>
      </c>
      <c r="C258" t="s">
        <v>3530</v>
      </c>
      <c r="D258" t="s">
        <v>1592</v>
      </c>
      <c r="E258" t="s">
        <v>1592</v>
      </c>
      <c r="F258" t="s">
        <v>1334</v>
      </c>
      <c r="G258" t="s">
        <v>3217</v>
      </c>
      <c r="H258" t="s">
        <v>3204</v>
      </c>
      <c r="I258" t="s">
        <v>3218</v>
      </c>
      <c r="J258" t="s">
        <v>3008</v>
      </c>
      <c r="K258" t="s">
        <v>3199</v>
      </c>
    </row>
    <row r="259" spans="1:11" x14ac:dyDescent="0.2">
      <c r="A259" t="s">
        <v>1589</v>
      </c>
      <c r="B259" t="s">
        <v>1598</v>
      </c>
      <c r="C259" t="s">
        <v>3531</v>
      </c>
      <c r="D259" t="s">
        <v>1592</v>
      </c>
      <c r="E259" t="s">
        <v>1592</v>
      </c>
      <c r="F259" t="s">
        <v>1334</v>
      </c>
      <c r="G259" t="s">
        <v>3204</v>
      </c>
      <c r="H259" t="s">
        <v>3205</v>
      </c>
      <c r="I259" t="s">
        <v>3206</v>
      </c>
      <c r="J259" t="s">
        <v>2999</v>
      </c>
      <c r="K259" t="s">
        <v>3199</v>
      </c>
    </row>
    <row r="260" spans="1:11" x14ac:dyDescent="0.2">
      <c r="A260" t="s">
        <v>1589</v>
      </c>
      <c r="B260" t="s">
        <v>617</v>
      </c>
      <c r="C260" t="s">
        <v>3532</v>
      </c>
      <c r="D260" t="s">
        <v>1592</v>
      </c>
      <c r="E260" t="s">
        <v>1592</v>
      </c>
      <c r="F260" t="s">
        <v>1334</v>
      </c>
      <c r="G260" t="s">
        <v>3197</v>
      </c>
      <c r="H260" t="s">
        <v>3198</v>
      </c>
      <c r="I260" t="s">
        <v>3039</v>
      </c>
      <c r="J260" t="s">
        <v>3039</v>
      </c>
      <c r="K260" t="s">
        <v>3199</v>
      </c>
    </row>
    <row r="261" spans="1:11" x14ac:dyDescent="0.2">
      <c r="A261" t="s">
        <v>1604</v>
      </c>
      <c r="B261" t="s">
        <v>1605</v>
      </c>
      <c r="C261" t="s">
        <v>3533</v>
      </c>
      <c r="D261" t="s">
        <v>1412</v>
      </c>
      <c r="E261" t="s">
        <v>1412</v>
      </c>
      <c r="F261" t="s">
        <v>1334</v>
      </c>
      <c r="G261" t="s">
        <v>3197</v>
      </c>
      <c r="H261" t="s">
        <v>3198</v>
      </c>
      <c r="I261" t="s">
        <v>3039</v>
      </c>
      <c r="J261" t="s">
        <v>3039</v>
      </c>
      <c r="K261" t="s">
        <v>3199</v>
      </c>
    </row>
    <row r="262" spans="1:11" x14ac:dyDescent="0.2">
      <c r="A262" t="s">
        <v>1606</v>
      </c>
      <c r="B262" t="s">
        <v>1607</v>
      </c>
      <c r="C262" t="s">
        <v>3534</v>
      </c>
      <c r="D262" t="s">
        <v>706</v>
      </c>
      <c r="E262" t="s">
        <v>706</v>
      </c>
      <c r="F262" t="s">
        <v>1334</v>
      </c>
      <c r="G262" t="s">
        <v>3197</v>
      </c>
      <c r="H262" t="s">
        <v>3198</v>
      </c>
      <c r="I262" t="s">
        <v>3039</v>
      </c>
      <c r="J262" t="s">
        <v>3039</v>
      </c>
      <c r="K262" t="s">
        <v>3199</v>
      </c>
    </row>
    <row r="263" spans="1:11" x14ac:dyDescent="0.2">
      <c r="A263" t="s">
        <v>1609</v>
      </c>
      <c r="B263" t="s">
        <v>1610</v>
      </c>
      <c r="C263" t="s">
        <v>3535</v>
      </c>
      <c r="D263" t="s">
        <v>1613</v>
      </c>
      <c r="E263" t="s">
        <v>1613</v>
      </c>
      <c r="F263" t="s">
        <v>1334</v>
      </c>
      <c r="G263" t="s">
        <v>3229</v>
      </c>
      <c r="H263" t="s">
        <v>3238</v>
      </c>
      <c r="I263" t="s">
        <v>25</v>
      </c>
      <c r="J263" t="s">
        <v>2993</v>
      </c>
      <c r="K263" t="s">
        <v>3199</v>
      </c>
    </row>
    <row r="264" spans="1:11" x14ac:dyDescent="0.2">
      <c r="A264" t="s">
        <v>1609</v>
      </c>
      <c r="B264" t="s">
        <v>1618</v>
      </c>
      <c r="C264" t="s">
        <v>3536</v>
      </c>
      <c r="D264" t="s">
        <v>1613</v>
      </c>
      <c r="E264" t="s">
        <v>1613</v>
      </c>
      <c r="F264" t="s">
        <v>1334</v>
      </c>
      <c r="G264" t="s">
        <v>3222</v>
      </c>
      <c r="H264" t="s">
        <v>3223</v>
      </c>
      <c r="I264" t="s">
        <v>3224</v>
      </c>
      <c r="J264" t="s">
        <v>2997</v>
      </c>
      <c r="K264" t="s">
        <v>3199</v>
      </c>
    </row>
    <row r="265" spans="1:11" x14ac:dyDescent="0.2">
      <c r="A265" t="s">
        <v>1609</v>
      </c>
      <c r="B265" t="s">
        <v>1321</v>
      </c>
      <c r="C265" t="s">
        <v>3537</v>
      </c>
      <c r="D265" t="s">
        <v>1613</v>
      </c>
      <c r="E265" t="s">
        <v>1613</v>
      </c>
      <c r="F265" t="s">
        <v>1334</v>
      </c>
      <c r="G265" t="s">
        <v>3197</v>
      </c>
      <c r="H265" t="s">
        <v>3198</v>
      </c>
      <c r="I265" t="s">
        <v>3039</v>
      </c>
      <c r="J265" t="s">
        <v>3039</v>
      </c>
      <c r="K265" t="s">
        <v>3199</v>
      </c>
    </row>
    <row r="266" spans="1:11" x14ac:dyDescent="0.2">
      <c r="A266" t="s">
        <v>1620</v>
      </c>
      <c r="B266" t="s">
        <v>1426</v>
      </c>
      <c r="C266" t="s">
        <v>3538</v>
      </c>
      <c r="D266" t="s">
        <v>1622</v>
      </c>
      <c r="E266" t="s">
        <v>1622</v>
      </c>
      <c r="F266" t="s">
        <v>1334</v>
      </c>
      <c r="G266" t="s">
        <v>3197</v>
      </c>
      <c r="H266" t="s">
        <v>3198</v>
      </c>
      <c r="I266" t="s">
        <v>3039</v>
      </c>
      <c r="J266" t="s">
        <v>3039</v>
      </c>
      <c r="K266" t="s">
        <v>3199</v>
      </c>
    </row>
    <row r="267" spans="1:11" x14ac:dyDescent="0.2">
      <c r="A267" t="s">
        <v>1625</v>
      </c>
      <c r="B267" t="s">
        <v>1626</v>
      </c>
      <c r="C267" t="s">
        <v>3539</v>
      </c>
      <c r="D267" t="s">
        <v>145</v>
      </c>
      <c r="E267" t="s">
        <v>145</v>
      </c>
      <c r="F267" t="s">
        <v>1334</v>
      </c>
      <c r="G267" t="s">
        <v>3249</v>
      </c>
      <c r="H267" t="s">
        <v>3250</v>
      </c>
      <c r="I267" t="s">
        <v>3251</v>
      </c>
      <c r="J267" t="s">
        <v>265</v>
      </c>
      <c r="K267" t="s">
        <v>3199</v>
      </c>
    </row>
    <row r="268" spans="1:11" x14ac:dyDescent="0.2">
      <c r="A268" t="s">
        <v>1632</v>
      </c>
      <c r="B268" t="s">
        <v>1633</v>
      </c>
      <c r="C268" t="s">
        <v>3540</v>
      </c>
      <c r="D268" t="s">
        <v>1210</v>
      </c>
      <c r="E268" t="s">
        <v>1210</v>
      </c>
      <c r="F268" t="s">
        <v>1334</v>
      </c>
      <c r="G268" t="s">
        <v>3197</v>
      </c>
      <c r="H268" t="s">
        <v>3198</v>
      </c>
      <c r="I268" t="s">
        <v>3039</v>
      </c>
      <c r="J268" t="s">
        <v>3039</v>
      </c>
      <c r="K268" t="s">
        <v>3199</v>
      </c>
    </row>
    <row r="269" spans="1:11" x14ac:dyDescent="0.2">
      <c r="A269" t="s">
        <v>1632</v>
      </c>
      <c r="B269" t="s">
        <v>1636</v>
      </c>
      <c r="C269" t="s">
        <v>3541</v>
      </c>
      <c r="D269" t="s">
        <v>1210</v>
      </c>
      <c r="E269" t="s">
        <v>1210</v>
      </c>
      <c r="F269" t="s">
        <v>1334</v>
      </c>
      <c r="G269" t="s">
        <v>3222</v>
      </c>
      <c r="H269" t="s">
        <v>3223</v>
      </c>
      <c r="I269" t="s">
        <v>3224</v>
      </c>
      <c r="J269" t="s">
        <v>2997</v>
      </c>
      <c r="K269" t="s">
        <v>3199</v>
      </c>
    </row>
    <row r="270" spans="1:11" x14ac:dyDescent="0.2">
      <c r="A270" t="s">
        <v>1632</v>
      </c>
      <c r="B270" t="s">
        <v>1641</v>
      </c>
      <c r="C270" t="s">
        <v>3542</v>
      </c>
      <c r="D270" t="s">
        <v>1210</v>
      </c>
      <c r="E270" t="s">
        <v>1210</v>
      </c>
      <c r="F270" t="s">
        <v>1334</v>
      </c>
      <c r="G270" t="s">
        <v>3228</v>
      </c>
      <c r="H270" t="s">
        <v>3229</v>
      </c>
      <c r="I270" t="s">
        <v>2982</v>
      </c>
      <c r="J270" t="s">
        <v>3230</v>
      </c>
      <c r="K270" t="s">
        <v>3199</v>
      </c>
    </row>
    <row r="271" spans="1:11" x14ac:dyDescent="0.2">
      <c r="A271" t="s">
        <v>1644</v>
      </c>
      <c r="B271" t="s">
        <v>1645</v>
      </c>
      <c r="C271" t="s">
        <v>3543</v>
      </c>
      <c r="D271" t="s">
        <v>621</v>
      </c>
      <c r="E271" t="s">
        <v>621</v>
      </c>
      <c r="F271" t="s">
        <v>1334</v>
      </c>
      <c r="G271" t="s">
        <v>3197</v>
      </c>
      <c r="H271" t="s">
        <v>3198</v>
      </c>
      <c r="I271" t="s">
        <v>3039</v>
      </c>
      <c r="J271" t="s">
        <v>3039</v>
      </c>
      <c r="K271" t="s">
        <v>3199</v>
      </c>
    </row>
    <row r="272" spans="1:11" x14ac:dyDescent="0.2">
      <c r="A272" t="s">
        <v>1646</v>
      </c>
      <c r="B272" t="s">
        <v>3544</v>
      </c>
      <c r="C272" t="s">
        <v>1334</v>
      </c>
      <c r="D272" t="s">
        <v>1334</v>
      </c>
      <c r="E272" t="s">
        <v>1649</v>
      </c>
      <c r="F272" t="s">
        <v>3448</v>
      </c>
      <c r="G272" t="s">
        <v>3197</v>
      </c>
      <c r="H272" t="s">
        <v>3198</v>
      </c>
      <c r="I272" t="s">
        <v>3039</v>
      </c>
      <c r="J272" t="s">
        <v>3039</v>
      </c>
      <c r="K272" t="s">
        <v>3199</v>
      </c>
    </row>
    <row r="273" spans="1:11" x14ac:dyDescent="0.2">
      <c r="A273" t="s">
        <v>1646</v>
      </c>
      <c r="B273" t="s">
        <v>1651</v>
      </c>
      <c r="C273" t="s">
        <v>1334</v>
      </c>
      <c r="D273" t="s">
        <v>1334</v>
      </c>
      <c r="E273" t="s">
        <v>1649</v>
      </c>
      <c r="F273" t="s">
        <v>3448</v>
      </c>
      <c r="G273" t="s">
        <v>3284</v>
      </c>
      <c r="H273" t="s">
        <v>3285</v>
      </c>
      <c r="I273" t="s">
        <v>2984</v>
      </c>
      <c r="J273" t="s">
        <v>3286</v>
      </c>
      <c r="K273" t="s">
        <v>3199</v>
      </c>
    </row>
    <row r="274" spans="1:11" x14ac:dyDescent="0.2">
      <c r="A274" t="s">
        <v>1655</v>
      </c>
      <c r="B274" t="s">
        <v>1656</v>
      </c>
      <c r="C274" t="s">
        <v>3545</v>
      </c>
      <c r="D274" t="s">
        <v>1658</v>
      </c>
      <c r="E274" t="s">
        <v>1658</v>
      </c>
      <c r="F274" t="s">
        <v>1334</v>
      </c>
      <c r="G274" t="s">
        <v>3197</v>
      </c>
      <c r="H274" t="s">
        <v>3198</v>
      </c>
      <c r="I274" t="s">
        <v>3039</v>
      </c>
      <c r="J274" t="s">
        <v>3039</v>
      </c>
      <c r="K274" t="s">
        <v>3199</v>
      </c>
    </row>
    <row r="275" spans="1:11" x14ac:dyDescent="0.2">
      <c r="A275" t="s">
        <v>1659</v>
      </c>
      <c r="B275" t="s">
        <v>1660</v>
      </c>
      <c r="C275" t="s">
        <v>3546</v>
      </c>
      <c r="D275" t="s">
        <v>886</v>
      </c>
      <c r="E275" t="s">
        <v>886</v>
      </c>
      <c r="F275" t="s">
        <v>1334</v>
      </c>
      <c r="G275" t="s">
        <v>3197</v>
      </c>
      <c r="H275" t="s">
        <v>3198</v>
      </c>
      <c r="I275" t="s">
        <v>3039</v>
      </c>
      <c r="J275" t="s">
        <v>3039</v>
      </c>
      <c r="K275" t="s">
        <v>3199</v>
      </c>
    </row>
    <row r="276" spans="1:11" x14ac:dyDescent="0.2">
      <c r="A276" t="s">
        <v>1662</v>
      </c>
      <c r="B276" t="s">
        <v>602</v>
      </c>
      <c r="C276" t="s">
        <v>3547</v>
      </c>
      <c r="D276" t="s">
        <v>1309</v>
      </c>
      <c r="E276" t="s">
        <v>1309</v>
      </c>
      <c r="F276" t="s">
        <v>1334</v>
      </c>
      <c r="G276" t="s">
        <v>3330</v>
      </c>
      <c r="H276" t="s">
        <v>3249</v>
      </c>
      <c r="I276" t="s">
        <v>2974</v>
      </c>
      <c r="J276" t="s">
        <v>3331</v>
      </c>
      <c r="K276" t="s">
        <v>3199</v>
      </c>
    </row>
    <row r="277" spans="1:11" x14ac:dyDescent="0.2">
      <c r="A277" t="s">
        <v>1669</v>
      </c>
      <c r="B277" t="s">
        <v>1670</v>
      </c>
      <c r="C277" t="s">
        <v>3548</v>
      </c>
      <c r="D277" t="s">
        <v>1085</v>
      </c>
      <c r="E277" t="s">
        <v>1085</v>
      </c>
      <c r="F277" t="s">
        <v>1334</v>
      </c>
      <c r="G277" t="s">
        <v>3197</v>
      </c>
      <c r="H277" t="s">
        <v>3198</v>
      </c>
      <c r="I277" t="s">
        <v>3039</v>
      </c>
      <c r="J277" t="s">
        <v>3039</v>
      </c>
      <c r="K277" t="s">
        <v>3199</v>
      </c>
    </row>
    <row r="278" spans="1:11" x14ac:dyDescent="0.2">
      <c r="A278" t="s">
        <v>1672</v>
      </c>
      <c r="B278" t="s">
        <v>1673</v>
      </c>
      <c r="C278" t="s">
        <v>3549</v>
      </c>
      <c r="D278" t="s">
        <v>145</v>
      </c>
      <c r="E278" t="s">
        <v>145</v>
      </c>
      <c r="F278" t="s">
        <v>1334</v>
      </c>
      <c r="G278" t="s">
        <v>3296</v>
      </c>
      <c r="H278" t="s">
        <v>3297</v>
      </c>
      <c r="I278" t="s">
        <v>46</v>
      </c>
      <c r="J278" t="s">
        <v>3023</v>
      </c>
      <c r="K278" t="s">
        <v>3199</v>
      </c>
    </row>
    <row r="279" spans="1:11" x14ac:dyDescent="0.2">
      <c r="A279" t="s">
        <v>1672</v>
      </c>
      <c r="B279" t="s">
        <v>1682</v>
      </c>
      <c r="C279" t="s">
        <v>3550</v>
      </c>
      <c r="D279" t="s">
        <v>145</v>
      </c>
      <c r="E279" t="s">
        <v>145</v>
      </c>
      <c r="F279" t="s">
        <v>1334</v>
      </c>
      <c r="G279" t="s">
        <v>3384</v>
      </c>
      <c r="H279" t="s">
        <v>3385</v>
      </c>
      <c r="I279" t="s">
        <v>3033</v>
      </c>
      <c r="J279" t="s">
        <v>3033</v>
      </c>
      <c r="K279" t="s">
        <v>3199</v>
      </c>
    </row>
    <row r="280" spans="1:11" x14ac:dyDescent="0.2">
      <c r="A280" t="s">
        <v>1672</v>
      </c>
      <c r="B280" t="s">
        <v>1687</v>
      </c>
      <c r="C280" t="s">
        <v>3551</v>
      </c>
      <c r="D280" t="s">
        <v>1279</v>
      </c>
      <c r="E280" t="s">
        <v>1279</v>
      </c>
      <c r="F280" t="s">
        <v>1334</v>
      </c>
      <c r="G280" t="s">
        <v>3288</v>
      </c>
      <c r="H280" t="s">
        <v>3289</v>
      </c>
      <c r="I280" t="s">
        <v>3290</v>
      </c>
      <c r="J280" t="s">
        <v>3291</v>
      </c>
      <c r="K280" t="s">
        <v>3199</v>
      </c>
    </row>
    <row r="281" spans="1:11" x14ac:dyDescent="0.2">
      <c r="A281" t="s">
        <v>1672</v>
      </c>
      <c r="B281" t="s">
        <v>1698</v>
      </c>
      <c r="C281" t="s">
        <v>3552</v>
      </c>
      <c r="D281" t="s">
        <v>1279</v>
      </c>
      <c r="E281" t="s">
        <v>1279</v>
      </c>
      <c r="F281" t="s">
        <v>1334</v>
      </c>
      <c r="G281" t="s">
        <v>3284</v>
      </c>
      <c r="H281" t="s">
        <v>3285</v>
      </c>
      <c r="I281" t="s">
        <v>2984</v>
      </c>
      <c r="J281" t="s">
        <v>3286</v>
      </c>
      <c r="K281" t="s">
        <v>3199</v>
      </c>
    </row>
    <row r="282" spans="1:11" x14ac:dyDescent="0.2">
      <c r="A282" t="s">
        <v>1672</v>
      </c>
      <c r="B282" t="s">
        <v>1703</v>
      </c>
      <c r="C282" t="s">
        <v>3553</v>
      </c>
      <c r="D282" t="s">
        <v>236</v>
      </c>
      <c r="E282" t="s">
        <v>236</v>
      </c>
      <c r="F282" t="s">
        <v>1334</v>
      </c>
      <c r="G282" t="s">
        <v>3242</v>
      </c>
      <c r="H282" t="s">
        <v>3243</v>
      </c>
      <c r="I282" t="s">
        <v>3244</v>
      </c>
      <c r="J282" t="s">
        <v>3055</v>
      </c>
      <c r="K282" t="s">
        <v>3199</v>
      </c>
    </row>
    <row r="283" spans="1:11" x14ac:dyDescent="0.2">
      <c r="A283" t="s">
        <v>1672</v>
      </c>
      <c r="B283" t="s">
        <v>232</v>
      </c>
      <c r="C283" t="s">
        <v>3554</v>
      </c>
      <c r="D283" t="s">
        <v>236</v>
      </c>
      <c r="E283" t="s">
        <v>236</v>
      </c>
      <c r="F283" t="s">
        <v>1334</v>
      </c>
      <c r="G283" t="s">
        <v>3242</v>
      </c>
      <c r="H283" t="s">
        <v>3243</v>
      </c>
      <c r="I283" t="s">
        <v>3244</v>
      </c>
      <c r="J283" t="s">
        <v>3055</v>
      </c>
      <c r="K283" t="s">
        <v>3199</v>
      </c>
    </row>
    <row r="284" spans="1:11" x14ac:dyDescent="0.2">
      <c r="A284" t="s">
        <v>1672</v>
      </c>
      <c r="B284" t="s">
        <v>1715</v>
      </c>
      <c r="C284" t="s">
        <v>3555</v>
      </c>
      <c r="D284" t="s">
        <v>145</v>
      </c>
      <c r="E284" t="s">
        <v>145</v>
      </c>
      <c r="F284" t="s">
        <v>1334</v>
      </c>
      <c r="G284" t="s">
        <v>3296</v>
      </c>
      <c r="H284" t="s">
        <v>3297</v>
      </c>
      <c r="I284" t="s">
        <v>46</v>
      </c>
      <c r="J284" t="s">
        <v>3023</v>
      </c>
      <c r="K284" t="s">
        <v>3199</v>
      </c>
    </row>
    <row r="285" spans="1:11" x14ac:dyDescent="0.2">
      <c r="A285" t="s">
        <v>1722</v>
      </c>
      <c r="B285" t="s">
        <v>1723</v>
      </c>
      <c r="C285" t="s">
        <v>3556</v>
      </c>
      <c r="D285" t="s">
        <v>1725</v>
      </c>
      <c r="E285" t="s">
        <v>1725</v>
      </c>
      <c r="F285" t="s">
        <v>1334</v>
      </c>
      <c r="G285" t="s">
        <v>3288</v>
      </c>
      <c r="H285" t="s">
        <v>3289</v>
      </c>
      <c r="I285" t="s">
        <v>3290</v>
      </c>
      <c r="J285" t="s">
        <v>3291</v>
      </c>
      <c r="K285" t="s">
        <v>3199</v>
      </c>
    </row>
    <row r="286" spans="1:11" x14ac:dyDescent="0.2">
      <c r="A286" t="s">
        <v>1722</v>
      </c>
      <c r="B286" t="s">
        <v>1729</v>
      </c>
      <c r="C286" t="s">
        <v>3557</v>
      </c>
      <c r="D286" t="s">
        <v>1725</v>
      </c>
      <c r="E286" t="s">
        <v>1725</v>
      </c>
      <c r="F286" t="s">
        <v>1334</v>
      </c>
      <c r="G286" t="s">
        <v>3217</v>
      </c>
      <c r="H286" t="s">
        <v>3204</v>
      </c>
      <c r="I286" t="s">
        <v>3218</v>
      </c>
      <c r="J286" t="s">
        <v>3008</v>
      </c>
      <c r="K286" t="s">
        <v>3199</v>
      </c>
    </row>
    <row r="287" spans="1:11" x14ac:dyDescent="0.2">
      <c r="A287" t="s">
        <v>1722</v>
      </c>
      <c r="B287" t="s">
        <v>1051</v>
      </c>
      <c r="C287" t="s">
        <v>3558</v>
      </c>
      <c r="D287" t="s">
        <v>145</v>
      </c>
      <c r="E287" t="s">
        <v>145</v>
      </c>
      <c r="F287" t="s">
        <v>1334</v>
      </c>
      <c r="G287" t="s">
        <v>3212</v>
      </c>
      <c r="H287" t="s">
        <v>3213</v>
      </c>
      <c r="I287" t="s">
        <v>3214</v>
      </c>
      <c r="J287" t="s">
        <v>3215</v>
      </c>
      <c r="K287" t="s">
        <v>3199</v>
      </c>
    </row>
    <row r="288" spans="1:11" x14ac:dyDescent="0.2">
      <c r="A288" t="s">
        <v>1740</v>
      </c>
      <c r="B288" t="s">
        <v>697</v>
      </c>
      <c r="C288" t="s">
        <v>3559</v>
      </c>
      <c r="D288" t="s">
        <v>358</v>
      </c>
      <c r="E288" t="s">
        <v>358</v>
      </c>
      <c r="F288" t="s">
        <v>1334</v>
      </c>
      <c r="G288" t="s">
        <v>3197</v>
      </c>
      <c r="H288" t="s">
        <v>3198</v>
      </c>
      <c r="I288" t="s">
        <v>3039</v>
      </c>
      <c r="J288" t="s">
        <v>3039</v>
      </c>
      <c r="K288" t="s">
        <v>3199</v>
      </c>
    </row>
    <row r="289" spans="1:11" x14ac:dyDescent="0.2">
      <c r="A289" t="s">
        <v>1741</v>
      </c>
      <c r="B289" t="s">
        <v>1742</v>
      </c>
      <c r="C289" t="s">
        <v>1334</v>
      </c>
      <c r="D289" t="s">
        <v>1334</v>
      </c>
      <c r="E289" t="s">
        <v>145</v>
      </c>
      <c r="F289" t="s">
        <v>3448</v>
      </c>
      <c r="G289" t="s">
        <v>3212</v>
      </c>
      <c r="H289" t="s">
        <v>3213</v>
      </c>
      <c r="I289" t="s">
        <v>3214</v>
      </c>
      <c r="J289" t="s">
        <v>3215</v>
      </c>
      <c r="K289" t="s">
        <v>3199</v>
      </c>
    </row>
    <row r="290" spans="1:11" x14ac:dyDescent="0.2">
      <c r="A290" t="s">
        <v>1747</v>
      </c>
      <c r="B290" t="s">
        <v>1748</v>
      </c>
      <c r="C290" t="s">
        <v>3560</v>
      </c>
      <c r="D290" t="s">
        <v>1751</v>
      </c>
      <c r="E290" t="s">
        <v>1751</v>
      </c>
      <c r="F290" t="s">
        <v>1334</v>
      </c>
      <c r="G290" t="s">
        <v>3284</v>
      </c>
      <c r="H290" t="s">
        <v>3285</v>
      </c>
      <c r="I290" t="s">
        <v>2984</v>
      </c>
      <c r="J290" t="s">
        <v>3286</v>
      </c>
      <c r="K290" t="s">
        <v>3199</v>
      </c>
    </row>
    <row r="291" spans="1:11" x14ac:dyDescent="0.2">
      <c r="A291" t="s">
        <v>1747</v>
      </c>
      <c r="B291" t="s">
        <v>1755</v>
      </c>
      <c r="C291" t="s">
        <v>3561</v>
      </c>
      <c r="D291" t="s">
        <v>1751</v>
      </c>
      <c r="E291" t="s">
        <v>1751</v>
      </c>
      <c r="F291" t="s">
        <v>1334</v>
      </c>
      <c r="G291" t="s">
        <v>3197</v>
      </c>
      <c r="H291" t="s">
        <v>3198</v>
      </c>
      <c r="I291" t="s">
        <v>3039</v>
      </c>
      <c r="J291" t="s">
        <v>3039</v>
      </c>
      <c r="K291" t="s">
        <v>3199</v>
      </c>
    </row>
    <row r="292" spans="1:11" x14ac:dyDescent="0.2">
      <c r="A292" t="s">
        <v>1757</v>
      </c>
      <c r="B292" t="s">
        <v>1758</v>
      </c>
      <c r="C292" t="s">
        <v>3562</v>
      </c>
      <c r="D292" t="s">
        <v>1751</v>
      </c>
      <c r="E292" t="s">
        <v>1751</v>
      </c>
      <c r="F292" t="s">
        <v>1334</v>
      </c>
      <c r="G292" t="s">
        <v>3197</v>
      </c>
      <c r="H292" t="s">
        <v>3198</v>
      </c>
      <c r="I292" t="s">
        <v>3039</v>
      </c>
      <c r="J292" t="s">
        <v>3039</v>
      </c>
      <c r="K292" t="s">
        <v>3199</v>
      </c>
    </row>
    <row r="293" spans="1:11" x14ac:dyDescent="0.2">
      <c r="A293" t="s">
        <v>1759</v>
      </c>
      <c r="B293" t="s">
        <v>3563</v>
      </c>
      <c r="C293" t="s">
        <v>3564</v>
      </c>
      <c r="D293" t="s">
        <v>145</v>
      </c>
      <c r="E293" t="s">
        <v>145</v>
      </c>
      <c r="F293" t="s">
        <v>1334</v>
      </c>
      <c r="G293" t="s">
        <v>3212</v>
      </c>
      <c r="H293" t="s">
        <v>3213</v>
      </c>
      <c r="I293" t="s">
        <v>3214</v>
      </c>
      <c r="J293" t="s">
        <v>3215</v>
      </c>
      <c r="K293" t="s">
        <v>3199</v>
      </c>
    </row>
    <row r="294" spans="1:11" x14ac:dyDescent="0.2">
      <c r="A294" t="s">
        <v>1759</v>
      </c>
      <c r="B294" t="s">
        <v>656</v>
      </c>
      <c r="C294" t="s">
        <v>3565</v>
      </c>
      <c r="D294" t="s">
        <v>145</v>
      </c>
      <c r="E294" t="s">
        <v>145</v>
      </c>
      <c r="F294" t="s">
        <v>1334</v>
      </c>
      <c r="G294" t="s">
        <v>3212</v>
      </c>
      <c r="H294" t="s">
        <v>3213</v>
      </c>
      <c r="I294" t="s">
        <v>3214</v>
      </c>
      <c r="J294" t="s">
        <v>3215</v>
      </c>
      <c r="K294" t="s">
        <v>3199</v>
      </c>
    </row>
    <row r="295" spans="1:11" x14ac:dyDescent="0.2">
      <c r="A295" t="s">
        <v>1773</v>
      </c>
      <c r="B295" t="s">
        <v>1428</v>
      </c>
      <c r="C295" t="s">
        <v>3566</v>
      </c>
      <c r="D295" t="s">
        <v>236</v>
      </c>
      <c r="E295" t="s">
        <v>236</v>
      </c>
      <c r="F295" t="s">
        <v>1334</v>
      </c>
      <c r="G295" t="s">
        <v>3242</v>
      </c>
      <c r="H295" t="s">
        <v>3243</v>
      </c>
      <c r="I295" t="s">
        <v>3244</v>
      </c>
      <c r="J295" t="s">
        <v>3055</v>
      </c>
      <c r="K295" t="s">
        <v>3199</v>
      </c>
    </row>
    <row r="296" spans="1:11" x14ac:dyDescent="0.2">
      <c r="A296" t="s">
        <v>1780</v>
      </c>
      <c r="B296" t="s">
        <v>1781</v>
      </c>
      <c r="C296" t="s">
        <v>3567</v>
      </c>
      <c r="D296" t="s">
        <v>1784</v>
      </c>
      <c r="E296" t="s">
        <v>1784</v>
      </c>
      <c r="F296" t="s">
        <v>1334</v>
      </c>
      <c r="G296" t="s">
        <v>3284</v>
      </c>
      <c r="H296" t="s">
        <v>3285</v>
      </c>
      <c r="I296" t="s">
        <v>2984</v>
      </c>
      <c r="J296" t="s">
        <v>3286</v>
      </c>
      <c r="K296" t="s">
        <v>3199</v>
      </c>
    </row>
    <row r="297" spans="1:11" x14ac:dyDescent="0.2">
      <c r="A297" t="s">
        <v>1780</v>
      </c>
      <c r="B297" t="s">
        <v>644</v>
      </c>
      <c r="C297" t="s">
        <v>3568</v>
      </c>
      <c r="D297" t="s">
        <v>1784</v>
      </c>
      <c r="E297" t="s">
        <v>1784</v>
      </c>
      <c r="F297" t="s">
        <v>1334</v>
      </c>
      <c r="G297" t="s">
        <v>3197</v>
      </c>
      <c r="H297" t="s">
        <v>3198</v>
      </c>
      <c r="I297" t="s">
        <v>3039</v>
      </c>
      <c r="J297" t="s">
        <v>3039</v>
      </c>
      <c r="K297" t="s">
        <v>3199</v>
      </c>
    </row>
    <row r="298" spans="1:11" x14ac:dyDescent="0.2">
      <c r="A298" t="s">
        <v>1791</v>
      </c>
      <c r="B298" t="s">
        <v>1792</v>
      </c>
      <c r="C298" t="s">
        <v>3569</v>
      </c>
      <c r="D298" t="s">
        <v>1794</v>
      </c>
      <c r="E298" t="s">
        <v>1794</v>
      </c>
      <c r="F298" t="s">
        <v>1334</v>
      </c>
      <c r="G298" t="s">
        <v>3229</v>
      </c>
      <c r="H298" t="s">
        <v>3238</v>
      </c>
      <c r="I298" t="s">
        <v>25</v>
      </c>
      <c r="J298" t="s">
        <v>2993</v>
      </c>
      <c r="K298" t="s">
        <v>3199</v>
      </c>
    </row>
    <row r="299" spans="1:11" x14ac:dyDescent="0.2">
      <c r="A299" t="s">
        <v>1791</v>
      </c>
      <c r="B299" t="s">
        <v>602</v>
      </c>
      <c r="C299" t="s">
        <v>3570</v>
      </c>
      <c r="D299" t="s">
        <v>1794</v>
      </c>
      <c r="E299" t="s">
        <v>1794</v>
      </c>
      <c r="F299" t="s">
        <v>1334</v>
      </c>
      <c r="G299" t="s">
        <v>3197</v>
      </c>
      <c r="H299" t="s">
        <v>3198</v>
      </c>
      <c r="I299" t="s">
        <v>3039</v>
      </c>
      <c r="J299" t="s">
        <v>3039</v>
      </c>
      <c r="K299" t="s">
        <v>3199</v>
      </c>
    </row>
    <row r="300" spans="1:11" x14ac:dyDescent="0.2">
      <c r="A300" t="s">
        <v>1800</v>
      </c>
      <c r="B300" t="s">
        <v>1801</v>
      </c>
      <c r="C300" t="s">
        <v>3571</v>
      </c>
      <c r="D300" t="s">
        <v>1045</v>
      </c>
      <c r="E300" t="s">
        <v>1045</v>
      </c>
      <c r="F300" t="s">
        <v>1334</v>
      </c>
      <c r="G300" t="s">
        <v>3197</v>
      </c>
      <c r="H300" t="s">
        <v>3198</v>
      </c>
      <c r="I300" t="s">
        <v>3039</v>
      </c>
      <c r="J300" t="s">
        <v>3039</v>
      </c>
      <c r="K300" t="s">
        <v>3199</v>
      </c>
    </row>
    <row r="301" spans="1:11" x14ac:dyDescent="0.2">
      <c r="A301" t="s">
        <v>3572</v>
      </c>
      <c r="B301" t="s">
        <v>1803</v>
      </c>
      <c r="C301" t="s">
        <v>3573</v>
      </c>
      <c r="D301" t="s">
        <v>1806</v>
      </c>
      <c r="E301" t="s">
        <v>1806</v>
      </c>
      <c r="F301" t="s">
        <v>1334</v>
      </c>
      <c r="G301" t="s">
        <v>3197</v>
      </c>
      <c r="H301" t="s">
        <v>3198</v>
      </c>
      <c r="I301" t="s">
        <v>3039</v>
      </c>
      <c r="J301" t="s">
        <v>3039</v>
      </c>
      <c r="K301" t="s">
        <v>3199</v>
      </c>
    </row>
    <row r="302" spans="1:11" x14ac:dyDescent="0.2">
      <c r="A302" t="s">
        <v>1809</v>
      </c>
      <c r="B302" t="s">
        <v>1239</v>
      </c>
      <c r="C302" t="s">
        <v>3574</v>
      </c>
      <c r="D302" t="s">
        <v>1806</v>
      </c>
      <c r="E302" t="s">
        <v>1806</v>
      </c>
      <c r="F302" t="s">
        <v>1334</v>
      </c>
      <c r="G302" t="s">
        <v>3284</v>
      </c>
      <c r="H302" t="s">
        <v>3285</v>
      </c>
      <c r="I302" t="s">
        <v>2984</v>
      </c>
      <c r="J302" t="s">
        <v>3286</v>
      </c>
      <c r="K302" t="s">
        <v>3199</v>
      </c>
    </row>
    <row r="303" spans="1:11" x14ac:dyDescent="0.2">
      <c r="A303" t="s">
        <v>1813</v>
      </c>
      <c r="B303" t="s">
        <v>1814</v>
      </c>
      <c r="C303" t="s">
        <v>3575</v>
      </c>
      <c r="D303" t="s">
        <v>1816</v>
      </c>
      <c r="E303" t="s">
        <v>1816</v>
      </c>
      <c r="F303" t="s">
        <v>1334</v>
      </c>
      <c r="G303" t="s">
        <v>3197</v>
      </c>
      <c r="H303" t="s">
        <v>3198</v>
      </c>
      <c r="I303" t="s">
        <v>3039</v>
      </c>
      <c r="J303" t="s">
        <v>3039</v>
      </c>
      <c r="K303" t="s">
        <v>3199</v>
      </c>
    </row>
    <row r="304" spans="1:11" x14ac:dyDescent="0.2">
      <c r="A304" t="s">
        <v>1818</v>
      </c>
      <c r="B304" t="s">
        <v>1819</v>
      </c>
      <c r="C304" t="s">
        <v>3576</v>
      </c>
      <c r="D304" t="s">
        <v>1784</v>
      </c>
      <c r="E304" t="s">
        <v>1784</v>
      </c>
      <c r="F304" t="s">
        <v>1334</v>
      </c>
      <c r="G304" t="s">
        <v>3197</v>
      </c>
      <c r="H304" t="s">
        <v>3198</v>
      </c>
      <c r="I304" t="s">
        <v>3039</v>
      </c>
      <c r="J304" t="s">
        <v>3039</v>
      </c>
      <c r="K304" t="s">
        <v>3199</v>
      </c>
    </row>
    <row r="305" spans="1:11" x14ac:dyDescent="0.2">
      <c r="A305" t="s">
        <v>1821</v>
      </c>
      <c r="B305" t="s">
        <v>1822</v>
      </c>
      <c r="C305" t="s">
        <v>3577</v>
      </c>
      <c r="D305" t="s">
        <v>145</v>
      </c>
      <c r="E305" t="s">
        <v>145</v>
      </c>
      <c r="F305" t="s">
        <v>1334</v>
      </c>
      <c r="G305" t="s">
        <v>3249</v>
      </c>
      <c r="H305" t="s">
        <v>3250</v>
      </c>
      <c r="I305" t="s">
        <v>3251</v>
      </c>
      <c r="J305" t="s">
        <v>265</v>
      </c>
      <c r="K305" t="s">
        <v>3199</v>
      </c>
    </row>
    <row r="306" spans="1:11" x14ac:dyDescent="0.2">
      <c r="A306" t="s">
        <v>1831</v>
      </c>
      <c r="B306" t="s">
        <v>1832</v>
      </c>
      <c r="C306" t="s">
        <v>3578</v>
      </c>
      <c r="D306" t="s">
        <v>1834</v>
      </c>
      <c r="E306" t="s">
        <v>1834</v>
      </c>
      <c r="F306" t="s">
        <v>1334</v>
      </c>
      <c r="G306" t="s">
        <v>3213</v>
      </c>
      <c r="H306" t="s">
        <v>3339</v>
      </c>
      <c r="I306" t="s">
        <v>3340</v>
      </c>
      <c r="J306" t="s">
        <v>3341</v>
      </c>
      <c r="K306" t="s">
        <v>3199</v>
      </c>
    </row>
    <row r="307" spans="1:11" x14ac:dyDescent="0.2">
      <c r="A307" t="s">
        <v>1840</v>
      </c>
      <c r="B307" t="s">
        <v>1841</v>
      </c>
      <c r="C307" t="s">
        <v>3579</v>
      </c>
      <c r="D307" t="s">
        <v>1549</v>
      </c>
      <c r="E307" t="s">
        <v>1549</v>
      </c>
      <c r="F307" t="s">
        <v>1334</v>
      </c>
      <c r="G307" t="s">
        <v>3217</v>
      </c>
      <c r="H307" t="s">
        <v>3204</v>
      </c>
      <c r="I307" t="s">
        <v>3218</v>
      </c>
      <c r="J307" t="s">
        <v>3008</v>
      </c>
      <c r="K307" t="s">
        <v>3199</v>
      </c>
    </row>
    <row r="308" spans="1:11" x14ac:dyDescent="0.2">
      <c r="A308" t="s">
        <v>1840</v>
      </c>
      <c r="B308" t="s">
        <v>1845</v>
      </c>
      <c r="C308" t="s">
        <v>3580</v>
      </c>
      <c r="D308" t="s">
        <v>1549</v>
      </c>
      <c r="E308" t="s">
        <v>1549</v>
      </c>
      <c r="F308" t="s">
        <v>1334</v>
      </c>
      <c r="G308" t="s">
        <v>3197</v>
      </c>
      <c r="H308" t="s">
        <v>3198</v>
      </c>
      <c r="I308" t="s">
        <v>3039</v>
      </c>
      <c r="J308" t="s">
        <v>3039</v>
      </c>
      <c r="K308" t="s">
        <v>3199</v>
      </c>
    </row>
    <row r="309" spans="1:11" x14ac:dyDescent="0.2">
      <c r="A309" t="s">
        <v>1846</v>
      </c>
      <c r="B309" t="s">
        <v>1847</v>
      </c>
      <c r="C309" t="s">
        <v>3581</v>
      </c>
      <c r="D309" t="s">
        <v>959</v>
      </c>
      <c r="E309" t="s">
        <v>959</v>
      </c>
      <c r="F309" t="s">
        <v>1334</v>
      </c>
      <c r="G309" t="s">
        <v>3197</v>
      </c>
      <c r="H309" t="s">
        <v>3198</v>
      </c>
      <c r="I309" t="s">
        <v>3039</v>
      </c>
      <c r="J309" t="s">
        <v>3039</v>
      </c>
      <c r="K309" t="s">
        <v>3199</v>
      </c>
    </row>
    <row r="310" spans="1:11" x14ac:dyDescent="0.2">
      <c r="A310" t="s">
        <v>1846</v>
      </c>
      <c r="B310" t="s">
        <v>1206</v>
      </c>
      <c r="C310" t="s">
        <v>3582</v>
      </c>
      <c r="D310" t="s">
        <v>959</v>
      </c>
      <c r="E310" t="s">
        <v>959</v>
      </c>
      <c r="F310" t="s">
        <v>1334</v>
      </c>
      <c r="G310" t="s">
        <v>3204</v>
      </c>
      <c r="H310" t="s">
        <v>3205</v>
      </c>
      <c r="I310" t="s">
        <v>3206</v>
      </c>
      <c r="J310" t="s">
        <v>2999</v>
      </c>
      <c r="K310" t="s">
        <v>3199</v>
      </c>
    </row>
    <row r="311" spans="1:11" x14ac:dyDescent="0.2">
      <c r="A311" t="s">
        <v>1854</v>
      </c>
      <c r="B311" t="s">
        <v>333</v>
      </c>
      <c r="C311" t="s">
        <v>3583</v>
      </c>
      <c r="D311" t="s">
        <v>1856</v>
      </c>
      <c r="E311" t="s">
        <v>1856</v>
      </c>
      <c r="F311" t="s">
        <v>1334</v>
      </c>
      <c r="G311" t="s">
        <v>3197</v>
      </c>
      <c r="H311" t="s">
        <v>3198</v>
      </c>
      <c r="I311" t="s">
        <v>3039</v>
      </c>
      <c r="J311" t="s">
        <v>3039</v>
      </c>
      <c r="K311" t="s">
        <v>3199</v>
      </c>
    </row>
    <row r="312" spans="1:11" x14ac:dyDescent="0.2">
      <c r="A312" t="s">
        <v>1857</v>
      </c>
      <c r="B312" t="s">
        <v>1858</v>
      </c>
      <c r="C312" t="s">
        <v>3584</v>
      </c>
      <c r="D312" t="s">
        <v>1860</v>
      </c>
      <c r="E312" t="s">
        <v>1860</v>
      </c>
      <c r="F312" t="s">
        <v>1334</v>
      </c>
      <c r="G312" t="s">
        <v>3197</v>
      </c>
      <c r="H312" t="s">
        <v>3198</v>
      </c>
      <c r="I312" t="s">
        <v>3039</v>
      </c>
      <c r="J312" t="s">
        <v>3039</v>
      </c>
      <c r="K312" t="s">
        <v>3199</v>
      </c>
    </row>
    <row r="313" spans="1:11" x14ac:dyDescent="0.2">
      <c r="A313" t="s">
        <v>3585</v>
      </c>
      <c r="B313" t="s">
        <v>1865</v>
      </c>
      <c r="C313" t="s">
        <v>3586</v>
      </c>
      <c r="D313" t="s">
        <v>127</v>
      </c>
      <c r="E313" t="s">
        <v>127</v>
      </c>
      <c r="F313" t="s">
        <v>1334</v>
      </c>
      <c r="G313" t="s">
        <v>3197</v>
      </c>
      <c r="H313" t="s">
        <v>3198</v>
      </c>
      <c r="I313" t="s">
        <v>3039</v>
      </c>
      <c r="J313" t="s">
        <v>3039</v>
      </c>
      <c r="K313" t="s">
        <v>3199</v>
      </c>
    </row>
    <row r="314" spans="1:11" x14ac:dyDescent="0.2">
      <c r="A314" t="s">
        <v>1867</v>
      </c>
      <c r="B314" t="s">
        <v>1868</v>
      </c>
      <c r="C314" t="s">
        <v>3587</v>
      </c>
      <c r="D314" t="s">
        <v>127</v>
      </c>
      <c r="E314" t="s">
        <v>127</v>
      </c>
      <c r="F314" t="s">
        <v>1334</v>
      </c>
      <c r="G314" t="s">
        <v>3228</v>
      </c>
      <c r="H314" t="s">
        <v>3229</v>
      </c>
      <c r="I314" t="s">
        <v>2982</v>
      </c>
      <c r="J314" t="s">
        <v>3230</v>
      </c>
      <c r="K314" t="s">
        <v>3199</v>
      </c>
    </row>
    <row r="315" spans="1:11" x14ac:dyDescent="0.2">
      <c r="A315" t="s">
        <v>1874</v>
      </c>
      <c r="B315" t="s">
        <v>1875</v>
      </c>
      <c r="C315" t="s">
        <v>3588</v>
      </c>
      <c r="D315" t="s">
        <v>1877</v>
      </c>
      <c r="E315" t="s">
        <v>1877</v>
      </c>
      <c r="F315" t="s">
        <v>1334</v>
      </c>
      <c r="G315" t="s">
        <v>3268</v>
      </c>
      <c r="H315" t="s">
        <v>3269</v>
      </c>
      <c r="I315" t="s">
        <v>2978</v>
      </c>
      <c r="J315" t="s">
        <v>3270</v>
      </c>
      <c r="K315" t="s">
        <v>3199</v>
      </c>
    </row>
    <row r="316" spans="1:11" x14ac:dyDescent="0.2">
      <c r="A316" t="s">
        <v>1874</v>
      </c>
      <c r="B316" t="s">
        <v>1119</v>
      </c>
      <c r="C316" t="s">
        <v>3589</v>
      </c>
      <c r="D316" t="s">
        <v>1877</v>
      </c>
      <c r="E316" t="s">
        <v>1877</v>
      </c>
      <c r="F316" t="s">
        <v>1334</v>
      </c>
      <c r="G316" t="s">
        <v>3228</v>
      </c>
      <c r="H316" t="s">
        <v>3229</v>
      </c>
      <c r="I316" t="s">
        <v>2982</v>
      </c>
      <c r="J316" t="s">
        <v>3230</v>
      </c>
      <c r="K316" t="s">
        <v>3199</v>
      </c>
    </row>
    <row r="317" spans="1:11" x14ac:dyDescent="0.2">
      <c r="A317" t="s">
        <v>1874</v>
      </c>
      <c r="B317" t="s">
        <v>1886</v>
      </c>
      <c r="C317" t="s">
        <v>3590</v>
      </c>
      <c r="D317" t="s">
        <v>1877</v>
      </c>
      <c r="E317" t="s">
        <v>1877</v>
      </c>
      <c r="F317" t="s">
        <v>1334</v>
      </c>
      <c r="G317" t="s">
        <v>3197</v>
      </c>
      <c r="H317" t="s">
        <v>3198</v>
      </c>
      <c r="I317" t="s">
        <v>3039</v>
      </c>
      <c r="J317" t="s">
        <v>3039</v>
      </c>
      <c r="K317" t="s">
        <v>3199</v>
      </c>
    </row>
    <row r="318" spans="1:11" x14ac:dyDescent="0.2">
      <c r="A318" t="s">
        <v>1888</v>
      </c>
      <c r="B318" t="s">
        <v>1889</v>
      </c>
      <c r="C318" t="s">
        <v>3591</v>
      </c>
      <c r="D318" t="s">
        <v>145</v>
      </c>
      <c r="E318" t="s">
        <v>145</v>
      </c>
      <c r="F318" t="s">
        <v>1334</v>
      </c>
      <c r="G318" t="s">
        <v>3212</v>
      </c>
      <c r="H318" t="s">
        <v>3213</v>
      </c>
      <c r="I318" t="s">
        <v>3214</v>
      </c>
      <c r="J318" t="s">
        <v>3215</v>
      </c>
      <c r="K318" t="s">
        <v>3199</v>
      </c>
    </row>
    <row r="319" spans="1:11" x14ac:dyDescent="0.2">
      <c r="A319" t="s">
        <v>1897</v>
      </c>
      <c r="B319" t="s">
        <v>1898</v>
      </c>
      <c r="C319" t="s">
        <v>3592</v>
      </c>
      <c r="D319" t="s">
        <v>236</v>
      </c>
      <c r="E319" t="s">
        <v>236</v>
      </c>
      <c r="F319" t="s">
        <v>1334</v>
      </c>
      <c r="G319" t="s">
        <v>3242</v>
      </c>
      <c r="H319" t="s">
        <v>3243</v>
      </c>
      <c r="I319" t="s">
        <v>3244</v>
      </c>
      <c r="J319" t="s">
        <v>3055</v>
      </c>
      <c r="K319" t="s">
        <v>3199</v>
      </c>
    </row>
    <row r="320" spans="1:11" x14ac:dyDescent="0.2">
      <c r="A320" t="s">
        <v>1897</v>
      </c>
      <c r="B320" t="s">
        <v>1905</v>
      </c>
      <c r="C320" t="s">
        <v>3593</v>
      </c>
      <c r="D320" t="s">
        <v>1907</v>
      </c>
      <c r="E320" t="s">
        <v>1907</v>
      </c>
      <c r="F320" t="s">
        <v>1334</v>
      </c>
      <c r="G320" t="s">
        <v>3197</v>
      </c>
      <c r="H320" t="s">
        <v>3198</v>
      </c>
      <c r="I320" t="s">
        <v>3039</v>
      </c>
      <c r="J320" t="s">
        <v>3039</v>
      </c>
      <c r="K320" t="s">
        <v>3199</v>
      </c>
    </row>
    <row r="321" spans="1:11" x14ac:dyDescent="0.2">
      <c r="A321" t="s">
        <v>1897</v>
      </c>
      <c r="B321" t="s">
        <v>1909</v>
      </c>
      <c r="C321" t="s">
        <v>3594</v>
      </c>
      <c r="D321" t="s">
        <v>770</v>
      </c>
      <c r="E321" t="s">
        <v>770</v>
      </c>
      <c r="F321" t="s">
        <v>1334</v>
      </c>
      <c r="G321" t="s">
        <v>3197</v>
      </c>
      <c r="H321" t="s">
        <v>3198</v>
      </c>
      <c r="I321" t="s">
        <v>3039</v>
      </c>
      <c r="J321" t="s">
        <v>3039</v>
      </c>
      <c r="K321" t="s">
        <v>3199</v>
      </c>
    </row>
    <row r="322" spans="1:11" x14ac:dyDescent="0.2">
      <c r="A322" t="s">
        <v>1897</v>
      </c>
      <c r="B322" t="s">
        <v>1910</v>
      </c>
      <c r="C322" t="s">
        <v>3595</v>
      </c>
      <c r="D322" t="s">
        <v>236</v>
      </c>
      <c r="E322" t="s">
        <v>236</v>
      </c>
      <c r="F322" t="s">
        <v>1334</v>
      </c>
      <c r="G322" t="s">
        <v>3242</v>
      </c>
      <c r="H322" t="s">
        <v>3243</v>
      </c>
      <c r="I322" t="s">
        <v>3244</v>
      </c>
      <c r="J322" t="s">
        <v>3055</v>
      </c>
      <c r="K322" t="s">
        <v>3199</v>
      </c>
    </row>
    <row r="323" spans="1:11" x14ac:dyDescent="0.2">
      <c r="A323" t="s">
        <v>1897</v>
      </c>
      <c r="B323" t="s">
        <v>1641</v>
      </c>
      <c r="C323" t="s">
        <v>3596</v>
      </c>
      <c r="D323" t="s">
        <v>1907</v>
      </c>
      <c r="E323" t="s">
        <v>1907</v>
      </c>
      <c r="F323" t="s">
        <v>1334</v>
      </c>
      <c r="G323" t="s">
        <v>3217</v>
      </c>
      <c r="H323" t="s">
        <v>3204</v>
      </c>
      <c r="I323" t="s">
        <v>3218</v>
      </c>
      <c r="J323" t="s">
        <v>3008</v>
      </c>
      <c r="K323" t="s">
        <v>3199</v>
      </c>
    </row>
    <row r="324" spans="1:11" x14ac:dyDescent="0.2">
      <c r="A324" t="s">
        <v>1917</v>
      </c>
      <c r="B324" t="s">
        <v>1918</v>
      </c>
      <c r="C324" t="s">
        <v>3597</v>
      </c>
      <c r="D324" t="s">
        <v>858</v>
      </c>
      <c r="E324" t="s">
        <v>858</v>
      </c>
      <c r="F324" t="s">
        <v>1334</v>
      </c>
      <c r="G324" t="s">
        <v>3217</v>
      </c>
      <c r="H324" t="s">
        <v>3204</v>
      </c>
      <c r="I324" t="s">
        <v>3218</v>
      </c>
      <c r="J324" t="s">
        <v>3008</v>
      </c>
      <c r="K324" t="s">
        <v>3199</v>
      </c>
    </row>
    <row r="325" spans="1:11" x14ac:dyDescent="0.2">
      <c r="A325" t="s">
        <v>1917</v>
      </c>
      <c r="B325" t="s">
        <v>1924</v>
      </c>
      <c r="C325" t="s">
        <v>3598</v>
      </c>
      <c r="D325" t="s">
        <v>858</v>
      </c>
      <c r="E325" t="s">
        <v>858</v>
      </c>
      <c r="F325" t="s">
        <v>1334</v>
      </c>
      <c r="G325" t="s">
        <v>3197</v>
      </c>
      <c r="H325" t="s">
        <v>3198</v>
      </c>
      <c r="I325" t="s">
        <v>3039</v>
      </c>
      <c r="J325" t="s">
        <v>3039</v>
      </c>
      <c r="K325" t="s">
        <v>3199</v>
      </c>
    </row>
    <row r="326" spans="1:11" x14ac:dyDescent="0.2">
      <c r="A326" t="s">
        <v>1917</v>
      </c>
      <c r="B326" t="s">
        <v>1909</v>
      </c>
      <c r="C326" t="s">
        <v>3599</v>
      </c>
      <c r="D326" t="s">
        <v>145</v>
      </c>
      <c r="E326" t="s">
        <v>145</v>
      </c>
      <c r="F326" t="s">
        <v>1334</v>
      </c>
      <c r="G326" t="s">
        <v>3288</v>
      </c>
      <c r="H326" t="s">
        <v>3289</v>
      </c>
      <c r="I326" t="s">
        <v>3290</v>
      </c>
      <c r="J326" t="s">
        <v>3291</v>
      </c>
      <c r="K326" t="s">
        <v>3199</v>
      </c>
    </row>
    <row r="327" spans="1:11" x14ac:dyDescent="0.2">
      <c r="A327" t="s">
        <v>1935</v>
      </c>
      <c r="B327" t="s">
        <v>1936</v>
      </c>
      <c r="C327" t="s">
        <v>3449</v>
      </c>
      <c r="D327" t="s">
        <v>1223</v>
      </c>
      <c r="E327" t="s">
        <v>1937</v>
      </c>
      <c r="F327" t="s">
        <v>3448</v>
      </c>
      <c r="G327" t="s">
        <v>3222</v>
      </c>
      <c r="H327" t="s">
        <v>3223</v>
      </c>
      <c r="I327" t="s">
        <v>3224</v>
      </c>
      <c r="J327" t="s">
        <v>2997</v>
      </c>
      <c r="K327" t="s">
        <v>3199</v>
      </c>
    </row>
    <row r="328" spans="1:11" x14ac:dyDescent="0.2">
      <c r="A328" t="s">
        <v>1939</v>
      </c>
      <c r="B328" t="s">
        <v>1940</v>
      </c>
      <c r="C328" t="s">
        <v>3600</v>
      </c>
      <c r="D328" t="s">
        <v>1937</v>
      </c>
      <c r="E328" t="s">
        <v>1937</v>
      </c>
      <c r="F328" t="s">
        <v>1334</v>
      </c>
      <c r="G328" t="s">
        <v>3197</v>
      </c>
      <c r="H328" t="s">
        <v>3198</v>
      </c>
      <c r="I328" t="s">
        <v>3039</v>
      </c>
      <c r="J328" t="s">
        <v>3039</v>
      </c>
      <c r="K328" t="s">
        <v>3199</v>
      </c>
    </row>
    <row r="329" spans="1:11" x14ac:dyDescent="0.2">
      <c r="A329" t="s">
        <v>1941</v>
      </c>
      <c r="B329" t="s">
        <v>1942</v>
      </c>
      <c r="C329" t="s">
        <v>3601</v>
      </c>
      <c r="D329" t="s">
        <v>236</v>
      </c>
      <c r="E329" t="s">
        <v>236</v>
      </c>
      <c r="F329" t="s">
        <v>1334</v>
      </c>
      <c r="G329" t="s">
        <v>3242</v>
      </c>
      <c r="H329" t="s">
        <v>3243</v>
      </c>
      <c r="I329" t="s">
        <v>3244</v>
      </c>
      <c r="J329" t="s">
        <v>3055</v>
      </c>
      <c r="K329" t="s">
        <v>3199</v>
      </c>
    </row>
    <row r="330" spans="1:11" x14ac:dyDescent="0.2">
      <c r="A330" t="s">
        <v>1951</v>
      </c>
      <c r="B330" t="s">
        <v>1952</v>
      </c>
      <c r="C330" t="s">
        <v>3602</v>
      </c>
      <c r="D330" t="s">
        <v>634</v>
      </c>
      <c r="E330" t="s">
        <v>634</v>
      </c>
      <c r="F330" t="s">
        <v>1334</v>
      </c>
      <c r="G330" t="s">
        <v>3268</v>
      </c>
      <c r="H330" t="s">
        <v>3269</v>
      </c>
      <c r="I330" t="s">
        <v>2978</v>
      </c>
      <c r="J330" t="s">
        <v>3270</v>
      </c>
      <c r="K330" t="s">
        <v>3199</v>
      </c>
    </row>
    <row r="331" spans="1:11" x14ac:dyDescent="0.2">
      <c r="A331" t="s">
        <v>1951</v>
      </c>
      <c r="B331" t="s">
        <v>1957</v>
      </c>
      <c r="C331" t="s">
        <v>3603</v>
      </c>
      <c r="D331" t="s">
        <v>634</v>
      </c>
      <c r="E331" t="s">
        <v>634</v>
      </c>
      <c r="F331" t="s">
        <v>1334</v>
      </c>
      <c r="G331" t="s">
        <v>3228</v>
      </c>
      <c r="H331" t="s">
        <v>3229</v>
      </c>
      <c r="I331" t="s">
        <v>2982</v>
      </c>
      <c r="J331" t="s">
        <v>3230</v>
      </c>
      <c r="K331" t="s">
        <v>3199</v>
      </c>
    </row>
    <row r="332" spans="1:11" x14ac:dyDescent="0.2">
      <c r="A332" t="s">
        <v>1951</v>
      </c>
      <c r="B332" t="s">
        <v>1960</v>
      </c>
      <c r="C332" t="s">
        <v>3604</v>
      </c>
      <c r="D332" t="s">
        <v>634</v>
      </c>
      <c r="E332" t="s">
        <v>634</v>
      </c>
      <c r="F332" t="s">
        <v>1334</v>
      </c>
      <c r="G332" t="s">
        <v>3296</v>
      </c>
      <c r="H332" t="s">
        <v>3297</v>
      </c>
      <c r="I332" t="s">
        <v>46</v>
      </c>
      <c r="J332" t="s">
        <v>3023</v>
      </c>
      <c r="K332" t="s">
        <v>3199</v>
      </c>
    </row>
    <row r="333" spans="1:11" x14ac:dyDescent="0.2">
      <c r="A333" t="s">
        <v>1966</v>
      </c>
      <c r="B333" t="s">
        <v>602</v>
      </c>
      <c r="C333" t="s">
        <v>3605</v>
      </c>
      <c r="D333" t="s">
        <v>1834</v>
      </c>
      <c r="E333" t="s">
        <v>1834</v>
      </c>
      <c r="F333" t="s">
        <v>1334</v>
      </c>
      <c r="G333" t="s">
        <v>3228</v>
      </c>
      <c r="H333" t="s">
        <v>3229</v>
      </c>
      <c r="I333" t="s">
        <v>2982</v>
      </c>
      <c r="J333" t="s">
        <v>3230</v>
      </c>
      <c r="K333" t="s">
        <v>3199</v>
      </c>
    </row>
    <row r="334" spans="1:11" x14ac:dyDescent="0.2">
      <c r="A334" t="s">
        <v>1966</v>
      </c>
      <c r="B334" t="s">
        <v>1193</v>
      </c>
      <c r="C334" t="s">
        <v>3606</v>
      </c>
      <c r="D334" t="s">
        <v>1834</v>
      </c>
      <c r="E334" t="s">
        <v>1834</v>
      </c>
      <c r="F334" t="s">
        <v>1334</v>
      </c>
      <c r="G334" t="s">
        <v>3268</v>
      </c>
      <c r="H334" t="s">
        <v>3269</v>
      </c>
      <c r="I334" t="s">
        <v>2978</v>
      </c>
      <c r="J334" t="s">
        <v>3270</v>
      </c>
      <c r="K334" t="s">
        <v>3199</v>
      </c>
    </row>
    <row r="335" spans="1:11" x14ac:dyDescent="0.2">
      <c r="A335" t="s">
        <v>1966</v>
      </c>
      <c r="B335" t="s">
        <v>1971</v>
      </c>
      <c r="C335" t="s">
        <v>3607</v>
      </c>
      <c r="D335" t="s">
        <v>1834</v>
      </c>
      <c r="E335" t="s">
        <v>1834</v>
      </c>
      <c r="F335" t="s">
        <v>1334</v>
      </c>
      <c r="G335" t="s">
        <v>3288</v>
      </c>
      <c r="H335" t="s">
        <v>3289</v>
      </c>
      <c r="I335" t="s">
        <v>3290</v>
      </c>
      <c r="J335" t="s">
        <v>3291</v>
      </c>
      <c r="K335" t="s">
        <v>3199</v>
      </c>
    </row>
    <row r="336" spans="1:11" x14ac:dyDescent="0.2">
      <c r="A336" t="s">
        <v>1975</v>
      </c>
      <c r="B336" t="s">
        <v>1128</v>
      </c>
      <c r="C336" t="s">
        <v>3608</v>
      </c>
      <c r="D336" t="s">
        <v>1806</v>
      </c>
      <c r="E336" t="s">
        <v>1806</v>
      </c>
      <c r="F336" t="s">
        <v>1334</v>
      </c>
      <c r="G336" t="s">
        <v>3197</v>
      </c>
      <c r="H336" t="s">
        <v>3198</v>
      </c>
      <c r="I336" t="s">
        <v>3039</v>
      </c>
      <c r="J336" t="s">
        <v>3039</v>
      </c>
      <c r="K336" t="s">
        <v>3199</v>
      </c>
    </row>
    <row r="337" spans="1:11" x14ac:dyDescent="0.2">
      <c r="A337" t="s">
        <v>1977</v>
      </c>
      <c r="B337" t="s">
        <v>1585</v>
      </c>
      <c r="C337" t="s">
        <v>3609</v>
      </c>
      <c r="D337" t="s">
        <v>983</v>
      </c>
      <c r="E337" t="s">
        <v>983</v>
      </c>
      <c r="F337" t="s">
        <v>1334</v>
      </c>
      <c r="G337" t="s">
        <v>3217</v>
      </c>
      <c r="H337" t="s">
        <v>3204</v>
      </c>
      <c r="I337" t="s">
        <v>3218</v>
      </c>
      <c r="J337" t="s">
        <v>3008</v>
      </c>
      <c r="K337" t="s">
        <v>3199</v>
      </c>
    </row>
    <row r="338" spans="1:11" x14ac:dyDescent="0.2">
      <c r="A338" t="s">
        <v>1982</v>
      </c>
      <c r="B338" t="s">
        <v>1983</v>
      </c>
      <c r="C338" t="s">
        <v>3610</v>
      </c>
      <c r="D338" t="s">
        <v>983</v>
      </c>
      <c r="E338" t="s">
        <v>983</v>
      </c>
      <c r="F338" t="s">
        <v>1334</v>
      </c>
      <c r="G338" t="s">
        <v>3197</v>
      </c>
      <c r="H338" t="s">
        <v>3198</v>
      </c>
      <c r="I338" t="s">
        <v>3039</v>
      </c>
      <c r="J338" t="s">
        <v>3039</v>
      </c>
      <c r="K338" t="s">
        <v>3199</v>
      </c>
    </row>
    <row r="339" spans="1:11" x14ac:dyDescent="0.2">
      <c r="A339" t="s">
        <v>1984</v>
      </c>
      <c r="B339" t="s">
        <v>1349</v>
      </c>
      <c r="C339" t="s">
        <v>3611</v>
      </c>
      <c r="D339" t="s">
        <v>1986</v>
      </c>
      <c r="E339" t="s">
        <v>1986</v>
      </c>
      <c r="F339" t="s">
        <v>1334</v>
      </c>
      <c r="G339" t="s">
        <v>3268</v>
      </c>
      <c r="H339" t="s">
        <v>3269</v>
      </c>
      <c r="I339" t="s">
        <v>2978</v>
      </c>
      <c r="J339" t="s">
        <v>3270</v>
      </c>
      <c r="K339" t="s">
        <v>3199</v>
      </c>
    </row>
    <row r="340" spans="1:11" x14ac:dyDescent="0.2">
      <c r="A340" t="s">
        <v>1984</v>
      </c>
      <c r="B340" t="s">
        <v>1992</v>
      </c>
      <c r="C340" t="s">
        <v>3612</v>
      </c>
      <c r="D340" t="s">
        <v>1986</v>
      </c>
      <c r="E340" t="s">
        <v>1986</v>
      </c>
      <c r="F340" t="s">
        <v>1334</v>
      </c>
      <c r="G340" t="s">
        <v>3197</v>
      </c>
      <c r="H340" t="s">
        <v>3198</v>
      </c>
      <c r="I340" t="s">
        <v>3039</v>
      </c>
      <c r="J340" t="s">
        <v>3039</v>
      </c>
      <c r="K340" t="s">
        <v>3199</v>
      </c>
    </row>
    <row r="341" spans="1:11" x14ac:dyDescent="0.2">
      <c r="A341" t="s">
        <v>1993</v>
      </c>
      <c r="B341" t="s">
        <v>1994</v>
      </c>
      <c r="C341" t="s">
        <v>1334</v>
      </c>
      <c r="D341" t="s">
        <v>1334</v>
      </c>
      <c r="E341" t="s">
        <v>145</v>
      </c>
      <c r="F341" t="s">
        <v>3448</v>
      </c>
      <c r="G341" t="s">
        <v>3297</v>
      </c>
      <c r="H341" t="s">
        <v>3212</v>
      </c>
      <c r="I341" t="s">
        <v>3302</v>
      </c>
      <c r="J341" t="s">
        <v>3302</v>
      </c>
      <c r="K341" t="s">
        <v>3199</v>
      </c>
    </row>
    <row r="342" spans="1:11" x14ac:dyDescent="0.2">
      <c r="A342" t="s">
        <v>2000</v>
      </c>
      <c r="B342" t="s">
        <v>2001</v>
      </c>
      <c r="C342" t="s">
        <v>3613</v>
      </c>
      <c r="D342" t="s">
        <v>145</v>
      </c>
      <c r="E342" t="s">
        <v>145</v>
      </c>
      <c r="F342" t="s">
        <v>1334</v>
      </c>
      <c r="G342" t="s">
        <v>3212</v>
      </c>
      <c r="H342" t="s">
        <v>3213</v>
      </c>
      <c r="I342" t="s">
        <v>3214</v>
      </c>
      <c r="J342" t="s">
        <v>3215</v>
      </c>
      <c r="K342" t="s">
        <v>3199</v>
      </c>
    </row>
    <row r="343" spans="1:11" x14ac:dyDescent="0.2">
      <c r="A343" t="s">
        <v>2007</v>
      </c>
      <c r="B343" t="s">
        <v>2008</v>
      </c>
      <c r="C343" t="s">
        <v>3614</v>
      </c>
      <c r="D343" t="s">
        <v>2010</v>
      </c>
      <c r="E343" t="s">
        <v>2010</v>
      </c>
      <c r="F343" t="s">
        <v>1334</v>
      </c>
      <c r="G343" t="s">
        <v>3197</v>
      </c>
      <c r="H343" t="s">
        <v>3198</v>
      </c>
      <c r="I343" t="s">
        <v>3039</v>
      </c>
      <c r="J343" t="s">
        <v>3039</v>
      </c>
      <c r="K343" t="s">
        <v>3199</v>
      </c>
    </row>
    <row r="344" spans="1:11" x14ac:dyDescent="0.2">
      <c r="A344" t="s">
        <v>2014</v>
      </c>
      <c r="B344" t="s">
        <v>2015</v>
      </c>
      <c r="C344" t="s">
        <v>3615</v>
      </c>
      <c r="D344" t="s">
        <v>1063</v>
      </c>
      <c r="E344" t="s">
        <v>1063</v>
      </c>
      <c r="F344" t="s">
        <v>1334</v>
      </c>
      <c r="G344" t="s">
        <v>3229</v>
      </c>
      <c r="H344" t="s">
        <v>3238</v>
      </c>
      <c r="I344" t="s">
        <v>25</v>
      </c>
      <c r="J344" t="s">
        <v>2993</v>
      </c>
      <c r="K344" t="s">
        <v>3199</v>
      </c>
    </row>
    <row r="345" spans="1:11" x14ac:dyDescent="0.2">
      <c r="A345" t="s">
        <v>2014</v>
      </c>
      <c r="B345" t="s">
        <v>644</v>
      </c>
      <c r="C345" t="s">
        <v>3616</v>
      </c>
      <c r="D345" t="s">
        <v>1063</v>
      </c>
      <c r="E345" t="s">
        <v>1063</v>
      </c>
      <c r="F345" t="s">
        <v>1334</v>
      </c>
      <c r="G345" t="s">
        <v>3197</v>
      </c>
      <c r="H345" t="s">
        <v>3198</v>
      </c>
      <c r="I345" t="s">
        <v>3039</v>
      </c>
      <c r="J345" t="s">
        <v>3039</v>
      </c>
      <c r="K345" t="s">
        <v>3199</v>
      </c>
    </row>
    <row r="346" spans="1:11" x14ac:dyDescent="0.2">
      <c r="A346" t="s">
        <v>2024</v>
      </c>
      <c r="B346" t="s">
        <v>1574</v>
      </c>
      <c r="C346" t="s">
        <v>3617</v>
      </c>
      <c r="D346" t="s">
        <v>1156</v>
      </c>
      <c r="E346" t="s">
        <v>1156</v>
      </c>
      <c r="F346" t="s">
        <v>1334</v>
      </c>
      <c r="G346" t="s">
        <v>3197</v>
      </c>
      <c r="H346" t="s">
        <v>3198</v>
      </c>
      <c r="I346" t="s">
        <v>3039</v>
      </c>
      <c r="J346" t="s">
        <v>3039</v>
      </c>
      <c r="K346" t="s">
        <v>3199</v>
      </c>
    </row>
    <row r="347" spans="1:11" x14ac:dyDescent="0.2">
      <c r="A347" t="s">
        <v>2024</v>
      </c>
      <c r="B347" t="s">
        <v>283</v>
      </c>
      <c r="C347" t="s">
        <v>3618</v>
      </c>
      <c r="D347" t="s">
        <v>2028</v>
      </c>
      <c r="E347" t="s">
        <v>2028</v>
      </c>
      <c r="F347" t="s">
        <v>1334</v>
      </c>
      <c r="G347" t="s">
        <v>3297</v>
      </c>
      <c r="H347" t="s">
        <v>3212</v>
      </c>
      <c r="I347" t="s">
        <v>3302</v>
      </c>
      <c r="J347" t="s">
        <v>3302</v>
      </c>
      <c r="K347" t="s">
        <v>3199</v>
      </c>
    </row>
    <row r="348" spans="1:11" x14ac:dyDescent="0.2">
      <c r="A348" t="s">
        <v>2024</v>
      </c>
      <c r="B348" t="s">
        <v>2034</v>
      </c>
      <c r="C348" t="s">
        <v>3619</v>
      </c>
      <c r="D348" t="s">
        <v>2028</v>
      </c>
      <c r="E348" t="s">
        <v>2028</v>
      </c>
      <c r="F348" t="s">
        <v>1334</v>
      </c>
      <c r="G348" t="s">
        <v>3228</v>
      </c>
      <c r="H348" t="s">
        <v>3229</v>
      </c>
      <c r="I348" t="s">
        <v>2982</v>
      </c>
      <c r="J348" t="s">
        <v>3230</v>
      </c>
      <c r="K348" t="s">
        <v>3199</v>
      </c>
    </row>
    <row r="349" spans="1:11" x14ac:dyDescent="0.2">
      <c r="A349" t="s">
        <v>2024</v>
      </c>
      <c r="B349" t="s">
        <v>2040</v>
      </c>
      <c r="C349" t="s">
        <v>3620</v>
      </c>
      <c r="D349" t="s">
        <v>2028</v>
      </c>
      <c r="E349" t="s">
        <v>2028</v>
      </c>
      <c r="F349" t="s">
        <v>1334</v>
      </c>
      <c r="G349" t="s">
        <v>3268</v>
      </c>
      <c r="H349" t="s">
        <v>3269</v>
      </c>
      <c r="I349" t="s">
        <v>2978</v>
      </c>
      <c r="J349" t="s">
        <v>3270</v>
      </c>
      <c r="K349" t="s">
        <v>3199</v>
      </c>
    </row>
    <row r="350" spans="1:11" x14ac:dyDescent="0.2">
      <c r="A350" t="s">
        <v>2043</v>
      </c>
      <c r="B350" t="s">
        <v>2044</v>
      </c>
      <c r="C350" t="s">
        <v>3621</v>
      </c>
      <c r="D350" t="s">
        <v>2048</v>
      </c>
      <c r="E350" t="s">
        <v>2048</v>
      </c>
      <c r="F350" t="s">
        <v>1334</v>
      </c>
      <c r="G350" t="s">
        <v>3197</v>
      </c>
      <c r="H350" t="s">
        <v>3198</v>
      </c>
      <c r="I350" t="s">
        <v>3039</v>
      </c>
      <c r="J350" t="s">
        <v>3039</v>
      </c>
      <c r="K350" t="s">
        <v>3199</v>
      </c>
    </row>
    <row r="351" spans="1:11" x14ac:dyDescent="0.2">
      <c r="A351" t="s">
        <v>2050</v>
      </c>
      <c r="B351" t="s">
        <v>1742</v>
      </c>
      <c r="C351" t="s">
        <v>3622</v>
      </c>
      <c r="D351" t="s">
        <v>2053</v>
      </c>
      <c r="E351" t="s">
        <v>2053</v>
      </c>
      <c r="F351" t="s">
        <v>1334</v>
      </c>
      <c r="G351" t="s">
        <v>3197</v>
      </c>
      <c r="H351" t="s">
        <v>3198</v>
      </c>
      <c r="I351" t="s">
        <v>3039</v>
      </c>
      <c r="J351" t="s">
        <v>3039</v>
      </c>
      <c r="K351" t="s">
        <v>3199</v>
      </c>
    </row>
    <row r="352" spans="1:11" x14ac:dyDescent="0.2">
      <c r="A352" t="s">
        <v>2050</v>
      </c>
      <c r="B352" t="s">
        <v>2055</v>
      </c>
      <c r="C352" t="s">
        <v>3623</v>
      </c>
      <c r="D352" t="s">
        <v>2053</v>
      </c>
      <c r="E352" t="s">
        <v>2053</v>
      </c>
      <c r="F352" t="s">
        <v>1334</v>
      </c>
      <c r="G352" t="s">
        <v>3217</v>
      </c>
      <c r="H352" t="s">
        <v>3204</v>
      </c>
      <c r="I352" t="s">
        <v>3218</v>
      </c>
      <c r="J352" t="s">
        <v>3008</v>
      </c>
      <c r="K352" t="s">
        <v>3199</v>
      </c>
    </row>
    <row r="353" spans="1:11" x14ac:dyDescent="0.2">
      <c r="A353" t="s">
        <v>2061</v>
      </c>
      <c r="B353" t="s">
        <v>2062</v>
      </c>
      <c r="C353" t="s">
        <v>3624</v>
      </c>
      <c r="D353" t="s">
        <v>2053</v>
      </c>
      <c r="E353" t="s">
        <v>2053</v>
      </c>
      <c r="F353" t="s">
        <v>1334</v>
      </c>
      <c r="G353" t="s">
        <v>3234</v>
      </c>
      <c r="H353" t="s">
        <v>3222</v>
      </c>
      <c r="I353" t="s">
        <v>2986</v>
      </c>
      <c r="J353" t="s">
        <v>3235</v>
      </c>
      <c r="K353" t="s">
        <v>3199</v>
      </c>
    </row>
    <row r="354" spans="1:11" x14ac:dyDescent="0.2">
      <c r="A354" t="s">
        <v>3625</v>
      </c>
      <c r="B354" t="s">
        <v>528</v>
      </c>
      <c r="C354" t="s">
        <v>3626</v>
      </c>
      <c r="D354" t="s">
        <v>2069</v>
      </c>
      <c r="E354" t="s">
        <v>2069</v>
      </c>
      <c r="F354" t="s">
        <v>1334</v>
      </c>
      <c r="G354" t="s">
        <v>3197</v>
      </c>
      <c r="H354" t="s">
        <v>3198</v>
      </c>
      <c r="I354" t="s">
        <v>3039</v>
      </c>
      <c r="J354" t="s">
        <v>3039</v>
      </c>
      <c r="K354" t="s">
        <v>3199</v>
      </c>
    </row>
    <row r="355" spans="1:11" x14ac:dyDescent="0.2">
      <c r="A355" t="s">
        <v>2071</v>
      </c>
      <c r="B355" t="s">
        <v>2072</v>
      </c>
      <c r="C355" t="s">
        <v>3627</v>
      </c>
      <c r="D355" t="s">
        <v>2069</v>
      </c>
      <c r="E355" t="s">
        <v>2069</v>
      </c>
      <c r="F355" t="s">
        <v>1334</v>
      </c>
      <c r="G355" t="s">
        <v>3234</v>
      </c>
      <c r="H355" t="s">
        <v>3222</v>
      </c>
      <c r="I355" t="s">
        <v>2986</v>
      </c>
      <c r="J355" t="s">
        <v>3235</v>
      </c>
      <c r="K355" t="s">
        <v>3199</v>
      </c>
    </row>
    <row r="356" spans="1:11" x14ac:dyDescent="0.2">
      <c r="A356" t="s">
        <v>2077</v>
      </c>
      <c r="B356" t="s">
        <v>2078</v>
      </c>
      <c r="C356" t="s">
        <v>3628</v>
      </c>
      <c r="D356" t="s">
        <v>145</v>
      </c>
      <c r="E356" t="s">
        <v>145</v>
      </c>
      <c r="F356" t="s">
        <v>1334</v>
      </c>
      <c r="G356" t="s">
        <v>3279</v>
      </c>
      <c r="H356" t="s">
        <v>3280</v>
      </c>
      <c r="I356" t="s">
        <v>3007</v>
      </c>
      <c r="J356" t="s">
        <v>3006</v>
      </c>
      <c r="K356" t="s">
        <v>3199</v>
      </c>
    </row>
    <row r="357" spans="1:11" x14ac:dyDescent="0.2">
      <c r="A357" t="s">
        <v>2085</v>
      </c>
      <c r="B357" t="s">
        <v>2086</v>
      </c>
      <c r="C357" t="s">
        <v>3629</v>
      </c>
      <c r="D357" t="s">
        <v>145</v>
      </c>
      <c r="E357" t="s">
        <v>145</v>
      </c>
      <c r="F357" t="s">
        <v>1334</v>
      </c>
      <c r="G357" t="s">
        <v>3212</v>
      </c>
      <c r="H357" t="s">
        <v>3213</v>
      </c>
      <c r="I357" t="s">
        <v>3214</v>
      </c>
      <c r="J357" t="s">
        <v>3215</v>
      </c>
      <c r="K357" t="s">
        <v>3199</v>
      </c>
    </row>
    <row r="358" spans="1:11" x14ac:dyDescent="0.2">
      <c r="A358" t="s">
        <v>2097</v>
      </c>
      <c r="B358" t="s">
        <v>2098</v>
      </c>
      <c r="C358" t="s">
        <v>3630</v>
      </c>
      <c r="D358" t="s">
        <v>2101</v>
      </c>
      <c r="E358" t="s">
        <v>2101</v>
      </c>
      <c r="F358" t="s">
        <v>1334</v>
      </c>
      <c r="G358" t="s">
        <v>3197</v>
      </c>
      <c r="H358" t="s">
        <v>3198</v>
      </c>
      <c r="I358" t="s">
        <v>3039</v>
      </c>
      <c r="J358" t="s">
        <v>3039</v>
      </c>
      <c r="K358" t="s">
        <v>3199</v>
      </c>
    </row>
    <row r="359" spans="1:11" x14ac:dyDescent="0.2">
      <c r="A359" t="s">
        <v>2097</v>
      </c>
      <c r="B359" t="s">
        <v>1234</v>
      </c>
      <c r="C359" t="s">
        <v>3631</v>
      </c>
      <c r="D359" t="s">
        <v>2106</v>
      </c>
      <c r="E359" t="s">
        <v>2106</v>
      </c>
      <c r="F359" t="s">
        <v>1334</v>
      </c>
      <c r="G359" t="s">
        <v>3197</v>
      </c>
      <c r="H359" t="s">
        <v>3198</v>
      </c>
      <c r="I359" t="s">
        <v>3039</v>
      </c>
      <c r="J359" t="s">
        <v>3039</v>
      </c>
      <c r="K359" t="s">
        <v>3199</v>
      </c>
    </row>
    <row r="360" spans="1:11" x14ac:dyDescent="0.2">
      <c r="A360" t="s">
        <v>2109</v>
      </c>
      <c r="B360" t="s">
        <v>2110</v>
      </c>
      <c r="C360" t="s">
        <v>3632</v>
      </c>
      <c r="D360" t="s">
        <v>691</v>
      </c>
      <c r="E360" t="s">
        <v>691</v>
      </c>
      <c r="F360" t="s">
        <v>1334</v>
      </c>
      <c r="G360" t="s">
        <v>3296</v>
      </c>
      <c r="H360" t="s">
        <v>3297</v>
      </c>
      <c r="I360" t="s">
        <v>46</v>
      </c>
      <c r="J360" t="s">
        <v>3023</v>
      </c>
      <c r="K360" t="s">
        <v>3199</v>
      </c>
    </row>
    <row r="361" spans="1:11" x14ac:dyDescent="0.2">
      <c r="A361" t="s">
        <v>2109</v>
      </c>
      <c r="B361" t="s">
        <v>1128</v>
      </c>
      <c r="C361" t="s">
        <v>3633</v>
      </c>
      <c r="D361" t="s">
        <v>145</v>
      </c>
      <c r="E361" t="s">
        <v>145</v>
      </c>
      <c r="F361" t="s">
        <v>1334</v>
      </c>
      <c r="G361" t="s">
        <v>3297</v>
      </c>
      <c r="H361" t="s">
        <v>3212</v>
      </c>
      <c r="I361" t="s">
        <v>3302</v>
      </c>
      <c r="J361" t="s">
        <v>3302</v>
      </c>
      <c r="K361" t="s">
        <v>3199</v>
      </c>
    </row>
    <row r="362" spans="1:11" x14ac:dyDescent="0.2">
      <c r="A362" t="s">
        <v>2120</v>
      </c>
      <c r="B362" t="s">
        <v>2121</v>
      </c>
      <c r="C362" t="s">
        <v>3634</v>
      </c>
      <c r="D362" t="s">
        <v>2125</v>
      </c>
      <c r="E362" t="s">
        <v>2125</v>
      </c>
      <c r="F362" t="s">
        <v>1334</v>
      </c>
      <c r="G362" t="s">
        <v>3197</v>
      </c>
      <c r="H362" t="s">
        <v>3198</v>
      </c>
      <c r="I362" t="s">
        <v>3039</v>
      </c>
      <c r="J362" t="s">
        <v>3039</v>
      </c>
      <c r="K362" t="s">
        <v>3199</v>
      </c>
    </row>
    <row r="363" spans="1:11" x14ac:dyDescent="0.2">
      <c r="A363" t="s">
        <v>2120</v>
      </c>
      <c r="B363" t="s">
        <v>2126</v>
      </c>
      <c r="C363" t="s">
        <v>3635</v>
      </c>
      <c r="D363" t="s">
        <v>2125</v>
      </c>
      <c r="E363" t="s">
        <v>2125</v>
      </c>
      <c r="F363" t="s">
        <v>1334</v>
      </c>
      <c r="G363" t="s">
        <v>3234</v>
      </c>
      <c r="H363" t="s">
        <v>3222</v>
      </c>
      <c r="I363" t="s">
        <v>2986</v>
      </c>
      <c r="J363" t="s">
        <v>3235</v>
      </c>
      <c r="K363" t="s">
        <v>3199</v>
      </c>
    </row>
    <row r="364" spans="1:11" x14ac:dyDescent="0.2">
      <c r="A364" t="s">
        <v>2130</v>
      </c>
      <c r="B364" t="s">
        <v>2131</v>
      </c>
      <c r="C364" t="s">
        <v>3636</v>
      </c>
      <c r="D364" t="s">
        <v>2125</v>
      </c>
      <c r="E364" t="s">
        <v>2125</v>
      </c>
      <c r="F364" t="s">
        <v>1334</v>
      </c>
      <c r="G364" t="s">
        <v>3197</v>
      </c>
      <c r="H364" t="s">
        <v>3198</v>
      </c>
      <c r="I364" t="s">
        <v>3039</v>
      </c>
      <c r="J364" t="s">
        <v>3039</v>
      </c>
      <c r="K364" t="s">
        <v>3199</v>
      </c>
    </row>
    <row r="365" spans="1:11" x14ac:dyDescent="0.2">
      <c r="A365" t="s">
        <v>2132</v>
      </c>
      <c r="B365" t="s">
        <v>2133</v>
      </c>
      <c r="C365" t="s">
        <v>3637</v>
      </c>
      <c r="D365" t="s">
        <v>2136</v>
      </c>
      <c r="E365" t="s">
        <v>2136</v>
      </c>
      <c r="F365" t="s">
        <v>1334</v>
      </c>
      <c r="G365" t="s">
        <v>3330</v>
      </c>
      <c r="H365" t="s">
        <v>3249</v>
      </c>
      <c r="I365" t="s">
        <v>2974</v>
      </c>
      <c r="J365" t="s">
        <v>3331</v>
      </c>
      <c r="K365" t="s">
        <v>3199</v>
      </c>
    </row>
    <row r="366" spans="1:11" x14ac:dyDescent="0.2">
      <c r="A366" t="s">
        <v>2132</v>
      </c>
      <c r="B366" t="s">
        <v>1321</v>
      </c>
      <c r="C366" t="s">
        <v>3638</v>
      </c>
      <c r="D366" t="s">
        <v>2136</v>
      </c>
      <c r="E366" t="s">
        <v>2136</v>
      </c>
      <c r="F366" t="s">
        <v>1334</v>
      </c>
      <c r="G366" t="s">
        <v>3197</v>
      </c>
      <c r="H366" t="s">
        <v>3198</v>
      </c>
      <c r="I366" t="s">
        <v>3039</v>
      </c>
      <c r="J366" t="s">
        <v>3039</v>
      </c>
      <c r="K366" t="s">
        <v>3199</v>
      </c>
    </row>
    <row r="367" spans="1:11" x14ac:dyDescent="0.2">
      <c r="A367" t="s">
        <v>2143</v>
      </c>
      <c r="B367" t="s">
        <v>397</v>
      </c>
      <c r="C367" t="s">
        <v>3639</v>
      </c>
      <c r="D367" t="s">
        <v>1002</v>
      </c>
      <c r="E367" t="s">
        <v>1002</v>
      </c>
      <c r="F367" t="s">
        <v>1334</v>
      </c>
      <c r="G367" t="s">
        <v>3197</v>
      </c>
      <c r="H367" t="s">
        <v>3198</v>
      </c>
      <c r="I367" t="s">
        <v>3039</v>
      </c>
      <c r="J367" t="s">
        <v>3039</v>
      </c>
      <c r="K367" t="s">
        <v>3199</v>
      </c>
    </row>
    <row r="368" spans="1:11" x14ac:dyDescent="0.2">
      <c r="A368" t="s">
        <v>2143</v>
      </c>
      <c r="B368" t="s">
        <v>2145</v>
      </c>
      <c r="C368" t="s">
        <v>3640</v>
      </c>
      <c r="D368" t="s">
        <v>1002</v>
      </c>
      <c r="E368" t="s">
        <v>1002</v>
      </c>
      <c r="F368" t="s">
        <v>1334</v>
      </c>
      <c r="G368" t="s">
        <v>3330</v>
      </c>
      <c r="H368" t="s">
        <v>3249</v>
      </c>
      <c r="I368" t="s">
        <v>2974</v>
      </c>
      <c r="J368" t="s">
        <v>3331</v>
      </c>
      <c r="K368" t="s">
        <v>3199</v>
      </c>
    </row>
    <row r="369" spans="1:11" x14ac:dyDescent="0.2">
      <c r="A369" t="s">
        <v>2151</v>
      </c>
      <c r="B369" t="s">
        <v>2152</v>
      </c>
      <c r="C369" t="s">
        <v>3641</v>
      </c>
      <c r="D369" t="s">
        <v>1816</v>
      </c>
      <c r="E369" t="s">
        <v>1816</v>
      </c>
      <c r="F369" t="s">
        <v>1334</v>
      </c>
      <c r="G369" t="s">
        <v>3284</v>
      </c>
      <c r="H369" t="s">
        <v>3285</v>
      </c>
      <c r="I369" t="s">
        <v>2984</v>
      </c>
      <c r="J369" t="s">
        <v>3286</v>
      </c>
      <c r="K369" t="s">
        <v>3199</v>
      </c>
    </row>
    <row r="370" spans="1:11" x14ac:dyDescent="0.2">
      <c r="A370" t="s">
        <v>2157</v>
      </c>
      <c r="B370" t="s">
        <v>2158</v>
      </c>
      <c r="C370" t="s">
        <v>3642</v>
      </c>
      <c r="D370" t="s">
        <v>1816</v>
      </c>
      <c r="E370" t="s">
        <v>1816</v>
      </c>
      <c r="F370" t="s">
        <v>1334</v>
      </c>
      <c r="G370" t="s">
        <v>3197</v>
      </c>
      <c r="H370" t="s">
        <v>3198</v>
      </c>
      <c r="I370" t="s">
        <v>3039</v>
      </c>
      <c r="J370" t="s">
        <v>3039</v>
      </c>
      <c r="K370" t="s">
        <v>3199</v>
      </c>
    </row>
    <row r="371" spans="1:11" x14ac:dyDescent="0.2">
      <c r="A371" t="s">
        <v>2160</v>
      </c>
      <c r="B371" t="s">
        <v>697</v>
      </c>
      <c r="C371" t="s">
        <v>3643</v>
      </c>
      <c r="D371" t="s">
        <v>2162</v>
      </c>
      <c r="E371" t="s">
        <v>2162</v>
      </c>
      <c r="F371" t="s">
        <v>1334</v>
      </c>
      <c r="G371" t="s">
        <v>3197</v>
      </c>
      <c r="H371" t="s">
        <v>3198</v>
      </c>
      <c r="I371" t="s">
        <v>3039</v>
      </c>
      <c r="J371" t="s">
        <v>3039</v>
      </c>
      <c r="K371" t="s">
        <v>3199</v>
      </c>
    </row>
    <row r="372" spans="1:11" x14ac:dyDescent="0.2">
      <c r="A372" t="s">
        <v>2164</v>
      </c>
      <c r="B372" t="s">
        <v>631</v>
      </c>
      <c r="C372" t="s">
        <v>3644</v>
      </c>
      <c r="D372" t="s">
        <v>377</v>
      </c>
      <c r="E372" t="s">
        <v>377</v>
      </c>
      <c r="F372" t="s">
        <v>1334</v>
      </c>
      <c r="G372" t="s">
        <v>3197</v>
      </c>
      <c r="H372" t="s">
        <v>3198</v>
      </c>
      <c r="I372" t="s">
        <v>3039</v>
      </c>
      <c r="J372" t="s">
        <v>3039</v>
      </c>
      <c r="K372" t="s">
        <v>3199</v>
      </c>
    </row>
    <row r="373" spans="1:11" x14ac:dyDescent="0.2">
      <c r="A373" t="s">
        <v>2166</v>
      </c>
      <c r="B373" t="s">
        <v>2167</v>
      </c>
      <c r="C373" t="s">
        <v>3645</v>
      </c>
      <c r="D373" t="s">
        <v>699</v>
      </c>
      <c r="E373" t="s">
        <v>699</v>
      </c>
      <c r="F373" t="s">
        <v>1334</v>
      </c>
      <c r="G373" t="s">
        <v>3222</v>
      </c>
      <c r="H373" t="s">
        <v>3223</v>
      </c>
      <c r="I373" t="s">
        <v>3224</v>
      </c>
      <c r="J373" t="s">
        <v>2997</v>
      </c>
      <c r="K373" t="s">
        <v>3199</v>
      </c>
    </row>
    <row r="374" spans="1:11" x14ac:dyDescent="0.2">
      <c r="A374" t="s">
        <v>2166</v>
      </c>
      <c r="B374" t="s">
        <v>491</v>
      </c>
      <c r="C374" t="s">
        <v>3646</v>
      </c>
      <c r="D374" t="s">
        <v>699</v>
      </c>
      <c r="E374" t="s">
        <v>699</v>
      </c>
      <c r="F374" t="s">
        <v>1334</v>
      </c>
      <c r="G374" t="s">
        <v>3268</v>
      </c>
      <c r="H374" t="s">
        <v>3269</v>
      </c>
      <c r="I374" t="s">
        <v>2978</v>
      </c>
      <c r="J374" t="s">
        <v>3270</v>
      </c>
      <c r="K374" t="s">
        <v>3199</v>
      </c>
    </row>
    <row r="375" spans="1:11" x14ac:dyDescent="0.2">
      <c r="A375" t="s">
        <v>2175</v>
      </c>
      <c r="B375" t="s">
        <v>2176</v>
      </c>
      <c r="C375" t="s">
        <v>3647</v>
      </c>
      <c r="D375" t="s">
        <v>699</v>
      </c>
      <c r="E375" t="s">
        <v>699</v>
      </c>
      <c r="F375" t="s">
        <v>1334</v>
      </c>
      <c r="G375" t="s">
        <v>3197</v>
      </c>
      <c r="H375" t="s">
        <v>3198</v>
      </c>
      <c r="I375" t="s">
        <v>3039</v>
      </c>
      <c r="J375" t="s">
        <v>3039</v>
      </c>
      <c r="K375" t="s">
        <v>3199</v>
      </c>
    </row>
    <row r="376" spans="1:11" x14ac:dyDescent="0.2">
      <c r="A376" t="s">
        <v>2178</v>
      </c>
      <c r="B376" t="s">
        <v>297</v>
      </c>
      <c r="C376" t="s">
        <v>3648</v>
      </c>
      <c r="D376" t="s">
        <v>1794</v>
      </c>
      <c r="E376" t="s">
        <v>1794</v>
      </c>
      <c r="F376" t="s">
        <v>1334</v>
      </c>
      <c r="G376" t="s">
        <v>3197</v>
      </c>
      <c r="H376" t="s">
        <v>3198</v>
      </c>
      <c r="I376" t="s">
        <v>3039</v>
      </c>
      <c r="J376" t="s">
        <v>3039</v>
      </c>
      <c r="K376" t="s">
        <v>3199</v>
      </c>
    </row>
    <row r="377" spans="1:11" x14ac:dyDescent="0.2">
      <c r="A377" t="s">
        <v>2179</v>
      </c>
      <c r="B377" t="s">
        <v>2180</v>
      </c>
      <c r="C377" t="s">
        <v>3649</v>
      </c>
      <c r="D377" t="s">
        <v>1430</v>
      </c>
      <c r="E377" t="s">
        <v>1430</v>
      </c>
      <c r="F377" t="s">
        <v>1334</v>
      </c>
      <c r="G377" t="s">
        <v>3197</v>
      </c>
      <c r="H377" t="s">
        <v>3198</v>
      </c>
      <c r="I377" t="s">
        <v>3039</v>
      </c>
      <c r="J377" t="s">
        <v>3039</v>
      </c>
      <c r="K377" t="s">
        <v>3199</v>
      </c>
    </row>
    <row r="378" spans="1:11" x14ac:dyDescent="0.2">
      <c r="A378" t="s">
        <v>2179</v>
      </c>
      <c r="B378" t="s">
        <v>2181</v>
      </c>
      <c r="C378" t="s">
        <v>3650</v>
      </c>
      <c r="D378" t="s">
        <v>1622</v>
      </c>
      <c r="E378" t="s">
        <v>1622</v>
      </c>
      <c r="F378" t="s">
        <v>1334</v>
      </c>
      <c r="G378" t="s">
        <v>3268</v>
      </c>
      <c r="H378" t="s">
        <v>3269</v>
      </c>
      <c r="I378" t="s">
        <v>2978</v>
      </c>
      <c r="J378" t="s">
        <v>3270</v>
      </c>
      <c r="K378" t="s">
        <v>3199</v>
      </c>
    </row>
    <row r="379" spans="1:11" x14ac:dyDescent="0.2">
      <c r="A379" t="s">
        <v>2179</v>
      </c>
      <c r="B379" t="s">
        <v>1128</v>
      </c>
      <c r="C379" t="s">
        <v>3651</v>
      </c>
      <c r="D379" t="s">
        <v>1622</v>
      </c>
      <c r="E379" t="s">
        <v>1622</v>
      </c>
      <c r="F379" t="s">
        <v>1334</v>
      </c>
      <c r="G379" t="s">
        <v>3197</v>
      </c>
      <c r="H379" t="s">
        <v>3198</v>
      </c>
      <c r="I379" t="s">
        <v>3039</v>
      </c>
      <c r="J379" t="s">
        <v>3039</v>
      </c>
      <c r="K379" t="s">
        <v>3199</v>
      </c>
    </row>
    <row r="380" spans="1:11" x14ac:dyDescent="0.2">
      <c r="A380" t="s">
        <v>2187</v>
      </c>
      <c r="B380" t="s">
        <v>2188</v>
      </c>
      <c r="C380" t="s">
        <v>3652</v>
      </c>
      <c r="D380" t="s">
        <v>145</v>
      </c>
      <c r="E380" t="s">
        <v>145</v>
      </c>
      <c r="F380" t="s">
        <v>1334</v>
      </c>
      <c r="G380" t="s">
        <v>3212</v>
      </c>
      <c r="H380" t="s">
        <v>3213</v>
      </c>
      <c r="I380" t="s">
        <v>3214</v>
      </c>
      <c r="J380" t="s">
        <v>3215</v>
      </c>
      <c r="K380" t="s">
        <v>3199</v>
      </c>
    </row>
    <row r="381" spans="1:11" x14ac:dyDescent="0.2">
      <c r="A381" t="s">
        <v>2195</v>
      </c>
      <c r="B381" t="s">
        <v>2196</v>
      </c>
      <c r="C381" t="s">
        <v>3653</v>
      </c>
      <c r="D381" t="s">
        <v>2198</v>
      </c>
      <c r="E381" t="s">
        <v>2198</v>
      </c>
      <c r="F381" t="s">
        <v>1334</v>
      </c>
      <c r="G381" t="s">
        <v>3197</v>
      </c>
      <c r="H381" t="s">
        <v>3198</v>
      </c>
      <c r="I381" t="s">
        <v>3039</v>
      </c>
      <c r="J381" t="s">
        <v>3039</v>
      </c>
      <c r="K381" t="s">
        <v>3199</v>
      </c>
    </row>
    <row r="382" spans="1:11" x14ac:dyDescent="0.2">
      <c r="A382" t="s">
        <v>2200</v>
      </c>
      <c r="B382" t="s">
        <v>3136</v>
      </c>
      <c r="C382" t="s">
        <v>3654</v>
      </c>
      <c r="D382" t="s">
        <v>2204</v>
      </c>
      <c r="E382" t="s">
        <v>2204</v>
      </c>
      <c r="F382" t="s">
        <v>1334</v>
      </c>
      <c r="G382" t="s">
        <v>3197</v>
      </c>
      <c r="H382" t="s">
        <v>3198</v>
      </c>
      <c r="I382" t="s">
        <v>3039</v>
      </c>
      <c r="J382" t="s">
        <v>3039</v>
      </c>
      <c r="K382" t="s">
        <v>3199</v>
      </c>
    </row>
    <row r="383" spans="1:11" x14ac:dyDescent="0.2">
      <c r="A383" t="s">
        <v>2200</v>
      </c>
      <c r="B383" t="s">
        <v>2206</v>
      </c>
      <c r="C383" t="s">
        <v>3655</v>
      </c>
      <c r="D383" t="s">
        <v>2204</v>
      </c>
      <c r="E383" t="s">
        <v>2204</v>
      </c>
      <c r="F383" t="s">
        <v>1334</v>
      </c>
      <c r="G383" t="s">
        <v>3229</v>
      </c>
      <c r="H383" t="s">
        <v>3238</v>
      </c>
      <c r="I383" t="s">
        <v>25</v>
      </c>
      <c r="J383" t="s">
        <v>2993</v>
      </c>
      <c r="K383" t="s">
        <v>3199</v>
      </c>
    </row>
    <row r="384" spans="1:11" x14ac:dyDescent="0.2">
      <c r="A384" t="s">
        <v>2210</v>
      </c>
      <c r="B384" t="s">
        <v>2196</v>
      </c>
      <c r="C384" t="s">
        <v>3656</v>
      </c>
      <c r="D384" t="s">
        <v>145</v>
      </c>
      <c r="E384" t="s">
        <v>145</v>
      </c>
      <c r="F384" t="s">
        <v>1334</v>
      </c>
      <c r="G384" t="s">
        <v>3249</v>
      </c>
      <c r="H384" t="s">
        <v>3250</v>
      </c>
      <c r="I384" t="s">
        <v>3251</v>
      </c>
      <c r="J384" t="s">
        <v>265</v>
      </c>
      <c r="K384" t="s">
        <v>3199</v>
      </c>
    </row>
    <row r="385" spans="1:11" x14ac:dyDescent="0.2">
      <c r="A385" t="s">
        <v>3657</v>
      </c>
      <c r="B385" t="s">
        <v>2217</v>
      </c>
      <c r="C385" t="s">
        <v>3658</v>
      </c>
      <c r="D385" t="s">
        <v>2220</v>
      </c>
      <c r="E385" t="s">
        <v>2220</v>
      </c>
      <c r="F385" t="s">
        <v>1334</v>
      </c>
      <c r="G385" t="s">
        <v>3197</v>
      </c>
      <c r="H385" t="s">
        <v>3198</v>
      </c>
      <c r="I385" t="s">
        <v>3039</v>
      </c>
      <c r="J385" t="s">
        <v>3039</v>
      </c>
      <c r="K385" t="s">
        <v>3199</v>
      </c>
    </row>
    <row r="386" spans="1:11" x14ac:dyDescent="0.2">
      <c r="A386" t="s">
        <v>2223</v>
      </c>
      <c r="B386" t="s">
        <v>2224</v>
      </c>
      <c r="C386" t="s">
        <v>3659</v>
      </c>
      <c r="D386" t="s">
        <v>2220</v>
      </c>
      <c r="E386" t="s">
        <v>2220</v>
      </c>
      <c r="F386" t="s">
        <v>1334</v>
      </c>
      <c r="G386" t="s">
        <v>3217</v>
      </c>
      <c r="H386" t="s">
        <v>3204</v>
      </c>
      <c r="I386" t="s">
        <v>3218</v>
      </c>
      <c r="J386" t="s">
        <v>3008</v>
      </c>
      <c r="K386" t="s">
        <v>3199</v>
      </c>
    </row>
    <row r="387" spans="1:11" x14ac:dyDescent="0.2">
      <c r="A387" t="s">
        <v>2223</v>
      </c>
      <c r="B387" t="s">
        <v>1190</v>
      </c>
      <c r="C387" t="s">
        <v>3660</v>
      </c>
      <c r="D387" t="s">
        <v>2220</v>
      </c>
      <c r="E387" t="s">
        <v>2220</v>
      </c>
      <c r="F387" t="s">
        <v>1334</v>
      </c>
      <c r="G387" t="s">
        <v>3204</v>
      </c>
      <c r="H387" t="s">
        <v>3205</v>
      </c>
      <c r="I387" t="s">
        <v>3206</v>
      </c>
      <c r="J387" t="s">
        <v>2999</v>
      </c>
      <c r="K387" t="s">
        <v>3199</v>
      </c>
    </row>
    <row r="388" spans="1:11" x14ac:dyDescent="0.2">
      <c r="A388" t="s">
        <v>2232</v>
      </c>
      <c r="B388" t="s">
        <v>3661</v>
      </c>
      <c r="C388" t="s">
        <v>3662</v>
      </c>
      <c r="D388" t="s">
        <v>2235</v>
      </c>
      <c r="E388" t="s">
        <v>2235</v>
      </c>
      <c r="F388" t="s">
        <v>1334</v>
      </c>
      <c r="G388" t="s">
        <v>3197</v>
      </c>
      <c r="H388" t="s">
        <v>3198</v>
      </c>
      <c r="I388" t="s">
        <v>3039</v>
      </c>
      <c r="J388" t="s">
        <v>3039</v>
      </c>
      <c r="K388" t="s">
        <v>3199</v>
      </c>
    </row>
    <row r="389" spans="1:11" x14ac:dyDescent="0.2">
      <c r="A389" t="s">
        <v>2232</v>
      </c>
      <c r="B389" t="s">
        <v>2236</v>
      </c>
      <c r="C389" t="s">
        <v>3663</v>
      </c>
      <c r="D389" t="s">
        <v>2235</v>
      </c>
      <c r="E389" t="s">
        <v>2235</v>
      </c>
      <c r="F389" t="s">
        <v>1334</v>
      </c>
      <c r="G389" t="s">
        <v>3197</v>
      </c>
      <c r="H389" t="s">
        <v>3198</v>
      </c>
      <c r="I389" t="s">
        <v>3039</v>
      </c>
      <c r="J389" t="s">
        <v>3039</v>
      </c>
      <c r="K389" t="s">
        <v>3199</v>
      </c>
    </row>
    <row r="390" spans="1:11" x14ac:dyDescent="0.2">
      <c r="A390" t="s">
        <v>2232</v>
      </c>
      <c r="B390" t="s">
        <v>2239</v>
      </c>
      <c r="C390" t="s">
        <v>3664</v>
      </c>
      <c r="D390" t="s">
        <v>2235</v>
      </c>
      <c r="E390" t="s">
        <v>2235</v>
      </c>
      <c r="F390" t="s">
        <v>1334</v>
      </c>
      <c r="G390" t="s">
        <v>3228</v>
      </c>
      <c r="H390" t="s">
        <v>3229</v>
      </c>
      <c r="I390" t="s">
        <v>2982</v>
      </c>
      <c r="J390" t="s">
        <v>3230</v>
      </c>
      <c r="K390" t="s">
        <v>3199</v>
      </c>
    </row>
    <row r="391" spans="1:11" x14ac:dyDescent="0.2">
      <c r="A391" t="s">
        <v>2242</v>
      </c>
      <c r="B391" t="s">
        <v>2243</v>
      </c>
      <c r="C391" t="s">
        <v>3665</v>
      </c>
      <c r="D391" t="s">
        <v>1592</v>
      </c>
      <c r="E391" t="s">
        <v>1592</v>
      </c>
      <c r="F391" t="s">
        <v>1334</v>
      </c>
      <c r="G391" t="s">
        <v>3197</v>
      </c>
      <c r="H391" t="s">
        <v>3198</v>
      </c>
      <c r="I391" t="s">
        <v>3039</v>
      </c>
      <c r="J391" t="s">
        <v>3039</v>
      </c>
      <c r="K391" t="s">
        <v>3199</v>
      </c>
    </row>
    <row r="392" spans="1:11" x14ac:dyDescent="0.2">
      <c r="A392" t="s">
        <v>2246</v>
      </c>
      <c r="B392" t="s">
        <v>2247</v>
      </c>
      <c r="C392" t="s">
        <v>3666</v>
      </c>
      <c r="D392" t="s">
        <v>837</v>
      </c>
      <c r="E392" t="s">
        <v>837</v>
      </c>
      <c r="F392" t="s">
        <v>1334</v>
      </c>
      <c r="G392" t="s">
        <v>3197</v>
      </c>
      <c r="H392" t="s">
        <v>3198</v>
      </c>
      <c r="I392" t="s">
        <v>3039</v>
      </c>
      <c r="J392" t="s">
        <v>3039</v>
      </c>
      <c r="K392" t="s">
        <v>3199</v>
      </c>
    </row>
    <row r="393" spans="1:11" x14ac:dyDescent="0.2">
      <c r="A393" t="s">
        <v>2249</v>
      </c>
      <c r="B393" t="s">
        <v>2250</v>
      </c>
      <c r="C393" t="s">
        <v>3667</v>
      </c>
      <c r="D393" t="s">
        <v>776</v>
      </c>
      <c r="E393" t="s">
        <v>776</v>
      </c>
      <c r="F393" t="s">
        <v>1334</v>
      </c>
      <c r="G393" t="s">
        <v>3197</v>
      </c>
      <c r="H393" t="s">
        <v>3198</v>
      </c>
      <c r="I393" t="s">
        <v>3039</v>
      </c>
      <c r="J393" t="s">
        <v>3039</v>
      </c>
      <c r="K393" t="s">
        <v>3199</v>
      </c>
    </row>
    <row r="394" spans="1:11" x14ac:dyDescent="0.2">
      <c r="A394" t="s">
        <v>2252</v>
      </c>
      <c r="B394" t="s">
        <v>2253</v>
      </c>
      <c r="C394" t="s">
        <v>1334</v>
      </c>
      <c r="D394" t="s">
        <v>1334</v>
      </c>
      <c r="E394" t="s">
        <v>1336</v>
      </c>
      <c r="F394" t="s">
        <v>3448</v>
      </c>
      <c r="G394" t="s">
        <v>3197</v>
      </c>
      <c r="H394" t="s">
        <v>3198</v>
      </c>
      <c r="I394" t="s">
        <v>3039</v>
      </c>
      <c r="J394" t="s">
        <v>3039</v>
      </c>
      <c r="K394" t="s">
        <v>3199</v>
      </c>
    </row>
    <row r="395" spans="1:11" x14ac:dyDescent="0.2">
      <c r="A395" t="s">
        <v>3668</v>
      </c>
      <c r="B395" t="s">
        <v>2255</v>
      </c>
      <c r="C395" t="s">
        <v>3669</v>
      </c>
      <c r="D395" t="s">
        <v>1613</v>
      </c>
      <c r="E395" t="s">
        <v>1613</v>
      </c>
      <c r="F395" t="s">
        <v>1334</v>
      </c>
      <c r="G395" t="s">
        <v>3197</v>
      </c>
      <c r="H395" t="s">
        <v>3198</v>
      </c>
      <c r="I395" t="s">
        <v>3039</v>
      </c>
      <c r="J395" t="s">
        <v>3039</v>
      </c>
      <c r="K395" t="s">
        <v>3199</v>
      </c>
    </row>
    <row r="396" spans="1:11" x14ac:dyDescent="0.2">
      <c r="A396" t="s">
        <v>2257</v>
      </c>
      <c r="B396" t="s">
        <v>2258</v>
      </c>
      <c r="C396" t="s">
        <v>3670</v>
      </c>
      <c r="D396" t="s">
        <v>145</v>
      </c>
      <c r="E396" t="s">
        <v>145</v>
      </c>
      <c r="F396" t="s">
        <v>1334</v>
      </c>
      <c r="G396" t="s">
        <v>3212</v>
      </c>
      <c r="H396" t="s">
        <v>3213</v>
      </c>
      <c r="I396" t="s">
        <v>3214</v>
      </c>
      <c r="J396" t="s">
        <v>3215</v>
      </c>
      <c r="K396" t="s">
        <v>3199</v>
      </c>
    </row>
    <row r="397" spans="1:11" x14ac:dyDescent="0.2">
      <c r="A397" t="s">
        <v>2265</v>
      </c>
      <c r="B397" t="s">
        <v>1035</v>
      </c>
      <c r="C397" t="s">
        <v>3671</v>
      </c>
      <c r="D397" t="s">
        <v>145</v>
      </c>
      <c r="E397" t="s">
        <v>145</v>
      </c>
      <c r="F397" t="s">
        <v>1334</v>
      </c>
      <c r="G397" t="s">
        <v>3212</v>
      </c>
      <c r="H397" t="s">
        <v>3213</v>
      </c>
      <c r="I397" t="s">
        <v>3214</v>
      </c>
      <c r="J397" t="s">
        <v>3215</v>
      </c>
      <c r="K397" t="s">
        <v>3199</v>
      </c>
    </row>
    <row r="398" spans="1:11" x14ac:dyDescent="0.2">
      <c r="A398" t="s">
        <v>2265</v>
      </c>
      <c r="B398" t="s">
        <v>2275</v>
      </c>
      <c r="C398" t="s">
        <v>3672</v>
      </c>
      <c r="D398" t="s">
        <v>236</v>
      </c>
      <c r="E398" t="s">
        <v>236</v>
      </c>
      <c r="F398" t="s">
        <v>1334</v>
      </c>
      <c r="G398" t="s">
        <v>3242</v>
      </c>
      <c r="H398" t="s">
        <v>3243</v>
      </c>
      <c r="I398" t="s">
        <v>3244</v>
      </c>
      <c r="J398" t="s">
        <v>3055</v>
      </c>
      <c r="K398" t="s">
        <v>3199</v>
      </c>
    </row>
    <row r="399" spans="1:11" x14ac:dyDescent="0.2">
      <c r="A399" t="s">
        <v>2284</v>
      </c>
      <c r="B399" t="s">
        <v>2285</v>
      </c>
      <c r="C399" t="s">
        <v>3673</v>
      </c>
      <c r="D399" t="s">
        <v>2289</v>
      </c>
      <c r="E399" t="s">
        <v>2289</v>
      </c>
      <c r="F399" t="s">
        <v>1334</v>
      </c>
      <c r="G399" t="s">
        <v>3197</v>
      </c>
      <c r="H399" t="s">
        <v>3198</v>
      </c>
      <c r="I399" t="s">
        <v>3039</v>
      </c>
      <c r="J399" t="s">
        <v>3039</v>
      </c>
      <c r="K399" t="s">
        <v>3199</v>
      </c>
    </row>
    <row r="400" spans="1:11" x14ac:dyDescent="0.2">
      <c r="A400" t="s">
        <v>2284</v>
      </c>
      <c r="B400" t="s">
        <v>2290</v>
      </c>
      <c r="C400" t="s">
        <v>3674</v>
      </c>
      <c r="D400" t="s">
        <v>2289</v>
      </c>
      <c r="E400" t="s">
        <v>2289</v>
      </c>
      <c r="F400" t="s">
        <v>1334</v>
      </c>
      <c r="G400" t="s">
        <v>3285</v>
      </c>
      <c r="H400" t="s">
        <v>3675</v>
      </c>
      <c r="I400" t="s">
        <v>24</v>
      </c>
      <c r="J400" t="s">
        <v>3005</v>
      </c>
      <c r="K400" t="s">
        <v>3199</v>
      </c>
    </row>
    <row r="401" spans="1:11" x14ac:dyDescent="0.2">
      <c r="A401" t="s">
        <v>2296</v>
      </c>
      <c r="B401" t="s">
        <v>2297</v>
      </c>
      <c r="C401" t="s">
        <v>3676</v>
      </c>
      <c r="D401" t="s">
        <v>145</v>
      </c>
      <c r="E401" t="s">
        <v>145</v>
      </c>
      <c r="F401" t="s">
        <v>1334</v>
      </c>
      <c r="G401" t="s">
        <v>3213</v>
      </c>
      <c r="H401" t="s">
        <v>3339</v>
      </c>
      <c r="I401" t="s">
        <v>3340</v>
      </c>
      <c r="J401" t="s">
        <v>3341</v>
      </c>
      <c r="K401" t="s">
        <v>3199</v>
      </c>
    </row>
    <row r="402" spans="1:11" x14ac:dyDescent="0.2">
      <c r="A402" t="s">
        <v>2304</v>
      </c>
      <c r="B402" t="s">
        <v>2305</v>
      </c>
      <c r="C402" t="s">
        <v>3677</v>
      </c>
      <c r="D402" t="s">
        <v>945</v>
      </c>
      <c r="E402" t="s">
        <v>945</v>
      </c>
      <c r="F402" t="s">
        <v>1334</v>
      </c>
      <c r="G402" t="s">
        <v>3197</v>
      </c>
      <c r="H402" t="s">
        <v>3198</v>
      </c>
      <c r="I402" t="s">
        <v>3039</v>
      </c>
      <c r="J402" t="s">
        <v>3039</v>
      </c>
      <c r="K402" t="s">
        <v>3199</v>
      </c>
    </row>
    <row r="403" spans="1:11" x14ac:dyDescent="0.2">
      <c r="A403" t="s">
        <v>2306</v>
      </c>
      <c r="B403" t="s">
        <v>189</v>
      </c>
      <c r="C403" t="s">
        <v>3678</v>
      </c>
      <c r="D403" t="s">
        <v>2308</v>
      </c>
      <c r="E403" t="s">
        <v>2308</v>
      </c>
      <c r="F403" t="s">
        <v>1334</v>
      </c>
      <c r="G403" t="s">
        <v>3197</v>
      </c>
      <c r="H403" t="s">
        <v>3198</v>
      </c>
      <c r="I403" t="s">
        <v>3039</v>
      </c>
      <c r="J403" t="s">
        <v>3039</v>
      </c>
      <c r="K403" t="s">
        <v>3199</v>
      </c>
    </row>
    <row r="404" spans="1:11" x14ac:dyDescent="0.2">
      <c r="A404" t="s">
        <v>2306</v>
      </c>
      <c r="B404" t="s">
        <v>741</v>
      </c>
      <c r="C404" t="s">
        <v>3679</v>
      </c>
      <c r="D404" t="s">
        <v>990</v>
      </c>
      <c r="E404" t="s">
        <v>990</v>
      </c>
      <c r="F404" t="s">
        <v>1334</v>
      </c>
      <c r="G404" t="s">
        <v>3197</v>
      </c>
      <c r="H404" t="s">
        <v>3198</v>
      </c>
      <c r="I404" t="s">
        <v>3039</v>
      </c>
      <c r="J404" t="s">
        <v>3039</v>
      </c>
      <c r="K404" t="s">
        <v>3199</v>
      </c>
    </row>
    <row r="405" spans="1:11" x14ac:dyDescent="0.2">
      <c r="A405" t="s">
        <v>2310</v>
      </c>
      <c r="B405" t="s">
        <v>2311</v>
      </c>
      <c r="C405" t="s">
        <v>3680</v>
      </c>
      <c r="D405" t="s">
        <v>2308</v>
      </c>
      <c r="E405" t="s">
        <v>2308</v>
      </c>
      <c r="F405" t="s">
        <v>1334</v>
      </c>
      <c r="G405" t="s">
        <v>3204</v>
      </c>
      <c r="H405" t="s">
        <v>3205</v>
      </c>
      <c r="I405" t="s">
        <v>3206</v>
      </c>
      <c r="J405" t="s">
        <v>2999</v>
      </c>
      <c r="K405" t="s">
        <v>3199</v>
      </c>
    </row>
    <row r="406" spans="1:11" x14ac:dyDescent="0.2">
      <c r="A406" t="s">
        <v>2317</v>
      </c>
      <c r="B406" t="s">
        <v>2318</v>
      </c>
      <c r="C406" t="s">
        <v>3681</v>
      </c>
      <c r="D406" t="s">
        <v>145</v>
      </c>
      <c r="E406" t="s">
        <v>145</v>
      </c>
      <c r="F406" t="s">
        <v>1334</v>
      </c>
      <c r="G406" t="s">
        <v>3212</v>
      </c>
      <c r="H406" t="s">
        <v>3213</v>
      </c>
      <c r="I406" t="s">
        <v>3214</v>
      </c>
      <c r="J406" t="s">
        <v>3215</v>
      </c>
      <c r="K406" t="s">
        <v>3199</v>
      </c>
    </row>
    <row r="407" spans="1:11" x14ac:dyDescent="0.2">
      <c r="A407" t="s">
        <v>2325</v>
      </c>
      <c r="B407" t="s">
        <v>414</v>
      </c>
      <c r="C407" t="s">
        <v>3682</v>
      </c>
      <c r="D407" t="s">
        <v>1070</v>
      </c>
      <c r="E407" t="s">
        <v>1070</v>
      </c>
      <c r="F407" t="s">
        <v>1334</v>
      </c>
      <c r="G407" t="s">
        <v>3197</v>
      </c>
      <c r="H407" t="s">
        <v>3198</v>
      </c>
      <c r="I407" t="s">
        <v>3039</v>
      </c>
      <c r="J407" t="s">
        <v>3039</v>
      </c>
      <c r="K407" t="s">
        <v>3199</v>
      </c>
    </row>
    <row r="408" spans="1:11" x14ac:dyDescent="0.2">
      <c r="A408" t="s">
        <v>2328</v>
      </c>
      <c r="B408" t="s">
        <v>2329</v>
      </c>
      <c r="C408" t="s">
        <v>3683</v>
      </c>
      <c r="D408" t="s">
        <v>2331</v>
      </c>
      <c r="E408" t="s">
        <v>2331</v>
      </c>
      <c r="F408" t="s">
        <v>1334</v>
      </c>
      <c r="G408" t="s">
        <v>3229</v>
      </c>
      <c r="H408" t="s">
        <v>3238</v>
      </c>
      <c r="I408" t="s">
        <v>25</v>
      </c>
      <c r="J408" t="s">
        <v>2993</v>
      </c>
      <c r="K408" t="s">
        <v>3199</v>
      </c>
    </row>
    <row r="409" spans="1:11" x14ac:dyDescent="0.2">
      <c r="A409" t="s">
        <v>2328</v>
      </c>
      <c r="B409" t="s">
        <v>2336</v>
      </c>
      <c r="C409" t="s">
        <v>3684</v>
      </c>
      <c r="D409" t="s">
        <v>2331</v>
      </c>
      <c r="E409" t="s">
        <v>2331</v>
      </c>
      <c r="F409" t="s">
        <v>1334</v>
      </c>
      <c r="G409" t="s">
        <v>3284</v>
      </c>
      <c r="H409" t="s">
        <v>3285</v>
      </c>
      <c r="I409" t="s">
        <v>2984</v>
      </c>
      <c r="J409" t="s">
        <v>3286</v>
      </c>
      <c r="K409" t="s">
        <v>3199</v>
      </c>
    </row>
    <row r="410" spans="1:11" x14ac:dyDescent="0.2">
      <c r="A410" t="s">
        <v>2328</v>
      </c>
      <c r="B410" t="s">
        <v>2339</v>
      </c>
      <c r="C410" t="s">
        <v>3685</v>
      </c>
      <c r="D410" t="s">
        <v>2331</v>
      </c>
      <c r="E410" t="s">
        <v>2331</v>
      </c>
      <c r="F410" t="s">
        <v>1334</v>
      </c>
      <c r="G410" t="s">
        <v>3197</v>
      </c>
      <c r="H410" t="s">
        <v>3198</v>
      </c>
      <c r="I410" t="s">
        <v>3039</v>
      </c>
      <c r="J410" t="s">
        <v>3039</v>
      </c>
      <c r="K410" t="s">
        <v>3199</v>
      </c>
    </row>
    <row r="411" spans="1:11" x14ac:dyDescent="0.2">
      <c r="A411" t="s">
        <v>2328</v>
      </c>
      <c r="B411" t="s">
        <v>1076</v>
      </c>
      <c r="C411" t="s">
        <v>3686</v>
      </c>
      <c r="D411" t="s">
        <v>2331</v>
      </c>
      <c r="E411" t="s">
        <v>2331</v>
      </c>
      <c r="F411" t="s">
        <v>1334</v>
      </c>
      <c r="G411" t="s">
        <v>3197</v>
      </c>
      <c r="H411" t="s">
        <v>3198</v>
      </c>
      <c r="I411" t="s">
        <v>3039</v>
      </c>
      <c r="J411" t="s">
        <v>3039</v>
      </c>
      <c r="K411" t="s">
        <v>3199</v>
      </c>
    </row>
    <row r="412" spans="1:11" x14ac:dyDescent="0.2">
      <c r="A412" t="s">
        <v>2341</v>
      </c>
      <c r="B412" t="s">
        <v>2342</v>
      </c>
      <c r="C412" t="s">
        <v>3687</v>
      </c>
      <c r="D412" t="s">
        <v>2344</v>
      </c>
      <c r="E412" t="s">
        <v>2344</v>
      </c>
      <c r="F412" t="s">
        <v>1334</v>
      </c>
      <c r="G412" t="s">
        <v>3197</v>
      </c>
      <c r="H412" t="s">
        <v>3198</v>
      </c>
      <c r="I412" t="s">
        <v>3039</v>
      </c>
      <c r="J412" t="s">
        <v>3039</v>
      </c>
      <c r="K412" t="s">
        <v>3199</v>
      </c>
    </row>
    <row r="413" spans="1:11" x14ac:dyDescent="0.2">
      <c r="A413" t="s">
        <v>2346</v>
      </c>
      <c r="B413" t="s">
        <v>2347</v>
      </c>
      <c r="C413" t="s">
        <v>3688</v>
      </c>
      <c r="D413" t="s">
        <v>1372</v>
      </c>
      <c r="E413" t="s">
        <v>1372</v>
      </c>
      <c r="F413" t="s">
        <v>1334</v>
      </c>
      <c r="G413" t="s">
        <v>3222</v>
      </c>
      <c r="H413" t="s">
        <v>3223</v>
      </c>
      <c r="I413" t="s">
        <v>3224</v>
      </c>
      <c r="J413" t="s">
        <v>2997</v>
      </c>
      <c r="K413" t="s">
        <v>3199</v>
      </c>
    </row>
    <row r="414" spans="1:11" x14ac:dyDescent="0.2">
      <c r="A414" t="s">
        <v>2346</v>
      </c>
      <c r="B414" t="s">
        <v>211</v>
      </c>
      <c r="C414" t="s">
        <v>3689</v>
      </c>
      <c r="D414" t="s">
        <v>1372</v>
      </c>
      <c r="E414" t="s">
        <v>1372</v>
      </c>
      <c r="F414" t="s">
        <v>1334</v>
      </c>
      <c r="G414" t="s">
        <v>3197</v>
      </c>
      <c r="H414" t="s">
        <v>3198</v>
      </c>
      <c r="I414" t="s">
        <v>3039</v>
      </c>
      <c r="J414" t="s">
        <v>3039</v>
      </c>
      <c r="K414" t="s">
        <v>3199</v>
      </c>
    </row>
    <row r="415" spans="1:11" x14ac:dyDescent="0.2">
      <c r="A415" t="s">
        <v>2352</v>
      </c>
      <c r="B415" t="s">
        <v>2353</v>
      </c>
      <c r="C415" t="s">
        <v>3690</v>
      </c>
      <c r="D415" t="s">
        <v>2356</v>
      </c>
      <c r="E415" t="s">
        <v>2356</v>
      </c>
      <c r="F415" t="s">
        <v>1334</v>
      </c>
      <c r="G415" t="s">
        <v>3213</v>
      </c>
      <c r="H415" t="s">
        <v>3339</v>
      </c>
      <c r="I415" t="s">
        <v>3340</v>
      </c>
      <c r="J415" t="s">
        <v>3341</v>
      </c>
      <c r="K415" t="s">
        <v>3199</v>
      </c>
    </row>
    <row r="416" spans="1:11" x14ac:dyDescent="0.2">
      <c r="A416" t="s">
        <v>2352</v>
      </c>
      <c r="B416" t="s">
        <v>2362</v>
      </c>
      <c r="C416" t="s">
        <v>3691</v>
      </c>
      <c r="D416" t="s">
        <v>2356</v>
      </c>
      <c r="E416" t="s">
        <v>2356</v>
      </c>
      <c r="F416" t="s">
        <v>1334</v>
      </c>
      <c r="G416" t="s">
        <v>3197</v>
      </c>
      <c r="H416" t="s">
        <v>3198</v>
      </c>
      <c r="I416" t="s">
        <v>3039</v>
      </c>
      <c r="J416" t="s">
        <v>3039</v>
      </c>
      <c r="K416" t="s">
        <v>3199</v>
      </c>
    </row>
    <row r="417" spans="1:11" x14ac:dyDescent="0.2">
      <c r="A417" t="s">
        <v>2352</v>
      </c>
      <c r="B417" t="s">
        <v>2363</v>
      </c>
      <c r="C417" t="s">
        <v>3692</v>
      </c>
      <c r="D417" t="s">
        <v>2356</v>
      </c>
      <c r="E417" t="s">
        <v>2356</v>
      </c>
      <c r="F417" t="s">
        <v>1334</v>
      </c>
      <c r="G417" t="s">
        <v>3339</v>
      </c>
      <c r="H417" t="s">
        <v>3490</v>
      </c>
      <c r="I417" t="s">
        <v>2976</v>
      </c>
      <c r="J417" t="s">
        <v>3491</v>
      </c>
      <c r="K417" t="s">
        <v>3199</v>
      </c>
    </row>
    <row r="418" spans="1:11" x14ac:dyDescent="0.2">
      <c r="A418" t="s">
        <v>2367</v>
      </c>
      <c r="B418" t="s">
        <v>2368</v>
      </c>
      <c r="C418" t="s">
        <v>3693</v>
      </c>
      <c r="D418" t="s">
        <v>1007</v>
      </c>
      <c r="E418" t="s">
        <v>1007</v>
      </c>
      <c r="F418" t="s">
        <v>1334</v>
      </c>
      <c r="G418" t="s">
        <v>3197</v>
      </c>
      <c r="H418" t="s">
        <v>3198</v>
      </c>
      <c r="I418" t="s">
        <v>3039</v>
      </c>
      <c r="J418" t="s">
        <v>3039</v>
      </c>
      <c r="K418" t="s">
        <v>3199</v>
      </c>
    </row>
    <row r="419" spans="1:11" x14ac:dyDescent="0.2">
      <c r="A419" t="s">
        <v>2369</v>
      </c>
      <c r="B419" t="s">
        <v>2370</v>
      </c>
      <c r="C419" t="s">
        <v>3694</v>
      </c>
      <c r="D419" t="s">
        <v>88</v>
      </c>
      <c r="E419" t="s">
        <v>88</v>
      </c>
      <c r="F419" t="s">
        <v>1334</v>
      </c>
      <c r="G419" t="s">
        <v>3197</v>
      </c>
      <c r="H419" t="s">
        <v>3198</v>
      </c>
      <c r="I419" t="s">
        <v>3039</v>
      </c>
      <c r="J419" t="s">
        <v>3039</v>
      </c>
      <c r="K419" t="s">
        <v>3199</v>
      </c>
    </row>
    <row r="420" spans="1:11" x14ac:dyDescent="0.2">
      <c r="A420" t="s">
        <v>2369</v>
      </c>
      <c r="B420" t="s">
        <v>2372</v>
      </c>
      <c r="C420" t="s">
        <v>3695</v>
      </c>
      <c r="D420" t="s">
        <v>88</v>
      </c>
      <c r="E420" t="s">
        <v>88</v>
      </c>
      <c r="F420" t="s">
        <v>1334</v>
      </c>
      <c r="G420" t="s">
        <v>3269</v>
      </c>
      <c r="H420" t="s">
        <v>3398</v>
      </c>
      <c r="I420" t="s">
        <v>3399</v>
      </c>
      <c r="J420" t="s">
        <v>2991</v>
      </c>
      <c r="K420" t="s">
        <v>3199</v>
      </c>
    </row>
    <row r="421" spans="1:11" x14ac:dyDescent="0.2">
      <c r="A421" t="s">
        <v>2377</v>
      </c>
      <c r="B421" t="s">
        <v>2378</v>
      </c>
      <c r="C421" t="s">
        <v>3696</v>
      </c>
      <c r="D421" t="s">
        <v>2053</v>
      </c>
      <c r="E421" t="s">
        <v>2053</v>
      </c>
      <c r="F421" t="s">
        <v>1334</v>
      </c>
      <c r="G421" t="s">
        <v>3197</v>
      </c>
      <c r="H421" t="s">
        <v>3198</v>
      </c>
      <c r="I421" t="s">
        <v>3039</v>
      </c>
      <c r="J421" t="s">
        <v>3039</v>
      </c>
      <c r="K421" t="s">
        <v>3199</v>
      </c>
    </row>
    <row r="422" spans="1:11" x14ac:dyDescent="0.2">
      <c r="A422" t="s">
        <v>2379</v>
      </c>
      <c r="B422" t="s">
        <v>2380</v>
      </c>
      <c r="C422" t="s">
        <v>3697</v>
      </c>
      <c r="D422" t="s">
        <v>1725</v>
      </c>
      <c r="E422" t="s">
        <v>1725</v>
      </c>
      <c r="F422" t="s">
        <v>1334</v>
      </c>
      <c r="G422" t="s">
        <v>3197</v>
      </c>
      <c r="H422" t="s">
        <v>3198</v>
      </c>
      <c r="I422" t="s">
        <v>3039</v>
      </c>
      <c r="J422" t="s">
        <v>3039</v>
      </c>
      <c r="K422" t="s">
        <v>3199</v>
      </c>
    </row>
    <row r="423" spans="1:11" x14ac:dyDescent="0.2">
      <c r="A423" t="s">
        <v>2382</v>
      </c>
      <c r="B423" t="s">
        <v>759</v>
      </c>
      <c r="C423" t="s">
        <v>3698</v>
      </c>
      <c r="D423" t="s">
        <v>1588</v>
      </c>
      <c r="E423" t="s">
        <v>1588</v>
      </c>
      <c r="F423" t="s">
        <v>1334</v>
      </c>
      <c r="G423" t="s">
        <v>3197</v>
      </c>
      <c r="H423" t="s">
        <v>3198</v>
      </c>
      <c r="I423" t="s">
        <v>3039</v>
      </c>
      <c r="J423" t="s">
        <v>3039</v>
      </c>
      <c r="K423" t="s">
        <v>3199</v>
      </c>
    </row>
    <row r="424" spans="1:11" x14ac:dyDescent="0.2">
      <c r="A424" t="s">
        <v>2382</v>
      </c>
      <c r="B424" t="s">
        <v>2384</v>
      </c>
      <c r="C424" t="s">
        <v>3699</v>
      </c>
      <c r="D424" t="s">
        <v>1588</v>
      </c>
      <c r="E424" t="s">
        <v>1588</v>
      </c>
      <c r="F424" t="s">
        <v>1334</v>
      </c>
      <c r="G424" t="s">
        <v>3217</v>
      </c>
      <c r="H424" t="s">
        <v>3204</v>
      </c>
      <c r="I424" t="s">
        <v>3218</v>
      </c>
      <c r="J424" t="s">
        <v>3008</v>
      </c>
      <c r="K424" t="s">
        <v>3199</v>
      </c>
    </row>
    <row r="425" spans="1:11" x14ac:dyDescent="0.2">
      <c r="A425" t="s">
        <v>2388</v>
      </c>
      <c r="B425" t="s">
        <v>2389</v>
      </c>
      <c r="C425" t="s">
        <v>3700</v>
      </c>
      <c r="D425" t="s">
        <v>552</v>
      </c>
      <c r="E425" t="s">
        <v>552</v>
      </c>
      <c r="F425" t="s">
        <v>1334</v>
      </c>
      <c r="G425" t="s">
        <v>3288</v>
      </c>
      <c r="H425" t="s">
        <v>3289</v>
      </c>
      <c r="I425" t="s">
        <v>3290</v>
      </c>
      <c r="J425" t="s">
        <v>3291</v>
      </c>
      <c r="K425" t="s">
        <v>3199</v>
      </c>
    </row>
    <row r="426" spans="1:11" x14ac:dyDescent="0.2">
      <c r="A426" t="s">
        <v>2388</v>
      </c>
      <c r="B426" t="s">
        <v>2275</v>
      </c>
      <c r="C426" t="s">
        <v>3701</v>
      </c>
      <c r="D426" t="s">
        <v>552</v>
      </c>
      <c r="E426" t="s">
        <v>552</v>
      </c>
      <c r="F426" t="s">
        <v>1334</v>
      </c>
      <c r="G426" t="s">
        <v>3284</v>
      </c>
      <c r="H426" t="s">
        <v>3285</v>
      </c>
      <c r="I426" t="s">
        <v>2984</v>
      </c>
      <c r="J426" t="s">
        <v>3286</v>
      </c>
      <c r="K426" t="s">
        <v>3199</v>
      </c>
    </row>
    <row r="427" spans="1:11" x14ac:dyDescent="0.2">
      <c r="A427" t="s">
        <v>2388</v>
      </c>
      <c r="B427" t="s">
        <v>3702</v>
      </c>
      <c r="C427" t="s">
        <v>3703</v>
      </c>
      <c r="D427" t="s">
        <v>552</v>
      </c>
      <c r="E427" t="s">
        <v>552</v>
      </c>
      <c r="F427" t="s">
        <v>1334</v>
      </c>
      <c r="G427" t="s">
        <v>3217</v>
      </c>
      <c r="H427" t="s">
        <v>3204</v>
      </c>
      <c r="I427" t="s">
        <v>3218</v>
      </c>
      <c r="J427" t="s">
        <v>3008</v>
      </c>
      <c r="K427" t="s">
        <v>3199</v>
      </c>
    </row>
    <row r="428" spans="1:11" x14ac:dyDescent="0.2">
      <c r="A428" t="s">
        <v>2402</v>
      </c>
      <c r="B428" t="s">
        <v>176</v>
      </c>
      <c r="C428" t="s">
        <v>3704</v>
      </c>
      <c r="D428" t="s">
        <v>2404</v>
      </c>
      <c r="E428" t="s">
        <v>2404</v>
      </c>
      <c r="F428" t="s">
        <v>1334</v>
      </c>
      <c r="G428" t="s">
        <v>3249</v>
      </c>
      <c r="H428" t="s">
        <v>3250</v>
      </c>
      <c r="I428" t="s">
        <v>3251</v>
      </c>
      <c r="J428" t="s">
        <v>265</v>
      </c>
      <c r="K428" t="s">
        <v>3199</v>
      </c>
    </row>
    <row r="429" spans="1:11" x14ac:dyDescent="0.2">
      <c r="A429" t="s">
        <v>2410</v>
      </c>
      <c r="B429" t="s">
        <v>2411</v>
      </c>
      <c r="C429" t="s">
        <v>3705</v>
      </c>
      <c r="D429" t="s">
        <v>2413</v>
      </c>
      <c r="E429" t="s">
        <v>2413</v>
      </c>
      <c r="F429" t="s">
        <v>1334</v>
      </c>
      <c r="G429" t="s">
        <v>3234</v>
      </c>
      <c r="H429" t="s">
        <v>3222</v>
      </c>
      <c r="I429" t="s">
        <v>2986</v>
      </c>
      <c r="J429" t="s">
        <v>3235</v>
      </c>
      <c r="K429" t="s">
        <v>3199</v>
      </c>
    </row>
    <row r="430" spans="1:11" x14ac:dyDescent="0.2">
      <c r="A430" t="s">
        <v>2410</v>
      </c>
      <c r="B430" t="s">
        <v>2417</v>
      </c>
      <c r="C430" t="s">
        <v>3706</v>
      </c>
      <c r="D430" t="s">
        <v>2413</v>
      </c>
      <c r="E430" t="s">
        <v>2413</v>
      </c>
      <c r="F430" t="s">
        <v>1334</v>
      </c>
      <c r="G430" t="s">
        <v>3197</v>
      </c>
      <c r="H430" t="s">
        <v>3198</v>
      </c>
      <c r="I430" t="s">
        <v>3039</v>
      </c>
      <c r="J430" t="s">
        <v>3039</v>
      </c>
      <c r="K430" t="s">
        <v>3199</v>
      </c>
    </row>
    <row r="431" spans="1:11" x14ac:dyDescent="0.2">
      <c r="A431" t="s">
        <v>2419</v>
      </c>
      <c r="B431" t="s">
        <v>2420</v>
      </c>
      <c r="C431" t="s">
        <v>3707</v>
      </c>
      <c r="D431" t="s">
        <v>2413</v>
      </c>
      <c r="E431" t="s">
        <v>2413</v>
      </c>
      <c r="F431" t="s">
        <v>1334</v>
      </c>
      <c r="G431" t="s">
        <v>3197</v>
      </c>
      <c r="H431" t="s">
        <v>3198</v>
      </c>
      <c r="I431" t="s">
        <v>3039</v>
      </c>
      <c r="J431" t="s">
        <v>3039</v>
      </c>
      <c r="K431" t="s">
        <v>3199</v>
      </c>
    </row>
    <row r="432" spans="1:11" x14ac:dyDescent="0.2">
      <c r="A432" t="s">
        <v>2421</v>
      </c>
      <c r="B432" t="s">
        <v>947</v>
      </c>
      <c r="C432" t="s">
        <v>3708</v>
      </c>
      <c r="D432" t="s">
        <v>1582</v>
      </c>
      <c r="E432" t="s">
        <v>1582</v>
      </c>
      <c r="F432" t="s">
        <v>1334</v>
      </c>
      <c r="G432" t="s">
        <v>3217</v>
      </c>
      <c r="H432" t="s">
        <v>3204</v>
      </c>
      <c r="I432" t="s">
        <v>3218</v>
      </c>
      <c r="J432" t="s">
        <v>3008</v>
      </c>
      <c r="K432" t="s">
        <v>3199</v>
      </c>
    </row>
    <row r="433" spans="1:11" x14ac:dyDescent="0.2">
      <c r="A433" t="s">
        <v>2421</v>
      </c>
      <c r="B433" t="s">
        <v>1119</v>
      </c>
      <c r="C433" t="s">
        <v>3709</v>
      </c>
      <c r="D433" t="s">
        <v>1582</v>
      </c>
      <c r="E433" t="s">
        <v>1582</v>
      </c>
      <c r="F433" t="s">
        <v>1334</v>
      </c>
      <c r="G433" t="s">
        <v>3197</v>
      </c>
      <c r="H433" t="s">
        <v>3198</v>
      </c>
      <c r="I433" t="s">
        <v>3039</v>
      </c>
      <c r="J433" t="s">
        <v>3039</v>
      </c>
      <c r="K433" t="s">
        <v>3199</v>
      </c>
    </row>
    <row r="434" spans="1:11" x14ac:dyDescent="0.2">
      <c r="A434" t="s">
        <v>2426</v>
      </c>
      <c r="B434" t="s">
        <v>297</v>
      </c>
      <c r="C434" t="s">
        <v>3710</v>
      </c>
      <c r="D434" t="s">
        <v>1301</v>
      </c>
      <c r="E434" t="s">
        <v>1301</v>
      </c>
      <c r="F434" t="s">
        <v>1334</v>
      </c>
      <c r="G434" t="s">
        <v>3285</v>
      </c>
      <c r="H434" t="s">
        <v>3675</v>
      </c>
      <c r="I434" t="s">
        <v>24</v>
      </c>
      <c r="J434" t="s">
        <v>3005</v>
      </c>
      <c r="K434" t="s">
        <v>3199</v>
      </c>
    </row>
    <row r="435" spans="1:11" x14ac:dyDescent="0.2">
      <c r="A435" t="s">
        <v>2426</v>
      </c>
      <c r="B435" t="s">
        <v>319</v>
      </c>
      <c r="C435" t="s">
        <v>3711</v>
      </c>
      <c r="D435" t="s">
        <v>1301</v>
      </c>
      <c r="E435" t="s">
        <v>1301</v>
      </c>
      <c r="F435" t="s">
        <v>1334</v>
      </c>
      <c r="G435" t="s">
        <v>3284</v>
      </c>
      <c r="H435" t="s">
        <v>3285</v>
      </c>
      <c r="I435" t="s">
        <v>2984</v>
      </c>
      <c r="J435" t="s">
        <v>3286</v>
      </c>
      <c r="K435" t="s">
        <v>3199</v>
      </c>
    </row>
    <row r="436" spans="1:11" x14ac:dyDescent="0.2">
      <c r="A436" t="s">
        <v>2426</v>
      </c>
      <c r="B436" t="s">
        <v>2433</v>
      </c>
      <c r="C436" t="s">
        <v>3712</v>
      </c>
      <c r="D436" t="s">
        <v>1301</v>
      </c>
      <c r="E436" t="s">
        <v>1301</v>
      </c>
      <c r="F436" t="s">
        <v>1334</v>
      </c>
      <c r="G436" t="s">
        <v>3197</v>
      </c>
      <c r="H436" t="s">
        <v>3198</v>
      </c>
      <c r="I436" t="s">
        <v>3039</v>
      </c>
      <c r="J436" t="s">
        <v>3039</v>
      </c>
      <c r="K436" t="s">
        <v>3199</v>
      </c>
    </row>
    <row r="437" spans="1:11" x14ac:dyDescent="0.2">
      <c r="A437" t="s">
        <v>2435</v>
      </c>
      <c r="B437" t="s">
        <v>2436</v>
      </c>
      <c r="C437" t="s">
        <v>3713</v>
      </c>
      <c r="D437" t="s">
        <v>1877</v>
      </c>
      <c r="E437" t="s">
        <v>1877</v>
      </c>
      <c r="F437" t="s">
        <v>1334</v>
      </c>
      <c r="G437" t="s">
        <v>3197</v>
      </c>
      <c r="H437" t="s">
        <v>3198</v>
      </c>
      <c r="I437" t="s">
        <v>3039</v>
      </c>
      <c r="J437" t="s">
        <v>3039</v>
      </c>
      <c r="K437" t="s">
        <v>3199</v>
      </c>
    </row>
    <row r="438" spans="1:11" x14ac:dyDescent="0.2">
      <c r="A438" t="s">
        <v>3714</v>
      </c>
      <c r="B438" t="s">
        <v>650</v>
      </c>
      <c r="C438" t="s">
        <v>3715</v>
      </c>
      <c r="D438" t="s">
        <v>145</v>
      </c>
      <c r="E438" t="s">
        <v>145</v>
      </c>
      <c r="F438" t="s">
        <v>1334</v>
      </c>
      <c r="G438" t="s">
        <v>3288</v>
      </c>
      <c r="H438" t="s">
        <v>3289</v>
      </c>
      <c r="I438" t="s">
        <v>3290</v>
      </c>
      <c r="J438" t="s">
        <v>3291</v>
      </c>
      <c r="K438" t="s">
        <v>3199</v>
      </c>
    </row>
    <row r="439" spans="1:11" x14ac:dyDescent="0.2">
      <c r="A439" t="s">
        <v>2438</v>
      </c>
      <c r="B439" t="s">
        <v>3716</v>
      </c>
      <c r="C439" t="s">
        <v>3717</v>
      </c>
      <c r="D439" t="s">
        <v>2308</v>
      </c>
      <c r="E439" t="s">
        <v>2308</v>
      </c>
      <c r="F439" t="s">
        <v>1334</v>
      </c>
      <c r="G439" t="s">
        <v>3197</v>
      </c>
      <c r="H439" t="s">
        <v>3198</v>
      </c>
      <c r="I439" t="s">
        <v>3039</v>
      </c>
      <c r="J439" t="s">
        <v>3039</v>
      </c>
      <c r="K439" t="s">
        <v>3199</v>
      </c>
    </row>
    <row r="440" spans="1:11" x14ac:dyDescent="0.2">
      <c r="A440" t="s">
        <v>2440</v>
      </c>
      <c r="B440" t="s">
        <v>2441</v>
      </c>
      <c r="C440" t="s">
        <v>3718</v>
      </c>
      <c r="D440" t="s">
        <v>145</v>
      </c>
      <c r="E440" t="s">
        <v>145</v>
      </c>
      <c r="F440" t="s">
        <v>1334</v>
      </c>
      <c r="G440" t="s">
        <v>3249</v>
      </c>
      <c r="H440" t="s">
        <v>3250</v>
      </c>
      <c r="I440" t="s">
        <v>3251</v>
      </c>
      <c r="J440" t="s">
        <v>265</v>
      </c>
      <c r="K440" t="s">
        <v>3199</v>
      </c>
    </row>
    <row r="441" spans="1:11" x14ac:dyDescent="0.2">
      <c r="A441" t="s">
        <v>2449</v>
      </c>
      <c r="B441" t="s">
        <v>2450</v>
      </c>
      <c r="C441" t="s">
        <v>3719</v>
      </c>
      <c r="D441" t="s">
        <v>145</v>
      </c>
      <c r="E441" t="s">
        <v>145</v>
      </c>
      <c r="F441" t="s">
        <v>1334</v>
      </c>
      <c r="G441" t="s">
        <v>3249</v>
      </c>
      <c r="H441" t="s">
        <v>3250</v>
      </c>
      <c r="I441" t="s">
        <v>3251</v>
      </c>
      <c r="J441" t="s">
        <v>265</v>
      </c>
      <c r="K441" t="s">
        <v>3199</v>
      </c>
    </row>
    <row r="442" spans="1:11" x14ac:dyDescent="0.2">
      <c r="A442" t="s">
        <v>2456</v>
      </c>
      <c r="B442" t="s">
        <v>203</v>
      </c>
      <c r="C442" t="s">
        <v>1334</v>
      </c>
      <c r="D442" t="s">
        <v>1334</v>
      </c>
      <c r="E442" t="s">
        <v>2458</v>
      </c>
      <c r="F442" t="s">
        <v>3347</v>
      </c>
      <c r="G442" t="s">
        <v>3197</v>
      </c>
      <c r="H442" t="s">
        <v>3198</v>
      </c>
      <c r="I442" t="s">
        <v>3039</v>
      </c>
      <c r="J442" t="s">
        <v>3039</v>
      </c>
      <c r="K442" t="s">
        <v>1334</v>
      </c>
    </row>
    <row r="443" spans="1:11" x14ac:dyDescent="0.2">
      <c r="A443" t="s">
        <v>2456</v>
      </c>
      <c r="B443" t="s">
        <v>1066</v>
      </c>
      <c r="C443" t="s">
        <v>3720</v>
      </c>
      <c r="D443" t="s">
        <v>2458</v>
      </c>
      <c r="E443" t="s">
        <v>2458</v>
      </c>
      <c r="F443" t="s">
        <v>1334</v>
      </c>
      <c r="G443" t="s">
        <v>3217</v>
      </c>
      <c r="H443" t="s">
        <v>3204</v>
      </c>
      <c r="I443" t="s">
        <v>3218</v>
      </c>
      <c r="J443" t="s">
        <v>3008</v>
      </c>
      <c r="K443" t="s">
        <v>3199</v>
      </c>
    </row>
    <row r="444" spans="1:11" x14ac:dyDescent="0.2">
      <c r="A444" t="s">
        <v>2456</v>
      </c>
      <c r="B444" t="s">
        <v>3348</v>
      </c>
      <c r="C444" t="s">
        <v>1334</v>
      </c>
      <c r="D444" t="s">
        <v>1334</v>
      </c>
      <c r="E444" t="s">
        <v>2458</v>
      </c>
      <c r="F444" t="s">
        <v>3347</v>
      </c>
      <c r="G444" t="s">
        <v>3197</v>
      </c>
      <c r="H444" t="s">
        <v>3198</v>
      </c>
      <c r="I444" t="s">
        <v>3039</v>
      </c>
      <c r="J444" t="s">
        <v>3039</v>
      </c>
      <c r="K444" t="s">
        <v>1334</v>
      </c>
    </row>
    <row r="445" spans="1:11" x14ac:dyDescent="0.2">
      <c r="A445" t="s">
        <v>2462</v>
      </c>
      <c r="B445" t="s">
        <v>2463</v>
      </c>
      <c r="C445" t="s">
        <v>3721</v>
      </c>
      <c r="D445" t="s">
        <v>770</v>
      </c>
      <c r="E445" t="s">
        <v>770</v>
      </c>
      <c r="F445" t="s">
        <v>1334</v>
      </c>
      <c r="G445" t="s">
        <v>3234</v>
      </c>
      <c r="H445" t="s">
        <v>3222</v>
      </c>
      <c r="I445" t="s">
        <v>2986</v>
      </c>
      <c r="J445" t="s">
        <v>3235</v>
      </c>
      <c r="K445" t="s">
        <v>3199</v>
      </c>
    </row>
    <row r="446" spans="1:11" x14ac:dyDescent="0.2">
      <c r="A446" t="s">
        <v>2467</v>
      </c>
      <c r="B446" t="s">
        <v>1435</v>
      </c>
      <c r="C446" t="s">
        <v>3722</v>
      </c>
      <c r="D446" t="s">
        <v>2028</v>
      </c>
      <c r="E446" t="s">
        <v>2028</v>
      </c>
      <c r="F446" t="s">
        <v>1334</v>
      </c>
      <c r="G446" t="s">
        <v>3197</v>
      </c>
      <c r="H446" t="s">
        <v>3198</v>
      </c>
      <c r="I446" t="s">
        <v>3039</v>
      </c>
      <c r="J446" t="s">
        <v>3039</v>
      </c>
      <c r="K446" t="s">
        <v>3199</v>
      </c>
    </row>
    <row r="447" spans="1:11" x14ac:dyDescent="0.2">
      <c r="A447" t="s">
        <v>2470</v>
      </c>
      <c r="B447" t="s">
        <v>2471</v>
      </c>
      <c r="C447" t="s">
        <v>3723</v>
      </c>
      <c r="D447" t="s">
        <v>337</v>
      </c>
      <c r="E447" t="s">
        <v>337</v>
      </c>
      <c r="F447" t="s">
        <v>1334</v>
      </c>
      <c r="G447" t="s">
        <v>3330</v>
      </c>
      <c r="H447" t="s">
        <v>3249</v>
      </c>
      <c r="I447" t="s">
        <v>2974</v>
      </c>
      <c r="J447" t="s">
        <v>3331</v>
      </c>
      <c r="K447" t="s">
        <v>3199</v>
      </c>
    </row>
    <row r="448" spans="1:11" x14ac:dyDescent="0.2">
      <c r="A448" t="s">
        <v>2474</v>
      </c>
      <c r="B448" t="s">
        <v>2475</v>
      </c>
      <c r="C448" t="s">
        <v>3724</v>
      </c>
      <c r="D448" t="s">
        <v>560</v>
      </c>
      <c r="E448" t="s">
        <v>560</v>
      </c>
      <c r="F448" t="s">
        <v>1334</v>
      </c>
      <c r="G448" t="s">
        <v>3197</v>
      </c>
      <c r="H448" t="s">
        <v>3198</v>
      </c>
      <c r="I448" t="s">
        <v>3039</v>
      </c>
      <c r="J448" t="s">
        <v>3039</v>
      </c>
      <c r="K448" t="s">
        <v>3199</v>
      </c>
    </row>
    <row r="449" spans="1:11" x14ac:dyDescent="0.2">
      <c r="A449" t="s">
        <v>2474</v>
      </c>
      <c r="B449" t="s">
        <v>363</v>
      </c>
      <c r="C449" t="s">
        <v>3725</v>
      </c>
      <c r="D449" t="s">
        <v>560</v>
      </c>
      <c r="E449" t="s">
        <v>560</v>
      </c>
      <c r="F449" t="s">
        <v>1334</v>
      </c>
      <c r="G449" t="s">
        <v>3234</v>
      </c>
      <c r="H449" t="s">
        <v>3222</v>
      </c>
      <c r="I449" t="s">
        <v>2986</v>
      </c>
      <c r="J449" t="s">
        <v>3235</v>
      </c>
      <c r="K449" t="s">
        <v>3199</v>
      </c>
    </row>
    <row r="450" spans="1:11" x14ac:dyDescent="0.2">
      <c r="A450" t="s">
        <v>2480</v>
      </c>
      <c r="B450" t="s">
        <v>2481</v>
      </c>
      <c r="C450" t="s">
        <v>3726</v>
      </c>
      <c r="D450" t="s">
        <v>487</v>
      </c>
      <c r="E450" t="s">
        <v>487</v>
      </c>
      <c r="F450" t="s">
        <v>1334</v>
      </c>
      <c r="G450" t="s">
        <v>3284</v>
      </c>
      <c r="H450" t="s">
        <v>3285</v>
      </c>
      <c r="I450" t="s">
        <v>2984</v>
      </c>
      <c r="J450" t="s">
        <v>3286</v>
      </c>
      <c r="K450" t="s">
        <v>3199</v>
      </c>
    </row>
    <row r="451" spans="1:11" x14ac:dyDescent="0.2">
      <c r="A451" t="s">
        <v>2480</v>
      </c>
      <c r="B451" t="s">
        <v>3727</v>
      </c>
      <c r="C451" t="s">
        <v>3728</v>
      </c>
      <c r="D451" t="s">
        <v>487</v>
      </c>
      <c r="E451" t="s">
        <v>487</v>
      </c>
      <c r="F451" t="s">
        <v>1334</v>
      </c>
      <c r="G451" t="s">
        <v>3197</v>
      </c>
      <c r="H451" t="s">
        <v>3198</v>
      </c>
      <c r="I451" t="s">
        <v>3039</v>
      </c>
      <c r="J451" t="s">
        <v>3039</v>
      </c>
      <c r="K451" t="s">
        <v>3199</v>
      </c>
    </row>
    <row r="452" spans="1:11" x14ac:dyDescent="0.2">
      <c r="A452" t="s">
        <v>2480</v>
      </c>
      <c r="B452" t="s">
        <v>2489</v>
      </c>
      <c r="C452" t="s">
        <v>3729</v>
      </c>
      <c r="D452" t="s">
        <v>487</v>
      </c>
      <c r="E452" t="s">
        <v>487</v>
      </c>
      <c r="F452" t="s">
        <v>1334</v>
      </c>
      <c r="G452" t="s">
        <v>3268</v>
      </c>
      <c r="H452" t="s">
        <v>3269</v>
      </c>
      <c r="I452" t="s">
        <v>2978</v>
      </c>
      <c r="J452" t="s">
        <v>3270</v>
      </c>
      <c r="K452" t="s">
        <v>3199</v>
      </c>
    </row>
    <row r="453" spans="1:11" x14ac:dyDescent="0.2">
      <c r="A453" t="s">
        <v>2492</v>
      </c>
      <c r="B453" t="s">
        <v>2493</v>
      </c>
      <c r="C453" t="s">
        <v>3730</v>
      </c>
      <c r="D453" t="s">
        <v>2496</v>
      </c>
      <c r="E453" t="s">
        <v>2496</v>
      </c>
      <c r="F453" t="s">
        <v>1334</v>
      </c>
      <c r="G453" t="s">
        <v>3197</v>
      </c>
      <c r="H453" t="s">
        <v>3198</v>
      </c>
      <c r="I453" t="s">
        <v>3039</v>
      </c>
      <c r="J453" t="s">
        <v>3039</v>
      </c>
      <c r="K453" t="s">
        <v>3199</v>
      </c>
    </row>
    <row r="454" spans="1:11" x14ac:dyDescent="0.2">
      <c r="A454" t="s">
        <v>2492</v>
      </c>
      <c r="B454" t="s">
        <v>2498</v>
      </c>
      <c r="C454" t="s">
        <v>3731</v>
      </c>
      <c r="D454" t="s">
        <v>2496</v>
      </c>
      <c r="E454" t="s">
        <v>2496</v>
      </c>
      <c r="F454" t="s">
        <v>1334</v>
      </c>
      <c r="G454" t="s">
        <v>3228</v>
      </c>
      <c r="H454" t="s">
        <v>3229</v>
      </c>
      <c r="I454" t="s">
        <v>2982</v>
      </c>
      <c r="J454" t="s">
        <v>3230</v>
      </c>
      <c r="K454" t="s">
        <v>3199</v>
      </c>
    </row>
    <row r="455" spans="1:11" x14ac:dyDescent="0.2">
      <c r="A455" t="s">
        <v>2492</v>
      </c>
      <c r="B455" t="s">
        <v>2501</v>
      </c>
      <c r="C455" t="s">
        <v>3732</v>
      </c>
      <c r="D455" t="s">
        <v>2496</v>
      </c>
      <c r="E455" t="s">
        <v>2496</v>
      </c>
      <c r="F455" t="s">
        <v>1334</v>
      </c>
      <c r="G455" t="s">
        <v>3197</v>
      </c>
      <c r="H455" t="s">
        <v>3198</v>
      </c>
      <c r="I455" t="s">
        <v>3039</v>
      </c>
      <c r="J455" t="s">
        <v>3039</v>
      </c>
      <c r="K455" t="s">
        <v>3199</v>
      </c>
    </row>
    <row r="456" spans="1:11" x14ac:dyDescent="0.2">
      <c r="A456" t="s">
        <v>2503</v>
      </c>
      <c r="B456" t="s">
        <v>2504</v>
      </c>
      <c r="C456" t="s">
        <v>3733</v>
      </c>
      <c r="D456" t="s">
        <v>145</v>
      </c>
      <c r="E456" t="s">
        <v>145</v>
      </c>
      <c r="F456" t="s">
        <v>1334</v>
      </c>
      <c r="G456" t="s">
        <v>3212</v>
      </c>
      <c r="H456" t="s">
        <v>3213</v>
      </c>
      <c r="I456" t="s">
        <v>3214</v>
      </c>
      <c r="J456" t="s">
        <v>3215</v>
      </c>
      <c r="K456" t="s">
        <v>3199</v>
      </c>
    </row>
    <row r="457" spans="1:11" x14ac:dyDescent="0.2">
      <c r="A457" t="s">
        <v>2516</v>
      </c>
      <c r="B457" t="s">
        <v>2517</v>
      </c>
      <c r="C457" t="s">
        <v>3734</v>
      </c>
      <c r="D457" t="s">
        <v>145</v>
      </c>
      <c r="E457" t="s">
        <v>145</v>
      </c>
      <c r="F457" t="s">
        <v>1334</v>
      </c>
      <c r="G457" t="s">
        <v>3370</v>
      </c>
      <c r="H457" t="s">
        <v>3371</v>
      </c>
      <c r="I457" t="s">
        <v>3372</v>
      </c>
      <c r="J457" t="s">
        <v>3064</v>
      </c>
      <c r="K457" t="s">
        <v>3199</v>
      </c>
    </row>
    <row r="458" spans="1:11" x14ac:dyDescent="0.2">
      <c r="A458" t="s">
        <v>2525</v>
      </c>
      <c r="B458" t="s">
        <v>720</v>
      </c>
      <c r="C458" t="s">
        <v>3735</v>
      </c>
      <c r="D458" t="s">
        <v>2527</v>
      </c>
      <c r="E458" t="s">
        <v>2527</v>
      </c>
      <c r="F458" t="s">
        <v>1334</v>
      </c>
      <c r="G458" t="s">
        <v>3197</v>
      </c>
      <c r="H458" t="s">
        <v>3198</v>
      </c>
      <c r="I458" t="s">
        <v>3039</v>
      </c>
      <c r="J458" t="s">
        <v>3039</v>
      </c>
      <c r="K458" t="s">
        <v>3199</v>
      </c>
    </row>
    <row r="459" spans="1:11" x14ac:dyDescent="0.2">
      <c r="A459" t="s">
        <v>2531</v>
      </c>
      <c r="B459" t="s">
        <v>1886</v>
      </c>
      <c r="C459" t="s">
        <v>3736</v>
      </c>
      <c r="D459" t="s">
        <v>1533</v>
      </c>
      <c r="E459" t="s">
        <v>1533</v>
      </c>
      <c r="F459" t="s">
        <v>1334</v>
      </c>
      <c r="G459" t="s">
        <v>3197</v>
      </c>
      <c r="H459" t="s">
        <v>3198</v>
      </c>
      <c r="I459" t="s">
        <v>3039</v>
      </c>
      <c r="J459" t="s">
        <v>3039</v>
      </c>
      <c r="K459" t="s">
        <v>3199</v>
      </c>
    </row>
    <row r="460" spans="1:11" x14ac:dyDescent="0.2">
      <c r="A460" t="s">
        <v>2531</v>
      </c>
      <c r="B460" t="s">
        <v>2535</v>
      </c>
      <c r="C460" t="s">
        <v>3737</v>
      </c>
      <c r="D460" t="s">
        <v>1533</v>
      </c>
      <c r="E460" t="s">
        <v>1533</v>
      </c>
      <c r="F460" t="s">
        <v>1334</v>
      </c>
      <c r="G460" t="s">
        <v>3269</v>
      </c>
      <c r="H460" t="s">
        <v>3398</v>
      </c>
      <c r="I460" t="s">
        <v>3399</v>
      </c>
      <c r="J460" t="s">
        <v>2991</v>
      </c>
      <c r="K460" t="s">
        <v>3199</v>
      </c>
    </row>
    <row r="461" spans="1:11" x14ac:dyDescent="0.2">
      <c r="A461" t="s">
        <v>2541</v>
      </c>
      <c r="B461" t="s">
        <v>2542</v>
      </c>
      <c r="C461" t="s">
        <v>3738</v>
      </c>
      <c r="D461" t="s">
        <v>2198</v>
      </c>
      <c r="E461" t="s">
        <v>2198</v>
      </c>
      <c r="F461" t="s">
        <v>1334</v>
      </c>
      <c r="G461" t="s">
        <v>3339</v>
      </c>
      <c r="H461" t="s">
        <v>3490</v>
      </c>
      <c r="I461" t="s">
        <v>2976</v>
      </c>
      <c r="J461" t="s">
        <v>3491</v>
      </c>
      <c r="K461" t="s">
        <v>3199</v>
      </c>
    </row>
    <row r="462" spans="1:11" x14ac:dyDescent="0.2">
      <c r="A462" t="s">
        <v>2541</v>
      </c>
      <c r="B462" t="s">
        <v>3702</v>
      </c>
      <c r="C462" t="s">
        <v>3739</v>
      </c>
      <c r="D462" t="s">
        <v>2198</v>
      </c>
      <c r="E462" t="s">
        <v>2198</v>
      </c>
      <c r="F462" t="s">
        <v>1334</v>
      </c>
      <c r="G462" t="s">
        <v>3197</v>
      </c>
      <c r="H462" t="s">
        <v>3198</v>
      </c>
      <c r="I462" t="s">
        <v>3039</v>
      </c>
      <c r="J462" t="s">
        <v>3039</v>
      </c>
      <c r="K462" t="s">
        <v>3199</v>
      </c>
    </row>
    <row r="463" spans="1:11" x14ac:dyDescent="0.2">
      <c r="A463" t="s">
        <v>2547</v>
      </c>
      <c r="B463" t="s">
        <v>2548</v>
      </c>
      <c r="C463" t="s">
        <v>3740</v>
      </c>
      <c r="D463" t="s">
        <v>145</v>
      </c>
      <c r="E463" t="s">
        <v>145</v>
      </c>
      <c r="F463" t="s">
        <v>1334</v>
      </c>
      <c r="G463" t="s">
        <v>3249</v>
      </c>
      <c r="H463" t="s">
        <v>3250</v>
      </c>
      <c r="I463" t="s">
        <v>3251</v>
      </c>
      <c r="J463" t="s">
        <v>265</v>
      </c>
      <c r="K463" t="s">
        <v>3199</v>
      </c>
    </row>
    <row r="464" spans="1:11" x14ac:dyDescent="0.2">
      <c r="A464" t="s">
        <v>2556</v>
      </c>
      <c r="B464" t="s">
        <v>2557</v>
      </c>
      <c r="C464" t="s">
        <v>3741</v>
      </c>
      <c r="D464" t="s">
        <v>2559</v>
      </c>
      <c r="E464" t="s">
        <v>2559</v>
      </c>
      <c r="F464" t="s">
        <v>1334</v>
      </c>
      <c r="G464" t="s">
        <v>3213</v>
      </c>
      <c r="H464" t="s">
        <v>3339</v>
      </c>
      <c r="I464" t="s">
        <v>3340</v>
      </c>
      <c r="J464" t="s">
        <v>3341</v>
      </c>
      <c r="K464" t="s">
        <v>3199</v>
      </c>
    </row>
    <row r="465" spans="1:11" x14ac:dyDescent="0.2">
      <c r="A465" t="s">
        <v>2565</v>
      </c>
      <c r="B465" t="s">
        <v>2566</v>
      </c>
      <c r="C465" t="s">
        <v>3742</v>
      </c>
      <c r="D465" t="s">
        <v>2569</v>
      </c>
      <c r="E465" t="s">
        <v>2569</v>
      </c>
      <c r="F465" t="s">
        <v>1334</v>
      </c>
      <c r="G465" t="s">
        <v>3197</v>
      </c>
      <c r="H465" t="s">
        <v>3198</v>
      </c>
      <c r="I465" t="s">
        <v>3039</v>
      </c>
      <c r="J465" t="s">
        <v>3039</v>
      </c>
      <c r="K465" t="s">
        <v>3199</v>
      </c>
    </row>
    <row r="466" spans="1:11" x14ac:dyDescent="0.2">
      <c r="A466" t="s">
        <v>2565</v>
      </c>
      <c r="B466" t="s">
        <v>2571</v>
      </c>
      <c r="C466" t="s">
        <v>3743</v>
      </c>
      <c r="D466" t="s">
        <v>829</v>
      </c>
      <c r="E466" t="s">
        <v>829</v>
      </c>
      <c r="F466" t="s">
        <v>1334</v>
      </c>
      <c r="G466" t="s">
        <v>3217</v>
      </c>
      <c r="H466" t="s">
        <v>3204</v>
      </c>
      <c r="I466" t="s">
        <v>3218</v>
      </c>
      <c r="J466" t="s">
        <v>3008</v>
      </c>
      <c r="K466" t="s">
        <v>3199</v>
      </c>
    </row>
    <row r="467" spans="1:11" x14ac:dyDescent="0.2">
      <c r="A467" t="s">
        <v>2565</v>
      </c>
      <c r="B467" t="s">
        <v>2576</v>
      </c>
      <c r="C467" t="s">
        <v>3744</v>
      </c>
      <c r="D467" t="s">
        <v>829</v>
      </c>
      <c r="E467" t="s">
        <v>829</v>
      </c>
      <c r="F467" t="s">
        <v>1334</v>
      </c>
      <c r="G467" t="s">
        <v>3197</v>
      </c>
      <c r="H467" t="s">
        <v>3198</v>
      </c>
      <c r="I467" t="s">
        <v>3039</v>
      </c>
      <c r="J467" t="s">
        <v>3039</v>
      </c>
      <c r="K467" t="s">
        <v>3199</v>
      </c>
    </row>
    <row r="468" spans="1:11" x14ac:dyDescent="0.2">
      <c r="A468" t="s">
        <v>2565</v>
      </c>
      <c r="B468" t="s">
        <v>170</v>
      </c>
      <c r="C468" t="s">
        <v>3745</v>
      </c>
      <c r="D468" t="s">
        <v>2569</v>
      </c>
      <c r="E468" t="s">
        <v>2569</v>
      </c>
      <c r="F468" t="s">
        <v>1334</v>
      </c>
      <c r="G468" t="s">
        <v>3228</v>
      </c>
      <c r="H468" t="s">
        <v>3229</v>
      </c>
      <c r="I468" t="s">
        <v>2982</v>
      </c>
      <c r="J468" t="s">
        <v>3230</v>
      </c>
      <c r="K468" t="s">
        <v>3199</v>
      </c>
    </row>
    <row r="469" spans="1:11" x14ac:dyDescent="0.2">
      <c r="A469" t="s">
        <v>2581</v>
      </c>
      <c r="B469" t="s">
        <v>1670</v>
      </c>
      <c r="C469" t="s">
        <v>3746</v>
      </c>
      <c r="D469" t="s">
        <v>2569</v>
      </c>
      <c r="E469" t="s">
        <v>2569</v>
      </c>
      <c r="F469" t="s">
        <v>1334</v>
      </c>
      <c r="G469" t="s">
        <v>3197</v>
      </c>
      <c r="H469" t="s">
        <v>3198</v>
      </c>
      <c r="I469" t="s">
        <v>3039</v>
      </c>
      <c r="J469" t="s">
        <v>3039</v>
      </c>
      <c r="K469" t="s">
        <v>3199</v>
      </c>
    </row>
    <row r="470" spans="1:11" x14ac:dyDescent="0.2">
      <c r="A470" t="s">
        <v>2582</v>
      </c>
      <c r="B470" t="s">
        <v>2583</v>
      </c>
      <c r="C470" t="s">
        <v>3747</v>
      </c>
      <c r="D470" t="s">
        <v>236</v>
      </c>
      <c r="E470" t="s">
        <v>236</v>
      </c>
      <c r="F470" t="s">
        <v>1334</v>
      </c>
      <c r="G470" t="s">
        <v>3242</v>
      </c>
      <c r="H470" t="s">
        <v>3243</v>
      </c>
      <c r="I470" t="s">
        <v>3244</v>
      </c>
      <c r="J470" t="s">
        <v>3055</v>
      </c>
      <c r="K470" t="s">
        <v>3199</v>
      </c>
    </row>
    <row r="471" spans="1:11" x14ac:dyDescent="0.2">
      <c r="A471" t="s">
        <v>2589</v>
      </c>
      <c r="B471" t="s">
        <v>2590</v>
      </c>
      <c r="C471" t="s">
        <v>3748</v>
      </c>
      <c r="D471" t="s">
        <v>517</v>
      </c>
      <c r="E471" t="s">
        <v>517</v>
      </c>
      <c r="F471" t="s">
        <v>1334</v>
      </c>
      <c r="G471" t="s">
        <v>3197</v>
      </c>
      <c r="H471" t="s">
        <v>3198</v>
      </c>
      <c r="I471" t="s">
        <v>3039</v>
      </c>
      <c r="J471" t="s">
        <v>3039</v>
      </c>
      <c r="K471" t="s">
        <v>3199</v>
      </c>
    </row>
    <row r="472" spans="1:11" x14ac:dyDescent="0.2">
      <c r="A472" t="s">
        <v>2591</v>
      </c>
      <c r="B472" t="s">
        <v>2592</v>
      </c>
      <c r="C472" t="s">
        <v>3749</v>
      </c>
      <c r="D472" t="s">
        <v>1198</v>
      </c>
      <c r="E472" t="s">
        <v>1198</v>
      </c>
      <c r="F472" t="s">
        <v>1334</v>
      </c>
      <c r="G472" t="s">
        <v>3204</v>
      </c>
      <c r="H472" t="s">
        <v>3205</v>
      </c>
      <c r="I472" t="s">
        <v>3206</v>
      </c>
      <c r="J472" t="s">
        <v>2999</v>
      </c>
      <c r="K472" t="s">
        <v>3199</v>
      </c>
    </row>
    <row r="473" spans="1:11" x14ac:dyDescent="0.2">
      <c r="A473" t="s">
        <v>2591</v>
      </c>
      <c r="B473" t="s">
        <v>2596</v>
      </c>
      <c r="C473" t="s">
        <v>3750</v>
      </c>
      <c r="D473" t="s">
        <v>1198</v>
      </c>
      <c r="E473" t="s">
        <v>1198</v>
      </c>
      <c r="F473" t="s">
        <v>1334</v>
      </c>
      <c r="G473" t="s">
        <v>3284</v>
      </c>
      <c r="H473" t="s">
        <v>3285</v>
      </c>
      <c r="I473" t="s">
        <v>2984</v>
      </c>
      <c r="J473" t="s">
        <v>3286</v>
      </c>
      <c r="K473" t="s">
        <v>3199</v>
      </c>
    </row>
    <row r="474" spans="1:11" x14ac:dyDescent="0.2">
      <c r="A474" t="s">
        <v>2591</v>
      </c>
      <c r="B474" t="s">
        <v>1803</v>
      </c>
      <c r="C474" t="s">
        <v>3751</v>
      </c>
      <c r="D474" t="s">
        <v>1198</v>
      </c>
      <c r="E474" t="s">
        <v>1198</v>
      </c>
      <c r="F474" t="s">
        <v>1334</v>
      </c>
      <c r="G474" t="s">
        <v>3197</v>
      </c>
      <c r="H474" t="s">
        <v>3198</v>
      </c>
      <c r="I474" t="s">
        <v>3039</v>
      </c>
      <c r="J474" t="s">
        <v>3039</v>
      </c>
      <c r="K474" t="s">
        <v>3199</v>
      </c>
    </row>
    <row r="475" spans="1:11" x14ac:dyDescent="0.2">
      <c r="A475" t="s">
        <v>2600</v>
      </c>
      <c r="B475" t="s">
        <v>2601</v>
      </c>
      <c r="C475" t="s">
        <v>3752</v>
      </c>
      <c r="D475" t="s">
        <v>206</v>
      </c>
      <c r="E475" t="s">
        <v>206</v>
      </c>
      <c r="F475" t="s">
        <v>1334</v>
      </c>
      <c r="G475" t="s">
        <v>3197</v>
      </c>
      <c r="H475" t="s">
        <v>3198</v>
      </c>
      <c r="I475" t="s">
        <v>3039</v>
      </c>
      <c r="J475" t="s">
        <v>3039</v>
      </c>
      <c r="K475" t="s">
        <v>3199</v>
      </c>
    </row>
    <row r="476" spans="1:11" x14ac:dyDescent="0.2">
      <c r="A476" t="s">
        <v>2602</v>
      </c>
      <c r="B476" t="s">
        <v>2566</v>
      </c>
      <c r="C476" t="s">
        <v>3753</v>
      </c>
      <c r="D476" t="s">
        <v>2559</v>
      </c>
      <c r="E476" t="s">
        <v>2559</v>
      </c>
      <c r="F476" t="s">
        <v>1334</v>
      </c>
      <c r="G476" t="s">
        <v>3197</v>
      </c>
      <c r="H476" t="s">
        <v>3198</v>
      </c>
      <c r="I476" t="s">
        <v>3039</v>
      </c>
      <c r="J476" t="s">
        <v>3039</v>
      </c>
      <c r="K476" t="s">
        <v>3199</v>
      </c>
    </row>
    <row r="477" spans="1:11" x14ac:dyDescent="0.2">
      <c r="A477" t="s">
        <v>2602</v>
      </c>
      <c r="B477" t="s">
        <v>2606</v>
      </c>
      <c r="C477" t="s">
        <v>3754</v>
      </c>
      <c r="D477" t="s">
        <v>2559</v>
      </c>
      <c r="E477" t="s">
        <v>2559</v>
      </c>
      <c r="F477" t="s">
        <v>1334</v>
      </c>
      <c r="G477" t="s">
        <v>3370</v>
      </c>
      <c r="H477" t="s">
        <v>3371</v>
      </c>
      <c r="I477" t="s">
        <v>3372</v>
      </c>
      <c r="J477" t="s">
        <v>3064</v>
      </c>
      <c r="K477" t="s">
        <v>3199</v>
      </c>
    </row>
    <row r="478" spans="1:11" x14ac:dyDescent="0.2">
      <c r="A478" t="s">
        <v>2612</v>
      </c>
      <c r="B478" t="s">
        <v>2613</v>
      </c>
      <c r="C478" t="s">
        <v>3755</v>
      </c>
      <c r="D478" t="s">
        <v>3461</v>
      </c>
      <c r="E478" t="s">
        <v>3461</v>
      </c>
      <c r="F478" t="s">
        <v>1334</v>
      </c>
      <c r="G478" t="s">
        <v>3197</v>
      </c>
      <c r="H478" t="s">
        <v>3198</v>
      </c>
      <c r="I478" t="s">
        <v>3039</v>
      </c>
      <c r="J478" t="s">
        <v>3039</v>
      </c>
      <c r="K478" t="s">
        <v>3199</v>
      </c>
    </row>
    <row r="479" spans="1:11" x14ac:dyDescent="0.2">
      <c r="A479" t="s">
        <v>2615</v>
      </c>
      <c r="B479" t="s">
        <v>2616</v>
      </c>
      <c r="C479" t="s">
        <v>3756</v>
      </c>
      <c r="D479" t="s">
        <v>2619</v>
      </c>
      <c r="E479" t="s">
        <v>2619</v>
      </c>
      <c r="F479" t="s">
        <v>1334</v>
      </c>
      <c r="G479" t="s">
        <v>3757</v>
      </c>
      <c r="H479" t="s">
        <v>3758</v>
      </c>
      <c r="I479" t="s">
        <v>3759</v>
      </c>
      <c r="J479" t="s">
        <v>3071</v>
      </c>
      <c r="K479" t="s">
        <v>3199</v>
      </c>
    </row>
    <row r="480" spans="1:11" x14ac:dyDescent="0.2">
      <c r="A480" t="s">
        <v>2615</v>
      </c>
      <c r="B480" t="s">
        <v>1449</v>
      </c>
      <c r="C480" t="s">
        <v>3760</v>
      </c>
      <c r="D480" t="s">
        <v>2619</v>
      </c>
      <c r="E480" t="s">
        <v>2619</v>
      </c>
      <c r="F480" t="s">
        <v>1334</v>
      </c>
      <c r="G480" t="s">
        <v>3296</v>
      </c>
      <c r="H480" t="s">
        <v>3297</v>
      </c>
      <c r="I480" t="s">
        <v>46</v>
      </c>
      <c r="J480" t="s">
        <v>3023</v>
      </c>
      <c r="K480" t="s">
        <v>3199</v>
      </c>
    </row>
    <row r="481" spans="1:11" x14ac:dyDescent="0.2">
      <c r="A481" t="s">
        <v>2630</v>
      </c>
      <c r="B481" t="s">
        <v>2631</v>
      </c>
      <c r="C481" t="s">
        <v>3761</v>
      </c>
      <c r="D481" t="s">
        <v>2619</v>
      </c>
      <c r="E481" t="s">
        <v>2619</v>
      </c>
      <c r="F481" t="s">
        <v>1334</v>
      </c>
      <c r="G481" t="s">
        <v>3197</v>
      </c>
      <c r="H481" t="s">
        <v>3198</v>
      </c>
      <c r="I481" t="s">
        <v>3039</v>
      </c>
      <c r="J481" t="s">
        <v>3039</v>
      </c>
      <c r="K481" t="s">
        <v>3199</v>
      </c>
    </row>
    <row r="482" spans="1:11" x14ac:dyDescent="0.2">
      <c r="A482" t="s">
        <v>2634</v>
      </c>
      <c r="B482" t="s">
        <v>899</v>
      </c>
      <c r="C482" t="s">
        <v>3762</v>
      </c>
      <c r="D482" t="s">
        <v>1986</v>
      </c>
      <c r="E482" t="s">
        <v>1986</v>
      </c>
      <c r="F482" t="s">
        <v>1334</v>
      </c>
      <c r="G482" t="s">
        <v>3197</v>
      </c>
      <c r="H482" t="s">
        <v>3198</v>
      </c>
      <c r="I482" t="s">
        <v>3039</v>
      </c>
      <c r="J482" t="s">
        <v>3039</v>
      </c>
      <c r="K482" t="s">
        <v>3199</v>
      </c>
    </row>
    <row r="483" spans="1:11" x14ac:dyDescent="0.2">
      <c r="A483" t="s">
        <v>2635</v>
      </c>
      <c r="B483" t="s">
        <v>2636</v>
      </c>
      <c r="C483" t="s">
        <v>3763</v>
      </c>
      <c r="D483" t="s">
        <v>1658</v>
      </c>
      <c r="E483" t="s">
        <v>1658</v>
      </c>
      <c r="F483" t="s">
        <v>1334</v>
      </c>
      <c r="G483" t="s">
        <v>3197</v>
      </c>
      <c r="H483" t="s">
        <v>3198</v>
      </c>
      <c r="I483" t="s">
        <v>3039</v>
      </c>
      <c r="J483" t="s">
        <v>3039</v>
      </c>
      <c r="K483" t="s">
        <v>3199</v>
      </c>
    </row>
    <row r="484" spans="1:11" x14ac:dyDescent="0.2">
      <c r="A484" t="s">
        <v>2635</v>
      </c>
      <c r="B484" t="s">
        <v>2638</v>
      </c>
      <c r="C484" t="s">
        <v>3764</v>
      </c>
      <c r="D484" t="s">
        <v>1658</v>
      </c>
      <c r="E484" t="s">
        <v>1658</v>
      </c>
      <c r="F484" t="s">
        <v>1334</v>
      </c>
      <c r="G484" t="s">
        <v>3217</v>
      </c>
      <c r="H484" t="s">
        <v>3204</v>
      </c>
      <c r="I484" t="s">
        <v>3218</v>
      </c>
      <c r="J484" t="s">
        <v>3008</v>
      </c>
      <c r="K484" t="s">
        <v>3199</v>
      </c>
    </row>
    <row r="485" spans="1:11" x14ac:dyDescent="0.2">
      <c r="A485" t="s">
        <v>2642</v>
      </c>
      <c r="B485" t="s">
        <v>2643</v>
      </c>
      <c r="C485" t="s">
        <v>3765</v>
      </c>
      <c r="D485" t="s">
        <v>1860</v>
      </c>
      <c r="E485" t="s">
        <v>1860</v>
      </c>
      <c r="F485" t="s">
        <v>1334</v>
      </c>
      <c r="G485" t="s">
        <v>3212</v>
      </c>
      <c r="H485" t="s">
        <v>3213</v>
      </c>
      <c r="I485" t="s">
        <v>3214</v>
      </c>
      <c r="J485" t="s">
        <v>3215</v>
      </c>
      <c r="K485" t="s">
        <v>3199</v>
      </c>
    </row>
    <row r="486" spans="1:11" x14ac:dyDescent="0.2">
      <c r="A486" t="s">
        <v>3766</v>
      </c>
      <c r="B486" t="s">
        <v>2648</v>
      </c>
      <c r="C486" t="s">
        <v>3767</v>
      </c>
      <c r="D486" t="s">
        <v>145</v>
      </c>
      <c r="E486" t="s">
        <v>145</v>
      </c>
      <c r="F486" t="s">
        <v>1334</v>
      </c>
      <c r="G486" t="s">
        <v>3212</v>
      </c>
      <c r="H486" t="s">
        <v>3213</v>
      </c>
      <c r="I486" t="s">
        <v>3214</v>
      </c>
      <c r="J486" t="s">
        <v>3215</v>
      </c>
      <c r="K486" t="s">
        <v>3199</v>
      </c>
    </row>
    <row r="487" spans="1:11" x14ac:dyDescent="0.2">
      <c r="A487" t="s">
        <v>2654</v>
      </c>
      <c r="B487" t="s">
        <v>3661</v>
      </c>
      <c r="C487" t="s">
        <v>3768</v>
      </c>
      <c r="D487" t="s">
        <v>2656</v>
      </c>
      <c r="E487" t="s">
        <v>2656</v>
      </c>
      <c r="F487" t="s">
        <v>1334</v>
      </c>
      <c r="G487" t="s">
        <v>3249</v>
      </c>
      <c r="H487" t="s">
        <v>3250</v>
      </c>
      <c r="I487" t="s">
        <v>3251</v>
      </c>
      <c r="J487" t="s">
        <v>265</v>
      </c>
      <c r="K487" t="s">
        <v>3199</v>
      </c>
    </row>
    <row r="488" spans="1:11" x14ac:dyDescent="0.2">
      <c r="A488" t="s">
        <v>2662</v>
      </c>
      <c r="B488" t="s">
        <v>2008</v>
      </c>
      <c r="C488" t="s">
        <v>3769</v>
      </c>
      <c r="D488" t="s">
        <v>2101</v>
      </c>
      <c r="E488" t="s">
        <v>2101</v>
      </c>
      <c r="F488" t="s">
        <v>1334</v>
      </c>
      <c r="G488" t="s">
        <v>3285</v>
      </c>
      <c r="H488" t="s">
        <v>3675</v>
      </c>
      <c r="I488" t="s">
        <v>24</v>
      </c>
      <c r="J488" t="s">
        <v>3005</v>
      </c>
      <c r="K488" t="s">
        <v>3199</v>
      </c>
    </row>
    <row r="489" spans="1:11" x14ac:dyDescent="0.2">
      <c r="A489" t="s">
        <v>2662</v>
      </c>
      <c r="B489" t="s">
        <v>2667</v>
      </c>
      <c r="C489" t="s">
        <v>3770</v>
      </c>
      <c r="D489" t="s">
        <v>2101</v>
      </c>
      <c r="E489" t="s">
        <v>2101</v>
      </c>
      <c r="F489" t="s">
        <v>1334</v>
      </c>
      <c r="G489" t="s">
        <v>3197</v>
      </c>
      <c r="H489" t="s">
        <v>3198</v>
      </c>
      <c r="I489" t="s">
        <v>3039</v>
      </c>
      <c r="J489" t="s">
        <v>3039</v>
      </c>
      <c r="K489" t="s">
        <v>3199</v>
      </c>
    </row>
    <row r="490" spans="1:11" x14ac:dyDescent="0.2">
      <c r="A490" t="s">
        <v>2669</v>
      </c>
      <c r="B490" t="s">
        <v>2670</v>
      </c>
      <c r="C490" t="s">
        <v>3771</v>
      </c>
      <c r="D490" t="s">
        <v>2673</v>
      </c>
      <c r="E490" t="s">
        <v>2673</v>
      </c>
      <c r="F490" t="s">
        <v>1334</v>
      </c>
      <c r="G490" t="s">
        <v>3228</v>
      </c>
      <c r="H490" t="s">
        <v>3229</v>
      </c>
      <c r="I490" t="s">
        <v>2982</v>
      </c>
      <c r="J490" t="s">
        <v>3230</v>
      </c>
      <c r="K490" t="s">
        <v>3199</v>
      </c>
    </row>
    <row r="491" spans="1:11" x14ac:dyDescent="0.2">
      <c r="A491" t="s">
        <v>2669</v>
      </c>
      <c r="B491" t="s">
        <v>2679</v>
      </c>
      <c r="C491" t="s">
        <v>3772</v>
      </c>
      <c r="D491" t="s">
        <v>2673</v>
      </c>
      <c r="E491" t="s">
        <v>2673</v>
      </c>
      <c r="F491" t="s">
        <v>1334</v>
      </c>
      <c r="G491" t="s">
        <v>3197</v>
      </c>
      <c r="H491" t="s">
        <v>3198</v>
      </c>
      <c r="I491" t="s">
        <v>3039</v>
      </c>
      <c r="J491" t="s">
        <v>3039</v>
      </c>
      <c r="K491" t="s">
        <v>3199</v>
      </c>
    </row>
    <row r="492" spans="1:11" x14ac:dyDescent="0.2">
      <c r="A492" t="s">
        <v>2669</v>
      </c>
      <c r="B492" t="s">
        <v>2682</v>
      </c>
      <c r="C492" t="s">
        <v>3773</v>
      </c>
      <c r="D492" t="s">
        <v>2673</v>
      </c>
      <c r="E492" t="s">
        <v>2673</v>
      </c>
      <c r="F492" t="s">
        <v>1334</v>
      </c>
      <c r="G492" t="s">
        <v>3213</v>
      </c>
      <c r="H492" t="s">
        <v>3339</v>
      </c>
      <c r="I492" t="s">
        <v>3340</v>
      </c>
      <c r="J492" t="s">
        <v>3341</v>
      </c>
      <c r="K492" t="s">
        <v>3199</v>
      </c>
    </row>
    <row r="493" spans="1:11" x14ac:dyDescent="0.2">
      <c r="A493" t="s">
        <v>2685</v>
      </c>
      <c r="B493" t="s">
        <v>2686</v>
      </c>
      <c r="C493" t="s">
        <v>3774</v>
      </c>
      <c r="D493" t="s">
        <v>133</v>
      </c>
      <c r="E493" t="s">
        <v>133</v>
      </c>
      <c r="F493" t="s">
        <v>1334</v>
      </c>
      <c r="G493" t="s">
        <v>3197</v>
      </c>
      <c r="H493" t="s">
        <v>3198</v>
      </c>
      <c r="I493" t="s">
        <v>3039</v>
      </c>
      <c r="J493" t="s">
        <v>3039</v>
      </c>
      <c r="K493" t="s">
        <v>3199</v>
      </c>
    </row>
    <row r="494" spans="1:11" x14ac:dyDescent="0.2">
      <c r="A494" t="s">
        <v>2690</v>
      </c>
      <c r="B494" t="s">
        <v>1449</v>
      </c>
      <c r="C494" t="s">
        <v>3775</v>
      </c>
      <c r="D494" t="s">
        <v>145</v>
      </c>
      <c r="E494" t="s">
        <v>145</v>
      </c>
      <c r="F494" t="s">
        <v>1334</v>
      </c>
      <c r="G494" t="s">
        <v>3212</v>
      </c>
      <c r="H494" t="s">
        <v>3213</v>
      </c>
      <c r="I494" t="s">
        <v>3214</v>
      </c>
      <c r="J494" t="s">
        <v>3215</v>
      </c>
      <c r="K494" t="s">
        <v>3199</v>
      </c>
    </row>
    <row r="495" spans="1:11" x14ac:dyDescent="0.2">
      <c r="A495" t="s">
        <v>3776</v>
      </c>
      <c r="B495" t="s">
        <v>2702</v>
      </c>
      <c r="C495" t="s">
        <v>3777</v>
      </c>
      <c r="D495" t="s">
        <v>2344</v>
      </c>
      <c r="E495" t="s">
        <v>2344</v>
      </c>
      <c r="F495" t="s">
        <v>1334</v>
      </c>
      <c r="G495" t="s">
        <v>3197</v>
      </c>
      <c r="H495" t="s">
        <v>3198</v>
      </c>
      <c r="I495" t="s">
        <v>3039</v>
      </c>
      <c r="J495" t="s">
        <v>3039</v>
      </c>
      <c r="K495" t="s">
        <v>3199</v>
      </c>
    </row>
    <row r="496" spans="1:11" x14ac:dyDescent="0.2">
      <c r="A496" t="s">
        <v>2703</v>
      </c>
      <c r="B496" t="s">
        <v>2704</v>
      </c>
      <c r="C496" t="s">
        <v>3778</v>
      </c>
      <c r="D496" t="s">
        <v>2344</v>
      </c>
      <c r="E496" t="s">
        <v>2344</v>
      </c>
      <c r="F496" t="s">
        <v>1334</v>
      </c>
      <c r="G496" t="s">
        <v>3217</v>
      </c>
      <c r="H496" t="s">
        <v>3204</v>
      </c>
      <c r="I496" t="s">
        <v>3218</v>
      </c>
      <c r="J496" t="s">
        <v>3008</v>
      </c>
      <c r="K496" t="s">
        <v>3199</v>
      </c>
    </row>
    <row r="497" spans="1:11" x14ac:dyDescent="0.2">
      <c r="A497" t="s">
        <v>2709</v>
      </c>
      <c r="B497" t="s">
        <v>2710</v>
      </c>
      <c r="C497" t="s">
        <v>3779</v>
      </c>
      <c r="D497" t="s">
        <v>2048</v>
      </c>
      <c r="E497" t="s">
        <v>2048</v>
      </c>
      <c r="F497" t="s">
        <v>1334</v>
      </c>
      <c r="G497" t="s">
        <v>3217</v>
      </c>
      <c r="H497" t="s">
        <v>3204</v>
      </c>
      <c r="I497" t="s">
        <v>3218</v>
      </c>
      <c r="J497" t="s">
        <v>3008</v>
      </c>
      <c r="K497" t="s">
        <v>3199</v>
      </c>
    </row>
    <row r="498" spans="1:11" x14ac:dyDescent="0.2">
      <c r="A498" t="s">
        <v>2709</v>
      </c>
      <c r="B498" t="s">
        <v>2715</v>
      </c>
      <c r="C498" t="s">
        <v>3780</v>
      </c>
      <c r="D498" t="s">
        <v>2048</v>
      </c>
      <c r="E498" t="s">
        <v>2048</v>
      </c>
      <c r="F498" t="s">
        <v>1334</v>
      </c>
      <c r="G498" t="s">
        <v>3197</v>
      </c>
      <c r="H498" t="s">
        <v>3198</v>
      </c>
      <c r="I498" t="s">
        <v>3039</v>
      </c>
      <c r="J498" t="s">
        <v>3039</v>
      </c>
      <c r="K498" t="s">
        <v>3199</v>
      </c>
    </row>
    <row r="499" spans="1:11" x14ac:dyDescent="0.2">
      <c r="A499" t="s">
        <v>2709</v>
      </c>
      <c r="B499" t="s">
        <v>2717</v>
      </c>
      <c r="C499" t="s">
        <v>3781</v>
      </c>
      <c r="D499" t="s">
        <v>2048</v>
      </c>
      <c r="E499" t="s">
        <v>2048</v>
      </c>
      <c r="F499" t="s">
        <v>1334</v>
      </c>
      <c r="G499" t="s">
        <v>3217</v>
      </c>
      <c r="H499" t="s">
        <v>3204</v>
      </c>
      <c r="I499" t="s">
        <v>3218</v>
      </c>
      <c r="J499" t="s">
        <v>3008</v>
      </c>
      <c r="K499" t="s">
        <v>3199</v>
      </c>
    </row>
    <row r="500" spans="1:11" x14ac:dyDescent="0.2">
      <c r="A500" t="s">
        <v>2720</v>
      </c>
      <c r="B500" t="s">
        <v>407</v>
      </c>
      <c r="C500" t="s">
        <v>3782</v>
      </c>
      <c r="D500" t="s">
        <v>1907</v>
      </c>
      <c r="E500" t="s">
        <v>1907</v>
      </c>
      <c r="F500" t="s">
        <v>1334</v>
      </c>
      <c r="G500" t="s">
        <v>3197</v>
      </c>
      <c r="H500" t="s">
        <v>3198</v>
      </c>
      <c r="I500" t="s">
        <v>3039</v>
      </c>
      <c r="J500" t="s">
        <v>3039</v>
      </c>
      <c r="K500" t="s">
        <v>3199</v>
      </c>
    </row>
    <row r="501" spans="1:11" x14ac:dyDescent="0.2">
      <c r="A501" t="s">
        <v>2721</v>
      </c>
      <c r="B501" t="s">
        <v>2722</v>
      </c>
      <c r="C501" t="s">
        <v>3783</v>
      </c>
      <c r="D501" t="s">
        <v>2220</v>
      </c>
      <c r="E501" t="s">
        <v>2220</v>
      </c>
      <c r="F501" t="s">
        <v>1334</v>
      </c>
      <c r="G501" t="s">
        <v>3197</v>
      </c>
      <c r="H501" t="s">
        <v>3198</v>
      </c>
      <c r="I501" t="s">
        <v>3039</v>
      </c>
      <c r="J501" t="s">
        <v>3039</v>
      </c>
      <c r="K501" t="s">
        <v>3199</v>
      </c>
    </row>
    <row r="502" spans="1:11" x14ac:dyDescent="0.2">
      <c r="A502" t="s">
        <v>2723</v>
      </c>
      <c r="B502" t="s">
        <v>2724</v>
      </c>
      <c r="C502" t="s">
        <v>3784</v>
      </c>
      <c r="D502" t="s">
        <v>145</v>
      </c>
      <c r="E502" t="s">
        <v>145</v>
      </c>
      <c r="F502" t="s">
        <v>1334</v>
      </c>
      <c r="G502" t="s">
        <v>3212</v>
      </c>
      <c r="H502" t="s">
        <v>3213</v>
      </c>
      <c r="I502" t="s">
        <v>3214</v>
      </c>
      <c r="J502" t="s">
        <v>3215</v>
      </c>
      <c r="K502" t="s">
        <v>3199</v>
      </c>
    </row>
    <row r="503" spans="1:11" x14ac:dyDescent="0.2">
      <c r="A503" t="s">
        <v>2731</v>
      </c>
      <c r="B503" t="s">
        <v>2732</v>
      </c>
      <c r="C503" t="s">
        <v>3785</v>
      </c>
      <c r="D503" t="s">
        <v>793</v>
      </c>
      <c r="E503" t="s">
        <v>793</v>
      </c>
      <c r="F503" t="s">
        <v>1334</v>
      </c>
      <c r="G503" t="s">
        <v>3197</v>
      </c>
      <c r="H503" t="s">
        <v>3198</v>
      </c>
      <c r="I503" t="s">
        <v>3039</v>
      </c>
      <c r="J503" t="s">
        <v>3039</v>
      </c>
      <c r="K503" t="s">
        <v>3199</v>
      </c>
    </row>
    <row r="504" spans="1:11" x14ac:dyDescent="0.2">
      <c r="A504" t="s">
        <v>2734</v>
      </c>
      <c r="B504" t="s">
        <v>1952</v>
      </c>
      <c r="C504" t="s">
        <v>3786</v>
      </c>
      <c r="D504" t="s">
        <v>2737</v>
      </c>
      <c r="E504" t="s">
        <v>2737</v>
      </c>
      <c r="F504" t="s">
        <v>1334</v>
      </c>
      <c r="G504" t="s">
        <v>3268</v>
      </c>
      <c r="H504" t="s">
        <v>3269</v>
      </c>
      <c r="I504" t="s">
        <v>2978</v>
      </c>
      <c r="J504" t="s">
        <v>3270</v>
      </c>
      <c r="K504" t="s">
        <v>3199</v>
      </c>
    </row>
    <row r="505" spans="1:11" x14ac:dyDescent="0.2">
      <c r="A505" t="s">
        <v>2734</v>
      </c>
      <c r="B505" t="s">
        <v>211</v>
      </c>
      <c r="C505" t="s">
        <v>3787</v>
      </c>
      <c r="D505" t="s">
        <v>2737</v>
      </c>
      <c r="E505" t="s">
        <v>2737</v>
      </c>
      <c r="F505" t="s">
        <v>1334</v>
      </c>
      <c r="G505" t="s">
        <v>3197</v>
      </c>
      <c r="H505" t="s">
        <v>3198</v>
      </c>
      <c r="I505" t="s">
        <v>3039</v>
      </c>
      <c r="J505" t="s">
        <v>3039</v>
      </c>
      <c r="K505" t="s">
        <v>3199</v>
      </c>
    </row>
    <row r="506" spans="1:11" x14ac:dyDescent="0.2">
      <c r="A506" t="s">
        <v>2742</v>
      </c>
      <c r="B506" t="s">
        <v>2743</v>
      </c>
      <c r="C506" t="s">
        <v>3788</v>
      </c>
      <c r="D506" t="s">
        <v>145</v>
      </c>
      <c r="E506" t="s">
        <v>145</v>
      </c>
      <c r="F506" t="s">
        <v>1334</v>
      </c>
      <c r="G506" t="s">
        <v>3212</v>
      </c>
      <c r="H506" t="s">
        <v>3213</v>
      </c>
      <c r="I506" t="s">
        <v>3214</v>
      </c>
      <c r="J506" t="s">
        <v>3215</v>
      </c>
      <c r="K506" t="s">
        <v>3199</v>
      </c>
    </row>
    <row r="507" spans="1:11" x14ac:dyDescent="0.2">
      <c r="A507" t="s">
        <v>2752</v>
      </c>
      <c r="B507" t="s">
        <v>899</v>
      </c>
      <c r="C507" t="s">
        <v>3789</v>
      </c>
      <c r="D507" t="s">
        <v>2289</v>
      </c>
      <c r="E507" t="s">
        <v>2289</v>
      </c>
      <c r="F507" t="s">
        <v>1334</v>
      </c>
      <c r="G507" t="s">
        <v>3197</v>
      </c>
      <c r="H507" t="s">
        <v>3198</v>
      </c>
      <c r="I507" t="s">
        <v>3039</v>
      </c>
      <c r="J507" t="s">
        <v>3039</v>
      </c>
      <c r="K507" t="s">
        <v>3199</v>
      </c>
    </row>
    <row r="508" spans="1:11" x14ac:dyDescent="0.2">
      <c r="A508" t="s">
        <v>2753</v>
      </c>
      <c r="B508" t="s">
        <v>1145</v>
      </c>
      <c r="C508" t="s">
        <v>3790</v>
      </c>
      <c r="D508" t="s">
        <v>604</v>
      </c>
      <c r="E508" t="s">
        <v>604</v>
      </c>
      <c r="F508" t="s">
        <v>1334</v>
      </c>
      <c r="G508" t="s">
        <v>3197</v>
      </c>
      <c r="H508" t="s">
        <v>3198</v>
      </c>
      <c r="I508" t="s">
        <v>3039</v>
      </c>
      <c r="J508" t="s">
        <v>3039</v>
      </c>
      <c r="K508" t="s">
        <v>3199</v>
      </c>
    </row>
    <row r="509" spans="1:11" x14ac:dyDescent="0.2">
      <c r="A509" t="s">
        <v>2753</v>
      </c>
      <c r="B509" t="s">
        <v>2433</v>
      </c>
      <c r="C509" t="s">
        <v>3791</v>
      </c>
      <c r="D509" t="s">
        <v>1856</v>
      </c>
      <c r="E509" t="s">
        <v>1856</v>
      </c>
      <c r="F509" t="s">
        <v>1334</v>
      </c>
      <c r="G509" t="s">
        <v>3197</v>
      </c>
      <c r="H509" t="s">
        <v>3198</v>
      </c>
      <c r="I509" t="s">
        <v>3039</v>
      </c>
      <c r="J509" t="s">
        <v>3039</v>
      </c>
      <c r="K509" t="s">
        <v>3199</v>
      </c>
    </row>
    <row r="510" spans="1:11" x14ac:dyDescent="0.2">
      <c r="A510" t="s">
        <v>2756</v>
      </c>
      <c r="B510" t="s">
        <v>470</v>
      </c>
      <c r="C510" t="s">
        <v>3792</v>
      </c>
      <c r="D510" t="s">
        <v>1856</v>
      </c>
      <c r="E510" t="s">
        <v>1856</v>
      </c>
      <c r="F510" t="s">
        <v>1334</v>
      </c>
      <c r="G510" t="s">
        <v>3228</v>
      </c>
      <c r="H510" t="s">
        <v>3229</v>
      </c>
      <c r="I510" t="s">
        <v>2982</v>
      </c>
      <c r="J510" t="s">
        <v>3230</v>
      </c>
      <c r="K510" t="s">
        <v>3199</v>
      </c>
    </row>
    <row r="511" spans="1:11" x14ac:dyDescent="0.2">
      <c r="A511" t="s">
        <v>2761</v>
      </c>
      <c r="B511" t="s">
        <v>2762</v>
      </c>
      <c r="C511" t="s">
        <v>3793</v>
      </c>
      <c r="D511" t="s">
        <v>145</v>
      </c>
      <c r="E511" t="s">
        <v>145</v>
      </c>
      <c r="F511" t="s">
        <v>1334</v>
      </c>
      <c r="G511" t="s">
        <v>3249</v>
      </c>
      <c r="H511" t="s">
        <v>3250</v>
      </c>
      <c r="I511" t="s">
        <v>3251</v>
      </c>
      <c r="J511" t="s">
        <v>265</v>
      </c>
      <c r="K511" t="s">
        <v>3199</v>
      </c>
    </row>
    <row r="512" spans="1:11" x14ac:dyDescent="0.2">
      <c r="A512" t="s">
        <v>2769</v>
      </c>
      <c r="B512" t="s">
        <v>1942</v>
      </c>
      <c r="C512" t="s">
        <v>3794</v>
      </c>
      <c r="D512" t="s">
        <v>145</v>
      </c>
      <c r="E512" t="s">
        <v>145</v>
      </c>
      <c r="F512" t="s">
        <v>1334</v>
      </c>
      <c r="G512" t="s">
        <v>3296</v>
      </c>
      <c r="H512" t="s">
        <v>3297</v>
      </c>
      <c r="I512" t="s">
        <v>46</v>
      </c>
      <c r="J512" t="s">
        <v>3023</v>
      </c>
      <c r="K512" t="s">
        <v>3199</v>
      </c>
    </row>
    <row r="513" spans="1:11" x14ac:dyDescent="0.2">
      <c r="A513" t="s">
        <v>2777</v>
      </c>
      <c r="B513" t="s">
        <v>2778</v>
      </c>
      <c r="C513" t="s">
        <v>3795</v>
      </c>
      <c r="D513" t="s">
        <v>2782</v>
      </c>
      <c r="E513" t="s">
        <v>2782</v>
      </c>
      <c r="F513" t="s">
        <v>1334</v>
      </c>
      <c r="G513" t="s">
        <v>3297</v>
      </c>
      <c r="H513" t="s">
        <v>3212</v>
      </c>
      <c r="I513" t="s">
        <v>3302</v>
      </c>
      <c r="J513" t="s">
        <v>3302</v>
      </c>
      <c r="K513" t="s">
        <v>3199</v>
      </c>
    </row>
    <row r="514" spans="1:11" x14ac:dyDescent="0.2">
      <c r="A514" t="s">
        <v>2787</v>
      </c>
      <c r="B514" t="s">
        <v>2788</v>
      </c>
      <c r="C514" t="s">
        <v>3796</v>
      </c>
      <c r="D514" t="s">
        <v>154</v>
      </c>
      <c r="E514" t="s">
        <v>154</v>
      </c>
      <c r="F514" t="s">
        <v>1334</v>
      </c>
      <c r="G514" t="s">
        <v>3197</v>
      </c>
      <c r="H514" t="s">
        <v>3198</v>
      </c>
      <c r="I514" t="s">
        <v>3039</v>
      </c>
      <c r="J514" t="s">
        <v>3039</v>
      </c>
      <c r="K514" t="s">
        <v>3199</v>
      </c>
    </row>
    <row r="515" spans="1:11" x14ac:dyDescent="0.2">
      <c r="A515" t="s">
        <v>2789</v>
      </c>
      <c r="B515" t="s">
        <v>1173</v>
      </c>
      <c r="C515" t="s">
        <v>3797</v>
      </c>
      <c r="D515" t="s">
        <v>653</v>
      </c>
      <c r="E515" t="s">
        <v>653</v>
      </c>
      <c r="F515" t="s">
        <v>1334</v>
      </c>
      <c r="G515" t="s">
        <v>3197</v>
      </c>
      <c r="H515" t="s">
        <v>3198</v>
      </c>
      <c r="I515" t="s">
        <v>3039</v>
      </c>
      <c r="J515" t="s">
        <v>3039</v>
      </c>
      <c r="K515" t="s">
        <v>3199</v>
      </c>
    </row>
    <row r="516" spans="1:11" x14ac:dyDescent="0.2">
      <c r="A516" t="s">
        <v>2792</v>
      </c>
      <c r="B516" t="s">
        <v>2793</v>
      </c>
      <c r="C516" t="s">
        <v>3798</v>
      </c>
      <c r="D516" t="s">
        <v>1353</v>
      </c>
      <c r="E516" t="s">
        <v>1353</v>
      </c>
      <c r="F516" t="s">
        <v>1334</v>
      </c>
      <c r="G516" t="s">
        <v>3197</v>
      </c>
      <c r="H516" t="s">
        <v>3198</v>
      </c>
      <c r="I516" t="s">
        <v>3039</v>
      </c>
      <c r="J516" t="s">
        <v>3039</v>
      </c>
      <c r="K516" t="s">
        <v>3199</v>
      </c>
    </row>
    <row r="517" spans="1:11" x14ac:dyDescent="0.2">
      <c r="A517" t="s">
        <v>2794</v>
      </c>
      <c r="B517" t="s">
        <v>95</v>
      </c>
      <c r="C517" t="s">
        <v>3799</v>
      </c>
      <c r="D517" t="s">
        <v>100</v>
      </c>
      <c r="E517" t="s">
        <v>100</v>
      </c>
      <c r="F517" t="s">
        <v>1334</v>
      </c>
      <c r="G517" t="s">
        <v>3217</v>
      </c>
      <c r="H517" t="s">
        <v>3204</v>
      </c>
      <c r="I517" t="s">
        <v>3218</v>
      </c>
      <c r="J517" t="s">
        <v>3008</v>
      </c>
      <c r="K517" t="s">
        <v>3199</v>
      </c>
    </row>
    <row r="518" spans="1:11" x14ac:dyDescent="0.2">
      <c r="A518" t="s">
        <v>2794</v>
      </c>
      <c r="B518" t="s">
        <v>2796</v>
      </c>
      <c r="C518" t="s">
        <v>3800</v>
      </c>
      <c r="D518" t="s">
        <v>145</v>
      </c>
      <c r="E518" t="s">
        <v>145</v>
      </c>
      <c r="F518" t="s">
        <v>1334</v>
      </c>
      <c r="G518" t="s">
        <v>3288</v>
      </c>
      <c r="H518" t="s">
        <v>3289</v>
      </c>
      <c r="I518" t="s">
        <v>3290</v>
      </c>
      <c r="J518" t="s">
        <v>3291</v>
      </c>
      <c r="K518" t="s">
        <v>3199</v>
      </c>
    </row>
    <row r="519" spans="1:11" x14ac:dyDescent="0.2">
      <c r="A519" t="s">
        <v>2794</v>
      </c>
      <c r="B519" t="s">
        <v>2433</v>
      </c>
      <c r="C519" t="s">
        <v>3801</v>
      </c>
      <c r="D519" t="s">
        <v>1096</v>
      </c>
      <c r="E519" t="s">
        <v>1096</v>
      </c>
      <c r="F519" t="s">
        <v>1334</v>
      </c>
      <c r="G519" t="s">
        <v>3197</v>
      </c>
      <c r="H519" t="s">
        <v>3198</v>
      </c>
      <c r="I519" t="s">
        <v>3039</v>
      </c>
      <c r="J519" t="s">
        <v>3039</v>
      </c>
      <c r="K519" t="s">
        <v>3199</v>
      </c>
    </row>
    <row r="520" spans="1:11" x14ac:dyDescent="0.2">
      <c r="A520" t="s">
        <v>2794</v>
      </c>
      <c r="B520" t="s">
        <v>363</v>
      </c>
      <c r="C520" t="s">
        <v>3802</v>
      </c>
      <c r="D520" t="s">
        <v>1096</v>
      </c>
      <c r="E520" t="s">
        <v>1096</v>
      </c>
      <c r="F520" t="s">
        <v>1334</v>
      </c>
      <c r="G520" t="s">
        <v>3339</v>
      </c>
      <c r="H520" t="s">
        <v>3490</v>
      </c>
      <c r="I520" t="s">
        <v>2976</v>
      </c>
      <c r="J520" t="s">
        <v>3491</v>
      </c>
      <c r="K520" t="s">
        <v>3199</v>
      </c>
    </row>
    <row r="521" spans="1:11" x14ac:dyDescent="0.2">
      <c r="A521" t="s">
        <v>2794</v>
      </c>
      <c r="B521" t="s">
        <v>1334</v>
      </c>
      <c r="C521" t="s">
        <v>3803</v>
      </c>
      <c r="D521" t="s">
        <v>100</v>
      </c>
      <c r="E521" t="s">
        <v>100</v>
      </c>
      <c r="F521" t="s">
        <v>1334</v>
      </c>
      <c r="G521" t="s">
        <v>3197</v>
      </c>
      <c r="H521" t="s">
        <v>3198</v>
      </c>
      <c r="I521" t="s">
        <v>3039</v>
      </c>
      <c r="J521" t="s">
        <v>3039</v>
      </c>
      <c r="K521" t="s">
        <v>3199</v>
      </c>
    </row>
    <row r="522" spans="1:11" x14ac:dyDescent="0.2">
      <c r="A522" t="s">
        <v>2805</v>
      </c>
      <c r="B522" t="s">
        <v>2806</v>
      </c>
      <c r="C522" t="s">
        <v>3804</v>
      </c>
      <c r="D522" t="s">
        <v>2808</v>
      </c>
      <c r="E522" t="s">
        <v>2808</v>
      </c>
      <c r="F522" t="s">
        <v>1334</v>
      </c>
      <c r="G522" t="s">
        <v>3222</v>
      </c>
      <c r="H522" t="s">
        <v>3223</v>
      </c>
      <c r="I522" t="s">
        <v>3224</v>
      </c>
      <c r="J522" t="s">
        <v>2997</v>
      </c>
      <c r="K522" t="s">
        <v>3199</v>
      </c>
    </row>
    <row r="523" spans="1:11" x14ac:dyDescent="0.2">
      <c r="A523" t="s">
        <v>2805</v>
      </c>
      <c r="B523" t="s">
        <v>2814</v>
      </c>
      <c r="C523" t="s">
        <v>3805</v>
      </c>
      <c r="D523" t="s">
        <v>2808</v>
      </c>
      <c r="E523" t="s">
        <v>2808</v>
      </c>
      <c r="F523" t="s">
        <v>1334</v>
      </c>
      <c r="G523" t="s">
        <v>3197</v>
      </c>
      <c r="H523" t="s">
        <v>3198</v>
      </c>
      <c r="I523" t="s">
        <v>3039</v>
      </c>
      <c r="J523" t="s">
        <v>3039</v>
      </c>
      <c r="K523" t="s">
        <v>3199</v>
      </c>
    </row>
    <row r="524" spans="1:11" x14ac:dyDescent="0.2">
      <c r="A524" t="s">
        <v>2805</v>
      </c>
      <c r="B524" t="s">
        <v>2815</v>
      </c>
      <c r="C524" t="s">
        <v>3806</v>
      </c>
      <c r="D524" t="s">
        <v>2808</v>
      </c>
      <c r="E524" t="s">
        <v>2808</v>
      </c>
      <c r="F524" t="s">
        <v>1334</v>
      </c>
      <c r="G524" t="s">
        <v>3197</v>
      </c>
      <c r="H524" t="s">
        <v>3198</v>
      </c>
      <c r="I524" t="s">
        <v>3039</v>
      </c>
      <c r="J524" t="s">
        <v>3039</v>
      </c>
      <c r="K524" t="s">
        <v>3199</v>
      </c>
    </row>
    <row r="525" spans="1:11" x14ac:dyDescent="0.2">
      <c r="A525" t="s">
        <v>2816</v>
      </c>
      <c r="B525" t="s">
        <v>2817</v>
      </c>
      <c r="C525" t="s">
        <v>3807</v>
      </c>
      <c r="D525" t="s">
        <v>2136</v>
      </c>
      <c r="E525" t="s">
        <v>2136</v>
      </c>
      <c r="F525" t="s">
        <v>1334</v>
      </c>
      <c r="G525" t="s">
        <v>3197</v>
      </c>
      <c r="H525" t="s">
        <v>3198</v>
      </c>
      <c r="I525" t="s">
        <v>3039</v>
      </c>
      <c r="J525" t="s">
        <v>3039</v>
      </c>
      <c r="K525" t="s">
        <v>3199</v>
      </c>
    </row>
    <row r="526" spans="1:11" x14ac:dyDescent="0.2">
      <c r="A526" t="s">
        <v>2820</v>
      </c>
      <c r="B526" t="s">
        <v>2821</v>
      </c>
      <c r="C526" t="s">
        <v>3808</v>
      </c>
      <c r="D526" t="s">
        <v>2824</v>
      </c>
      <c r="E526" t="s">
        <v>2824</v>
      </c>
      <c r="F526" t="s">
        <v>1334</v>
      </c>
      <c r="G526" t="s">
        <v>3217</v>
      </c>
      <c r="H526" t="s">
        <v>3204</v>
      </c>
      <c r="I526" t="s">
        <v>3218</v>
      </c>
      <c r="J526" t="s">
        <v>3008</v>
      </c>
      <c r="K526" t="s">
        <v>3199</v>
      </c>
    </row>
    <row r="527" spans="1:11" x14ac:dyDescent="0.2">
      <c r="A527" t="s">
        <v>2820</v>
      </c>
      <c r="B527" t="s">
        <v>2829</v>
      </c>
      <c r="C527" t="s">
        <v>3809</v>
      </c>
      <c r="D527" t="s">
        <v>2824</v>
      </c>
      <c r="E527" t="s">
        <v>2824</v>
      </c>
      <c r="F527" t="s">
        <v>1334</v>
      </c>
      <c r="G527" t="s">
        <v>3197</v>
      </c>
      <c r="H527" t="s">
        <v>3198</v>
      </c>
      <c r="I527" t="s">
        <v>3039</v>
      </c>
      <c r="J527" t="s">
        <v>3039</v>
      </c>
      <c r="K527" t="s">
        <v>3199</v>
      </c>
    </row>
    <row r="528" spans="1:11" x14ac:dyDescent="0.2">
      <c r="A528" t="s">
        <v>2820</v>
      </c>
      <c r="B528" t="s">
        <v>1992</v>
      </c>
      <c r="C528" t="s">
        <v>3810</v>
      </c>
      <c r="D528" t="s">
        <v>2824</v>
      </c>
      <c r="E528" t="s">
        <v>2824</v>
      </c>
      <c r="F528" t="s">
        <v>1334</v>
      </c>
      <c r="G528" t="s">
        <v>3197</v>
      </c>
      <c r="H528" t="s">
        <v>3198</v>
      </c>
      <c r="I528" t="s">
        <v>3039</v>
      </c>
      <c r="J528" t="s">
        <v>3039</v>
      </c>
      <c r="K528" t="s">
        <v>3199</v>
      </c>
    </row>
    <row r="529" spans="1:11" x14ac:dyDescent="0.2">
      <c r="A529" t="s">
        <v>2820</v>
      </c>
      <c r="B529" t="s">
        <v>589</v>
      </c>
      <c r="C529" t="s">
        <v>3811</v>
      </c>
      <c r="D529" t="s">
        <v>2069</v>
      </c>
      <c r="E529" t="s">
        <v>2069</v>
      </c>
      <c r="F529" t="s">
        <v>1334</v>
      </c>
      <c r="G529" t="s">
        <v>3197</v>
      </c>
      <c r="H529" t="s">
        <v>3198</v>
      </c>
      <c r="I529" t="s">
        <v>3039</v>
      </c>
      <c r="J529" t="s">
        <v>3039</v>
      </c>
      <c r="K529" t="s">
        <v>3199</v>
      </c>
    </row>
    <row r="530" spans="1:11" x14ac:dyDescent="0.2">
      <c r="A530" t="s">
        <v>2820</v>
      </c>
      <c r="B530" t="s">
        <v>2831</v>
      </c>
      <c r="C530" t="s">
        <v>1334</v>
      </c>
      <c r="D530" t="s">
        <v>1334</v>
      </c>
      <c r="E530" t="s">
        <v>1649</v>
      </c>
      <c r="F530" t="s">
        <v>3448</v>
      </c>
      <c r="G530" t="s">
        <v>1334</v>
      </c>
      <c r="H530" t="s">
        <v>3812</v>
      </c>
      <c r="I530" t="s">
        <v>3813</v>
      </c>
      <c r="J530" t="s">
        <v>3039</v>
      </c>
      <c r="K530" t="s">
        <v>3199</v>
      </c>
    </row>
    <row r="531" spans="1:11" x14ac:dyDescent="0.2">
      <c r="A531" t="s">
        <v>2832</v>
      </c>
      <c r="B531" t="s">
        <v>2833</v>
      </c>
      <c r="C531" t="s">
        <v>3814</v>
      </c>
      <c r="D531" t="s">
        <v>1105</v>
      </c>
      <c r="E531" t="s">
        <v>1105</v>
      </c>
      <c r="F531" t="s">
        <v>1334</v>
      </c>
      <c r="G531" t="s">
        <v>3217</v>
      </c>
      <c r="H531" t="s">
        <v>3204</v>
      </c>
      <c r="I531" t="s">
        <v>3218</v>
      </c>
      <c r="J531" t="s">
        <v>3008</v>
      </c>
      <c r="K531" t="s">
        <v>3199</v>
      </c>
    </row>
    <row r="532" spans="1:11" x14ac:dyDescent="0.2">
      <c r="A532" t="s">
        <v>2832</v>
      </c>
      <c r="B532" t="s">
        <v>3815</v>
      </c>
      <c r="C532" t="s">
        <v>3816</v>
      </c>
      <c r="D532" t="s">
        <v>1105</v>
      </c>
      <c r="E532" t="s">
        <v>1105</v>
      </c>
      <c r="F532" t="s">
        <v>1334</v>
      </c>
      <c r="G532" t="s">
        <v>3197</v>
      </c>
      <c r="H532" t="s">
        <v>3198</v>
      </c>
      <c r="I532" t="s">
        <v>3039</v>
      </c>
      <c r="J532" t="s">
        <v>3039</v>
      </c>
      <c r="K532" t="s">
        <v>3199</v>
      </c>
    </row>
    <row r="533" spans="1:11" x14ac:dyDescent="0.2">
      <c r="A533" t="s">
        <v>2836</v>
      </c>
      <c r="B533" t="s">
        <v>2837</v>
      </c>
      <c r="C533" t="s">
        <v>3817</v>
      </c>
      <c r="D533" t="s">
        <v>1577</v>
      </c>
      <c r="E533" t="s">
        <v>1577</v>
      </c>
      <c r="F533" t="s">
        <v>1334</v>
      </c>
      <c r="G533" t="s">
        <v>3197</v>
      </c>
      <c r="H533" t="s">
        <v>3198</v>
      </c>
      <c r="I533" t="s">
        <v>3039</v>
      </c>
      <c r="J533" t="s">
        <v>3039</v>
      </c>
      <c r="K533" t="s">
        <v>3199</v>
      </c>
    </row>
    <row r="534" spans="1:11" x14ac:dyDescent="0.2">
      <c r="A534" t="s">
        <v>2836</v>
      </c>
      <c r="B534" t="s">
        <v>2838</v>
      </c>
      <c r="C534" t="s">
        <v>3818</v>
      </c>
      <c r="D534" t="s">
        <v>1577</v>
      </c>
      <c r="E534" t="s">
        <v>1577</v>
      </c>
      <c r="F534" t="s">
        <v>1334</v>
      </c>
      <c r="G534" t="s">
        <v>3268</v>
      </c>
      <c r="H534" t="s">
        <v>3269</v>
      </c>
      <c r="I534" t="s">
        <v>2978</v>
      </c>
      <c r="J534" t="s">
        <v>3270</v>
      </c>
      <c r="K534" t="s">
        <v>3199</v>
      </c>
    </row>
    <row r="535" spans="1:11" x14ac:dyDescent="0.2">
      <c r="A535" t="s">
        <v>2841</v>
      </c>
      <c r="B535" t="s">
        <v>513</v>
      </c>
      <c r="C535" t="s">
        <v>3819</v>
      </c>
      <c r="D535" t="s">
        <v>2737</v>
      </c>
      <c r="E535" t="s">
        <v>2737</v>
      </c>
      <c r="F535" t="s">
        <v>1334</v>
      </c>
      <c r="G535" t="s">
        <v>3197</v>
      </c>
      <c r="H535" t="s">
        <v>3198</v>
      </c>
      <c r="I535" t="s">
        <v>3039</v>
      </c>
      <c r="J535" t="s">
        <v>3039</v>
      </c>
      <c r="K535" t="s">
        <v>3199</v>
      </c>
    </row>
    <row r="536" spans="1:11" x14ac:dyDescent="0.2">
      <c r="A536" t="s">
        <v>2841</v>
      </c>
      <c r="B536" t="s">
        <v>1370</v>
      </c>
      <c r="C536" t="s">
        <v>3820</v>
      </c>
      <c r="D536" t="s">
        <v>2843</v>
      </c>
      <c r="E536" t="s">
        <v>2843</v>
      </c>
      <c r="F536" t="s">
        <v>1334</v>
      </c>
      <c r="G536" t="s">
        <v>3197</v>
      </c>
      <c r="H536" t="s">
        <v>3198</v>
      </c>
      <c r="I536" t="s">
        <v>3039</v>
      </c>
      <c r="J536" t="s">
        <v>3039</v>
      </c>
      <c r="K536" t="s">
        <v>3199</v>
      </c>
    </row>
    <row r="537" spans="1:11" x14ac:dyDescent="0.2">
      <c r="A537" t="s">
        <v>2845</v>
      </c>
      <c r="B537" t="s">
        <v>2846</v>
      </c>
      <c r="C537" t="s">
        <v>3821</v>
      </c>
      <c r="D537" t="s">
        <v>2843</v>
      </c>
      <c r="E537" t="s">
        <v>2843</v>
      </c>
      <c r="F537" t="s">
        <v>1334</v>
      </c>
      <c r="G537" t="s">
        <v>3197</v>
      </c>
      <c r="H537" t="s">
        <v>3198</v>
      </c>
      <c r="I537" t="s">
        <v>3039</v>
      </c>
      <c r="J537" t="s">
        <v>3039</v>
      </c>
      <c r="K537" t="s">
        <v>3199</v>
      </c>
    </row>
    <row r="538" spans="1:11" x14ac:dyDescent="0.2">
      <c r="A538" t="s">
        <v>2845</v>
      </c>
      <c r="B538" t="s">
        <v>2850</v>
      </c>
      <c r="C538" t="s">
        <v>3822</v>
      </c>
      <c r="D538" t="s">
        <v>2843</v>
      </c>
      <c r="E538" t="s">
        <v>2843</v>
      </c>
      <c r="F538" t="s">
        <v>1334</v>
      </c>
      <c r="G538" t="s">
        <v>3268</v>
      </c>
      <c r="H538" t="s">
        <v>3269</v>
      </c>
      <c r="I538" t="s">
        <v>2978</v>
      </c>
      <c r="J538" t="s">
        <v>3270</v>
      </c>
      <c r="K538" t="s">
        <v>3199</v>
      </c>
    </row>
    <row r="539" spans="1:11" x14ac:dyDescent="0.2">
      <c r="A539" t="s">
        <v>2855</v>
      </c>
      <c r="B539" t="s">
        <v>1651</v>
      </c>
      <c r="C539" t="s">
        <v>3823</v>
      </c>
      <c r="D539" t="s">
        <v>145</v>
      </c>
      <c r="E539" t="s">
        <v>145</v>
      </c>
      <c r="F539" t="s">
        <v>1334</v>
      </c>
      <c r="G539" t="s">
        <v>3212</v>
      </c>
      <c r="H539" t="s">
        <v>3213</v>
      </c>
      <c r="I539" t="s">
        <v>3214</v>
      </c>
      <c r="J539" t="s">
        <v>3215</v>
      </c>
      <c r="K539" t="s">
        <v>3199</v>
      </c>
    </row>
    <row r="540" spans="1:11" x14ac:dyDescent="0.2">
      <c r="A540" t="s">
        <v>2863</v>
      </c>
      <c r="B540" t="s">
        <v>2864</v>
      </c>
      <c r="C540" t="s">
        <v>3824</v>
      </c>
      <c r="D540" t="s">
        <v>145</v>
      </c>
      <c r="E540" t="s">
        <v>145</v>
      </c>
      <c r="F540" t="s">
        <v>1334</v>
      </c>
      <c r="G540" t="s">
        <v>3212</v>
      </c>
      <c r="H540" t="s">
        <v>3213</v>
      </c>
      <c r="I540" t="s">
        <v>3214</v>
      </c>
      <c r="J540" t="s">
        <v>3215</v>
      </c>
      <c r="K540" t="s">
        <v>3199</v>
      </c>
    </row>
    <row r="541" spans="1:11" x14ac:dyDescent="0.2">
      <c r="A541" t="s">
        <v>2871</v>
      </c>
      <c r="B541" t="s">
        <v>2872</v>
      </c>
      <c r="C541" t="s">
        <v>3825</v>
      </c>
      <c r="D541" t="s">
        <v>145</v>
      </c>
      <c r="E541" t="s">
        <v>145</v>
      </c>
      <c r="F541" t="s">
        <v>1334</v>
      </c>
      <c r="G541" t="s">
        <v>3288</v>
      </c>
      <c r="H541" t="s">
        <v>3289</v>
      </c>
      <c r="I541" t="s">
        <v>3290</v>
      </c>
      <c r="J541" t="s">
        <v>3291</v>
      </c>
      <c r="K541" t="s">
        <v>3199</v>
      </c>
    </row>
    <row r="542" spans="1:11" x14ac:dyDescent="0.2">
      <c r="A542" t="s">
        <v>2879</v>
      </c>
      <c r="B542" t="s">
        <v>2880</v>
      </c>
      <c r="C542" t="s">
        <v>3826</v>
      </c>
      <c r="D542" t="s">
        <v>2882</v>
      </c>
      <c r="E542" t="s">
        <v>2882</v>
      </c>
      <c r="F542" t="s">
        <v>1334</v>
      </c>
      <c r="G542" t="s">
        <v>3330</v>
      </c>
      <c r="H542" t="s">
        <v>3249</v>
      </c>
      <c r="I542" t="s">
        <v>2974</v>
      </c>
      <c r="J542" t="s">
        <v>3331</v>
      </c>
      <c r="K542" t="s">
        <v>3199</v>
      </c>
    </row>
    <row r="543" spans="1:11" x14ac:dyDescent="0.2">
      <c r="A543" t="s">
        <v>2879</v>
      </c>
      <c r="B543" t="s">
        <v>2886</v>
      </c>
      <c r="C543" t="s">
        <v>3827</v>
      </c>
      <c r="D543" t="s">
        <v>2882</v>
      </c>
      <c r="E543" t="s">
        <v>2882</v>
      </c>
      <c r="F543" t="s">
        <v>1334</v>
      </c>
      <c r="G543" t="s">
        <v>3197</v>
      </c>
      <c r="H543" t="s">
        <v>3198</v>
      </c>
      <c r="I543" t="s">
        <v>3039</v>
      </c>
      <c r="J543" t="s">
        <v>3039</v>
      </c>
      <c r="K543" t="s">
        <v>3199</v>
      </c>
    </row>
    <row r="544" spans="1:11" x14ac:dyDescent="0.2">
      <c r="A544" t="s">
        <v>2879</v>
      </c>
      <c r="B544" t="s">
        <v>2890</v>
      </c>
      <c r="C544" t="s">
        <v>3828</v>
      </c>
      <c r="D544" t="s">
        <v>2882</v>
      </c>
      <c r="E544" t="s">
        <v>2882</v>
      </c>
      <c r="F544" t="s">
        <v>1334</v>
      </c>
      <c r="G544" t="s">
        <v>3197</v>
      </c>
      <c r="H544" t="s">
        <v>3198</v>
      </c>
      <c r="I544" t="s">
        <v>3039</v>
      </c>
      <c r="J544" t="s">
        <v>3039</v>
      </c>
      <c r="K544" t="s">
        <v>3199</v>
      </c>
    </row>
    <row r="545" spans="1:11" x14ac:dyDescent="0.2">
      <c r="A545" t="s">
        <v>2893</v>
      </c>
      <c r="B545" t="s">
        <v>1066</v>
      </c>
      <c r="C545" t="s">
        <v>3829</v>
      </c>
      <c r="D545" t="s">
        <v>2162</v>
      </c>
      <c r="E545" t="s">
        <v>2162</v>
      </c>
      <c r="F545" t="s">
        <v>1334</v>
      </c>
      <c r="G545" t="s">
        <v>3217</v>
      </c>
      <c r="H545" t="s">
        <v>3204</v>
      </c>
      <c r="I545" t="s">
        <v>3218</v>
      </c>
      <c r="J545" t="s">
        <v>3008</v>
      </c>
      <c r="K545" t="s">
        <v>3199</v>
      </c>
    </row>
    <row r="546" spans="1:11" x14ac:dyDescent="0.2">
      <c r="A546" t="s">
        <v>2893</v>
      </c>
      <c r="B546" t="s">
        <v>1449</v>
      </c>
      <c r="C546" t="s">
        <v>3830</v>
      </c>
      <c r="D546" t="s">
        <v>2162</v>
      </c>
      <c r="E546" t="s">
        <v>2162</v>
      </c>
      <c r="F546" t="s">
        <v>1334</v>
      </c>
      <c r="G546" t="s">
        <v>3197</v>
      </c>
      <c r="H546" t="s">
        <v>3198</v>
      </c>
      <c r="I546" t="s">
        <v>3039</v>
      </c>
      <c r="J546" t="s">
        <v>3039</v>
      </c>
      <c r="K546" t="s">
        <v>3199</v>
      </c>
    </row>
    <row r="547" spans="1:11" x14ac:dyDescent="0.2">
      <c r="A547" t="s">
        <v>2893</v>
      </c>
      <c r="B547" t="s">
        <v>232</v>
      </c>
      <c r="C547" t="s">
        <v>3831</v>
      </c>
      <c r="D547" t="s">
        <v>2162</v>
      </c>
      <c r="E547" t="s">
        <v>2162</v>
      </c>
      <c r="F547" t="s">
        <v>1334</v>
      </c>
      <c r="G547" t="s">
        <v>3234</v>
      </c>
      <c r="H547" t="s">
        <v>3222</v>
      </c>
      <c r="I547" t="s">
        <v>2986</v>
      </c>
      <c r="J547" t="s">
        <v>3235</v>
      </c>
      <c r="K547" t="s">
        <v>3199</v>
      </c>
    </row>
    <row r="548" spans="1:11" x14ac:dyDescent="0.2">
      <c r="A548" t="s">
        <v>2901</v>
      </c>
      <c r="B548" t="s">
        <v>2902</v>
      </c>
      <c r="C548" t="s">
        <v>3832</v>
      </c>
      <c r="D548" t="s">
        <v>2906</v>
      </c>
      <c r="E548" t="s">
        <v>2906</v>
      </c>
      <c r="F548" t="s">
        <v>1334</v>
      </c>
      <c r="G548" t="s">
        <v>3228</v>
      </c>
      <c r="H548" t="s">
        <v>3229</v>
      </c>
      <c r="I548" t="s">
        <v>2982</v>
      </c>
      <c r="J548" t="s">
        <v>3230</v>
      </c>
      <c r="K548" t="s">
        <v>3199</v>
      </c>
    </row>
    <row r="549" spans="1:11" x14ac:dyDescent="0.2">
      <c r="A549" t="s">
        <v>2901</v>
      </c>
      <c r="B549" t="s">
        <v>2912</v>
      </c>
      <c r="C549" t="s">
        <v>3833</v>
      </c>
      <c r="D549" t="s">
        <v>2906</v>
      </c>
      <c r="E549" t="s">
        <v>2906</v>
      </c>
      <c r="F549" t="s">
        <v>1334</v>
      </c>
      <c r="G549" t="s">
        <v>3197</v>
      </c>
      <c r="H549" t="s">
        <v>3198</v>
      </c>
      <c r="I549" t="s">
        <v>3039</v>
      </c>
      <c r="J549" t="s">
        <v>3039</v>
      </c>
      <c r="K549" t="s">
        <v>3199</v>
      </c>
    </row>
    <row r="550" spans="1:11" x14ac:dyDescent="0.2">
      <c r="A550" t="s">
        <v>2914</v>
      </c>
      <c r="B550" t="s">
        <v>2915</v>
      </c>
      <c r="C550" t="s">
        <v>3834</v>
      </c>
      <c r="D550" t="s">
        <v>1015</v>
      </c>
      <c r="E550" t="s">
        <v>1015</v>
      </c>
      <c r="F550" t="s">
        <v>1334</v>
      </c>
      <c r="G550" t="s">
        <v>3197</v>
      </c>
      <c r="H550" t="s">
        <v>3198</v>
      </c>
      <c r="I550" t="s">
        <v>3039</v>
      </c>
      <c r="J550" t="s">
        <v>3039</v>
      </c>
      <c r="K550" t="s">
        <v>3199</v>
      </c>
    </row>
    <row r="551" spans="1:11" x14ac:dyDescent="0.2">
      <c r="A551" t="s">
        <v>3835</v>
      </c>
      <c r="B551" t="s">
        <v>2933</v>
      </c>
      <c r="C551" t="s">
        <v>3836</v>
      </c>
      <c r="D551" t="s">
        <v>2527</v>
      </c>
      <c r="E551" t="s">
        <v>2527</v>
      </c>
      <c r="F551" t="s">
        <v>1334</v>
      </c>
      <c r="G551" t="s">
        <v>3197</v>
      </c>
      <c r="H551" t="s">
        <v>3198</v>
      </c>
      <c r="I551" t="s">
        <v>3039</v>
      </c>
      <c r="J551" t="s">
        <v>3039</v>
      </c>
      <c r="K551" t="s">
        <v>3199</v>
      </c>
    </row>
    <row r="552" spans="1:11" x14ac:dyDescent="0.2">
      <c r="A552" t="s">
        <v>3835</v>
      </c>
      <c r="B552" t="s">
        <v>1443</v>
      </c>
      <c r="C552" t="s">
        <v>3837</v>
      </c>
      <c r="D552" t="s">
        <v>2527</v>
      </c>
      <c r="E552" t="s">
        <v>2527</v>
      </c>
      <c r="F552" t="s">
        <v>1334</v>
      </c>
      <c r="G552" t="s">
        <v>3269</v>
      </c>
      <c r="H552" t="s">
        <v>3250</v>
      </c>
      <c r="I552" t="s">
        <v>3251</v>
      </c>
      <c r="J552" t="s">
        <v>2991</v>
      </c>
      <c r="K552" t="s">
        <v>3199</v>
      </c>
    </row>
    <row r="553" spans="1:11" x14ac:dyDescent="0.2">
      <c r="A553" t="s">
        <v>2917</v>
      </c>
      <c r="B553" t="s">
        <v>2918</v>
      </c>
      <c r="C553" t="s">
        <v>3838</v>
      </c>
      <c r="D553" t="s">
        <v>2921</v>
      </c>
      <c r="E553" t="s">
        <v>2921</v>
      </c>
      <c r="F553" t="s">
        <v>1334</v>
      </c>
      <c r="G553" t="s">
        <v>3217</v>
      </c>
      <c r="H553" t="s">
        <v>3204</v>
      </c>
      <c r="I553" t="s">
        <v>3218</v>
      </c>
      <c r="J553" t="s">
        <v>3008</v>
      </c>
      <c r="K553" t="s">
        <v>3199</v>
      </c>
    </row>
    <row r="554" spans="1:11" x14ac:dyDescent="0.2">
      <c r="A554" t="s">
        <v>2917</v>
      </c>
      <c r="B554" t="s">
        <v>2927</v>
      </c>
      <c r="C554" t="s">
        <v>3839</v>
      </c>
      <c r="D554" t="s">
        <v>2921</v>
      </c>
      <c r="E554" t="s">
        <v>2921</v>
      </c>
      <c r="F554" t="s">
        <v>1334</v>
      </c>
      <c r="G554" t="s">
        <v>3197</v>
      </c>
      <c r="H554" t="s">
        <v>3198</v>
      </c>
      <c r="I554" t="s">
        <v>3039</v>
      </c>
      <c r="J554" t="s">
        <v>3039</v>
      </c>
      <c r="K554" t="s">
        <v>3199</v>
      </c>
    </row>
    <row r="555" spans="1:11" x14ac:dyDescent="0.2">
      <c r="A555" t="s">
        <v>2917</v>
      </c>
      <c r="B555" t="s">
        <v>2928</v>
      </c>
      <c r="C555" t="s">
        <v>3840</v>
      </c>
      <c r="D555" t="s">
        <v>2921</v>
      </c>
      <c r="E555" t="s">
        <v>2921</v>
      </c>
      <c r="F555" t="s">
        <v>1334</v>
      </c>
      <c r="G555" t="s">
        <v>3197</v>
      </c>
      <c r="H555" t="s">
        <v>3198</v>
      </c>
      <c r="I555" t="s">
        <v>3039</v>
      </c>
      <c r="J555" t="s">
        <v>3039</v>
      </c>
      <c r="K555" t="s">
        <v>3199</v>
      </c>
    </row>
    <row r="556" spans="1:11" x14ac:dyDescent="0.2">
      <c r="A556" t="s">
        <v>2930</v>
      </c>
      <c r="B556" t="s">
        <v>2931</v>
      </c>
      <c r="C556" t="s">
        <v>3841</v>
      </c>
      <c r="D556" t="s">
        <v>2906</v>
      </c>
      <c r="E556" t="s">
        <v>2906</v>
      </c>
      <c r="F556" t="s">
        <v>1334</v>
      </c>
      <c r="G556" t="s">
        <v>3197</v>
      </c>
      <c r="H556" t="s">
        <v>3198</v>
      </c>
      <c r="I556" t="s">
        <v>3039</v>
      </c>
      <c r="J556" t="s">
        <v>3039</v>
      </c>
      <c r="K556" t="s">
        <v>3199</v>
      </c>
    </row>
    <row r="557" spans="1:11" x14ac:dyDescent="0.2">
      <c r="A557" t="s">
        <v>2932</v>
      </c>
      <c r="B557" t="s">
        <v>2933</v>
      </c>
      <c r="C557" t="s">
        <v>3842</v>
      </c>
      <c r="D557" t="s">
        <v>2106</v>
      </c>
      <c r="E557" t="s">
        <v>2106</v>
      </c>
      <c r="F557" t="s">
        <v>1334</v>
      </c>
      <c r="G557" t="s">
        <v>3197</v>
      </c>
      <c r="H557" t="s">
        <v>3198</v>
      </c>
      <c r="I557" t="s">
        <v>3039</v>
      </c>
      <c r="J557" t="s">
        <v>3039</v>
      </c>
      <c r="K557" t="s">
        <v>3199</v>
      </c>
    </row>
    <row r="558" spans="1:11" x14ac:dyDescent="0.2">
      <c r="A558" t="s">
        <v>2932</v>
      </c>
      <c r="B558" t="s">
        <v>1957</v>
      </c>
      <c r="C558" t="s">
        <v>3843</v>
      </c>
      <c r="D558" t="s">
        <v>2106</v>
      </c>
      <c r="E558" t="s">
        <v>2106</v>
      </c>
      <c r="F558" t="s">
        <v>1334</v>
      </c>
      <c r="G558" t="s">
        <v>3330</v>
      </c>
      <c r="H558" t="s">
        <v>3249</v>
      </c>
      <c r="I558" t="s">
        <v>2974</v>
      </c>
      <c r="J558" t="s">
        <v>3331</v>
      </c>
      <c r="K558" t="s">
        <v>3199</v>
      </c>
    </row>
    <row r="559" spans="1:11" x14ac:dyDescent="0.2">
      <c r="A559" t="s">
        <v>2943</v>
      </c>
      <c r="B559" t="s">
        <v>1992</v>
      </c>
      <c r="C559" t="s">
        <v>3844</v>
      </c>
      <c r="D559" t="s">
        <v>2010</v>
      </c>
      <c r="E559" t="s">
        <v>2010</v>
      </c>
      <c r="F559" t="s">
        <v>1334</v>
      </c>
      <c r="G559" t="s">
        <v>3197</v>
      </c>
      <c r="H559" t="s">
        <v>3198</v>
      </c>
      <c r="I559" t="s">
        <v>3039</v>
      </c>
      <c r="J559" t="s">
        <v>3039</v>
      </c>
      <c r="K559" t="s">
        <v>3199</v>
      </c>
    </row>
    <row r="560" spans="1:11" x14ac:dyDescent="0.2">
      <c r="A560" t="s">
        <v>2943</v>
      </c>
      <c r="B560" t="s">
        <v>2947</v>
      </c>
      <c r="C560" t="s">
        <v>3845</v>
      </c>
      <c r="D560" t="s">
        <v>2010</v>
      </c>
      <c r="E560" t="s">
        <v>2010</v>
      </c>
      <c r="F560" t="s">
        <v>1334</v>
      </c>
      <c r="G560" t="s">
        <v>3217</v>
      </c>
      <c r="H560" t="s">
        <v>3204</v>
      </c>
      <c r="I560" t="s">
        <v>3218</v>
      </c>
      <c r="J560" t="s">
        <v>3008</v>
      </c>
      <c r="K560" t="s">
        <v>3199</v>
      </c>
    </row>
    <row r="561" spans="1:11" x14ac:dyDescent="0.2">
      <c r="A561" t="s">
        <v>1334</v>
      </c>
      <c r="B561" t="s">
        <v>1334</v>
      </c>
      <c r="C561" t="s">
        <v>1334</v>
      </c>
      <c r="D561" t="s">
        <v>1334</v>
      </c>
      <c r="E561" t="s">
        <v>1334</v>
      </c>
      <c r="F561" t="s">
        <v>1334</v>
      </c>
      <c r="G561" t="s">
        <v>1334</v>
      </c>
      <c r="H561" t="s">
        <v>1334</v>
      </c>
      <c r="I561" t="s">
        <v>1334</v>
      </c>
      <c r="J561" t="s">
        <v>1334</v>
      </c>
      <c r="K561" t="s">
        <v>1334</v>
      </c>
    </row>
    <row r="562" spans="1:11" x14ac:dyDescent="0.2">
      <c r="A562" t="s">
        <v>1334</v>
      </c>
      <c r="B562" t="s">
        <v>1334</v>
      </c>
      <c r="C562" t="s">
        <v>1334</v>
      </c>
      <c r="D562" t="s">
        <v>1334</v>
      </c>
      <c r="E562" t="s">
        <v>1334</v>
      </c>
      <c r="F562" t="s">
        <v>1334</v>
      </c>
      <c r="G562" t="s">
        <v>1334</v>
      </c>
      <c r="H562" t="s">
        <v>1334</v>
      </c>
      <c r="I562" t="s">
        <v>1334</v>
      </c>
      <c r="J562" t="s">
        <v>1334</v>
      </c>
      <c r="K562" t="s">
        <v>1334</v>
      </c>
    </row>
    <row r="563" spans="1:11" x14ac:dyDescent="0.2">
      <c r="A563" t="s">
        <v>1334</v>
      </c>
      <c r="B563" t="s">
        <v>1334</v>
      </c>
      <c r="C563" t="s">
        <v>1334</v>
      </c>
      <c r="D563" t="s">
        <v>1334</v>
      </c>
      <c r="E563" t="s">
        <v>1334</v>
      </c>
      <c r="F563" t="s">
        <v>1334</v>
      </c>
      <c r="G563" t="s">
        <v>1334</v>
      </c>
      <c r="H563" t="s">
        <v>1334</v>
      </c>
      <c r="I563" t="s">
        <v>1334</v>
      </c>
      <c r="J563" t="s">
        <v>1334</v>
      </c>
      <c r="K563" t="s">
        <v>1334</v>
      </c>
    </row>
    <row r="564" spans="1:11" x14ac:dyDescent="0.2">
      <c r="A564" t="s">
        <v>1334</v>
      </c>
      <c r="B564" t="s">
        <v>1334</v>
      </c>
      <c r="C564" t="s">
        <v>1334</v>
      </c>
      <c r="D564" t="s">
        <v>1334</v>
      </c>
      <c r="E564" t="s">
        <v>1334</v>
      </c>
      <c r="F564" t="s">
        <v>1334</v>
      </c>
      <c r="G564" t="s">
        <v>1334</v>
      </c>
      <c r="H564" t="s">
        <v>1334</v>
      </c>
      <c r="I564" t="s">
        <v>1334</v>
      </c>
      <c r="J564" t="s">
        <v>1334</v>
      </c>
      <c r="K564" t="s">
        <v>1334</v>
      </c>
    </row>
    <row r="565" spans="1:11" x14ac:dyDescent="0.2">
      <c r="A565" t="s">
        <v>1334</v>
      </c>
      <c r="B565" t="s">
        <v>1334</v>
      </c>
      <c r="C565" t="s">
        <v>1334</v>
      </c>
      <c r="D565" t="s">
        <v>1334</v>
      </c>
      <c r="E565" t="s">
        <v>1334</v>
      </c>
      <c r="F565" t="s">
        <v>1334</v>
      </c>
      <c r="G565" t="s">
        <v>1334</v>
      </c>
      <c r="H565" t="s">
        <v>1334</v>
      </c>
      <c r="I565" t="s">
        <v>1334</v>
      </c>
      <c r="J565" t="s">
        <v>1334</v>
      </c>
      <c r="K565" t="s">
        <v>1334</v>
      </c>
    </row>
    <row r="566" spans="1:11" x14ac:dyDescent="0.2">
      <c r="A566" t="s">
        <v>1334</v>
      </c>
      <c r="B566" t="s">
        <v>1334</v>
      </c>
      <c r="C566" t="s">
        <v>1334</v>
      </c>
      <c r="D566" t="s">
        <v>1334</v>
      </c>
      <c r="E566" t="s">
        <v>1334</v>
      </c>
      <c r="F566" t="s">
        <v>1334</v>
      </c>
      <c r="G566" t="s">
        <v>1334</v>
      </c>
      <c r="H566" t="s">
        <v>1334</v>
      </c>
      <c r="I566" t="s">
        <v>1334</v>
      </c>
      <c r="J566" t="s">
        <v>1334</v>
      </c>
      <c r="K566" t="s">
        <v>1334</v>
      </c>
    </row>
    <row r="567" spans="1:11" x14ac:dyDescent="0.2">
      <c r="A567" t="s">
        <v>1334</v>
      </c>
      <c r="B567" t="s">
        <v>1334</v>
      </c>
      <c r="C567" t="s">
        <v>1334</v>
      </c>
      <c r="D567" t="s">
        <v>1334</v>
      </c>
      <c r="E567" t="s">
        <v>1334</v>
      </c>
      <c r="F567" t="s">
        <v>1334</v>
      </c>
      <c r="G567" t="s">
        <v>1334</v>
      </c>
      <c r="H567" t="s">
        <v>1334</v>
      </c>
      <c r="I567" t="s">
        <v>1334</v>
      </c>
      <c r="J567" t="s">
        <v>1334</v>
      </c>
      <c r="K567" t="s">
        <v>1334</v>
      </c>
    </row>
    <row r="568" spans="1:11" x14ac:dyDescent="0.2">
      <c r="A568" t="s">
        <v>1334</v>
      </c>
      <c r="B568" t="s">
        <v>1334</v>
      </c>
      <c r="C568" t="s">
        <v>1334</v>
      </c>
      <c r="D568" t="s">
        <v>1334</v>
      </c>
      <c r="E568" t="s">
        <v>1334</v>
      </c>
      <c r="F568" t="s">
        <v>1334</v>
      </c>
      <c r="G568" t="s">
        <v>1334</v>
      </c>
      <c r="H568" t="s">
        <v>1334</v>
      </c>
      <c r="I568" t="s">
        <v>1334</v>
      </c>
      <c r="J568" t="s">
        <v>1334</v>
      </c>
      <c r="K568" t="s">
        <v>1334</v>
      </c>
    </row>
    <row r="569" spans="1:11" x14ac:dyDescent="0.2">
      <c r="A569" t="s">
        <v>1334</v>
      </c>
      <c r="B569" t="s">
        <v>1334</v>
      </c>
      <c r="C569" t="s">
        <v>1334</v>
      </c>
      <c r="D569" t="s">
        <v>1334</v>
      </c>
      <c r="E569" t="s">
        <v>1334</v>
      </c>
      <c r="F569" t="s">
        <v>1334</v>
      </c>
      <c r="G569" t="s">
        <v>1334</v>
      </c>
      <c r="H569" t="s">
        <v>1334</v>
      </c>
      <c r="I569" t="s">
        <v>1334</v>
      </c>
      <c r="J569" t="s">
        <v>1334</v>
      </c>
      <c r="K569" t="s">
        <v>1334</v>
      </c>
    </row>
    <row r="570" spans="1:11" x14ac:dyDescent="0.2">
      <c r="A570" t="s">
        <v>1334</v>
      </c>
      <c r="B570" t="s">
        <v>1334</v>
      </c>
      <c r="C570" t="s">
        <v>1334</v>
      </c>
      <c r="D570" t="s">
        <v>1334</v>
      </c>
      <c r="E570" t="s">
        <v>1334</v>
      </c>
      <c r="F570" t="s">
        <v>1334</v>
      </c>
      <c r="G570" t="s">
        <v>1334</v>
      </c>
      <c r="H570" t="s">
        <v>1334</v>
      </c>
      <c r="I570" t="s">
        <v>1334</v>
      </c>
      <c r="J570" t="s">
        <v>1334</v>
      </c>
      <c r="K570" t="s">
        <v>1334</v>
      </c>
    </row>
    <row r="571" spans="1:11" x14ac:dyDescent="0.2">
      <c r="A571" t="s">
        <v>1334</v>
      </c>
      <c r="B571" t="s">
        <v>1334</v>
      </c>
      <c r="C571" t="s">
        <v>1334</v>
      </c>
      <c r="D571" t="s">
        <v>1334</v>
      </c>
      <c r="E571" t="s">
        <v>1334</v>
      </c>
      <c r="F571" t="s">
        <v>1334</v>
      </c>
      <c r="G571" t="s">
        <v>1334</v>
      </c>
      <c r="H571" t="s">
        <v>1334</v>
      </c>
      <c r="I571" t="s">
        <v>1334</v>
      </c>
      <c r="J571" t="s">
        <v>1334</v>
      </c>
      <c r="K571" t="s">
        <v>1334</v>
      </c>
    </row>
    <row r="572" spans="1:11" x14ac:dyDescent="0.2">
      <c r="A572" t="s">
        <v>1334</v>
      </c>
      <c r="B572" t="s">
        <v>1334</v>
      </c>
      <c r="C572" t="s">
        <v>1334</v>
      </c>
      <c r="D572" t="s">
        <v>1334</v>
      </c>
      <c r="E572" t="s">
        <v>1334</v>
      </c>
      <c r="F572" t="s">
        <v>1334</v>
      </c>
      <c r="G572" t="s">
        <v>1334</v>
      </c>
      <c r="H572" t="s">
        <v>1334</v>
      </c>
      <c r="I572" t="s">
        <v>1334</v>
      </c>
      <c r="J572" t="s">
        <v>1334</v>
      </c>
      <c r="K572" t="s">
        <v>1334</v>
      </c>
    </row>
    <row r="573" spans="1:11" x14ac:dyDescent="0.2">
      <c r="A573" t="s">
        <v>1334</v>
      </c>
      <c r="B573" t="s">
        <v>1334</v>
      </c>
      <c r="C573" t="s">
        <v>1334</v>
      </c>
      <c r="D573" t="s">
        <v>1334</v>
      </c>
      <c r="E573" t="s">
        <v>1334</v>
      </c>
      <c r="F573" t="s">
        <v>1334</v>
      </c>
      <c r="G573" t="s">
        <v>1334</v>
      </c>
      <c r="H573" t="s">
        <v>1334</v>
      </c>
      <c r="I573" t="s">
        <v>1334</v>
      </c>
      <c r="J573" t="s">
        <v>1334</v>
      </c>
      <c r="K573" t="s">
        <v>1334</v>
      </c>
    </row>
    <row r="574" spans="1:11" x14ac:dyDescent="0.2">
      <c r="A574" t="s">
        <v>1334</v>
      </c>
      <c r="B574" t="s">
        <v>1334</v>
      </c>
      <c r="C574" t="s">
        <v>1334</v>
      </c>
      <c r="D574" t="s">
        <v>1334</v>
      </c>
      <c r="E574" t="s">
        <v>1334</v>
      </c>
      <c r="F574" t="s">
        <v>1334</v>
      </c>
      <c r="G574" t="s">
        <v>1334</v>
      </c>
      <c r="H574" t="s">
        <v>1334</v>
      </c>
      <c r="I574" t="s">
        <v>1334</v>
      </c>
      <c r="J574" t="s">
        <v>1334</v>
      </c>
      <c r="K574" t="s">
        <v>1334</v>
      </c>
    </row>
    <row r="575" spans="1:11" x14ac:dyDescent="0.2">
      <c r="A575" t="s">
        <v>1334</v>
      </c>
      <c r="B575" t="s">
        <v>1334</v>
      </c>
      <c r="C575" t="s">
        <v>1334</v>
      </c>
      <c r="D575" t="s">
        <v>1334</v>
      </c>
      <c r="E575" t="s">
        <v>1334</v>
      </c>
      <c r="F575" t="s">
        <v>1334</v>
      </c>
      <c r="G575" t="s">
        <v>1334</v>
      </c>
      <c r="H575" t="s">
        <v>1334</v>
      </c>
      <c r="I575" t="s">
        <v>1334</v>
      </c>
      <c r="J575" t="s">
        <v>1334</v>
      </c>
      <c r="K575" t="s">
        <v>1334</v>
      </c>
    </row>
    <row r="576" spans="1:11" x14ac:dyDescent="0.2">
      <c r="A576" t="s">
        <v>1334</v>
      </c>
      <c r="B576" t="s">
        <v>1334</v>
      </c>
      <c r="C576" t="s">
        <v>1334</v>
      </c>
      <c r="D576" t="s">
        <v>1334</v>
      </c>
      <c r="E576" t="s">
        <v>1334</v>
      </c>
      <c r="F576" t="s">
        <v>1334</v>
      </c>
      <c r="G576" t="s">
        <v>1334</v>
      </c>
      <c r="H576" t="s">
        <v>1334</v>
      </c>
      <c r="I576" t="s">
        <v>1334</v>
      </c>
      <c r="J576" t="s">
        <v>1334</v>
      </c>
      <c r="K576" t="s">
        <v>1334</v>
      </c>
    </row>
    <row r="577" spans="1:11" x14ac:dyDescent="0.2">
      <c r="A577" t="s">
        <v>1334</v>
      </c>
      <c r="B577" t="s">
        <v>1334</v>
      </c>
      <c r="C577" t="s">
        <v>1334</v>
      </c>
      <c r="D577" t="s">
        <v>1334</v>
      </c>
      <c r="E577" t="s">
        <v>1334</v>
      </c>
      <c r="F577" t="s">
        <v>1334</v>
      </c>
      <c r="G577" t="s">
        <v>1334</v>
      </c>
      <c r="H577" t="s">
        <v>1334</v>
      </c>
      <c r="I577" t="s">
        <v>1334</v>
      </c>
      <c r="J577" t="s">
        <v>1334</v>
      </c>
      <c r="K577" t="s">
        <v>1334</v>
      </c>
    </row>
    <row r="578" spans="1:11" x14ac:dyDescent="0.2">
      <c r="A578" t="s">
        <v>1334</v>
      </c>
      <c r="B578" t="s">
        <v>1334</v>
      </c>
      <c r="C578" t="s">
        <v>1334</v>
      </c>
      <c r="D578" t="s">
        <v>1334</v>
      </c>
      <c r="E578" t="s">
        <v>1334</v>
      </c>
      <c r="F578" t="s">
        <v>1334</v>
      </c>
      <c r="G578" t="s">
        <v>1334</v>
      </c>
      <c r="H578" t="s">
        <v>1334</v>
      </c>
      <c r="I578" t="s">
        <v>1334</v>
      </c>
      <c r="J578" t="s">
        <v>1334</v>
      </c>
      <c r="K578" t="s">
        <v>1334</v>
      </c>
    </row>
    <row r="579" spans="1:11" x14ac:dyDescent="0.2">
      <c r="A579" t="s">
        <v>1334</v>
      </c>
      <c r="B579" t="s">
        <v>1334</v>
      </c>
      <c r="C579" t="s">
        <v>1334</v>
      </c>
      <c r="D579" t="s">
        <v>1334</v>
      </c>
      <c r="E579" t="s">
        <v>1334</v>
      </c>
      <c r="F579" t="s">
        <v>1334</v>
      </c>
      <c r="G579" t="s">
        <v>1334</v>
      </c>
      <c r="H579" t="s">
        <v>1334</v>
      </c>
      <c r="I579" t="s">
        <v>1334</v>
      </c>
      <c r="J579" t="s">
        <v>1334</v>
      </c>
      <c r="K579" t="s">
        <v>1334</v>
      </c>
    </row>
    <row r="580" spans="1:11" x14ac:dyDescent="0.2">
      <c r="A580" t="s">
        <v>1334</v>
      </c>
      <c r="B580" t="s">
        <v>1334</v>
      </c>
      <c r="C580" t="s">
        <v>1334</v>
      </c>
      <c r="D580" t="s">
        <v>1334</v>
      </c>
      <c r="E580" t="s">
        <v>1334</v>
      </c>
      <c r="F580" t="s">
        <v>1334</v>
      </c>
      <c r="G580" t="s">
        <v>1334</v>
      </c>
      <c r="H580" t="s">
        <v>1334</v>
      </c>
      <c r="I580" t="s">
        <v>1334</v>
      </c>
      <c r="J580" t="s">
        <v>1334</v>
      </c>
      <c r="K580" t="s">
        <v>1334</v>
      </c>
    </row>
    <row r="581" spans="1:11" x14ac:dyDescent="0.2">
      <c r="A581" t="s">
        <v>1334</v>
      </c>
      <c r="B581" t="s">
        <v>1334</v>
      </c>
      <c r="C581" t="s">
        <v>1334</v>
      </c>
      <c r="D581" t="s">
        <v>1334</v>
      </c>
      <c r="E581" t="s">
        <v>1334</v>
      </c>
      <c r="F581" t="s">
        <v>1334</v>
      </c>
      <c r="G581" t="s">
        <v>1334</v>
      </c>
      <c r="H581" t="s">
        <v>1334</v>
      </c>
      <c r="I581" t="s">
        <v>1334</v>
      </c>
      <c r="J581" t="s">
        <v>1334</v>
      </c>
      <c r="K581" t="s">
        <v>1334</v>
      </c>
    </row>
    <row r="582" spans="1:11" x14ac:dyDescent="0.2">
      <c r="A582" t="s">
        <v>1334</v>
      </c>
      <c r="B582" t="s">
        <v>1334</v>
      </c>
      <c r="C582" t="s">
        <v>1334</v>
      </c>
      <c r="D582" t="s">
        <v>1334</v>
      </c>
      <c r="E582" t="s">
        <v>1334</v>
      </c>
      <c r="F582" t="s">
        <v>1334</v>
      </c>
      <c r="G582" t="s">
        <v>1334</v>
      </c>
      <c r="H582" t="s">
        <v>1334</v>
      </c>
      <c r="I582" t="s">
        <v>1334</v>
      </c>
      <c r="J582" t="s">
        <v>1334</v>
      </c>
      <c r="K582" t="s">
        <v>1334</v>
      </c>
    </row>
    <row r="583" spans="1:11" x14ac:dyDescent="0.2">
      <c r="A583" t="s">
        <v>1334</v>
      </c>
      <c r="B583" t="s">
        <v>1334</v>
      </c>
      <c r="C583" t="s">
        <v>1334</v>
      </c>
      <c r="D583" t="s">
        <v>1334</v>
      </c>
      <c r="E583" t="s">
        <v>1334</v>
      </c>
      <c r="F583" t="s">
        <v>1334</v>
      </c>
      <c r="G583" t="s">
        <v>1334</v>
      </c>
      <c r="H583" t="s">
        <v>1334</v>
      </c>
      <c r="I583" t="s">
        <v>1334</v>
      </c>
      <c r="J583" t="s">
        <v>1334</v>
      </c>
      <c r="K583" t="s">
        <v>1334</v>
      </c>
    </row>
    <row r="584" spans="1:11" x14ac:dyDescent="0.2">
      <c r="A584" t="s">
        <v>1334</v>
      </c>
      <c r="B584" t="s">
        <v>1334</v>
      </c>
      <c r="C584" t="s">
        <v>1334</v>
      </c>
      <c r="D584" t="s">
        <v>1334</v>
      </c>
      <c r="E584" t="s">
        <v>1334</v>
      </c>
      <c r="F584" t="s">
        <v>1334</v>
      </c>
      <c r="G584" t="s">
        <v>1334</v>
      </c>
      <c r="H584" t="s">
        <v>1334</v>
      </c>
      <c r="I584" t="s">
        <v>1334</v>
      </c>
      <c r="J584" t="s">
        <v>1334</v>
      </c>
      <c r="K584" t="s">
        <v>1334</v>
      </c>
    </row>
    <row r="585" spans="1:11" x14ac:dyDescent="0.2">
      <c r="A585" t="s">
        <v>1334</v>
      </c>
      <c r="B585" t="s">
        <v>1334</v>
      </c>
      <c r="C585" t="s">
        <v>1334</v>
      </c>
      <c r="D585" t="s">
        <v>1334</v>
      </c>
      <c r="E585" t="s">
        <v>1334</v>
      </c>
      <c r="F585" t="s">
        <v>1334</v>
      </c>
      <c r="G585" t="s">
        <v>1334</v>
      </c>
      <c r="H585" t="s">
        <v>1334</v>
      </c>
      <c r="I585" t="s">
        <v>1334</v>
      </c>
      <c r="J585" t="s">
        <v>1334</v>
      </c>
      <c r="K585" t="s">
        <v>1334</v>
      </c>
    </row>
    <row r="586" spans="1:11" x14ac:dyDescent="0.2">
      <c r="A586" t="s">
        <v>1334</v>
      </c>
      <c r="B586" t="s">
        <v>1334</v>
      </c>
      <c r="C586" t="s">
        <v>1334</v>
      </c>
      <c r="D586" t="s">
        <v>1334</v>
      </c>
      <c r="E586" t="s">
        <v>1334</v>
      </c>
      <c r="F586" t="s">
        <v>1334</v>
      </c>
      <c r="G586" t="s">
        <v>1334</v>
      </c>
      <c r="H586" t="s">
        <v>1334</v>
      </c>
      <c r="I586" t="s">
        <v>1334</v>
      </c>
      <c r="J586" t="s">
        <v>1334</v>
      </c>
      <c r="K586" t="s">
        <v>1334</v>
      </c>
    </row>
    <row r="587" spans="1:11" x14ac:dyDescent="0.2">
      <c r="A587" t="s">
        <v>1334</v>
      </c>
      <c r="B587" t="s">
        <v>1334</v>
      </c>
      <c r="C587" t="s">
        <v>1334</v>
      </c>
      <c r="D587" t="s">
        <v>1334</v>
      </c>
      <c r="E587" t="s">
        <v>1334</v>
      </c>
      <c r="F587" t="s">
        <v>1334</v>
      </c>
      <c r="G587" t="s">
        <v>1334</v>
      </c>
      <c r="H587" t="s">
        <v>1334</v>
      </c>
      <c r="I587" t="s">
        <v>1334</v>
      </c>
      <c r="J587" t="s">
        <v>1334</v>
      </c>
      <c r="K587" t="s">
        <v>1334</v>
      </c>
    </row>
    <row r="588" spans="1:11" x14ac:dyDescent="0.2">
      <c r="A588" t="s">
        <v>1334</v>
      </c>
      <c r="B588" t="s">
        <v>1334</v>
      </c>
      <c r="C588" t="s">
        <v>1334</v>
      </c>
      <c r="D588" t="s">
        <v>1334</v>
      </c>
      <c r="E588" t="s">
        <v>1334</v>
      </c>
      <c r="F588" t="s">
        <v>1334</v>
      </c>
      <c r="G588" t="s">
        <v>1334</v>
      </c>
      <c r="H588" t="s">
        <v>1334</v>
      </c>
      <c r="I588" t="s">
        <v>1334</v>
      </c>
      <c r="J588" t="s">
        <v>1334</v>
      </c>
      <c r="K588" t="s">
        <v>1334</v>
      </c>
    </row>
    <row r="589" spans="1:11" x14ac:dyDescent="0.2">
      <c r="A589" t="s">
        <v>1334</v>
      </c>
      <c r="B589" t="s">
        <v>1334</v>
      </c>
      <c r="C589" t="s">
        <v>1334</v>
      </c>
      <c r="D589" t="s">
        <v>1334</v>
      </c>
      <c r="E589" t="s">
        <v>1334</v>
      </c>
      <c r="F589" t="s">
        <v>1334</v>
      </c>
      <c r="G589" t="s">
        <v>1334</v>
      </c>
      <c r="H589" t="s">
        <v>1334</v>
      </c>
      <c r="I589" t="s">
        <v>1334</v>
      </c>
      <c r="J589" t="s">
        <v>1334</v>
      </c>
      <c r="K589" t="s">
        <v>1334</v>
      </c>
    </row>
    <row r="590" spans="1:11" x14ac:dyDescent="0.2">
      <c r="A590" t="s">
        <v>1334</v>
      </c>
      <c r="B590" t="s">
        <v>1334</v>
      </c>
      <c r="C590" t="s">
        <v>1334</v>
      </c>
      <c r="D590" t="s">
        <v>1334</v>
      </c>
      <c r="E590" t="s">
        <v>1334</v>
      </c>
      <c r="F590" t="s">
        <v>1334</v>
      </c>
      <c r="G590" t="s">
        <v>1334</v>
      </c>
      <c r="H590" t="s">
        <v>1334</v>
      </c>
      <c r="I590" t="s">
        <v>1334</v>
      </c>
      <c r="J590" t="s">
        <v>1334</v>
      </c>
      <c r="K590" t="s">
        <v>1334</v>
      </c>
    </row>
    <row r="591" spans="1:11" x14ac:dyDescent="0.2">
      <c r="A591" t="s">
        <v>1334</v>
      </c>
      <c r="B591" t="s">
        <v>1334</v>
      </c>
      <c r="C591" t="s">
        <v>1334</v>
      </c>
      <c r="D591" t="s">
        <v>1334</v>
      </c>
      <c r="E591" t="s">
        <v>1334</v>
      </c>
      <c r="F591" t="s">
        <v>1334</v>
      </c>
      <c r="G591" t="s">
        <v>1334</v>
      </c>
      <c r="H591" t="s">
        <v>1334</v>
      </c>
      <c r="I591" t="s">
        <v>1334</v>
      </c>
      <c r="J591" t="s">
        <v>1334</v>
      </c>
      <c r="K591" t="s">
        <v>1334</v>
      </c>
    </row>
    <row r="592" spans="1:11" x14ac:dyDescent="0.2">
      <c r="A592" t="s">
        <v>1334</v>
      </c>
      <c r="B592" t="s">
        <v>1334</v>
      </c>
      <c r="C592" t="s">
        <v>1334</v>
      </c>
      <c r="D592" t="s">
        <v>1334</v>
      </c>
      <c r="E592" t="s">
        <v>1334</v>
      </c>
      <c r="F592" t="s">
        <v>1334</v>
      </c>
      <c r="G592" t="s">
        <v>1334</v>
      </c>
      <c r="H592" t="s">
        <v>1334</v>
      </c>
      <c r="I592" t="s">
        <v>1334</v>
      </c>
      <c r="J592" t="s">
        <v>1334</v>
      </c>
      <c r="K592" t="s">
        <v>1334</v>
      </c>
    </row>
    <row r="593" spans="1:11" x14ac:dyDescent="0.2">
      <c r="A593" t="s">
        <v>1334</v>
      </c>
      <c r="B593" t="s">
        <v>1334</v>
      </c>
      <c r="C593" t="s">
        <v>1334</v>
      </c>
      <c r="D593" t="s">
        <v>1334</v>
      </c>
      <c r="E593" t="s">
        <v>1334</v>
      </c>
      <c r="F593" t="s">
        <v>1334</v>
      </c>
      <c r="G593" t="s">
        <v>1334</v>
      </c>
      <c r="H593" t="s">
        <v>1334</v>
      </c>
      <c r="I593" t="s">
        <v>1334</v>
      </c>
      <c r="J593" t="s">
        <v>1334</v>
      </c>
      <c r="K593" t="s">
        <v>1334</v>
      </c>
    </row>
    <row r="594" spans="1:11" x14ac:dyDescent="0.2">
      <c r="A594" t="s">
        <v>1334</v>
      </c>
      <c r="B594" t="s">
        <v>1334</v>
      </c>
      <c r="C594" t="s">
        <v>1334</v>
      </c>
      <c r="D594" t="s">
        <v>1334</v>
      </c>
      <c r="E594" t="s">
        <v>1334</v>
      </c>
      <c r="F594" t="s">
        <v>1334</v>
      </c>
      <c r="G594" t="s">
        <v>1334</v>
      </c>
      <c r="H594" t="s">
        <v>1334</v>
      </c>
      <c r="I594" t="s">
        <v>1334</v>
      </c>
      <c r="J594" t="s">
        <v>1334</v>
      </c>
      <c r="K594" t="s">
        <v>1334</v>
      </c>
    </row>
    <row r="595" spans="1:11" x14ac:dyDescent="0.2">
      <c r="A595" t="s">
        <v>1334</v>
      </c>
      <c r="B595" t="s">
        <v>1334</v>
      </c>
      <c r="C595" t="s">
        <v>1334</v>
      </c>
      <c r="D595" t="s">
        <v>1334</v>
      </c>
      <c r="E595" t="s">
        <v>1334</v>
      </c>
      <c r="F595" t="s">
        <v>1334</v>
      </c>
      <c r="G595" t="s">
        <v>1334</v>
      </c>
      <c r="H595" t="s">
        <v>1334</v>
      </c>
      <c r="I595" t="s">
        <v>1334</v>
      </c>
      <c r="J595" t="s">
        <v>1334</v>
      </c>
      <c r="K595" t="s">
        <v>1334</v>
      </c>
    </row>
    <row r="596" spans="1:11" x14ac:dyDescent="0.2">
      <c r="A596" t="s">
        <v>1334</v>
      </c>
      <c r="B596" t="s">
        <v>1334</v>
      </c>
      <c r="C596" t="s">
        <v>1334</v>
      </c>
      <c r="D596" t="s">
        <v>1334</v>
      </c>
      <c r="E596" t="s">
        <v>1334</v>
      </c>
      <c r="F596" t="s">
        <v>1334</v>
      </c>
      <c r="G596" t="s">
        <v>1334</v>
      </c>
      <c r="H596" t="s">
        <v>1334</v>
      </c>
      <c r="I596" t="s">
        <v>1334</v>
      </c>
      <c r="J596" t="s">
        <v>1334</v>
      </c>
      <c r="K596" t="s">
        <v>1334</v>
      </c>
    </row>
    <row r="597" spans="1:11" x14ac:dyDescent="0.2">
      <c r="A597" t="s">
        <v>1334</v>
      </c>
      <c r="B597" t="s">
        <v>1334</v>
      </c>
      <c r="C597" t="s">
        <v>1334</v>
      </c>
      <c r="D597" t="s">
        <v>1334</v>
      </c>
      <c r="E597" t="s">
        <v>1334</v>
      </c>
      <c r="F597" t="s">
        <v>1334</v>
      </c>
      <c r="G597" t="s">
        <v>1334</v>
      </c>
      <c r="H597" t="s">
        <v>1334</v>
      </c>
      <c r="I597" t="s">
        <v>1334</v>
      </c>
      <c r="J597" t="s">
        <v>1334</v>
      </c>
      <c r="K597" t="s">
        <v>1334</v>
      </c>
    </row>
    <row r="598" spans="1:11" x14ac:dyDescent="0.2">
      <c r="A598" t="s">
        <v>1334</v>
      </c>
      <c r="B598" t="s">
        <v>1334</v>
      </c>
      <c r="C598" t="s">
        <v>1334</v>
      </c>
      <c r="D598" t="s">
        <v>1334</v>
      </c>
      <c r="E598" t="s">
        <v>1334</v>
      </c>
      <c r="F598" t="s">
        <v>1334</v>
      </c>
      <c r="G598" t="s">
        <v>1334</v>
      </c>
      <c r="H598" t="s">
        <v>1334</v>
      </c>
      <c r="I598" t="s">
        <v>1334</v>
      </c>
      <c r="J598" t="s">
        <v>1334</v>
      </c>
      <c r="K598" t="s">
        <v>1334</v>
      </c>
    </row>
    <row r="599" spans="1:11" x14ac:dyDescent="0.2">
      <c r="A599" t="s">
        <v>1334</v>
      </c>
      <c r="B599" t="s">
        <v>1334</v>
      </c>
      <c r="C599" t="s">
        <v>1334</v>
      </c>
      <c r="D599" t="s">
        <v>1334</v>
      </c>
      <c r="E599" t="s">
        <v>1334</v>
      </c>
      <c r="F599" t="s">
        <v>1334</v>
      </c>
      <c r="G599" t="s">
        <v>1334</v>
      </c>
      <c r="H599" t="s">
        <v>1334</v>
      </c>
      <c r="I599" t="s">
        <v>1334</v>
      </c>
      <c r="J599" t="s">
        <v>1334</v>
      </c>
      <c r="K599" t="s">
        <v>1334</v>
      </c>
    </row>
    <row r="600" spans="1:11" x14ac:dyDescent="0.2">
      <c r="A600" t="s">
        <v>1334</v>
      </c>
      <c r="B600" t="s">
        <v>1334</v>
      </c>
      <c r="C600" t="s">
        <v>1334</v>
      </c>
      <c r="D600" t="s">
        <v>1334</v>
      </c>
      <c r="E600" t="s">
        <v>1334</v>
      </c>
      <c r="F600" t="s">
        <v>1334</v>
      </c>
      <c r="G600" t="s">
        <v>1334</v>
      </c>
      <c r="H600" t="s">
        <v>1334</v>
      </c>
      <c r="I600" t="s">
        <v>1334</v>
      </c>
      <c r="J600" t="s">
        <v>1334</v>
      </c>
      <c r="K600" t="s">
        <v>1334</v>
      </c>
    </row>
    <row r="601" spans="1:11" x14ac:dyDescent="0.2">
      <c r="A601" t="s">
        <v>1334</v>
      </c>
      <c r="B601" t="s">
        <v>1334</v>
      </c>
      <c r="C601" t="s">
        <v>1334</v>
      </c>
      <c r="D601" t="s">
        <v>1334</v>
      </c>
      <c r="E601" t="s">
        <v>1334</v>
      </c>
      <c r="F601" t="s">
        <v>1334</v>
      </c>
      <c r="G601" t="s">
        <v>1334</v>
      </c>
      <c r="H601" t="s">
        <v>1334</v>
      </c>
      <c r="I601" t="s">
        <v>1334</v>
      </c>
      <c r="J601" t="s">
        <v>1334</v>
      </c>
      <c r="K601" t="s">
        <v>1334</v>
      </c>
    </row>
    <row r="602" spans="1:11" x14ac:dyDescent="0.2">
      <c r="A602" t="s">
        <v>1334</v>
      </c>
      <c r="B602" t="s">
        <v>1334</v>
      </c>
      <c r="C602" t="s">
        <v>1334</v>
      </c>
      <c r="D602" t="s">
        <v>1334</v>
      </c>
      <c r="E602" t="s">
        <v>1334</v>
      </c>
      <c r="F602" t="s">
        <v>1334</v>
      </c>
      <c r="G602" t="s">
        <v>1334</v>
      </c>
      <c r="H602" t="s">
        <v>1334</v>
      </c>
      <c r="I602" t="s">
        <v>1334</v>
      </c>
      <c r="J602" t="s">
        <v>1334</v>
      </c>
      <c r="K602" t="s">
        <v>1334</v>
      </c>
    </row>
    <row r="603" spans="1:11" x14ac:dyDescent="0.2">
      <c r="A603" t="s">
        <v>1334</v>
      </c>
      <c r="B603" t="s">
        <v>1334</v>
      </c>
      <c r="C603" t="s">
        <v>1334</v>
      </c>
      <c r="D603" t="s">
        <v>1334</v>
      </c>
      <c r="E603" t="s">
        <v>1334</v>
      </c>
      <c r="F603" t="s">
        <v>1334</v>
      </c>
      <c r="G603" t="s">
        <v>1334</v>
      </c>
      <c r="H603" t="s">
        <v>1334</v>
      </c>
      <c r="I603" t="s">
        <v>1334</v>
      </c>
      <c r="J603" t="s">
        <v>1334</v>
      </c>
      <c r="K603" t="s">
        <v>1334</v>
      </c>
    </row>
    <row r="604" spans="1:11" x14ac:dyDescent="0.2">
      <c r="A604" t="s">
        <v>1334</v>
      </c>
      <c r="B604" t="s">
        <v>1334</v>
      </c>
      <c r="C604" t="s">
        <v>1334</v>
      </c>
      <c r="D604" t="s">
        <v>1334</v>
      </c>
      <c r="E604" t="s">
        <v>1334</v>
      </c>
      <c r="F604" t="s">
        <v>1334</v>
      </c>
      <c r="G604" t="s">
        <v>1334</v>
      </c>
      <c r="H604" t="s">
        <v>1334</v>
      </c>
      <c r="I604" t="s">
        <v>1334</v>
      </c>
      <c r="J604" t="s">
        <v>1334</v>
      </c>
      <c r="K604" t="s">
        <v>1334</v>
      </c>
    </row>
    <row r="605" spans="1:11" x14ac:dyDescent="0.2">
      <c r="A605" t="s">
        <v>1334</v>
      </c>
      <c r="B605" t="s">
        <v>1334</v>
      </c>
      <c r="C605" t="s">
        <v>1334</v>
      </c>
      <c r="D605" t="s">
        <v>1334</v>
      </c>
      <c r="E605" t="s">
        <v>1334</v>
      </c>
      <c r="F605" t="s">
        <v>1334</v>
      </c>
      <c r="G605" t="s">
        <v>1334</v>
      </c>
      <c r="H605" t="s">
        <v>1334</v>
      </c>
      <c r="I605" t="s">
        <v>1334</v>
      </c>
      <c r="J605" t="s">
        <v>1334</v>
      </c>
      <c r="K605" t="s">
        <v>1334</v>
      </c>
    </row>
    <row r="606" spans="1:11" x14ac:dyDescent="0.2">
      <c r="A606" t="s">
        <v>1334</v>
      </c>
      <c r="B606" t="s">
        <v>1334</v>
      </c>
      <c r="C606" t="s">
        <v>1334</v>
      </c>
      <c r="D606" t="s">
        <v>1334</v>
      </c>
      <c r="E606" t="s">
        <v>1334</v>
      </c>
      <c r="F606" t="s">
        <v>1334</v>
      </c>
      <c r="G606" t="s">
        <v>1334</v>
      </c>
      <c r="H606" t="s">
        <v>1334</v>
      </c>
      <c r="I606" t="s">
        <v>1334</v>
      </c>
      <c r="J606" t="s">
        <v>1334</v>
      </c>
      <c r="K606" t="s">
        <v>1334</v>
      </c>
    </row>
    <row r="607" spans="1:11" x14ac:dyDescent="0.2">
      <c r="A607" t="s">
        <v>1334</v>
      </c>
      <c r="B607" t="s">
        <v>1334</v>
      </c>
      <c r="C607" t="s">
        <v>1334</v>
      </c>
      <c r="D607" t="s">
        <v>1334</v>
      </c>
      <c r="E607" t="s">
        <v>1334</v>
      </c>
      <c r="F607" t="s">
        <v>1334</v>
      </c>
      <c r="G607" t="s">
        <v>1334</v>
      </c>
      <c r="H607" t="s">
        <v>1334</v>
      </c>
      <c r="I607" t="s">
        <v>1334</v>
      </c>
      <c r="J607" t="s">
        <v>1334</v>
      </c>
      <c r="K607" t="s">
        <v>1334</v>
      </c>
    </row>
    <row r="608" spans="1:11" x14ac:dyDescent="0.2">
      <c r="A608" t="s">
        <v>1334</v>
      </c>
      <c r="B608" t="s">
        <v>1334</v>
      </c>
      <c r="C608" t="s">
        <v>1334</v>
      </c>
      <c r="D608" t="s">
        <v>1334</v>
      </c>
      <c r="E608" t="s">
        <v>1334</v>
      </c>
      <c r="F608" t="s">
        <v>1334</v>
      </c>
      <c r="G608" t="s">
        <v>1334</v>
      </c>
      <c r="H608" t="s">
        <v>1334</v>
      </c>
      <c r="I608" t="s">
        <v>1334</v>
      </c>
      <c r="J608" t="s">
        <v>1334</v>
      </c>
      <c r="K608" t="s">
        <v>1334</v>
      </c>
    </row>
    <row r="609" spans="1:11" x14ac:dyDescent="0.2">
      <c r="A609" t="s">
        <v>1334</v>
      </c>
      <c r="B609" t="s">
        <v>1334</v>
      </c>
      <c r="C609" t="s">
        <v>1334</v>
      </c>
      <c r="D609" t="s">
        <v>1334</v>
      </c>
      <c r="E609" t="s">
        <v>1334</v>
      </c>
      <c r="F609" t="s">
        <v>1334</v>
      </c>
      <c r="G609" t="s">
        <v>1334</v>
      </c>
      <c r="H609" t="s">
        <v>1334</v>
      </c>
      <c r="I609" t="s">
        <v>1334</v>
      </c>
      <c r="J609" t="s">
        <v>1334</v>
      </c>
      <c r="K609" t="s">
        <v>1334</v>
      </c>
    </row>
    <row r="610" spans="1:11" x14ac:dyDescent="0.2">
      <c r="A610" t="s">
        <v>1334</v>
      </c>
      <c r="B610" t="s">
        <v>1334</v>
      </c>
      <c r="C610" t="s">
        <v>1334</v>
      </c>
      <c r="D610" t="s">
        <v>1334</v>
      </c>
      <c r="E610" t="s">
        <v>1334</v>
      </c>
      <c r="F610" t="s">
        <v>1334</v>
      </c>
      <c r="G610" t="s">
        <v>1334</v>
      </c>
      <c r="H610" t="s">
        <v>1334</v>
      </c>
      <c r="I610" t="s">
        <v>1334</v>
      </c>
      <c r="J610" t="s">
        <v>1334</v>
      </c>
      <c r="K610" t="s">
        <v>1334</v>
      </c>
    </row>
    <row r="611" spans="1:11" x14ac:dyDescent="0.2">
      <c r="A611" t="s">
        <v>1334</v>
      </c>
      <c r="B611" t="s">
        <v>1334</v>
      </c>
      <c r="C611" t="s">
        <v>1334</v>
      </c>
      <c r="D611" t="s">
        <v>1334</v>
      </c>
      <c r="E611" t="s">
        <v>1334</v>
      </c>
      <c r="F611" t="s">
        <v>1334</v>
      </c>
      <c r="G611" t="s">
        <v>1334</v>
      </c>
      <c r="H611" t="s">
        <v>1334</v>
      </c>
      <c r="I611" t="s">
        <v>1334</v>
      </c>
      <c r="J611" t="s">
        <v>1334</v>
      </c>
      <c r="K611" t="s">
        <v>1334</v>
      </c>
    </row>
    <row r="612" spans="1:11" x14ac:dyDescent="0.2">
      <c r="A612" t="s">
        <v>1334</v>
      </c>
      <c r="B612" t="s">
        <v>1334</v>
      </c>
      <c r="C612" t="s">
        <v>1334</v>
      </c>
      <c r="D612" t="s">
        <v>1334</v>
      </c>
      <c r="E612" t="s">
        <v>1334</v>
      </c>
      <c r="F612" t="s">
        <v>1334</v>
      </c>
      <c r="G612" t="s">
        <v>1334</v>
      </c>
      <c r="H612" t="s">
        <v>1334</v>
      </c>
      <c r="I612" t="s">
        <v>1334</v>
      </c>
      <c r="J612" t="s">
        <v>1334</v>
      </c>
      <c r="K612" t="s">
        <v>1334</v>
      </c>
    </row>
    <row r="613" spans="1:11" x14ac:dyDescent="0.2">
      <c r="A613" t="s">
        <v>1334</v>
      </c>
      <c r="B613" t="s">
        <v>1334</v>
      </c>
      <c r="C613" t="s">
        <v>1334</v>
      </c>
      <c r="D613" t="s">
        <v>1334</v>
      </c>
      <c r="E613" t="s">
        <v>1334</v>
      </c>
      <c r="F613" t="s">
        <v>1334</v>
      </c>
      <c r="G613" t="s">
        <v>1334</v>
      </c>
      <c r="H613" t="s">
        <v>1334</v>
      </c>
      <c r="I613" t="s">
        <v>1334</v>
      </c>
      <c r="J613" t="s">
        <v>1334</v>
      </c>
      <c r="K613" t="s">
        <v>1334</v>
      </c>
    </row>
    <row r="614" spans="1:11" x14ac:dyDescent="0.2">
      <c r="A614" t="s">
        <v>1334</v>
      </c>
      <c r="B614" t="s">
        <v>1334</v>
      </c>
      <c r="C614" t="s">
        <v>1334</v>
      </c>
      <c r="D614" t="s">
        <v>1334</v>
      </c>
      <c r="E614" t="s">
        <v>1334</v>
      </c>
      <c r="F614" t="s">
        <v>1334</v>
      </c>
      <c r="G614" t="s">
        <v>1334</v>
      </c>
      <c r="H614" t="s">
        <v>1334</v>
      </c>
      <c r="I614" t="s">
        <v>1334</v>
      </c>
      <c r="J614" t="s">
        <v>1334</v>
      </c>
      <c r="K614" t="s">
        <v>1334</v>
      </c>
    </row>
    <row r="615" spans="1:11" x14ac:dyDescent="0.2">
      <c r="A615" t="s">
        <v>1334</v>
      </c>
      <c r="B615" t="s">
        <v>1334</v>
      </c>
      <c r="C615" t="s">
        <v>1334</v>
      </c>
      <c r="D615" t="s">
        <v>1334</v>
      </c>
      <c r="E615" t="s">
        <v>1334</v>
      </c>
      <c r="F615" t="s">
        <v>1334</v>
      </c>
      <c r="G615" t="s">
        <v>1334</v>
      </c>
      <c r="H615" t="s">
        <v>1334</v>
      </c>
      <c r="I615" t="s">
        <v>1334</v>
      </c>
      <c r="J615" t="s">
        <v>1334</v>
      </c>
      <c r="K615" t="s">
        <v>1334</v>
      </c>
    </row>
    <row r="616" spans="1:11" x14ac:dyDescent="0.2">
      <c r="A616" t="s">
        <v>1334</v>
      </c>
      <c r="B616" t="s">
        <v>1334</v>
      </c>
      <c r="C616" t="s">
        <v>1334</v>
      </c>
      <c r="D616" t="s">
        <v>1334</v>
      </c>
      <c r="E616" t="s">
        <v>1334</v>
      </c>
      <c r="F616" t="s">
        <v>1334</v>
      </c>
      <c r="G616" t="s">
        <v>1334</v>
      </c>
      <c r="H616" t="s">
        <v>1334</v>
      </c>
      <c r="I616" t="s">
        <v>1334</v>
      </c>
      <c r="J616" t="s">
        <v>1334</v>
      </c>
      <c r="K616" t="s">
        <v>1334</v>
      </c>
    </row>
    <row r="617" spans="1:11" x14ac:dyDescent="0.2">
      <c r="A617" t="s">
        <v>1334</v>
      </c>
      <c r="B617" t="s">
        <v>1334</v>
      </c>
      <c r="C617" t="s">
        <v>1334</v>
      </c>
      <c r="D617" t="s">
        <v>1334</v>
      </c>
      <c r="E617" t="s">
        <v>1334</v>
      </c>
      <c r="F617" t="s">
        <v>1334</v>
      </c>
      <c r="G617" t="s">
        <v>1334</v>
      </c>
      <c r="H617" t="s">
        <v>1334</v>
      </c>
      <c r="I617" t="s">
        <v>1334</v>
      </c>
      <c r="J617" t="s">
        <v>1334</v>
      </c>
      <c r="K617" t="s">
        <v>1334</v>
      </c>
    </row>
    <row r="618" spans="1:11" x14ac:dyDescent="0.2">
      <c r="A618" t="s">
        <v>1334</v>
      </c>
      <c r="B618" t="s">
        <v>1334</v>
      </c>
      <c r="C618" t="s">
        <v>1334</v>
      </c>
      <c r="D618" t="s">
        <v>1334</v>
      </c>
      <c r="E618" t="s">
        <v>1334</v>
      </c>
      <c r="F618" t="s">
        <v>1334</v>
      </c>
      <c r="G618" t="s">
        <v>1334</v>
      </c>
      <c r="H618" t="s">
        <v>1334</v>
      </c>
      <c r="I618" t="s">
        <v>1334</v>
      </c>
      <c r="J618" t="s">
        <v>1334</v>
      </c>
      <c r="K618" t="s">
        <v>1334</v>
      </c>
    </row>
    <row r="619" spans="1:11" x14ac:dyDescent="0.2">
      <c r="A619" t="s">
        <v>1334</v>
      </c>
      <c r="B619" t="s">
        <v>1334</v>
      </c>
      <c r="C619" t="s">
        <v>1334</v>
      </c>
      <c r="D619" t="s">
        <v>1334</v>
      </c>
      <c r="E619" t="s">
        <v>1334</v>
      </c>
      <c r="F619" t="s">
        <v>1334</v>
      </c>
      <c r="G619" t="s">
        <v>1334</v>
      </c>
      <c r="H619" t="s">
        <v>1334</v>
      </c>
      <c r="I619" t="s">
        <v>1334</v>
      </c>
      <c r="J619" t="s">
        <v>1334</v>
      </c>
      <c r="K619" t="s">
        <v>1334</v>
      </c>
    </row>
    <row r="620" spans="1:11" x14ac:dyDescent="0.2">
      <c r="A620" t="s">
        <v>1334</v>
      </c>
      <c r="B620" t="s">
        <v>1334</v>
      </c>
      <c r="C620" t="s">
        <v>1334</v>
      </c>
      <c r="D620" t="s">
        <v>1334</v>
      </c>
      <c r="E620" t="s">
        <v>1334</v>
      </c>
      <c r="F620" t="s">
        <v>1334</v>
      </c>
      <c r="G620" t="s">
        <v>1334</v>
      </c>
      <c r="H620" t="s">
        <v>1334</v>
      </c>
      <c r="I620" t="s">
        <v>1334</v>
      </c>
      <c r="J620" t="s">
        <v>1334</v>
      </c>
      <c r="K620" t="s">
        <v>1334</v>
      </c>
    </row>
    <row r="621" spans="1:11" x14ac:dyDescent="0.2">
      <c r="A621" t="s">
        <v>1334</v>
      </c>
      <c r="B621" t="s">
        <v>1334</v>
      </c>
      <c r="C621" t="s">
        <v>1334</v>
      </c>
      <c r="D621" t="s">
        <v>1334</v>
      </c>
      <c r="E621" t="s">
        <v>1334</v>
      </c>
      <c r="F621" t="s">
        <v>1334</v>
      </c>
      <c r="G621" t="s">
        <v>1334</v>
      </c>
      <c r="H621" t="s">
        <v>1334</v>
      </c>
      <c r="I621" t="s">
        <v>1334</v>
      </c>
      <c r="J621" t="s">
        <v>1334</v>
      </c>
      <c r="K621" t="s">
        <v>1334</v>
      </c>
    </row>
    <row r="622" spans="1:11" x14ac:dyDescent="0.2">
      <c r="A622" t="s">
        <v>1334</v>
      </c>
      <c r="B622" t="s">
        <v>1334</v>
      </c>
      <c r="C622" t="s">
        <v>1334</v>
      </c>
      <c r="D622" t="s">
        <v>1334</v>
      </c>
      <c r="E622" t="s">
        <v>1334</v>
      </c>
      <c r="F622" t="s">
        <v>1334</v>
      </c>
      <c r="G622" t="s">
        <v>1334</v>
      </c>
      <c r="H622" t="s">
        <v>1334</v>
      </c>
      <c r="I622" t="s">
        <v>1334</v>
      </c>
      <c r="J622" t="s">
        <v>1334</v>
      </c>
      <c r="K622" t="s">
        <v>1334</v>
      </c>
    </row>
    <row r="623" spans="1:11" x14ac:dyDescent="0.2">
      <c r="A623" t="s">
        <v>1334</v>
      </c>
      <c r="B623" t="s">
        <v>1334</v>
      </c>
      <c r="C623" t="s">
        <v>1334</v>
      </c>
      <c r="D623" t="s">
        <v>1334</v>
      </c>
      <c r="E623" t="s">
        <v>1334</v>
      </c>
      <c r="F623" t="s">
        <v>1334</v>
      </c>
      <c r="G623" t="s">
        <v>1334</v>
      </c>
      <c r="H623" t="s">
        <v>1334</v>
      </c>
      <c r="I623" t="s">
        <v>1334</v>
      </c>
      <c r="J623" t="s">
        <v>1334</v>
      </c>
      <c r="K623" t="s">
        <v>1334</v>
      </c>
    </row>
    <row r="624" spans="1:11" x14ac:dyDescent="0.2">
      <c r="A624" t="s">
        <v>1334</v>
      </c>
      <c r="B624" t="s">
        <v>1334</v>
      </c>
      <c r="C624" t="s">
        <v>1334</v>
      </c>
      <c r="D624" t="s">
        <v>1334</v>
      </c>
      <c r="E624" t="s">
        <v>1334</v>
      </c>
      <c r="F624" t="s">
        <v>1334</v>
      </c>
      <c r="G624" t="s">
        <v>1334</v>
      </c>
      <c r="H624" t="s">
        <v>1334</v>
      </c>
      <c r="I624" t="s">
        <v>1334</v>
      </c>
      <c r="J624" t="s">
        <v>1334</v>
      </c>
      <c r="K624" t="s">
        <v>1334</v>
      </c>
    </row>
    <row r="625" spans="1:11" x14ac:dyDescent="0.2">
      <c r="A625" t="s">
        <v>1334</v>
      </c>
      <c r="B625" t="s">
        <v>1334</v>
      </c>
      <c r="C625" t="s">
        <v>1334</v>
      </c>
      <c r="D625" t="s">
        <v>1334</v>
      </c>
      <c r="E625" t="s">
        <v>1334</v>
      </c>
      <c r="F625" t="s">
        <v>1334</v>
      </c>
      <c r="G625" t="s">
        <v>1334</v>
      </c>
      <c r="H625" t="s">
        <v>1334</v>
      </c>
      <c r="I625" t="s">
        <v>1334</v>
      </c>
      <c r="J625" t="s">
        <v>1334</v>
      </c>
      <c r="K625" t="s">
        <v>1334</v>
      </c>
    </row>
    <row r="626" spans="1:11" x14ac:dyDescent="0.2">
      <c r="A626" t="s">
        <v>1334</v>
      </c>
      <c r="B626" t="s">
        <v>1334</v>
      </c>
      <c r="C626" t="s">
        <v>1334</v>
      </c>
      <c r="D626" t="s">
        <v>1334</v>
      </c>
      <c r="E626" t="s">
        <v>1334</v>
      </c>
      <c r="F626" t="s">
        <v>1334</v>
      </c>
      <c r="G626" t="s">
        <v>1334</v>
      </c>
      <c r="H626" t="s">
        <v>1334</v>
      </c>
      <c r="I626" t="s">
        <v>1334</v>
      </c>
      <c r="J626" t="s">
        <v>1334</v>
      </c>
      <c r="K626" t="s">
        <v>1334</v>
      </c>
    </row>
    <row r="627" spans="1:11" x14ac:dyDescent="0.2">
      <c r="A627" t="s">
        <v>1334</v>
      </c>
      <c r="B627" t="s">
        <v>1334</v>
      </c>
      <c r="C627" t="s">
        <v>1334</v>
      </c>
      <c r="D627" t="s">
        <v>1334</v>
      </c>
      <c r="E627" t="s">
        <v>1334</v>
      </c>
      <c r="F627" t="s">
        <v>1334</v>
      </c>
      <c r="G627" t="s">
        <v>1334</v>
      </c>
      <c r="H627" t="s">
        <v>1334</v>
      </c>
      <c r="I627" t="s">
        <v>1334</v>
      </c>
      <c r="J627" t="s">
        <v>1334</v>
      </c>
      <c r="K627" t="s">
        <v>1334</v>
      </c>
    </row>
    <row r="628" spans="1:11" x14ac:dyDescent="0.2">
      <c r="A628" t="s">
        <v>1334</v>
      </c>
      <c r="B628" t="s">
        <v>1334</v>
      </c>
      <c r="C628" t="s">
        <v>1334</v>
      </c>
      <c r="D628" t="s">
        <v>1334</v>
      </c>
      <c r="E628" t="s">
        <v>1334</v>
      </c>
      <c r="F628" t="s">
        <v>1334</v>
      </c>
      <c r="G628" t="s">
        <v>1334</v>
      </c>
      <c r="H628" t="s">
        <v>1334</v>
      </c>
      <c r="I628" t="s">
        <v>1334</v>
      </c>
      <c r="J628" t="s">
        <v>1334</v>
      </c>
      <c r="K628" t="s">
        <v>1334</v>
      </c>
    </row>
    <row r="629" spans="1:11" x14ac:dyDescent="0.2">
      <c r="A629" t="s">
        <v>1334</v>
      </c>
      <c r="B629" t="s">
        <v>1334</v>
      </c>
      <c r="C629" t="s">
        <v>1334</v>
      </c>
      <c r="D629" t="s">
        <v>1334</v>
      </c>
      <c r="E629" t="s">
        <v>1334</v>
      </c>
      <c r="F629" t="s">
        <v>1334</v>
      </c>
      <c r="G629" t="s">
        <v>1334</v>
      </c>
      <c r="H629" t="s">
        <v>1334</v>
      </c>
      <c r="I629" t="s">
        <v>1334</v>
      </c>
      <c r="J629" t="s">
        <v>1334</v>
      </c>
      <c r="K629" t="s">
        <v>1334</v>
      </c>
    </row>
    <row r="630" spans="1:11" x14ac:dyDescent="0.2">
      <c r="A630" t="s">
        <v>1334</v>
      </c>
      <c r="B630" t="s">
        <v>1334</v>
      </c>
      <c r="C630" t="s">
        <v>1334</v>
      </c>
      <c r="D630" t="s">
        <v>1334</v>
      </c>
      <c r="E630" t="s">
        <v>1334</v>
      </c>
      <c r="F630" t="s">
        <v>1334</v>
      </c>
      <c r="G630" t="s">
        <v>1334</v>
      </c>
      <c r="H630" t="s">
        <v>1334</v>
      </c>
      <c r="I630" t="s">
        <v>1334</v>
      </c>
      <c r="J630" t="s">
        <v>1334</v>
      </c>
      <c r="K630" t="s">
        <v>1334</v>
      </c>
    </row>
    <row r="631" spans="1:11" x14ac:dyDescent="0.2">
      <c r="A631" t="s">
        <v>1334</v>
      </c>
      <c r="B631" t="s">
        <v>1334</v>
      </c>
      <c r="C631" t="s">
        <v>1334</v>
      </c>
      <c r="D631" t="s">
        <v>1334</v>
      </c>
      <c r="E631" t="s">
        <v>1334</v>
      </c>
      <c r="F631" t="s">
        <v>1334</v>
      </c>
      <c r="G631" t="s">
        <v>1334</v>
      </c>
      <c r="H631" t="s">
        <v>1334</v>
      </c>
      <c r="I631" t="s">
        <v>1334</v>
      </c>
      <c r="J631" t="s">
        <v>1334</v>
      </c>
      <c r="K631" t="s">
        <v>1334</v>
      </c>
    </row>
    <row r="632" spans="1:11" x14ac:dyDescent="0.2">
      <c r="A632" t="s">
        <v>1334</v>
      </c>
      <c r="B632" t="s">
        <v>1334</v>
      </c>
      <c r="C632" t="s">
        <v>1334</v>
      </c>
      <c r="D632" t="s">
        <v>1334</v>
      </c>
      <c r="E632" t="s">
        <v>1334</v>
      </c>
      <c r="F632" t="s">
        <v>1334</v>
      </c>
      <c r="G632" t="s">
        <v>1334</v>
      </c>
      <c r="H632" t="s">
        <v>1334</v>
      </c>
      <c r="I632" t="s">
        <v>1334</v>
      </c>
      <c r="J632" t="s">
        <v>1334</v>
      </c>
      <c r="K632" t="s">
        <v>1334</v>
      </c>
    </row>
    <row r="633" spans="1:11" x14ac:dyDescent="0.2">
      <c r="A633" t="s">
        <v>1334</v>
      </c>
      <c r="B633" t="s">
        <v>1334</v>
      </c>
      <c r="C633" t="s">
        <v>1334</v>
      </c>
      <c r="D633" t="s">
        <v>1334</v>
      </c>
      <c r="E633" t="s">
        <v>1334</v>
      </c>
      <c r="F633" t="s">
        <v>1334</v>
      </c>
      <c r="G633" t="s">
        <v>1334</v>
      </c>
      <c r="H633" t="s">
        <v>1334</v>
      </c>
      <c r="I633" t="s">
        <v>1334</v>
      </c>
      <c r="J633" t="s">
        <v>1334</v>
      </c>
      <c r="K633" t="s">
        <v>1334</v>
      </c>
    </row>
    <row r="634" spans="1:11" x14ac:dyDescent="0.2">
      <c r="A634" t="s">
        <v>1334</v>
      </c>
      <c r="B634" t="s">
        <v>1334</v>
      </c>
      <c r="C634" t="s">
        <v>1334</v>
      </c>
      <c r="D634" t="s">
        <v>1334</v>
      </c>
      <c r="E634" t="s">
        <v>1334</v>
      </c>
      <c r="F634" t="s">
        <v>1334</v>
      </c>
      <c r="G634" t="s">
        <v>1334</v>
      </c>
      <c r="H634" t="s">
        <v>1334</v>
      </c>
      <c r="I634" t="s">
        <v>1334</v>
      </c>
      <c r="J634" t="s">
        <v>1334</v>
      </c>
      <c r="K634" t="s">
        <v>1334</v>
      </c>
    </row>
    <row r="635" spans="1:11" x14ac:dyDescent="0.2">
      <c r="A635" t="s">
        <v>1334</v>
      </c>
      <c r="B635" t="s">
        <v>1334</v>
      </c>
      <c r="C635" t="s">
        <v>1334</v>
      </c>
      <c r="D635" t="s">
        <v>1334</v>
      </c>
      <c r="E635" t="s">
        <v>1334</v>
      </c>
      <c r="F635" t="s">
        <v>1334</v>
      </c>
      <c r="G635" t="s">
        <v>1334</v>
      </c>
      <c r="H635" t="s">
        <v>1334</v>
      </c>
      <c r="I635" t="s">
        <v>1334</v>
      </c>
      <c r="J635" t="s">
        <v>1334</v>
      </c>
      <c r="K635" t="s">
        <v>1334</v>
      </c>
    </row>
    <row r="636" spans="1:11" x14ac:dyDescent="0.2">
      <c r="A636" t="s">
        <v>1334</v>
      </c>
      <c r="B636" t="s">
        <v>1334</v>
      </c>
      <c r="C636" t="s">
        <v>1334</v>
      </c>
      <c r="D636" t="s">
        <v>1334</v>
      </c>
      <c r="E636" t="s">
        <v>1334</v>
      </c>
      <c r="F636" t="s">
        <v>1334</v>
      </c>
      <c r="G636" t="s">
        <v>1334</v>
      </c>
      <c r="H636" t="s">
        <v>1334</v>
      </c>
      <c r="I636" t="s">
        <v>1334</v>
      </c>
      <c r="J636" t="s">
        <v>1334</v>
      </c>
      <c r="K636" t="s">
        <v>1334</v>
      </c>
    </row>
    <row r="637" spans="1:11" x14ac:dyDescent="0.2">
      <c r="A637" t="s">
        <v>1334</v>
      </c>
      <c r="B637" t="s">
        <v>1334</v>
      </c>
      <c r="C637" t="s">
        <v>1334</v>
      </c>
      <c r="D637" t="s">
        <v>1334</v>
      </c>
      <c r="E637" t="s">
        <v>1334</v>
      </c>
      <c r="F637" t="s">
        <v>1334</v>
      </c>
      <c r="G637" t="s">
        <v>1334</v>
      </c>
      <c r="H637" t="s">
        <v>1334</v>
      </c>
      <c r="I637" t="s">
        <v>1334</v>
      </c>
      <c r="J637" t="s">
        <v>1334</v>
      </c>
      <c r="K637" t="s">
        <v>1334</v>
      </c>
    </row>
    <row r="638" spans="1:11" x14ac:dyDescent="0.2">
      <c r="A638" t="s">
        <v>1334</v>
      </c>
      <c r="B638" t="s">
        <v>1334</v>
      </c>
      <c r="C638" t="s">
        <v>1334</v>
      </c>
      <c r="D638" t="s">
        <v>1334</v>
      </c>
      <c r="E638" t="s">
        <v>1334</v>
      </c>
      <c r="F638" t="s">
        <v>1334</v>
      </c>
      <c r="G638" t="s">
        <v>1334</v>
      </c>
      <c r="H638" t="s">
        <v>1334</v>
      </c>
      <c r="I638" t="s">
        <v>1334</v>
      </c>
      <c r="J638" t="s">
        <v>1334</v>
      </c>
      <c r="K638" t="s">
        <v>1334</v>
      </c>
    </row>
    <row r="639" spans="1:11" x14ac:dyDescent="0.2">
      <c r="A639" t="s">
        <v>1334</v>
      </c>
      <c r="B639" t="s">
        <v>1334</v>
      </c>
      <c r="C639" t="s">
        <v>1334</v>
      </c>
      <c r="D639" t="s">
        <v>1334</v>
      </c>
      <c r="E639" t="s">
        <v>1334</v>
      </c>
      <c r="F639" t="s">
        <v>1334</v>
      </c>
      <c r="G639" t="s">
        <v>1334</v>
      </c>
      <c r="H639" t="s">
        <v>1334</v>
      </c>
      <c r="I639" t="s">
        <v>1334</v>
      </c>
      <c r="J639" t="s">
        <v>1334</v>
      </c>
      <c r="K639" t="s">
        <v>1334</v>
      </c>
    </row>
    <row r="640" spans="1:11" x14ac:dyDescent="0.2">
      <c r="A640" t="s">
        <v>1334</v>
      </c>
      <c r="B640" t="s">
        <v>1334</v>
      </c>
      <c r="C640" t="s">
        <v>1334</v>
      </c>
      <c r="D640" t="s">
        <v>1334</v>
      </c>
      <c r="E640" t="s">
        <v>1334</v>
      </c>
      <c r="F640" t="s">
        <v>1334</v>
      </c>
      <c r="G640" t="s">
        <v>1334</v>
      </c>
      <c r="H640" t="s">
        <v>1334</v>
      </c>
      <c r="I640" t="s">
        <v>1334</v>
      </c>
      <c r="J640" t="s">
        <v>1334</v>
      </c>
      <c r="K640" t="s">
        <v>1334</v>
      </c>
    </row>
    <row r="641" spans="1:11" x14ac:dyDescent="0.2">
      <c r="A641" t="s">
        <v>1334</v>
      </c>
      <c r="B641" t="s">
        <v>1334</v>
      </c>
      <c r="C641" t="s">
        <v>1334</v>
      </c>
      <c r="D641" t="s">
        <v>1334</v>
      </c>
      <c r="E641" t="s">
        <v>1334</v>
      </c>
      <c r="F641" t="s">
        <v>1334</v>
      </c>
      <c r="G641" t="s">
        <v>1334</v>
      </c>
      <c r="H641" t="s">
        <v>1334</v>
      </c>
      <c r="I641" t="s">
        <v>1334</v>
      </c>
      <c r="J641" t="s">
        <v>1334</v>
      </c>
      <c r="K641" t="s">
        <v>1334</v>
      </c>
    </row>
    <row r="642" spans="1:11" x14ac:dyDescent="0.2">
      <c r="A642" t="s">
        <v>1334</v>
      </c>
      <c r="B642" t="s">
        <v>1334</v>
      </c>
      <c r="C642" t="s">
        <v>1334</v>
      </c>
      <c r="D642" t="s">
        <v>1334</v>
      </c>
      <c r="E642" t="s">
        <v>1334</v>
      </c>
      <c r="F642" t="s">
        <v>1334</v>
      </c>
      <c r="G642" t="s">
        <v>1334</v>
      </c>
      <c r="H642" t="s">
        <v>1334</v>
      </c>
      <c r="I642" t="s">
        <v>1334</v>
      </c>
      <c r="J642" t="s">
        <v>1334</v>
      </c>
      <c r="K642" t="s">
        <v>1334</v>
      </c>
    </row>
    <row r="643" spans="1:11" x14ac:dyDescent="0.2">
      <c r="A643" t="s">
        <v>1334</v>
      </c>
      <c r="B643" t="s">
        <v>1334</v>
      </c>
      <c r="C643" t="s">
        <v>1334</v>
      </c>
      <c r="D643" t="s">
        <v>1334</v>
      </c>
      <c r="E643" t="s">
        <v>1334</v>
      </c>
      <c r="F643" t="s">
        <v>1334</v>
      </c>
      <c r="G643" t="s">
        <v>1334</v>
      </c>
      <c r="H643" t="s">
        <v>1334</v>
      </c>
      <c r="I643" t="s">
        <v>1334</v>
      </c>
      <c r="J643" t="s">
        <v>1334</v>
      </c>
      <c r="K643" t="s">
        <v>1334</v>
      </c>
    </row>
    <row r="644" spans="1:11" x14ac:dyDescent="0.2">
      <c r="A644" t="s">
        <v>1334</v>
      </c>
      <c r="B644" t="s">
        <v>1334</v>
      </c>
      <c r="C644" t="s">
        <v>1334</v>
      </c>
      <c r="D644" t="s">
        <v>1334</v>
      </c>
      <c r="E644" t="s">
        <v>1334</v>
      </c>
      <c r="F644" t="s">
        <v>1334</v>
      </c>
      <c r="G644" t="s">
        <v>1334</v>
      </c>
      <c r="H644" t="s">
        <v>1334</v>
      </c>
      <c r="I644" t="s">
        <v>1334</v>
      </c>
      <c r="J644" t="s">
        <v>1334</v>
      </c>
      <c r="K644" t="s">
        <v>1334</v>
      </c>
    </row>
    <row r="645" spans="1:11" x14ac:dyDescent="0.2">
      <c r="A645" t="s">
        <v>1334</v>
      </c>
      <c r="B645" t="s">
        <v>1334</v>
      </c>
      <c r="C645" t="s">
        <v>1334</v>
      </c>
      <c r="D645" t="s">
        <v>1334</v>
      </c>
      <c r="E645" t="s">
        <v>1334</v>
      </c>
      <c r="F645" t="s">
        <v>1334</v>
      </c>
      <c r="G645" t="s">
        <v>1334</v>
      </c>
      <c r="H645" t="s">
        <v>1334</v>
      </c>
      <c r="I645" t="s">
        <v>1334</v>
      </c>
      <c r="J645" t="s">
        <v>1334</v>
      </c>
      <c r="K645" t="s">
        <v>1334</v>
      </c>
    </row>
    <row r="646" spans="1:11" x14ac:dyDescent="0.2">
      <c r="A646" t="s">
        <v>1334</v>
      </c>
      <c r="B646" t="s">
        <v>1334</v>
      </c>
      <c r="C646" t="s">
        <v>1334</v>
      </c>
      <c r="D646" t="s">
        <v>1334</v>
      </c>
      <c r="E646" t="s">
        <v>1334</v>
      </c>
      <c r="F646" t="s">
        <v>1334</v>
      </c>
      <c r="G646" t="s">
        <v>1334</v>
      </c>
      <c r="H646" t="s">
        <v>1334</v>
      </c>
      <c r="I646" t="s">
        <v>1334</v>
      </c>
      <c r="J646" t="s">
        <v>1334</v>
      </c>
      <c r="K646" t="s">
        <v>1334</v>
      </c>
    </row>
    <row r="647" spans="1:11" x14ac:dyDescent="0.2">
      <c r="A647" t="s">
        <v>1334</v>
      </c>
      <c r="B647" t="s">
        <v>1334</v>
      </c>
      <c r="C647" t="s">
        <v>1334</v>
      </c>
      <c r="D647" t="s">
        <v>1334</v>
      </c>
      <c r="E647" t="s">
        <v>1334</v>
      </c>
      <c r="F647" t="s">
        <v>1334</v>
      </c>
      <c r="G647" t="s">
        <v>1334</v>
      </c>
      <c r="H647" t="s">
        <v>1334</v>
      </c>
      <c r="I647" t="s">
        <v>1334</v>
      </c>
      <c r="J647" t="s">
        <v>1334</v>
      </c>
      <c r="K647" t="s">
        <v>1334</v>
      </c>
    </row>
    <row r="648" spans="1:11" x14ac:dyDescent="0.2">
      <c r="A648" t="s">
        <v>1334</v>
      </c>
      <c r="B648" t="s">
        <v>1334</v>
      </c>
      <c r="C648" t="s">
        <v>1334</v>
      </c>
      <c r="D648" t="s">
        <v>1334</v>
      </c>
      <c r="E648" t="s">
        <v>1334</v>
      </c>
      <c r="F648" t="s">
        <v>1334</v>
      </c>
      <c r="G648" t="s">
        <v>1334</v>
      </c>
      <c r="H648" t="s">
        <v>1334</v>
      </c>
      <c r="I648" t="s">
        <v>1334</v>
      </c>
      <c r="J648" t="s">
        <v>1334</v>
      </c>
      <c r="K648" t="s">
        <v>1334</v>
      </c>
    </row>
    <row r="649" spans="1:11" x14ac:dyDescent="0.2">
      <c r="A649" t="s">
        <v>1334</v>
      </c>
      <c r="B649" t="s">
        <v>1334</v>
      </c>
      <c r="C649" t="s">
        <v>1334</v>
      </c>
      <c r="D649" t="s">
        <v>1334</v>
      </c>
      <c r="E649" t="s">
        <v>1334</v>
      </c>
      <c r="F649" t="s">
        <v>1334</v>
      </c>
      <c r="G649" t="s">
        <v>1334</v>
      </c>
      <c r="H649" t="s">
        <v>1334</v>
      </c>
      <c r="I649" t="s">
        <v>1334</v>
      </c>
      <c r="J649" t="s">
        <v>1334</v>
      </c>
      <c r="K649" t="s">
        <v>1334</v>
      </c>
    </row>
    <row r="650" spans="1:11" x14ac:dyDescent="0.2">
      <c r="A650" t="s">
        <v>1334</v>
      </c>
      <c r="B650" t="s">
        <v>1334</v>
      </c>
      <c r="C650" t="s">
        <v>1334</v>
      </c>
      <c r="D650" t="s">
        <v>1334</v>
      </c>
      <c r="E650" t="s">
        <v>1334</v>
      </c>
      <c r="F650" t="s">
        <v>1334</v>
      </c>
      <c r="G650" t="s">
        <v>1334</v>
      </c>
      <c r="H650" t="s">
        <v>1334</v>
      </c>
      <c r="I650" t="s">
        <v>1334</v>
      </c>
      <c r="J650" t="s">
        <v>1334</v>
      </c>
      <c r="K650" t="s">
        <v>1334</v>
      </c>
    </row>
    <row r="651" spans="1:11" x14ac:dyDescent="0.2">
      <c r="A651" t="s">
        <v>1334</v>
      </c>
      <c r="B651" t="s">
        <v>1334</v>
      </c>
      <c r="C651" t="s">
        <v>1334</v>
      </c>
      <c r="D651" t="s">
        <v>1334</v>
      </c>
      <c r="E651" t="s">
        <v>1334</v>
      </c>
      <c r="F651" t="s">
        <v>1334</v>
      </c>
      <c r="G651" t="s">
        <v>1334</v>
      </c>
      <c r="H651" t="s">
        <v>1334</v>
      </c>
      <c r="I651" t="s">
        <v>1334</v>
      </c>
      <c r="J651" t="s">
        <v>1334</v>
      </c>
      <c r="K651" t="s">
        <v>1334</v>
      </c>
    </row>
    <row r="652" spans="1:11" x14ac:dyDescent="0.2">
      <c r="A652" t="s">
        <v>1334</v>
      </c>
      <c r="B652" t="s">
        <v>1334</v>
      </c>
      <c r="C652" t="s">
        <v>1334</v>
      </c>
      <c r="D652" t="s">
        <v>1334</v>
      </c>
      <c r="E652" t="s">
        <v>1334</v>
      </c>
      <c r="F652" t="s">
        <v>1334</v>
      </c>
      <c r="G652" t="s">
        <v>1334</v>
      </c>
      <c r="H652" t="s">
        <v>1334</v>
      </c>
      <c r="I652" t="s">
        <v>1334</v>
      </c>
      <c r="J652" t="s">
        <v>1334</v>
      </c>
      <c r="K652" t="s">
        <v>1334</v>
      </c>
    </row>
    <row r="653" spans="1:11" x14ac:dyDescent="0.2">
      <c r="A653" t="s">
        <v>1334</v>
      </c>
      <c r="B653" t="s">
        <v>1334</v>
      </c>
      <c r="C653" t="s">
        <v>1334</v>
      </c>
      <c r="D653" t="s">
        <v>1334</v>
      </c>
      <c r="E653" t="s">
        <v>1334</v>
      </c>
      <c r="F653" t="s">
        <v>1334</v>
      </c>
      <c r="G653" t="s">
        <v>1334</v>
      </c>
      <c r="H653" t="s">
        <v>1334</v>
      </c>
      <c r="I653" t="s">
        <v>1334</v>
      </c>
      <c r="J653" t="s">
        <v>1334</v>
      </c>
      <c r="K653" t="s">
        <v>1334</v>
      </c>
    </row>
    <row r="654" spans="1:11" x14ac:dyDescent="0.2">
      <c r="A654" t="s">
        <v>1334</v>
      </c>
      <c r="B654" t="s">
        <v>1334</v>
      </c>
      <c r="C654" t="s">
        <v>1334</v>
      </c>
      <c r="D654" t="s">
        <v>1334</v>
      </c>
      <c r="E654" t="s">
        <v>1334</v>
      </c>
      <c r="F654" t="s">
        <v>1334</v>
      </c>
      <c r="G654" t="s">
        <v>1334</v>
      </c>
      <c r="H654" t="s">
        <v>1334</v>
      </c>
      <c r="I654" t="s">
        <v>1334</v>
      </c>
      <c r="J654" t="s">
        <v>1334</v>
      </c>
      <c r="K654" t="s">
        <v>1334</v>
      </c>
    </row>
    <row r="655" spans="1:11" x14ac:dyDescent="0.2">
      <c r="A655" t="s">
        <v>1334</v>
      </c>
      <c r="B655" t="s">
        <v>1334</v>
      </c>
      <c r="C655" t="s">
        <v>1334</v>
      </c>
      <c r="D655" t="s">
        <v>1334</v>
      </c>
      <c r="E655" t="s">
        <v>1334</v>
      </c>
      <c r="F655" t="s">
        <v>1334</v>
      </c>
      <c r="G655" t="s">
        <v>1334</v>
      </c>
      <c r="H655" t="s">
        <v>1334</v>
      </c>
      <c r="I655" t="s">
        <v>1334</v>
      </c>
      <c r="J655" t="s">
        <v>1334</v>
      </c>
      <c r="K655" t="s">
        <v>1334</v>
      </c>
    </row>
    <row r="656" spans="1:11" x14ac:dyDescent="0.2">
      <c r="A656" t="s">
        <v>1334</v>
      </c>
      <c r="B656" t="s">
        <v>1334</v>
      </c>
      <c r="C656" t="s">
        <v>1334</v>
      </c>
      <c r="D656" t="s">
        <v>1334</v>
      </c>
      <c r="E656" t="s">
        <v>1334</v>
      </c>
      <c r="F656" t="s">
        <v>1334</v>
      </c>
      <c r="G656" t="s">
        <v>1334</v>
      </c>
      <c r="H656" t="s">
        <v>1334</v>
      </c>
      <c r="I656" t="s">
        <v>1334</v>
      </c>
      <c r="J656" t="s">
        <v>1334</v>
      </c>
      <c r="K656" t="s">
        <v>1334</v>
      </c>
    </row>
    <row r="657" spans="1:11" x14ac:dyDescent="0.2">
      <c r="A657" t="s">
        <v>1334</v>
      </c>
      <c r="B657" t="s">
        <v>1334</v>
      </c>
      <c r="C657" t="s">
        <v>1334</v>
      </c>
      <c r="D657" t="s">
        <v>1334</v>
      </c>
      <c r="E657" t="s">
        <v>1334</v>
      </c>
      <c r="F657" t="s">
        <v>1334</v>
      </c>
      <c r="G657" t="s">
        <v>1334</v>
      </c>
      <c r="H657" t="s">
        <v>1334</v>
      </c>
      <c r="I657" t="s">
        <v>1334</v>
      </c>
      <c r="J657" t="s">
        <v>1334</v>
      </c>
      <c r="K657" t="s">
        <v>1334</v>
      </c>
    </row>
    <row r="658" spans="1:11" x14ac:dyDescent="0.2">
      <c r="A658" t="s">
        <v>1334</v>
      </c>
      <c r="B658" t="s">
        <v>1334</v>
      </c>
      <c r="C658" t="s">
        <v>1334</v>
      </c>
      <c r="D658" t="s">
        <v>1334</v>
      </c>
      <c r="E658" t="s">
        <v>1334</v>
      </c>
      <c r="F658" t="s">
        <v>1334</v>
      </c>
      <c r="G658" t="s">
        <v>1334</v>
      </c>
      <c r="H658" t="s">
        <v>1334</v>
      </c>
      <c r="I658" t="s">
        <v>1334</v>
      </c>
      <c r="J658" t="s">
        <v>1334</v>
      </c>
      <c r="K658" t="s">
        <v>1334</v>
      </c>
    </row>
    <row r="659" spans="1:11" x14ac:dyDescent="0.2">
      <c r="A659" t="s">
        <v>1334</v>
      </c>
      <c r="B659" t="s">
        <v>1334</v>
      </c>
      <c r="C659" t="s">
        <v>1334</v>
      </c>
      <c r="D659" t="s">
        <v>1334</v>
      </c>
      <c r="E659" t="s">
        <v>1334</v>
      </c>
      <c r="F659" t="s">
        <v>1334</v>
      </c>
      <c r="G659" t="s">
        <v>1334</v>
      </c>
      <c r="H659" t="s">
        <v>1334</v>
      </c>
      <c r="I659" t="s">
        <v>1334</v>
      </c>
      <c r="J659" t="s">
        <v>1334</v>
      </c>
      <c r="K659" t="s">
        <v>1334</v>
      </c>
    </row>
    <row r="660" spans="1:11" x14ac:dyDescent="0.2">
      <c r="A660" t="s">
        <v>1334</v>
      </c>
      <c r="B660" t="s">
        <v>1334</v>
      </c>
      <c r="C660" t="s">
        <v>1334</v>
      </c>
      <c r="D660" t="s">
        <v>1334</v>
      </c>
      <c r="E660" t="s">
        <v>1334</v>
      </c>
      <c r="F660" t="s">
        <v>1334</v>
      </c>
      <c r="G660" t="s">
        <v>1334</v>
      </c>
      <c r="H660" t="s">
        <v>1334</v>
      </c>
      <c r="I660" t="s">
        <v>1334</v>
      </c>
      <c r="J660" t="s">
        <v>1334</v>
      </c>
      <c r="K660" t="s">
        <v>1334</v>
      </c>
    </row>
    <row r="661" spans="1:11" x14ac:dyDescent="0.2">
      <c r="A661" t="s">
        <v>1334</v>
      </c>
      <c r="B661" t="s">
        <v>1334</v>
      </c>
      <c r="C661" t="s">
        <v>1334</v>
      </c>
      <c r="D661" t="s">
        <v>1334</v>
      </c>
      <c r="E661" t="s">
        <v>1334</v>
      </c>
      <c r="F661" t="s">
        <v>1334</v>
      </c>
      <c r="G661" t="s">
        <v>1334</v>
      </c>
      <c r="H661" t="s">
        <v>1334</v>
      </c>
      <c r="I661" t="s">
        <v>1334</v>
      </c>
      <c r="J661" t="s">
        <v>1334</v>
      </c>
      <c r="K661" t="s">
        <v>1334</v>
      </c>
    </row>
    <row r="662" spans="1:11" x14ac:dyDescent="0.2">
      <c r="A662" t="s">
        <v>1334</v>
      </c>
      <c r="B662" t="s">
        <v>1334</v>
      </c>
      <c r="C662" t="s">
        <v>1334</v>
      </c>
      <c r="D662" t="s">
        <v>1334</v>
      </c>
      <c r="E662" t="s">
        <v>1334</v>
      </c>
      <c r="F662" t="s">
        <v>1334</v>
      </c>
      <c r="G662" t="s">
        <v>1334</v>
      </c>
      <c r="H662" t="s">
        <v>1334</v>
      </c>
      <c r="I662" t="s">
        <v>1334</v>
      </c>
      <c r="J662" t="s">
        <v>1334</v>
      </c>
      <c r="K662" t="s">
        <v>1334</v>
      </c>
    </row>
    <row r="663" spans="1:11" x14ac:dyDescent="0.2">
      <c r="A663" t="s">
        <v>1334</v>
      </c>
      <c r="B663" t="s">
        <v>1334</v>
      </c>
      <c r="C663" t="s">
        <v>1334</v>
      </c>
      <c r="D663" t="s">
        <v>1334</v>
      </c>
      <c r="E663" t="s">
        <v>1334</v>
      </c>
      <c r="F663" t="s">
        <v>1334</v>
      </c>
      <c r="G663" t="s">
        <v>1334</v>
      </c>
      <c r="H663" t="s">
        <v>1334</v>
      </c>
      <c r="I663" t="s">
        <v>1334</v>
      </c>
      <c r="J663" t="s">
        <v>1334</v>
      </c>
      <c r="K663" t="s">
        <v>1334</v>
      </c>
    </row>
    <row r="664" spans="1:11" x14ac:dyDescent="0.2">
      <c r="A664" t="s">
        <v>1334</v>
      </c>
      <c r="B664" t="s">
        <v>1334</v>
      </c>
      <c r="C664" t="s">
        <v>1334</v>
      </c>
      <c r="D664" t="s">
        <v>1334</v>
      </c>
      <c r="E664" t="s">
        <v>1334</v>
      </c>
      <c r="F664" t="s">
        <v>1334</v>
      </c>
      <c r="G664" t="s">
        <v>1334</v>
      </c>
      <c r="H664" t="s">
        <v>1334</v>
      </c>
      <c r="I664" t="s">
        <v>1334</v>
      </c>
      <c r="J664" t="s">
        <v>1334</v>
      </c>
      <c r="K664" t="s">
        <v>1334</v>
      </c>
    </row>
    <row r="665" spans="1:11" x14ac:dyDescent="0.2">
      <c r="A665" t="s">
        <v>1334</v>
      </c>
      <c r="B665" t="s">
        <v>1334</v>
      </c>
      <c r="C665" t="s">
        <v>1334</v>
      </c>
      <c r="D665" t="s">
        <v>1334</v>
      </c>
      <c r="E665" t="s">
        <v>1334</v>
      </c>
      <c r="F665" t="s">
        <v>1334</v>
      </c>
      <c r="G665" t="s">
        <v>1334</v>
      </c>
      <c r="H665" t="s">
        <v>1334</v>
      </c>
      <c r="I665" t="s">
        <v>1334</v>
      </c>
      <c r="J665" t="s">
        <v>1334</v>
      </c>
      <c r="K665" t="s">
        <v>1334</v>
      </c>
    </row>
    <row r="666" spans="1:11" x14ac:dyDescent="0.2">
      <c r="A666" t="s">
        <v>1334</v>
      </c>
      <c r="B666" t="s">
        <v>1334</v>
      </c>
      <c r="C666" t="s">
        <v>1334</v>
      </c>
      <c r="D666" t="s">
        <v>1334</v>
      </c>
      <c r="E666" t="s">
        <v>1334</v>
      </c>
      <c r="F666" t="s">
        <v>1334</v>
      </c>
      <c r="G666" t="s">
        <v>1334</v>
      </c>
      <c r="H666" t="s">
        <v>1334</v>
      </c>
      <c r="I666" t="s">
        <v>1334</v>
      </c>
      <c r="J666" t="s">
        <v>1334</v>
      </c>
      <c r="K666" t="s">
        <v>1334</v>
      </c>
    </row>
    <row r="667" spans="1:11" x14ac:dyDescent="0.2">
      <c r="A667" t="s">
        <v>1334</v>
      </c>
      <c r="B667" t="s">
        <v>1334</v>
      </c>
      <c r="C667" t="s">
        <v>1334</v>
      </c>
      <c r="D667" t="s">
        <v>1334</v>
      </c>
      <c r="E667" t="s">
        <v>1334</v>
      </c>
      <c r="F667" t="s">
        <v>1334</v>
      </c>
      <c r="G667" t="s">
        <v>1334</v>
      </c>
      <c r="H667" t="s">
        <v>1334</v>
      </c>
      <c r="I667" t="s">
        <v>1334</v>
      </c>
      <c r="J667" t="s">
        <v>1334</v>
      </c>
      <c r="K667" t="s">
        <v>1334</v>
      </c>
    </row>
    <row r="668" spans="1:11" x14ac:dyDescent="0.2">
      <c r="A668" t="s">
        <v>1334</v>
      </c>
      <c r="B668" t="s">
        <v>1334</v>
      </c>
      <c r="C668" t="s">
        <v>1334</v>
      </c>
      <c r="D668" t="s">
        <v>1334</v>
      </c>
      <c r="E668" t="s">
        <v>1334</v>
      </c>
      <c r="F668" t="s">
        <v>1334</v>
      </c>
      <c r="G668" t="s">
        <v>1334</v>
      </c>
      <c r="H668" t="s">
        <v>1334</v>
      </c>
      <c r="I668" t="s">
        <v>1334</v>
      </c>
      <c r="J668" t="s">
        <v>1334</v>
      </c>
      <c r="K668" t="s">
        <v>1334</v>
      </c>
    </row>
    <row r="669" spans="1:11" x14ac:dyDescent="0.2">
      <c r="A669" t="s">
        <v>1334</v>
      </c>
      <c r="B669" t="s">
        <v>1334</v>
      </c>
      <c r="C669" t="s">
        <v>1334</v>
      </c>
      <c r="D669" t="s">
        <v>1334</v>
      </c>
      <c r="E669" t="s">
        <v>1334</v>
      </c>
      <c r="F669" t="s">
        <v>1334</v>
      </c>
      <c r="G669" t="s">
        <v>1334</v>
      </c>
      <c r="H669" t="s">
        <v>1334</v>
      </c>
      <c r="I669" t="s">
        <v>1334</v>
      </c>
      <c r="J669" t="s">
        <v>1334</v>
      </c>
      <c r="K669" t="s">
        <v>1334</v>
      </c>
    </row>
    <row r="670" spans="1:11" x14ac:dyDescent="0.2">
      <c r="A670" t="s">
        <v>1334</v>
      </c>
      <c r="B670" t="s">
        <v>1334</v>
      </c>
      <c r="C670" t="s">
        <v>1334</v>
      </c>
      <c r="D670" t="s">
        <v>1334</v>
      </c>
      <c r="E670" t="s">
        <v>1334</v>
      </c>
      <c r="F670" t="s">
        <v>1334</v>
      </c>
      <c r="G670" t="s">
        <v>1334</v>
      </c>
      <c r="H670" t="s">
        <v>1334</v>
      </c>
      <c r="I670" t="s">
        <v>1334</v>
      </c>
      <c r="J670" t="s">
        <v>1334</v>
      </c>
      <c r="K670" t="s">
        <v>1334</v>
      </c>
    </row>
    <row r="671" spans="1:11" x14ac:dyDescent="0.2">
      <c r="A671" t="s">
        <v>1334</v>
      </c>
      <c r="B671" t="s">
        <v>1334</v>
      </c>
      <c r="C671" t="s">
        <v>1334</v>
      </c>
      <c r="D671" t="s">
        <v>1334</v>
      </c>
      <c r="E671" t="s">
        <v>1334</v>
      </c>
      <c r="F671" t="s">
        <v>1334</v>
      </c>
      <c r="G671" t="s">
        <v>1334</v>
      </c>
      <c r="H671" t="s">
        <v>1334</v>
      </c>
      <c r="I671" t="s">
        <v>1334</v>
      </c>
      <c r="J671" t="s">
        <v>1334</v>
      </c>
      <c r="K671" t="s">
        <v>1334</v>
      </c>
    </row>
    <row r="672" spans="1:11" x14ac:dyDescent="0.2">
      <c r="A672" t="s">
        <v>1334</v>
      </c>
      <c r="B672" t="s">
        <v>1334</v>
      </c>
      <c r="C672" t="s">
        <v>1334</v>
      </c>
      <c r="D672" t="s">
        <v>1334</v>
      </c>
      <c r="E672" t="s">
        <v>1334</v>
      </c>
      <c r="F672" t="s">
        <v>1334</v>
      </c>
      <c r="G672" t="s">
        <v>1334</v>
      </c>
      <c r="H672" t="s">
        <v>1334</v>
      </c>
      <c r="I672" t="s">
        <v>1334</v>
      </c>
      <c r="J672" t="s">
        <v>1334</v>
      </c>
      <c r="K672" t="s">
        <v>1334</v>
      </c>
    </row>
    <row r="673" spans="1:11" x14ac:dyDescent="0.2">
      <c r="A673" t="s">
        <v>1334</v>
      </c>
      <c r="B673" t="s">
        <v>1334</v>
      </c>
      <c r="C673" t="s">
        <v>1334</v>
      </c>
      <c r="D673" t="s">
        <v>1334</v>
      </c>
      <c r="E673" t="s">
        <v>1334</v>
      </c>
      <c r="F673" t="s">
        <v>1334</v>
      </c>
      <c r="G673" t="s">
        <v>1334</v>
      </c>
      <c r="H673" t="s">
        <v>1334</v>
      </c>
      <c r="I673" t="s">
        <v>1334</v>
      </c>
      <c r="J673" t="s">
        <v>1334</v>
      </c>
      <c r="K673" t="s">
        <v>1334</v>
      </c>
    </row>
    <row r="674" spans="1:11" x14ac:dyDescent="0.2">
      <c r="A674" t="s">
        <v>1334</v>
      </c>
      <c r="B674" t="s">
        <v>1334</v>
      </c>
      <c r="C674" t="s">
        <v>1334</v>
      </c>
      <c r="D674" t="s">
        <v>1334</v>
      </c>
      <c r="E674" t="s">
        <v>1334</v>
      </c>
      <c r="F674" t="s">
        <v>1334</v>
      </c>
      <c r="G674" t="s">
        <v>1334</v>
      </c>
      <c r="H674" t="s">
        <v>1334</v>
      </c>
      <c r="I674" t="s">
        <v>1334</v>
      </c>
      <c r="J674" t="s">
        <v>1334</v>
      </c>
      <c r="K674" t="s">
        <v>1334</v>
      </c>
    </row>
    <row r="675" spans="1:11" x14ac:dyDescent="0.2">
      <c r="A675" t="s">
        <v>1334</v>
      </c>
      <c r="B675" t="s">
        <v>1334</v>
      </c>
      <c r="C675" t="s">
        <v>1334</v>
      </c>
      <c r="D675" t="s">
        <v>1334</v>
      </c>
      <c r="E675" t="s">
        <v>1334</v>
      </c>
      <c r="F675" t="s">
        <v>1334</v>
      </c>
      <c r="G675" t="s">
        <v>1334</v>
      </c>
      <c r="H675" t="s">
        <v>1334</v>
      </c>
      <c r="I675" t="s">
        <v>1334</v>
      </c>
      <c r="J675" t="s">
        <v>1334</v>
      </c>
      <c r="K675" t="s">
        <v>1334</v>
      </c>
    </row>
    <row r="676" spans="1:11" x14ac:dyDescent="0.2">
      <c r="A676" t="s">
        <v>1334</v>
      </c>
      <c r="B676" t="s">
        <v>1334</v>
      </c>
      <c r="C676" t="s">
        <v>1334</v>
      </c>
      <c r="D676" t="s">
        <v>1334</v>
      </c>
      <c r="E676" t="s">
        <v>1334</v>
      </c>
      <c r="F676" t="s">
        <v>1334</v>
      </c>
      <c r="G676" t="s">
        <v>1334</v>
      </c>
      <c r="H676" t="s">
        <v>1334</v>
      </c>
      <c r="I676" t="s">
        <v>1334</v>
      </c>
      <c r="J676" t="s">
        <v>1334</v>
      </c>
      <c r="K676" t="s">
        <v>1334</v>
      </c>
    </row>
    <row r="677" spans="1:11" x14ac:dyDescent="0.2">
      <c r="A677" t="s">
        <v>1334</v>
      </c>
      <c r="B677" t="s">
        <v>1334</v>
      </c>
      <c r="C677" t="s">
        <v>1334</v>
      </c>
      <c r="D677" t="s">
        <v>1334</v>
      </c>
      <c r="E677" t="s">
        <v>1334</v>
      </c>
      <c r="F677" t="s">
        <v>1334</v>
      </c>
      <c r="G677" t="s">
        <v>1334</v>
      </c>
      <c r="H677" t="s">
        <v>1334</v>
      </c>
      <c r="I677" t="s">
        <v>1334</v>
      </c>
      <c r="J677" t="s">
        <v>1334</v>
      </c>
      <c r="K677" t="s">
        <v>1334</v>
      </c>
    </row>
    <row r="678" spans="1:11" x14ac:dyDescent="0.2">
      <c r="A678" t="s">
        <v>1334</v>
      </c>
      <c r="B678" t="s">
        <v>1334</v>
      </c>
      <c r="C678" t="s">
        <v>1334</v>
      </c>
      <c r="D678" t="s">
        <v>1334</v>
      </c>
      <c r="E678" t="s">
        <v>1334</v>
      </c>
      <c r="F678" t="s">
        <v>1334</v>
      </c>
      <c r="G678" t="s">
        <v>1334</v>
      </c>
      <c r="H678" t="s">
        <v>1334</v>
      </c>
      <c r="I678" t="s">
        <v>1334</v>
      </c>
      <c r="J678" t="s">
        <v>1334</v>
      </c>
      <c r="K678" t="s">
        <v>1334</v>
      </c>
    </row>
    <row r="679" spans="1:11" x14ac:dyDescent="0.2">
      <c r="A679" t="s">
        <v>1334</v>
      </c>
      <c r="B679" t="s">
        <v>1334</v>
      </c>
      <c r="C679" t="s">
        <v>1334</v>
      </c>
      <c r="D679" t="s">
        <v>1334</v>
      </c>
      <c r="E679" t="s">
        <v>1334</v>
      </c>
      <c r="F679" t="s">
        <v>1334</v>
      </c>
      <c r="G679" t="s">
        <v>1334</v>
      </c>
      <c r="H679" t="s">
        <v>1334</v>
      </c>
      <c r="I679" t="s">
        <v>1334</v>
      </c>
      <c r="J679" t="s">
        <v>1334</v>
      </c>
      <c r="K679" t="s">
        <v>1334</v>
      </c>
    </row>
    <row r="680" spans="1:11" x14ac:dyDescent="0.2">
      <c r="A680" t="s">
        <v>1334</v>
      </c>
      <c r="B680" t="s">
        <v>1334</v>
      </c>
      <c r="C680" t="s">
        <v>1334</v>
      </c>
      <c r="D680" t="s">
        <v>1334</v>
      </c>
      <c r="E680" t="s">
        <v>1334</v>
      </c>
      <c r="F680" t="s">
        <v>1334</v>
      </c>
      <c r="G680" t="s">
        <v>1334</v>
      </c>
      <c r="H680" t="s">
        <v>1334</v>
      </c>
      <c r="I680" t="s">
        <v>1334</v>
      </c>
      <c r="J680" t="s">
        <v>1334</v>
      </c>
      <c r="K680" t="s">
        <v>1334</v>
      </c>
    </row>
    <row r="681" spans="1:11" x14ac:dyDescent="0.2">
      <c r="A681" t="s">
        <v>1334</v>
      </c>
      <c r="B681" t="s">
        <v>1334</v>
      </c>
      <c r="C681" t="s">
        <v>1334</v>
      </c>
      <c r="D681" t="s">
        <v>1334</v>
      </c>
      <c r="E681" t="s">
        <v>1334</v>
      </c>
      <c r="F681" t="s">
        <v>1334</v>
      </c>
      <c r="G681" t="s">
        <v>1334</v>
      </c>
      <c r="H681" t="s">
        <v>1334</v>
      </c>
      <c r="I681" t="s">
        <v>1334</v>
      </c>
      <c r="J681" t="s">
        <v>1334</v>
      </c>
      <c r="K681" t="s">
        <v>1334</v>
      </c>
    </row>
    <row r="682" spans="1:11" x14ac:dyDescent="0.2">
      <c r="A682" t="s">
        <v>1334</v>
      </c>
      <c r="B682" t="s">
        <v>1334</v>
      </c>
      <c r="C682" t="s">
        <v>1334</v>
      </c>
      <c r="D682" t="s">
        <v>1334</v>
      </c>
      <c r="E682" t="s">
        <v>1334</v>
      </c>
      <c r="F682" t="s">
        <v>1334</v>
      </c>
      <c r="G682" t="s">
        <v>1334</v>
      </c>
      <c r="H682" t="s">
        <v>1334</v>
      </c>
      <c r="I682" t="s">
        <v>1334</v>
      </c>
      <c r="J682" t="s">
        <v>1334</v>
      </c>
      <c r="K682" t="s">
        <v>1334</v>
      </c>
    </row>
    <row r="683" spans="1:11" x14ac:dyDescent="0.2">
      <c r="A683" t="s">
        <v>1334</v>
      </c>
      <c r="B683" t="s">
        <v>1334</v>
      </c>
      <c r="C683" t="s">
        <v>1334</v>
      </c>
      <c r="D683" t="s">
        <v>1334</v>
      </c>
      <c r="E683" t="s">
        <v>1334</v>
      </c>
      <c r="F683" t="s">
        <v>1334</v>
      </c>
      <c r="G683" t="s">
        <v>1334</v>
      </c>
      <c r="H683" t="s">
        <v>1334</v>
      </c>
      <c r="I683" t="s">
        <v>1334</v>
      </c>
      <c r="J683" t="s">
        <v>1334</v>
      </c>
      <c r="K683" t="s">
        <v>1334</v>
      </c>
    </row>
    <row r="684" spans="1:11" x14ac:dyDescent="0.2">
      <c r="A684" t="s">
        <v>1334</v>
      </c>
      <c r="B684" t="s">
        <v>1334</v>
      </c>
      <c r="C684" t="s">
        <v>1334</v>
      </c>
      <c r="D684" t="s">
        <v>1334</v>
      </c>
      <c r="E684" t="s">
        <v>1334</v>
      </c>
      <c r="F684" t="s">
        <v>1334</v>
      </c>
      <c r="G684" t="s">
        <v>1334</v>
      </c>
      <c r="H684" t="s">
        <v>1334</v>
      </c>
      <c r="I684" t="s">
        <v>1334</v>
      </c>
      <c r="J684" t="s">
        <v>1334</v>
      </c>
      <c r="K684" t="s">
        <v>1334</v>
      </c>
    </row>
    <row r="685" spans="1:11" x14ac:dyDescent="0.2">
      <c r="A685" t="s">
        <v>1334</v>
      </c>
      <c r="B685" t="s">
        <v>1334</v>
      </c>
      <c r="C685" t="s">
        <v>1334</v>
      </c>
      <c r="D685" t="s">
        <v>1334</v>
      </c>
      <c r="E685" t="s">
        <v>1334</v>
      </c>
      <c r="F685" t="s">
        <v>1334</v>
      </c>
      <c r="G685" t="s">
        <v>1334</v>
      </c>
      <c r="H685" t="s">
        <v>1334</v>
      </c>
      <c r="I685" t="s">
        <v>1334</v>
      </c>
      <c r="J685" t="s">
        <v>1334</v>
      </c>
      <c r="K685" t="s">
        <v>1334</v>
      </c>
    </row>
    <row r="686" spans="1:11" x14ac:dyDescent="0.2">
      <c r="A686" t="s">
        <v>1334</v>
      </c>
      <c r="B686" t="s">
        <v>1334</v>
      </c>
      <c r="C686" t="s">
        <v>1334</v>
      </c>
      <c r="D686" t="s">
        <v>1334</v>
      </c>
      <c r="E686" t="s">
        <v>1334</v>
      </c>
      <c r="F686" t="s">
        <v>1334</v>
      </c>
      <c r="G686" t="s">
        <v>1334</v>
      </c>
      <c r="H686" t="s">
        <v>1334</v>
      </c>
      <c r="I686" t="s">
        <v>1334</v>
      </c>
      <c r="J686" t="s">
        <v>1334</v>
      </c>
      <c r="K686" t="s">
        <v>1334</v>
      </c>
    </row>
    <row r="687" spans="1:11" x14ac:dyDescent="0.2">
      <c r="A687" t="s">
        <v>1334</v>
      </c>
      <c r="B687" t="s">
        <v>1334</v>
      </c>
      <c r="C687" t="s">
        <v>1334</v>
      </c>
      <c r="D687" t="s">
        <v>1334</v>
      </c>
      <c r="E687" t="s">
        <v>1334</v>
      </c>
      <c r="F687" t="s">
        <v>1334</v>
      </c>
      <c r="G687" t="s">
        <v>1334</v>
      </c>
      <c r="H687" t="s">
        <v>1334</v>
      </c>
      <c r="I687" t="s">
        <v>1334</v>
      </c>
      <c r="J687" t="s">
        <v>1334</v>
      </c>
      <c r="K687" t="s">
        <v>1334</v>
      </c>
    </row>
    <row r="688" spans="1:11" x14ac:dyDescent="0.2">
      <c r="A688" t="s">
        <v>1334</v>
      </c>
      <c r="B688" t="s">
        <v>1334</v>
      </c>
      <c r="C688" t="s">
        <v>1334</v>
      </c>
      <c r="D688" t="s">
        <v>1334</v>
      </c>
      <c r="E688" t="s">
        <v>1334</v>
      </c>
      <c r="F688" t="s">
        <v>1334</v>
      </c>
      <c r="G688" t="s">
        <v>1334</v>
      </c>
      <c r="H688" t="s">
        <v>1334</v>
      </c>
      <c r="I688" t="s">
        <v>1334</v>
      </c>
      <c r="J688" t="s">
        <v>1334</v>
      </c>
      <c r="K688" t="s">
        <v>1334</v>
      </c>
    </row>
    <row r="689" spans="1:11" x14ac:dyDescent="0.2">
      <c r="A689" t="s">
        <v>1334</v>
      </c>
      <c r="B689" t="s">
        <v>1334</v>
      </c>
      <c r="C689" t="s">
        <v>1334</v>
      </c>
      <c r="D689" t="s">
        <v>1334</v>
      </c>
      <c r="E689" t="s">
        <v>1334</v>
      </c>
      <c r="F689" t="s">
        <v>1334</v>
      </c>
      <c r="G689" t="s">
        <v>1334</v>
      </c>
      <c r="H689" t="s">
        <v>1334</v>
      </c>
      <c r="I689" t="s">
        <v>1334</v>
      </c>
      <c r="J689" t="s">
        <v>1334</v>
      </c>
      <c r="K689" t="s">
        <v>1334</v>
      </c>
    </row>
    <row r="690" spans="1:11" x14ac:dyDescent="0.2">
      <c r="A690" t="s">
        <v>1334</v>
      </c>
      <c r="B690" t="s">
        <v>1334</v>
      </c>
      <c r="C690" t="s">
        <v>1334</v>
      </c>
      <c r="D690" t="s">
        <v>1334</v>
      </c>
      <c r="E690" t="s">
        <v>1334</v>
      </c>
      <c r="F690" t="s">
        <v>1334</v>
      </c>
      <c r="G690" t="s">
        <v>1334</v>
      </c>
      <c r="H690" t="s">
        <v>1334</v>
      </c>
      <c r="I690" t="s">
        <v>1334</v>
      </c>
      <c r="J690" t="s">
        <v>1334</v>
      </c>
      <c r="K690" t="s">
        <v>1334</v>
      </c>
    </row>
    <row r="691" spans="1:11" x14ac:dyDescent="0.2">
      <c r="A691" t="s">
        <v>1334</v>
      </c>
      <c r="B691" t="s">
        <v>1334</v>
      </c>
      <c r="C691" t="s">
        <v>1334</v>
      </c>
      <c r="D691" t="s">
        <v>1334</v>
      </c>
      <c r="E691" t="s">
        <v>1334</v>
      </c>
      <c r="F691" t="s">
        <v>1334</v>
      </c>
      <c r="G691" t="s">
        <v>1334</v>
      </c>
      <c r="H691" t="s">
        <v>1334</v>
      </c>
      <c r="I691" t="s">
        <v>1334</v>
      </c>
      <c r="J691" t="s">
        <v>1334</v>
      </c>
      <c r="K691" t="s">
        <v>1334</v>
      </c>
    </row>
    <row r="692" spans="1:11" x14ac:dyDescent="0.2">
      <c r="A692" t="s">
        <v>1334</v>
      </c>
      <c r="B692" t="s">
        <v>1334</v>
      </c>
      <c r="C692" t="s">
        <v>1334</v>
      </c>
      <c r="D692" t="s">
        <v>1334</v>
      </c>
      <c r="E692" t="s">
        <v>1334</v>
      </c>
      <c r="F692" t="s">
        <v>1334</v>
      </c>
      <c r="G692" t="s">
        <v>1334</v>
      </c>
      <c r="H692" t="s">
        <v>1334</v>
      </c>
      <c r="I692" t="s">
        <v>1334</v>
      </c>
      <c r="J692" t="s">
        <v>1334</v>
      </c>
      <c r="K692" t="s">
        <v>1334</v>
      </c>
    </row>
    <row r="693" spans="1:11" x14ac:dyDescent="0.2">
      <c r="A693" t="s">
        <v>1334</v>
      </c>
      <c r="B693" t="s">
        <v>1334</v>
      </c>
      <c r="C693" t="s">
        <v>1334</v>
      </c>
      <c r="D693" t="s">
        <v>1334</v>
      </c>
      <c r="E693" t="s">
        <v>1334</v>
      </c>
      <c r="F693" t="s">
        <v>1334</v>
      </c>
      <c r="G693" t="s">
        <v>1334</v>
      </c>
      <c r="H693" t="s">
        <v>1334</v>
      </c>
      <c r="I693" t="s">
        <v>1334</v>
      </c>
      <c r="J693" t="s">
        <v>1334</v>
      </c>
      <c r="K693" t="s">
        <v>1334</v>
      </c>
    </row>
    <row r="694" spans="1:11" x14ac:dyDescent="0.2">
      <c r="A694" t="s">
        <v>1334</v>
      </c>
      <c r="B694" t="s">
        <v>1334</v>
      </c>
      <c r="C694" t="s">
        <v>1334</v>
      </c>
      <c r="D694" t="s">
        <v>1334</v>
      </c>
      <c r="E694" t="s">
        <v>1334</v>
      </c>
      <c r="F694" t="s">
        <v>1334</v>
      </c>
      <c r="G694" t="s">
        <v>1334</v>
      </c>
      <c r="H694" t="s">
        <v>1334</v>
      </c>
      <c r="I694" t="s">
        <v>1334</v>
      </c>
      <c r="J694" t="s">
        <v>1334</v>
      </c>
      <c r="K694" t="s">
        <v>1334</v>
      </c>
    </row>
    <row r="695" spans="1:11" x14ac:dyDescent="0.2">
      <c r="A695" t="s">
        <v>1334</v>
      </c>
      <c r="B695" t="s">
        <v>1334</v>
      </c>
      <c r="C695" t="s">
        <v>1334</v>
      </c>
      <c r="D695" t="s">
        <v>1334</v>
      </c>
      <c r="E695" t="s">
        <v>1334</v>
      </c>
      <c r="F695" t="s">
        <v>1334</v>
      </c>
      <c r="G695" t="s">
        <v>1334</v>
      </c>
      <c r="H695" t="s">
        <v>1334</v>
      </c>
      <c r="I695" t="s">
        <v>1334</v>
      </c>
      <c r="J695" t="s">
        <v>1334</v>
      </c>
      <c r="K695" t="s">
        <v>1334</v>
      </c>
    </row>
    <row r="696" spans="1:11" x14ac:dyDescent="0.2">
      <c r="A696" t="s">
        <v>1334</v>
      </c>
      <c r="B696" t="s">
        <v>1334</v>
      </c>
      <c r="C696" t="s">
        <v>1334</v>
      </c>
      <c r="D696" t="s">
        <v>1334</v>
      </c>
      <c r="E696" t="s">
        <v>1334</v>
      </c>
      <c r="F696" t="s">
        <v>1334</v>
      </c>
      <c r="G696" t="s">
        <v>1334</v>
      </c>
      <c r="H696" t="s">
        <v>1334</v>
      </c>
      <c r="I696" t="s">
        <v>1334</v>
      </c>
      <c r="J696" t="s">
        <v>1334</v>
      </c>
      <c r="K696" t="s">
        <v>1334</v>
      </c>
    </row>
    <row r="697" spans="1:11" x14ac:dyDescent="0.2">
      <c r="A697" t="s">
        <v>1334</v>
      </c>
      <c r="B697" t="s">
        <v>1334</v>
      </c>
      <c r="C697" t="s">
        <v>1334</v>
      </c>
      <c r="D697" t="s">
        <v>1334</v>
      </c>
      <c r="E697" t="s">
        <v>1334</v>
      </c>
      <c r="F697" t="s">
        <v>1334</v>
      </c>
      <c r="G697" t="s">
        <v>1334</v>
      </c>
      <c r="H697" t="s">
        <v>1334</v>
      </c>
      <c r="I697" t="s">
        <v>1334</v>
      </c>
      <c r="J697" t="s">
        <v>1334</v>
      </c>
      <c r="K697" t="s">
        <v>1334</v>
      </c>
    </row>
    <row r="698" spans="1:11" x14ac:dyDescent="0.2">
      <c r="A698" t="s">
        <v>1334</v>
      </c>
      <c r="B698" t="s">
        <v>1334</v>
      </c>
      <c r="C698" t="s">
        <v>1334</v>
      </c>
      <c r="D698" t="s">
        <v>1334</v>
      </c>
      <c r="E698" t="s">
        <v>1334</v>
      </c>
      <c r="F698" t="s">
        <v>1334</v>
      </c>
      <c r="G698" t="s">
        <v>1334</v>
      </c>
      <c r="H698" t="s">
        <v>1334</v>
      </c>
      <c r="I698" t="s">
        <v>1334</v>
      </c>
      <c r="J698" t="s">
        <v>1334</v>
      </c>
      <c r="K698" t="s">
        <v>1334</v>
      </c>
    </row>
    <row r="699" spans="1:11" x14ac:dyDescent="0.2">
      <c r="A699" t="s">
        <v>1334</v>
      </c>
      <c r="B699" t="s">
        <v>1334</v>
      </c>
      <c r="C699" t="s">
        <v>1334</v>
      </c>
      <c r="D699" t="s">
        <v>1334</v>
      </c>
      <c r="E699" t="s">
        <v>1334</v>
      </c>
      <c r="F699" t="s">
        <v>1334</v>
      </c>
      <c r="G699" t="s">
        <v>1334</v>
      </c>
      <c r="H699" t="s">
        <v>1334</v>
      </c>
      <c r="I699" t="s">
        <v>1334</v>
      </c>
      <c r="J699" t="s">
        <v>1334</v>
      </c>
      <c r="K699" t="s">
        <v>1334</v>
      </c>
    </row>
    <row r="700" spans="1:11" x14ac:dyDescent="0.2">
      <c r="A700" t="s">
        <v>1334</v>
      </c>
      <c r="B700" t="s">
        <v>1334</v>
      </c>
      <c r="C700" t="s">
        <v>1334</v>
      </c>
      <c r="D700" t="s">
        <v>1334</v>
      </c>
      <c r="E700" t="s">
        <v>1334</v>
      </c>
      <c r="F700" t="s">
        <v>1334</v>
      </c>
      <c r="G700" t="s">
        <v>1334</v>
      </c>
      <c r="H700" t="s">
        <v>1334</v>
      </c>
      <c r="I700" t="s">
        <v>1334</v>
      </c>
      <c r="J700" t="s">
        <v>1334</v>
      </c>
      <c r="K700" t="s">
        <v>1334</v>
      </c>
    </row>
    <row r="701" spans="1:11" x14ac:dyDescent="0.2">
      <c r="A701" t="s">
        <v>1334</v>
      </c>
      <c r="B701" t="s">
        <v>1334</v>
      </c>
      <c r="C701" t="s">
        <v>1334</v>
      </c>
      <c r="D701" t="s">
        <v>1334</v>
      </c>
      <c r="E701" t="s">
        <v>1334</v>
      </c>
      <c r="F701" t="s">
        <v>1334</v>
      </c>
      <c r="G701" t="s">
        <v>1334</v>
      </c>
      <c r="H701" t="s">
        <v>1334</v>
      </c>
      <c r="I701" t="s">
        <v>1334</v>
      </c>
      <c r="J701" t="s">
        <v>1334</v>
      </c>
      <c r="K701" t="s">
        <v>1334</v>
      </c>
    </row>
    <row r="702" spans="1:11" x14ac:dyDescent="0.2">
      <c r="A702" t="s">
        <v>1334</v>
      </c>
      <c r="B702" t="s">
        <v>1334</v>
      </c>
      <c r="C702" t="s">
        <v>1334</v>
      </c>
      <c r="D702" t="s">
        <v>1334</v>
      </c>
      <c r="E702" t="s">
        <v>1334</v>
      </c>
      <c r="F702" t="s">
        <v>1334</v>
      </c>
      <c r="G702" t="s">
        <v>1334</v>
      </c>
      <c r="H702" t="s">
        <v>1334</v>
      </c>
      <c r="I702" t="s">
        <v>1334</v>
      </c>
      <c r="J702" t="s">
        <v>1334</v>
      </c>
      <c r="K702" t="s">
        <v>1334</v>
      </c>
    </row>
    <row r="703" spans="1:11" x14ac:dyDescent="0.2">
      <c r="A703" t="s">
        <v>1334</v>
      </c>
      <c r="B703" t="s">
        <v>1334</v>
      </c>
      <c r="C703" t="s">
        <v>1334</v>
      </c>
      <c r="D703" t="s">
        <v>1334</v>
      </c>
      <c r="E703" t="s">
        <v>1334</v>
      </c>
      <c r="F703" t="s">
        <v>1334</v>
      </c>
      <c r="G703" t="s">
        <v>1334</v>
      </c>
      <c r="H703" t="s">
        <v>1334</v>
      </c>
      <c r="I703" t="s">
        <v>1334</v>
      </c>
      <c r="J703" t="s">
        <v>1334</v>
      </c>
      <c r="K703" t="s">
        <v>1334</v>
      </c>
    </row>
    <row r="704" spans="1:11" x14ac:dyDescent="0.2">
      <c r="A704" t="s">
        <v>1334</v>
      </c>
      <c r="B704" t="s">
        <v>1334</v>
      </c>
      <c r="C704" t="s">
        <v>1334</v>
      </c>
      <c r="D704" t="s">
        <v>1334</v>
      </c>
      <c r="E704" t="s">
        <v>1334</v>
      </c>
      <c r="F704" t="s">
        <v>1334</v>
      </c>
      <c r="G704" t="s">
        <v>1334</v>
      </c>
      <c r="H704" t="s">
        <v>1334</v>
      </c>
      <c r="I704" t="s">
        <v>1334</v>
      </c>
      <c r="J704" t="s">
        <v>1334</v>
      </c>
      <c r="K704" t="s">
        <v>1334</v>
      </c>
    </row>
    <row r="705" spans="1:11" x14ac:dyDescent="0.2">
      <c r="A705" t="s">
        <v>1334</v>
      </c>
      <c r="B705" t="s">
        <v>1334</v>
      </c>
      <c r="C705" t="s">
        <v>1334</v>
      </c>
      <c r="D705" t="s">
        <v>1334</v>
      </c>
      <c r="E705" t="s">
        <v>1334</v>
      </c>
      <c r="F705" t="s">
        <v>1334</v>
      </c>
      <c r="G705" t="s">
        <v>1334</v>
      </c>
      <c r="H705" t="s">
        <v>1334</v>
      </c>
      <c r="I705" t="s">
        <v>1334</v>
      </c>
      <c r="J705" t="s">
        <v>1334</v>
      </c>
      <c r="K705" t="s">
        <v>1334</v>
      </c>
    </row>
    <row r="706" spans="1:11" x14ac:dyDescent="0.2">
      <c r="A706" t="s">
        <v>1334</v>
      </c>
      <c r="B706" t="s">
        <v>1334</v>
      </c>
      <c r="C706" t="s">
        <v>1334</v>
      </c>
      <c r="D706" t="s">
        <v>1334</v>
      </c>
      <c r="E706" t="s">
        <v>1334</v>
      </c>
      <c r="F706" t="s">
        <v>1334</v>
      </c>
      <c r="G706" t="s">
        <v>1334</v>
      </c>
      <c r="H706" t="s">
        <v>1334</v>
      </c>
      <c r="I706" t="s">
        <v>1334</v>
      </c>
      <c r="J706" t="s">
        <v>1334</v>
      </c>
      <c r="K706" t="s">
        <v>1334</v>
      </c>
    </row>
    <row r="707" spans="1:11" x14ac:dyDescent="0.2">
      <c r="A707" t="s">
        <v>1334</v>
      </c>
      <c r="B707" t="s">
        <v>1334</v>
      </c>
      <c r="C707" t="s">
        <v>1334</v>
      </c>
      <c r="D707" t="s">
        <v>1334</v>
      </c>
      <c r="E707" t="s">
        <v>1334</v>
      </c>
      <c r="F707" t="s">
        <v>1334</v>
      </c>
      <c r="G707" t="s">
        <v>1334</v>
      </c>
      <c r="H707" t="s">
        <v>1334</v>
      </c>
      <c r="I707" t="s">
        <v>1334</v>
      </c>
      <c r="J707" t="s">
        <v>1334</v>
      </c>
      <c r="K707" t="s">
        <v>1334</v>
      </c>
    </row>
    <row r="708" spans="1:11" x14ac:dyDescent="0.2">
      <c r="A708" t="s">
        <v>1334</v>
      </c>
      <c r="B708" t="s">
        <v>1334</v>
      </c>
      <c r="C708" t="s">
        <v>1334</v>
      </c>
      <c r="D708" t="s">
        <v>1334</v>
      </c>
      <c r="E708" t="s">
        <v>1334</v>
      </c>
      <c r="F708" t="s">
        <v>1334</v>
      </c>
      <c r="G708" t="s">
        <v>1334</v>
      </c>
      <c r="H708" t="s">
        <v>1334</v>
      </c>
      <c r="I708" t="s">
        <v>1334</v>
      </c>
      <c r="J708" t="s">
        <v>1334</v>
      </c>
      <c r="K708" t="s">
        <v>1334</v>
      </c>
    </row>
    <row r="709" spans="1:11" x14ac:dyDescent="0.2">
      <c r="A709" t="s">
        <v>1334</v>
      </c>
      <c r="B709" t="s">
        <v>1334</v>
      </c>
      <c r="C709" t="s">
        <v>1334</v>
      </c>
      <c r="D709" t="s">
        <v>1334</v>
      </c>
      <c r="E709" t="s">
        <v>1334</v>
      </c>
      <c r="F709" t="s">
        <v>1334</v>
      </c>
      <c r="G709" t="s">
        <v>1334</v>
      </c>
      <c r="H709" t="s">
        <v>1334</v>
      </c>
      <c r="I709" t="s">
        <v>1334</v>
      </c>
      <c r="J709" t="s">
        <v>1334</v>
      </c>
      <c r="K709" t="s">
        <v>1334</v>
      </c>
    </row>
    <row r="710" spans="1:11" x14ac:dyDescent="0.2">
      <c r="A710" t="s">
        <v>1334</v>
      </c>
      <c r="B710" t="s">
        <v>1334</v>
      </c>
      <c r="C710" t="s">
        <v>1334</v>
      </c>
      <c r="D710" t="s">
        <v>1334</v>
      </c>
      <c r="E710" t="s">
        <v>1334</v>
      </c>
      <c r="F710" t="s">
        <v>1334</v>
      </c>
      <c r="G710" t="s">
        <v>1334</v>
      </c>
      <c r="H710" t="s">
        <v>1334</v>
      </c>
      <c r="I710" t="s">
        <v>1334</v>
      </c>
      <c r="J710" t="s">
        <v>1334</v>
      </c>
      <c r="K710" t="s">
        <v>1334</v>
      </c>
    </row>
    <row r="711" spans="1:11" x14ac:dyDescent="0.2">
      <c r="A711" t="s">
        <v>1334</v>
      </c>
      <c r="B711" t="s">
        <v>1334</v>
      </c>
      <c r="C711" t="s">
        <v>1334</v>
      </c>
      <c r="D711" t="s">
        <v>1334</v>
      </c>
      <c r="E711" t="s">
        <v>1334</v>
      </c>
      <c r="F711" t="s">
        <v>1334</v>
      </c>
      <c r="G711" t="s">
        <v>1334</v>
      </c>
      <c r="H711" t="s">
        <v>1334</v>
      </c>
      <c r="I711" t="s">
        <v>1334</v>
      </c>
      <c r="J711" t="s">
        <v>1334</v>
      </c>
      <c r="K711" t="s">
        <v>1334</v>
      </c>
    </row>
    <row r="712" spans="1:11" x14ac:dyDescent="0.2">
      <c r="A712" t="s">
        <v>1334</v>
      </c>
      <c r="B712" t="s">
        <v>1334</v>
      </c>
      <c r="C712" t="s">
        <v>1334</v>
      </c>
      <c r="D712" t="s">
        <v>1334</v>
      </c>
      <c r="E712" t="s">
        <v>1334</v>
      </c>
      <c r="F712" t="s">
        <v>1334</v>
      </c>
      <c r="G712" t="s">
        <v>1334</v>
      </c>
      <c r="H712" t="s">
        <v>1334</v>
      </c>
      <c r="I712" t="s">
        <v>1334</v>
      </c>
      <c r="J712" t="s">
        <v>1334</v>
      </c>
      <c r="K712" t="s">
        <v>1334</v>
      </c>
    </row>
    <row r="713" spans="1:11" x14ac:dyDescent="0.2">
      <c r="A713" t="s">
        <v>1334</v>
      </c>
      <c r="B713" t="s">
        <v>1334</v>
      </c>
      <c r="C713" t="s">
        <v>1334</v>
      </c>
      <c r="D713" t="s">
        <v>1334</v>
      </c>
      <c r="E713" t="s">
        <v>1334</v>
      </c>
      <c r="F713" t="s">
        <v>1334</v>
      </c>
      <c r="G713" t="s">
        <v>1334</v>
      </c>
      <c r="H713" t="s">
        <v>1334</v>
      </c>
      <c r="I713" t="s">
        <v>1334</v>
      </c>
      <c r="J713" t="s">
        <v>1334</v>
      </c>
      <c r="K713" t="s">
        <v>1334</v>
      </c>
    </row>
    <row r="714" spans="1:11" x14ac:dyDescent="0.2">
      <c r="A714" t="s">
        <v>1334</v>
      </c>
      <c r="B714" t="s">
        <v>1334</v>
      </c>
      <c r="C714" t="s">
        <v>1334</v>
      </c>
      <c r="D714" t="s">
        <v>1334</v>
      </c>
      <c r="E714" t="s">
        <v>1334</v>
      </c>
      <c r="F714" t="s">
        <v>1334</v>
      </c>
      <c r="G714" t="s">
        <v>1334</v>
      </c>
      <c r="H714" t="s">
        <v>1334</v>
      </c>
      <c r="I714" t="s">
        <v>1334</v>
      </c>
      <c r="J714" t="s">
        <v>1334</v>
      </c>
      <c r="K714" t="s">
        <v>1334</v>
      </c>
    </row>
    <row r="715" spans="1:11" x14ac:dyDescent="0.2">
      <c r="A715" t="s">
        <v>1334</v>
      </c>
      <c r="B715" t="s">
        <v>1334</v>
      </c>
      <c r="C715" t="s">
        <v>1334</v>
      </c>
      <c r="D715" t="s">
        <v>1334</v>
      </c>
      <c r="E715" t="s">
        <v>1334</v>
      </c>
      <c r="F715" t="s">
        <v>1334</v>
      </c>
      <c r="G715" t="s">
        <v>1334</v>
      </c>
      <c r="H715" t="s">
        <v>1334</v>
      </c>
      <c r="I715" t="s">
        <v>1334</v>
      </c>
      <c r="J715" t="s">
        <v>1334</v>
      </c>
      <c r="K715" t="s">
        <v>1334</v>
      </c>
    </row>
    <row r="716" spans="1:11" x14ac:dyDescent="0.2">
      <c r="A716" t="s">
        <v>1334</v>
      </c>
      <c r="B716" t="s">
        <v>1334</v>
      </c>
      <c r="C716" t="s">
        <v>1334</v>
      </c>
      <c r="D716" t="s">
        <v>1334</v>
      </c>
      <c r="E716" t="s">
        <v>1334</v>
      </c>
      <c r="F716" t="s">
        <v>1334</v>
      </c>
      <c r="G716" t="s">
        <v>1334</v>
      </c>
      <c r="H716" t="s">
        <v>1334</v>
      </c>
      <c r="I716" t="s">
        <v>1334</v>
      </c>
      <c r="J716" t="s">
        <v>1334</v>
      </c>
      <c r="K716" t="s">
        <v>1334</v>
      </c>
    </row>
    <row r="717" spans="1:11" x14ac:dyDescent="0.2">
      <c r="A717" t="s">
        <v>1334</v>
      </c>
      <c r="B717" t="s">
        <v>1334</v>
      </c>
      <c r="C717" t="s">
        <v>1334</v>
      </c>
      <c r="D717" t="s">
        <v>1334</v>
      </c>
      <c r="E717" t="s">
        <v>1334</v>
      </c>
      <c r="F717" t="s">
        <v>1334</v>
      </c>
      <c r="G717" t="s">
        <v>1334</v>
      </c>
      <c r="H717" t="s">
        <v>1334</v>
      </c>
      <c r="I717" t="s">
        <v>1334</v>
      </c>
      <c r="J717" t="s">
        <v>1334</v>
      </c>
      <c r="K717" t="s">
        <v>1334</v>
      </c>
    </row>
    <row r="718" spans="1:11" x14ac:dyDescent="0.2">
      <c r="A718" t="s">
        <v>1334</v>
      </c>
      <c r="B718" t="s">
        <v>1334</v>
      </c>
      <c r="C718" t="s">
        <v>1334</v>
      </c>
      <c r="D718" t="s">
        <v>1334</v>
      </c>
      <c r="E718" t="s">
        <v>1334</v>
      </c>
      <c r="F718" t="s">
        <v>1334</v>
      </c>
      <c r="G718" t="s">
        <v>1334</v>
      </c>
      <c r="H718" t="s">
        <v>1334</v>
      </c>
      <c r="I718" t="s">
        <v>1334</v>
      </c>
      <c r="J718" t="s">
        <v>1334</v>
      </c>
      <c r="K718" t="s">
        <v>1334</v>
      </c>
    </row>
    <row r="719" spans="1:11" x14ac:dyDescent="0.2">
      <c r="A719" t="s">
        <v>1334</v>
      </c>
      <c r="B719" t="s">
        <v>1334</v>
      </c>
      <c r="C719" t="s">
        <v>1334</v>
      </c>
      <c r="D719" t="s">
        <v>1334</v>
      </c>
      <c r="E719" t="s">
        <v>1334</v>
      </c>
      <c r="F719" t="s">
        <v>1334</v>
      </c>
      <c r="G719" t="s">
        <v>1334</v>
      </c>
      <c r="H719" t="s">
        <v>1334</v>
      </c>
      <c r="I719" t="s">
        <v>1334</v>
      </c>
      <c r="J719" t="s">
        <v>1334</v>
      </c>
      <c r="K719" t="s">
        <v>1334</v>
      </c>
    </row>
    <row r="720" spans="1:11" x14ac:dyDescent="0.2">
      <c r="A720" t="s">
        <v>1334</v>
      </c>
      <c r="B720" t="s">
        <v>1334</v>
      </c>
      <c r="C720" t="s">
        <v>1334</v>
      </c>
      <c r="D720" t="s">
        <v>1334</v>
      </c>
      <c r="E720" t="s">
        <v>1334</v>
      </c>
      <c r="F720" t="s">
        <v>1334</v>
      </c>
      <c r="G720" t="s">
        <v>1334</v>
      </c>
      <c r="H720" t="s">
        <v>1334</v>
      </c>
      <c r="I720" t="s">
        <v>1334</v>
      </c>
      <c r="J720" t="s">
        <v>1334</v>
      </c>
      <c r="K720" t="s">
        <v>1334</v>
      </c>
    </row>
    <row r="721" spans="1:11" x14ac:dyDescent="0.2">
      <c r="A721" t="s">
        <v>1334</v>
      </c>
      <c r="B721" t="s">
        <v>1334</v>
      </c>
      <c r="C721" t="s">
        <v>1334</v>
      </c>
      <c r="D721" t="s">
        <v>1334</v>
      </c>
      <c r="E721" t="s">
        <v>1334</v>
      </c>
      <c r="F721" t="s">
        <v>1334</v>
      </c>
      <c r="G721" t="s">
        <v>1334</v>
      </c>
      <c r="H721" t="s">
        <v>1334</v>
      </c>
      <c r="I721" t="s">
        <v>1334</v>
      </c>
      <c r="J721" t="s">
        <v>1334</v>
      </c>
      <c r="K721" t="s">
        <v>1334</v>
      </c>
    </row>
    <row r="722" spans="1:11" x14ac:dyDescent="0.2">
      <c r="A722" t="s">
        <v>1334</v>
      </c>
      <c r="B722" t="s">
        <v>1334</v>
      </c>
      <c r="C722" t="s">
        <v>1334</v>
      </c>
      <c r="D722" t="s">
        <v>1334</v>
      </c>
      <c r="E722" t="s">
        <v>1334</v>
      </c>
      <c r="F722" t="s">
        <v>1334</v>
      </c>
      <c r="G722" t="s">
        <v>1334</v>
      </c>
      <c r="H722" t="s">
        <v>1334</v>
      </c>
      <c r="I722" t="s">
        <v>1334</v>
      </c>
      <c r="J722" t="s">
        <v>1334</v>
      </c>
      <c r="K722" t="s">
        <v>1334</v>
      </c>
    </row>
    <row r="723" spans="1:11" x14ac:dyDescent="0.2">
      <c r="A723" t="s">
        <v>1334</v>
      </c>
      <c r="B723" t="s">
        <v>1334</v>
      </c>
      <c r="C723" t="s">
        <v>1334</v>
      </c>
      <c r="D723" t="s">
        <v>1334</v>
      </c>
      <c r="E723" t="s">
        <v>1334</v>
      </c>
      <c r="F723" t="s">
        <v>1334</v>
      </c>
      <c r="G723" t="s">
        <v>1334</v>
      </c>
      <c r="H723" t="s">
        <v>1334</v>
      </c>
      <c r="I723" t="s">
        <v>1334</v>
      </c>
      <c r="J723" t="s">
        <v>1334</v>
      </c>
      <c r="K723" t="s">
        <v>1334</v>
      </c>
    </row>
    <row r="724" spans="1:11" x14ac:dyDescent="0.2">
      <c r="A724" t="s">
        <v>1334</v>
      </c>
      <c r="B724" t="s">
        <v>1334</v>
      </c>
      <c r="C724" t="s">
        <v>1334</v>
      </c>
      <c r="D724" t="s">
        <v>1334</v>
      </c>
      <c r="E724" t="s">
        <v>1334</v>
      </c>
      <c r="F724" t="s">
        <v>1334</v>
      </c>
      <c r="G724" t="s">
        <v>1334</v>
      </c>
      <c r="H724" t="s">
        <v>1334</v>
      </c>
      <c r="I724" t="s">
        <v>1334</v>
      </c>
      <c r="J724" t="s">
        <v>1334</v>
      </c>
      <c r="K724" t="s">
        <v>1334</v>
      </c>
    </row>
    <row r="725" spans="1:11" x14ac:dyDescent="0.2">
      <c r="A725" t="s">
        <v>1334</v>
      </c>
      <c r="B725" t="s">
        <v>1334</v>
      </c>
      <c r="C725" t="s">
        <v>1334</v>
      </c>
      <c r="D725" t="s">
        <v>1334</v>
      </c>
      <c r="E725" t="s">
        <v>1334</v>
      </c>
      <c r="F725" t="s">
        <v>1334</v>
      </c>
      <c r="G725" t="s">
        <v>1334</v>
      </c>
      <c r="H725" t="s">
        <v>1334</v>
      </c>
      <c r="I725" t="s">
        <v>1334</v>
      </c>
      <c r="J725" t="s">
        <v>1334</v>
      </c>
      <c r="K725" t="s">
        <v>1334</v>
      </c>
    </row>
    <row r="726" spans="1:11" x14ac:dyDescent="0.2">
      <c r="A726" t="s">
        <v>1334</v>
      </c>
      <c r="B726" t="s">
        <v>1334</v>
      </c>
      <c r="C726" t="s">
        <v>1334</v>
      </c>
      <c r="D726" t="s">
        <v>1334</v>
      </c>
      <c r="E726" t="s">
        <v>1334</v>
      </c>
      <c r="F726" t="s">
        <v>1334</v>
      </c>
      <c r="G726" t="s">
        <v>1334</v>
      </c>
      <c r="H726" t="s">
        <v>1334</v>
      </c>
      <c r="I726" t="s">
        <v>1334</v>
      </c>
      <c r="J726" t="s">
        <v>1334</v>
      </c>
      <c r="K726" t="s">
        <v>1334</v>
      </c>
    </row>
    <row r="727" spans="1:11" x14ac:dyDescent="0.2">
      <c r="A727" t="s">
        <v>1334</v>
      </c>
      <c r="B727" t="s">
        <v>1334</v>
      </c>
      <c r="C727" t="s">
        <v>1334</v>
      </c>
      <c r="D727" t="s">
        <v>1334</v>
      </c>
      <c r="E727" t="s">
        <v>1334</v>
      </c>
      <c r="F727" t="s">
        <v>1334</v>
      </c>
      <c r="G727" t="s">
        <v>1334</v>
      </c>
      <c r="H727" t="s">
        <v>1334</v>
      </c>
      <c r="I727" t="s">
        <v>1334</v>
      </c>
      <c r="J727" t="s">
        <v>1334</v>
      </c>
      <c r="K727" t="s">
        <v>1334</v>
      </c>
    </row>
    <row r="728" spans="1:11" x14ac:dyDescent="0.2">
      <c r="A728" t="s">
        <v>1334</v>
      </c>
      <c r="B728" t="s">
        <v>1334</v>
      </c>
      <c r="C728" t="s">
        <v>1334</v>
      </c>
      <c r="D728" t="s">
        <v>1334</v>
      </c>
      <c r="E728" t="s">
        <v>1334</v>
      </c>
      <c r="F728" t="s">
        <v>1334</v>
      </c>
      <c r="G728" t="s">
        <v>1334</v>
      </c>
      <c r="H728" t="s">
        <v>1334</v>
      </c>
      <c r="I728" t="s">
        <v>1334</v>
      </c>
      <c r="J728" t="s">
        <v>1334</v>
      </c>
      <c r="K728" t="s">
        <v>1334</v>
      </c>
    </row>
    <row r="729" spans="1:11" x14ac:dyDescent="0.2">
      <c r="A729" t="s">
        <v>1334</v>
      </c>
      <c r="B729" t="s">
        <v>1334</v>
      </c>
      <c r="C729" t="s">
        <v>1334</v>
      </c>
      <c r="D729" t="s">
        <v>1334</v>
      </c>
      <c r="E729" t="s">
        <v>1334</v>
      </c>
      <c r="F729" t="s">
        <v>1334</v>
      </c>
      <c r="G729" t="s">
        <v>1334</v>
      </c>
      <c r="H729" t="s">
        <v>1334</v>
      </c>
      <c r="I729" t="s">
        <v>1334</v>
      </c>
      <c r="J729" t="s">
        <v>1334</v>
      </c>
      <c r="K729" t="s">
        <v>1334</v>
      </c>
    </row>
    <row r="730" spans="1:11" x14ac:dyDescent="0.2">
      <c r="A730" t="s">
        <v>1334</v>
      </c>
      <c r="B730" t="s">
        <v>1334</v>
      </c>
      <c r="C730" t="s">
        <v>1334</v>
      </c>
      <c r="D730" t="s">
        <v>1334</v>
      </c>
      <c r="E730" t="s">
        <v>1334</v>
      </c>
      <c r="F730" t="s">
        <v>1334</v>
      </c>
      <c r="G730" t="s">
        <v>1334</v>
      </c>
      <c r="H730" t="s">
        <v>1334</v>
      </c>
      <c r="I730" t="s">
        <v>1334</v>
      </c>
      <c r="J730" t="s">
        <v>1334</v>
      </c>
      <c r="K730" t="s">
        <v>1334</v>
      </c>
    </row>
    <row r="731" spans="1:11" x14ac:dyDescent="0.2">
      <c r="A731" t="s">
        <v>1334</v>
      </c>
      <c r="B731" t="s">
        <v>1334</v>
      </c>
      <c r="C731" t="s">
        <v>1334</v>
      </c>
      <c r="D731" t="s">
        <v>1334</v>
      </c>
      <c r="E731" t="s">
        <v>1334</v>
      </c>
      <c r="F731" t="s">
        <v>1334</v>
      </c>
      <c r="G731" t="s">
        <v>1334</v>
      </c>
      <c r="H731" t="s">
        <v>1334</v>
      </c>
      <c r="I731" t="s">
        <v>1334</v>
      </c>
      <c r="J731" t="s">
        <v>1334</v>
      </c>
      <c r="K731" t="s">
        <v>1334</v>
      </c>
    </row>
    <row r="732" spans="1:11" x14ac:dyDescent="0.2">
      <c r="A732" t="s">
        <v>1334</v>
      </c>
      <c r="B732" t="s">
        <v>1334</v>
      </c>
      <c r="C732" t="s">
        <v>1334</v>
      </c>
      <c r="D732" t="s">
        <v>1334</v>
      </c>
      <c r="E732" t="s">
        <v>1334</v>
      </c>
      <c r="F732" t="s">
        <v>1334</v>
      </c>
      <c r="G732" t="s">
        <v>1334</v>
      </c>
      <c r="H732" t="s">
        <v>1334</v>
      </c>
      <c r="I732" t="s">
        <v>1334</v>
      </c>
      <c r="J732" t="s">
        <v>1334</v>
      </c>
      <c r="K732" t="s">
        <v>1334</v>
      </c>
    </row>
    <row r="733" spans="1:11" x14ac:dyDescent="0.2">
      <c r="A733" t="s">
        <v>1334</v>
      </c>
      <c r="B733" t="s">
        <v>1334</v>
      </c>
      <c r="C733" t="s">
        <v>1334</v>
      </c>
      <c r="D733" t="s">
        <v>1334</v>
      </c>
      <c r="E733" t="s">
        <v>1334</v>
      </c>
      <c r="F733" t="s">
        <v>1334</v>
      </c>
      <c r="G733" t="s">
        <v>1334</v>
      </c>
      <c r="H733" t="s">
        <v>1334</v>
      </c>
      <c r="I733" t="s">
        <v>1334</v>
      </c>
      <c r="J733" t="s">
        <v>1334</v>
      </c>
      <c r="K733" t="s">
        <v>1334</v>
      </c>
    </row>
    <row r="734" spans="1:11" x14ac:dyDescent="0.2">
      <c r="A734" t="s">
        <v>1334</v>
      </c>
      <c r="B734" t="s">
        <v>1334</v>
      </c>
      <c r="C734" t="s">
        <v>1334</v>
      </c>
      <c r="D734" t="s">
        <v>1334</v>
      </c>
      <c r="E734" t="s">
        <v>1334</v>
      </c>
      <c r="F734" t="s">
        <v>1334</v>
      </c>
      <c r="G734" t="s">
        <v>1334</v>
      </c>
      <c r="H734" t="s">
        <v>1334</v>
      </c>
      <c r="I734" t="s">
        <v>1334</v>
      </c>
      <c r="J734" t="s">
        <v>1334</v>
      </c>
      <c r="K734" t="s">
        <v>1334</v>
      </c>
    </row>
    <row r="735" spans="1:11" x14ac:dyDescent="0.2">
      <c r="A735" t="s">
        <v>1334</v>
      </c>
      <c r="B735" t="s">
        <v>1334</v>
      </c>
      <c r="C735" t="s">
        <v>1334</v>
      </c>
      <c r="D735" t="s">
        <v>1334</v>
      </c>
      <c r="E735" t="s">
        <v>1334</v>
      </c>
      <c r="F735" t="s">
        <v>1334</v>
      </c>
      <c r="G735" t="s">
        <v>1334</v>
      </c>
      <c r="H735" t="s">
        <v>1334</v>
      </c>
      <c r="I735" t="s">
        <v>1334</v>
      </c>
      <c r="J735" t="s">
        <v>1334</v>
      </c>
      <c r="K735" t="s">
        <v>1334</v>
      </c>
    </row>
    <row r="736" spans="1:11" x14ac:dyDescent="0.2">
      <c r="A736" t="s">
        <v>1334</v>
      </c>
      <c r="B736" t="s">
        <v>1334</v>
      </c>
      <c r="C736" t="s">
        <v>1334</v>
      </c>
      <c r="D736" t="s">
        <v>1334</v>
      </c>
      <c r="E736" t="s">
        <v>1334</v>
      </c>
      <c r="F736" t="s">
        <v>1334</v>
      </c>
      <c r="G736" t="s">
        <v>1334</v>
      </c>
      <c r="H736" t="s">
        <v>1334</v>
      </c>
      <c r="I736" t="s">
        <v>1334</v>
      </c>
      <c r="J736" t="s">
        <v>1334</v>
      </c>
      <c r="K736" t="s">
        <v>1334</v>
      </c>
    </row>
    <row r="737" spans="1:11" x14ac:dyDescent="0.2">
      <c r="A737" t="s">
        <v>1334</v>
      </c>
      <c r="B737" t="s">
        <v>1334</v>
      </c>
      <c r="C737" t="s">
        <v>1334</v>
      </c>
      <c r="D737" t="s">
        <v>1334</v>
      </c>
      <c r="E737" t="s">
        <v>1334</v>
      </c>
      <c r="F737" t="s">
        <v>1334</v>
      </c>
      <c r="G737" t="s">
        <v>1334</v>
      </c>
      <c r="H737" t="s">
        <v>1334</v>
      </c>
      <c r="I737" t="s">
        <v>1334</v>
      </c>
      <c r="J737" t="s">
        <v>1334</v>
      </c>
      <c r="K737" t="s">
        <v>1334</v>
      </c>
    </row>
    <row r="738" spans="1:11" x14ac:dyDescent="0.2">
      <c r="A738" t="s">
        <v>1334</v>
      </c>
      <c r="B738" t="s">
        <v>1334</v>
      </c>
      <c r="C738" t="s">
        <v>1334</v>
      </c>
      <c r="D738" t="s">
        <v>1334</v>
      </c>
      <c r="E738" t="s">
        <v>1334</v>
      </c>
      <c r="F738" t="s">
        <v>1334</v>
      </c>
      <c r="G738" t="s">
        <v>1334</v>
      </c>
      <c r="H738" t="s">
        <v>1334</v>
      </c>
      <c r="I738" t="s">
        <v>1334</v>
      </c>
      <c r="J738" t="s">
        <v>1334</v>
      </c>
      <c r="K738" t="s">
        <v>1334</v>
      </c>
    </row>
    <row r="739" spans="1:11" x14ac:dyDescent="0.2">
      <c r="A739" t="s">
        <v>1334</v>
      </c>
      <c r="B739" t="s">
        <v>1334</v>
      </c>
      <c r="C739" t="s">
        <v>1334</v>
      </c>
      <c r="D739" t="s">
        <v>1334</v>
      </c>
      <c r="E739" t="s">
        <v>1334</v>
      </c>
      <c r="F739" t="s">
        <v>1334</v>
      </c>
      <c r="G739" t="s">
        <v>1334</v>
      </c>
      <c r="H739" t="s">
        <v>1334</v>
      </c>
      <c r="I739" t="s">
        <v>1334</v>
      </c>
      <c r="J739" t="s">
        <v>1334</v>
      </c>
      <c r="K739" t="s">
        <v>1334</v>
      </c>
    </row>
    <row r="740" spans="1:11" x14ac:dyDescent="0.2">
      <c r="A740" t="s">
        <v>1334</v>
      </c>
      <c r="B740" t="s">
        <v>1334</v>
      </c>
      <c r="C740" t="s">
        <v>1334</v>
      </c>
      <c r="D740" t="s">
        <v>1334</v>
      </c>
      <c r="E740" t="s">
        <v>1334</v>
      </c>
      <c r="F740" t="s">
        <v>1334</v>
      </c>
      <c r="G740" t="s">
        <v>1334</v>
      </c>
      <c r="H740" t="s">
        <v>1334</v>
      </c>
      <c r="I740" t="s">
        <v>1334</v>
      </c>
      <c r="J740" t="s">
        <v>1334</v>
      </c>
      <c r="K740" t="s">
        <v>1334</v>
      </c>
    </row>
    <row r="741" spans="1:11" x14ac:dyDescent="0.2">
      <c r="A741" t="s">
        <v>1334</v>
      </c>
      <c r="B741" t="s">
        <v>1334</v>
      </c>
      <c r="C741" t="s">
        <v>1334</v>
      </c>
      <c r="D741" t="s">
        <v>1334</v>
      </c>
      <c r="E741" t="s">
        <v>1334</v>
      </c>
      <c r="F741" t="s">
        <v>1334</v>
      </c>
      <c r="G741" t="s">
        <v>1334</v>
      </c>
      <c r="H741" t="s">
        <v>1334</v>
      </c>
      <c r="I741" t="s">
        <v>1334</v>
      </c>
      <c r="J741" t="s">
        <v>1334</v>
      </c>
      <c r="K741" t="s">
        <v>1334</v>
      </c>
    </row>
    <row r="742" spans="1:11" x14ac:dyDescent="0.2">
      <c r="A742" t="s">
        <v>1334</v>
      </c>
      <c r="B742" t="s">
        <v>1334</v>
      </c>
      <c r="C742" t="s">
        <v>1334</v>
      </c>
      <c r="D742" t="s">
        <v>1334</v>
      </c>
      <c r="E742" t="s">
        <v>1334</v>
      </c>
      <c r="F742" t="s">
        <v>1334</v>
      </c>
      <c r="G742" t="s">
        <v>1334</v>
      </c>
      <c r="H742" t="s">
        <v>1334</v>
      </c>
      <c r="I742" t="s">
        <v>1334</v>
      </c>
      <c r="J742" t="s">
        <v>1334</v>
      </c>
      <c r="K742" t="s">
        <v>1334</v>
      </c>
    </row>
    <row r="743" spans="1:11" x14ac:dyDescent="0.2">
      <c r="A743" t="s">
        <v>1334</v>
      </c>
      <c r="B743" t="s">
        <v>1334</v>
      </c>
      <c r="C743" t="s">
        <v>1334</v>
      </c>
      <c r="D743" t="s">
        <v>1334</v>
      </c>
      <c r="E743" t="s">
        <v>1334</v>
      </c>
      <c r="F743" t="s">
        <v>1334</v>
      </c>
      <c r="G743" t="s">
        <v>1334</v>
      </c>
      <c r="H743" t="s">
        <v>1334</v>
      </c>
      <c r="I743" t="s">
        <v>1334</v>
      </c>
      <c r="J743" t="s">
        <v>1334</v>
      </c>
      <c r="K743" t="s">
        <v>1334</v>
      </c>
    </row>
    <row r="744" spans="1:11" x14ac:dyDescent="0.2">
      <c r="A744" t="s">
        <v>1334</v>
      </c>
      <c r="B744" t="s">
        <v>1334</v>
      </c>
      <c r="C744" t="s">
        <v>1334</v>
      </c>
      <c r="D744" t="s">
        <v>1334</v>
      </c>
      <c r="E744" t="s">
        <v>1334</v>
      </c>
      <c r="F744" t="s">
        <v>1334</v>
      </c>
      <c r="G744" t="s">
        <v>1334</v>
      </c>
      <c r="H744" t="s">
        <v>1334</v>
      </c>
      <c r="I744" t="s">
        <v>1334</v>
      </c>
      <c r="J744" t="s">
        <v>1334</v>
      </c>
      <c r="K744" t="s">
        <v>1334</v>
      </c>
    </row>
    <row r="745" spans="1:11" x14ac:dyDescent="0.2">
      <c r="A745" t="s">
        <v>1334</v>
      </c>
      <c r="B745" t="s">
        <v>1334</v>
      </c>
      <c r="C745" t="s">
        <v>1334</v>
      </c>
      <c r="D745" t="s">
        <v>1334</v>
      </c>
      <c r="E745" t="s">
        <v>1334</v>
      </c>
      <c r="F745" t="s">
        <v>1334</v>
      </c>
      <c r="G745" t="s">
        <v>1334</v>
      </c>
      <c r="H745" t="s">
        <v>1334</v>
      </c>
      <c r="I745" t="s">
        <v>1334</v>
      </c>
      <c r="J745" t="s">
        <v>1334</v>
      </c>
      <c r="K745" t="s">
        <v>1334</v>
      </c>
    </row>
    <row r="746" spans="1:11" x14ac:dyDescent="0.2">
      <c r="A746" t="s">
        <v>1334</v>
      </c>
      <c r="B746" t="s">
        <v>1334</v>
      </c>
      <c r="C746" t="s">
        <v>1334</v>
      </c>
      <c r="D746" t="s">
        <v>1334</v>
      </c>
      <c r="E746" t="s">
        <v>1334</v>
      </c>
      <c r="F746" t="s">
        <v>1334</v>
      </c>
      <c r="G746" t="s">
        <v>1334</v>
      </c>
      <c r="H746" t="s">
        <v>1334</v>
      </c>
      <c r="I746" t="s">
        <v>1334</v>
      </c>
      <c r="J746" t="s">
        <v>1334</v>
      </c>
      <c r="K746" t="s">
        <v>1334</v>
      </c>
    </row>
    <row r="747" spans="1:11" x14ac:dyDescent="0.2">
      <c r="A747" t="s">
        <v>1334</v>
      </c>
      <c r="B747" t="s">
        <v>1334</v>
      </c>
      <c r="C747" t="s">
        <v>1334</v>
      </c>
      <c r="D747" t="s">
        <v>1334</v>
      </c>
      <c r="E747" t="s">
        <v>1334</v>
      </c>
      <c r="F747" t="s">
        <v>1334</v>
      </c>
      <c r="G747" t="s">
        <v>1334</v>
      </c>
      <c r="H747" t="s">
        <v>1334</v>
      </c>
      <c r="I747" t="s">
        <v>1334</v>
      </c>
      <c r="J747" t="s">
        <v>1334</v>
      </c>
      <c r="K747" t="s">
        <v>1334</v>
      </c>
    </row>
    <row r="748" spans="1:11" x14ac:dyDescent="0.2">
      <c r="A748" t="s">
        <v>1334</v>
      </c>
      <c r="B748" t="s">
        <v>1334</v>
      </c>
      <c r="C748" t="s">
        <v>1334</v>
      </c>
      <c r="D748" t="s">
        <v>1334</v>
      </c>
      <c r="E748" t="s">
        <v>1334</v>
      </c>
      <c r="F748" t="s">
        <v>1334</v>
      </c>
      <c r="G748" t="s">
        <v>1334</v>
      </c>
      <c r="H748" t="s">
        <v>1334</v>
      </c>
      <c r="I748" t="s">
        <v>1334</v>
      </c>
      <c r="J748" t="s">
        <v>1334</v>
      </c>
      <c r="K748" t="s">
        <v>1334</v>
      </c>
    </row>
    <row r="749" spans="1:11" x14ac:dyDescent="0.2">
      <c r="A749" t="s">
        <v>1334</v>
      </c>
      <c r="B749" t="s">
        <v>1334</v>
      </c>
      <c r="C749" t="s">
        <v>1334</v>
      </c>
      <c r="D749" t="s">
        <v>1334</v>
      </c>
      <c r="E749" t="s">
        <v>1334</v>
      </c>
      <c r="F749" t="s">
        <v>1334</v>
      </c>
      <c r="G749" t="s">
        <v>1334</v>
      </c>
      <c r="H749" t="s">
        <v>1334</v>
      </c>
      <c r="I749" t="s">
        <v>1334</v>
      </c>
      <c r="J749" t="s">
        <v>1334</v>
      </c>
      <c r="K749" t="s">
        <v>1334</v>
      </c>
    </row>
    <row r="750" spans="1:11" x14ac:dyDescent="0.2">
      <c r="A750" t="s">
        <v>1334</v>
      </c>
      <c r="B750" t="s">
        <v>1334</v>
      </c>
      <c r="C750" t="s">
        <v>1334</v>
      </c>
      <c r="D750" t="s">
        <v>1334</v>
      </c>
      <c r="E750" t="s">
        <v>1334</v>
      </c>
      <c r="F750" t="s">
        <v>1334</v>
      </c>
      <c r="G750" t="s">
        <v>1334</v>
      </c>
      <c r="H750" t="s">
        <v>1334</v>
      </c>
      <c r="I750" t="s">
        <v>1334</v>
      </c>
      <c r="J750" t="s">
        <v>1334</v>
      </c>
      <c r="K750" t="s">
        <v>1334</v>
      </c>
    </row>
    <row r="751" spans="1:11" x14ac:dyDescent="0.2">
      <c r="A751" t="s">
        <v>1334</v>
      </c>
      <c r="B751" t="s">
        <v>1334</v>
      </c>
      <c r="C751" t="s">
        <v>1334</v>
      </c>
      <c r="D751" t="s">
        <v>1334</v>
      </c>
      <c r="E751" t="s">
        <v>1334</v>
      </c>
      <c r="F751" t="s">
        <v>1334</v>
      </c>
      <c r="G751" t="s">
        <v>1334</v>
      </c>
      <c r="H751" t="s">
        <v>1334</v>
      </c>
      <c r="I751" t="s">
        <v>1334</v>
      </c>
      <c r="J751" t="s">
        <v>1334</v>
      </c>
      <c r="K751" t="s">
        <v>1334</v>
      </c>
    </row>
    <row r="752" spans="1:11" x14ac:dyDescent="0.2">
      <c r="A752" t="s">
        <v>1334</v>
      </c>
      <c r="B752" t="s">
        <v>1334</v>
      </c>
      <c r="C752" t="s">
        <v>1334</v>
      </c>
      <c r="D752" t="s">
        <v>1334</v>
      </c>
      <c r="E752" t="s">
        <v>1334</v>
      </c>
      <c r="F752" t="s">
        <v>1334</v>
      </c>
      <c r="G752" t="s">
        <v>1334</v>
      </c>
      <c r="H752" t="s">
        <v>1334</v>
      </c>
      <c r="I752" t="s">
        <v>1334</v>
      </c>
      <c r="J752" t="s">
        <v>1334</v>
      </c>
      <c r="K752" t="s">
        <v>1334</v>
      </c>
    </row>
    <row r="753" spans="1:11" x14ac:dyDescent="0.2">
      <c r="A753" t="s">
        <v>1334</v>
      </c>
      <c r="B753" t="s">
        <v>1334</v>
      </c>
      <c r="C753" t="s">
        <v>1334</v>
      </c>
      <c r="D753" t="s">
        <v>1334</v>
      </c>
      <c r="E753" t="s">
        <v>1334</v>
      </c>
      <c r="F753" t="s">
        <v>1334</v>
      </c>
      <c r="G753" t="s">
        <v>1334</v>
      </c>
      <c r="H753" t="s">
        <v>1334</v>
      </c>
      <c r="I753" t="s">
        <v>1334</v>
      </c>
      <c r="J753" t="s">
        <v>1334</v>
      </c>
      <c r="K753" t="s">
        <v>1334</v>
      </c>
    </row>
    <row r="754" spans="1:11" x14ac:dyDescent="0.2">
      <c r="A754" t="s">
        <v>1334</v>
      </c>
      <c r="B754" t="s">
        <v>1334</v>
      </c>
      <c r="C754" t="s">
        <v>1334</v>
      </c>
      <c r="D754" t="s">
        <v>1334</v>
      </c>
      <c r="E754" t="s">
        <v>1334</v>
      </c>
      <c r="F754" t="s">
        <v>1334</v>
      </c>
      <c r="G754" t="s">
        <v>1334</v>
      </c>
      <c r="H754" t="s">
        <v>1334</v>
      </c>
      <c r="I754" t="s">
        <v>1334</v>
      </c>
      <c r="J754" t="s">
        <v>1334</v>
      </c>
      <c r="K754" t="s">
        <v>1334</v>
      </c>
    </row>
    <row r="755" spans="1:11" x14ac:dyDescent="0.2">
      <c r="A755" t="s">
        <v>1334</v>
      </c>
      <c r="B755" t="s">
        <v>1334</v>
      </c>
      <c r="C755" t="s">
        <v>1334</v>
      </c>
      <c r="D755" t="s">
        <v>1334</v>
      </c>
      <c r="E755" t="s">
        <v>1334</v>
      </c>
      <c r="F755" t="s">
        <v>1334</v>
      </c>
      <c r="G755" t="s">
        <v>1334</v>
      </c>
      <c r="H755" t="s">
        <v>1334</v>
      </c>
      <c r="I755" t="s">
        <v>1334</v>
      </c>
      <c r="J755" t="s">
        <v>1334</v>
      </c>
      <c r="K755" t="s">
        <v>1334</v>
      </c>
    </row>
    <row r="756" spans="1:11" x14ac:dyDescent="0.2">
      <c r="A756" t="s">
        <v>1334</v>
      </c>
      <c r="B756" t="s">
        <v>1334</v>
      </c>
      <c r="C756" t="s">
        <v>1334</v>
      </c>
      <c r="D756" t="s">
        <v>1334</v>
      </c>
      <c r="E756" t="s">
        <v>1334</v>
      </c>
      <c r="F756" t="s">
        <v>1334</v>
      </c>
      <c r="G756" t="s">
        <v>1334</v>
      </c>
      <c r="H756" t="s">
        <v>1334</v>
      </c>
      <c r="I756" t="s">
        <v>1334</v>
      </c>
      <c r="J756" t="s">
        <v>1334</v>
      </c>
      <c r="K756" t="s">
        <v>1334</v>
      </c>
    </row>
    <row r="757" spans="1:11" x14ac:dyDescent="0.2">
      <c r="A757" t="s">
        <v>1334</v>
      </c>
      <c r="B757" t="s">
        <v>1334</v>
      </c>
      <c r="C757" t="s">
        <v>1334</v>
      </c>
      <c r="D757" t="s">
        <v>1334</v>
      </c>
      <c r="E757" t="s">
        <v>1334</v>
      </c>
      <c r="F757" t="s">
        <v>1334</v>
      </c>
      <c r="G757" t="s">
        <v>1334</v>
      </c>
      <c r="H757" t="s">
        <v>1334</v>
      </c>
      <c r="I757" t="s">
        <v>1334</v>
      </c>
      <c r="J757" t="s">
        <v>1334</v>
      </c>
      <c r="K757" t="s">
        <v>1334</v>
      </c>
    </row>
    <row r="758" spans="1:11" x14ac:dyDescent="0.2">
      <c r="A758" t="s">
        <v>1334</v>
      </c>
      <c r="B758" t="s">
        <v>1334</v>
      </c>
      <c r="C758" t="s">
        <v>1334</v>
      </c>
      <c r="D758" t="s">
        <v>1334</v>
      </c>
      <c r="E758" t="s">
        <v>1334</v>
      </c>
      <c r="F758" t="s">
        <v>1334</v>
      </c>
      <c r="G758" t="s">
        <v>1334</v>
      </c>
      <c r="H758" t="s">
        <v>1334</v>
      </c>
      <c r="I758" t="s">
        <v>1334</v>
      </c>
      <c r="J758" t="s">
        <v>1334</v>
      </c>
      <c r="K758" t="s">
        <v>1334</v>
      </c>
    </row>
    <row r="759" spans="1:11" x14ac:dyDescent="0.2">
      <c r="A759" t="s">
        <v>1334</v>
      </c>
      <c r="B759" t="s">
        <v>1334</v>
      </c>
      <c r="C759" t="s">
        <v>1334</v>
      </c>
      <c r="D759" t="s">
        <v>1334</v>
      </c>
      <c r="E759" t="s">
        <v>1334</v>
      </c>
      <c r="F759" t="s">
        <v>1334</v>
      </c>
      <c r="G759" t="s">
        <v>1334</v>
      </c>
      <c r="H759" t="s">
        <v>1334</v>
      </c>
      <c r="I759" t="s">
        <v>1334</v>
      </c>
      <c r="J759" t="s">
        <v>1334</v>
      </c>
      <c r="K759" t="s">
        <v>1334</v>
      </c>
    </row>
    <row r="760" spans="1:11" x14ac:dyDescent="0.2">
      <c r="A760" t="s">
        <v>1334</v>
      </c>
      <c r="B760" t="s">
        <v>1334</v>
      </c>
      <c r="C760" t="s">
        <v>1334</v>
      </c>
      <c r="D760" t="s">
        <v>1334</v>
      </c>
      <c r="E760" t="s">
        <v>1334</v>
      </c>
      <c r="F760" t="s">
        <v>1334</v>
      </c>
      <c r="G760" t="s">
        <v>1334</v>
      </c>
      <c r="H760" t="s">
        <v>1334</v>
      </c>
      <c r="I760" t="s">
        <v>1334</v>
      </c>
      <c r="J760" t="s">
        <v>1334</v>
      </c>
      <c r="K760" t="s">
        <v>1334</v>
      </c>
    </row>
    <row r="761" spans="1:11" x14ac:dyDescent="0.2">
      <c r="A761" t="s">
        <v>1334</v>
      </c>
      <c r="B761" t="s">
        <v>1334</v>
      </c>
      <c r="C761" t="s">
        <v>1334</v>
      </c>
      <c r="D761" t="s">
        <v>1334</v>
      </c>
      <c r="E761" t="s">
        <v>1334</v>
      </c>
      <c r="F761" t="s">
        <v>1334</v>
      </c>
      <c r="G761" t="s">
        <v>1334</v>
      </c>
      <c r="H761" t="s">
        <v>1334</v>
      </c>
      <c r="I761" t="s">
        <v>1334</v>
      </c>
      <c r="J761" t="s">
        <v>1334</v>
      </c>
      <c r="K761" t="s">
        <v>1334</v>
      </c>
    </row>
    <row r="762" spans="1:11" x14ac:dyDescent="0.2">
      <c r="A762" t="s">
        <v>1334</v>
      </c>
      <c r="B762" t="s">
        <v>1334</v>
      </c>
      <c r="C762" t="s">
        <v>1334</v>
      </c>
      <c r="D762" t="s">
        <v>1334</v>
      </c>
      <c r="E762" t="s">
        <v>1334</v>
      </c>
      <c r="F762" t="s">
        <v>1334</v>
      </c>
      <c r="G762" t="s">
        <v>1334</v>
      </c>
      <c r="H762" t="s">
        <v>1334</v>
      </c>
      <c r="I762" t="s">
        <v>1334</v>
      </c>
      <c r="J762" t="s">
        <v>1334</v>
      </c>
      <c r="K762" t="s">
        <v>1334</v>
      </c>
    </row>
    <row r="763" spans="1:11" x14ac:dyDescent="0.2">
      <c r="A763" t="s">
        <v>1334</v>
      </c>
      <c r="B763" t="s">
        <v>1334</v>
      </c>
      <c r="C763" t="s">
        <v>1334</v>
      </c>
      <c r="D763" t="s">
        <v>1334</v>
      </c>
      <c r="E763" t="s">
        <v>1334</v>
      </c>
      <c r="F763" t="s">
        <v>1334</v>
      </c>
      <c r="G763" t="s">
        <v>1334</v>
      </c>
      <c r="H763" t="s">
        <v>1334</v>
      </c>
      <c r="I763" t="s">
        <v>1334</v>
      </c>
      <c r="J763" t="s">
        <v>1334</v>
      </c>
      <c r="K763" t="s">
        <v>1334</v>
      </c>
    </row>
    <row r="764" spans="1:11" x14ac:dyDescent="0.2">
      <c r="A764" t="s">
        <v>1334</v>
      </c>
      <c r="B764" t="s">
        <v>1334</v>
      </c>
      <c r="C764" t="s">
        <v>1334</v>
      </c>
      <c r="D764" t="s">
        <v>1334</v>
      </c>
      <c r="E764" t="s">
        <v>1334</v>
      </c>
      <c r="F764" t="s">
        <v>1334</v>
      </c>
      <c r="G764" t="s">
        <v>1334</v>
      </c>
      <c r="H764" t="s">
        <v>1334</v>
      </c>
      <c r="I764" t="s">
        <v>1334</v>
      </c>
      <c r="J764" t="s">
        <v>1334</v>
      </c>
      <c r="K764" t="s">
        <v>1334</v>
      </c>
    </row>
    <row r="765" spans="1:11" x14ac:dyDescent="0.2">
      <c r="A765" t="s">
        <v>1334</v>
      </c>
      <c r="B765" t="s">
        <v>1334</v>
      </c>
      <c r="C765" t="s">
        <v>1334</v>
      </c>
      <c r="D765" t="s">
        <v>1334</v>
      </c>
      <c r="E765" t="s">
        <v>1334</v>
      </c>
      <c r="F765" t="s">
        <v>1334</v>
      </c>
      <c r="G765" t="s">
        <v>1334</v>
      </c>
      <c r="H765" t="s">
        <v>1334</v>
      </c>
      <c r="I765" t="s">
        <v>1334</v>
      </c>
      <c r="J765" t="s">
        <v>1334</v>
      </c>
      <c r="K765" t="s">
        <v>1334</v>
      </c>
    </row>
    <row r="766" spans="1:11" x14ac:dyDescent="0.2">
      <c r="A766" t="s">
        <v>1334</v>
      </c>
      <c r="B766" t="s">
        <v>1334</v>
      </c>
      <c r="C766" t="s">
        <v>1334</v>
      </c>
      <c r="D766" t="s">
        <v>1334</v>
      </c>
      <c r="E766" t="s">
        <v>1334</v>
      </c>
      <c r="F766" t="s">
        <v>1334</v>
      </c>
      <c r="G766" t="s">
        <v>1334</v>
      </c>
      <c r="H766" t="s">
        <v>1334</v>
      </c>
      <c r="I766" t="s">
        <v>1334</v>
      </c>
      <c r="J766" t="s">
        <v>1334</v>
      </c>
      <c r="K766" t="s">
        <v>1334</v>
      </c>
    </row>
    <row r="767" spans="1:11" x14ac:dyDescent="0.2">
      <c r="A767" t="s">
        <v>1334</v>
      </c>
      <c r="B767" t="s">
        <v>1334</v>
      </c>
      <c r="C767" t="s">
        <v>1334</v>
      </c>
      <c r="D767" t="s">
        <v>1334</v>
      </c>
      <c r="E767" t="s">
        <v>1334</v>
      </c>
      <c r="F767" t="s">
        <v>1334</v>
      </c>
      <c r="G767" t="s">
        <v>1334</v>
      </c>
      <c r="H767" t="s">
        <v>1334</v>
      </c>
      <c r="I767" t="s">
        <v>1334</v>
      </c>
      <c r="J767" t="s">
        <v>1334</v>
      </c>
      <c r="K767" t="s">
        <v>1334</v>
      </c>
    </row>
    <row r="768" spans="1:11" x14ac:dyDescent="0.2">
      <c r="A768" t="s">
        <v>1334</v>
      </c>
      <c r="B768" t="s">
        <v>1334</v>
      </c>
      <c r="C768" t="s">
        <v>1334</v>
      </c>
      <c r="D768" t="s">
        <v>1334</v>
      </c>
      <c r="E768" t="s">
        <v>1334</v>
      </c>
      <c r="F768" t="s">
        <v>1334</v>
      </c>
      <c r="G768" t="s">
        <v>1334</v>
      </c>
      <c r="H768" t="s">
        <v>1334</v>
      </c>
      <c r="I768" t="s">
        <v>1334</v>
      </c>
      <c r="J768" t="s">
        <v>1334</v>
      </c>
      <c r="K768" t="s">
        <v>1334</v>
      </c>
    </row>
    <row r="769" spans="1:11" x14ac:dyDescent="0.2">
      <c r="A769" t="s">
        <v>1334</v>
      </c>
      <c r="B769" t="s">
        <v>1334</v>
      </c>
      <c r="C769" t="s">
        <v>1334</v>
      </c>
      <c r="D769" t="s">
        <v>1334</v>
      </c>
      <c r="E769" t="s">
        <v>1334</v>
      </c>
      <c r="F769" t="s">
        <v>1334</v>
      </c>
      <c r="G769" t="s">
        <v>1334</v>
      </c>
      <c r="H769" t="s">
        <v>1334</v>
      </c>
      <c r="I769" t="s">
        <v>1334</v>
      </c>
      <c r="J769" t="s">
        <v>1334</v>
      </c>
      <c r="K769" t="s">
        <v>1334</v>
      </c>
    </row>
    <row r="770" spans="1:11" x14ac:dyDescent="0.2">
      <c r="A770" t="s">
        <v>1334</v>
      </c>
      <c r="B770" t="s">
        <v>1334</v>
      </c>
      <c r="C770" t="s">
        <v>1334</v>
      </c>
      <c r="D770" t="s">
        <v>1334</v>
      </c>
      <c r="E770" t="s">
        <v>1334</v>
      </c>
      <c r="F770" t="s">
        <v>1334</v>
      </c>
      <c r="G770" t="s">
        <v>1334</v>
      </c>
      <c r="H770" t="s">
        <v>1334</v>
      </c>
      <c r="I770" t="s">
        <v>1334</v>
      </c>
      <c r="J770" t="s">
        <v>1334</v>
      </c>
      <c r="K770" t="s">
        <v>1334</v>
      </c>
    </row>
    <row r="771" spans="1:11" x14ac:dyDescent="0.2">
      <c r="A771" t="s">
        <v>1334</v>
      </c>
      <c r="B771" t="s">
        <v>1334</v>
      </c>
      <c r="C771" t="s">
        <v>1334</v>
      </c>
      <c r="D771" t="s">
        <v>1334</v>
      </c>
      <c r="E771" t="s">
        <v>1334</v>
      </c>
      <c r="F771" t="s">
        <v>1334</v>
      </c>
      <c r="G771" t="s">
        <v>1334</v>
      </c>
      <c r="H771" t="s">
        <v>1334</v>
      </c>
      <c r="I771" t="s">
        <v>1334</v>
      </c>
      <c r="J771" t="s">
        <v>1334</v>
      </c>
      <c r="K771" t="s">
        <v>1334</v>
      </c>
    </row>
    <row r="772" spans="1:11" x14ac:dyDescent="0.2">
      <c r="A772" t="s">
        <v>1334</v>
      </c>
      <c r="B772" t="s">
        <v>1334</v>
      </c>
      <c r="C772" t="s">
        <v>1334</v>
      </c>
      <c r="D772" t="s">
        <v>1334</v>
      </c>
      <c r="E772" t="s">
        <v>1334</v>
      </c>
      <c r="F772" t="s">
        <v>1334</v>
      </c>
      <c r="G772" t="s">
        <v>1334</v>
      </c>
      <c r="H772" t="s">
        <v>1334</v>
      </c>
      <c r="I772" t="s">
        <v>1334</v>
      </c>
      <c r="J772" t="s">
        <v>1334</v>
      </c>
      <c r="K772" t="s">
        <v>1334</v>
      </c>
    </row>
    <row r="773" spans="1:11" x14ac:dyDescent="0.2">
      <c r="A773" t="s">
        <v>1334</v>
      </c>
      <c r="B773" t="s">
        <v>1334</v>
      </c>
      <c r="C773" t="s">
        <v>1334</v>
      </c>
      <c r="D773" t="s">
        <v>1334</v>
      </c>
      <c r="E773" t="s">
        <v>1334</v>
      </c>
      <c r="F773" t="s">
        <v>1334</v>
      </c>
      <c r="G773" t="s">
        <v>1334</v>
      </c>
      <c r="H773" t="s">
        <v>1334</v>
      </c>
      <c r="I773" t="s">
        <v>1334</v>
      </c>
      <c r="J773" t="s">
        <v>1334</v>
      </c>
      <c r="K773" t="s">
        <v>1334</v>
      </c>
    </row>
    <row r="774" spans="1:11" x14ac:dyDescent="0.2">
      <c r="A774" t="s">
        <v>1334</v>
      </c>
      <c r="B774" t="s">
        <v>1334</v>
      </c>
      <c r="C774" t="s">
        <v>1334</v>
      </c>
      <c r="D774" t="s">
        <v>1334</v>
      </c>
      <c r="E774" t="s">
        <v>1334</v>
      </c>
      <c r="F774" t="s">
        <v>1334</v>
      </c>
      <c r="G774" t="s">
        <v>1334</v>
      </c>
      <c r="H774" t="s">
        <v>1334</v>
      </c>
      <c r="I774" t="s">
        <v>1334</v>
      </c>
      <c r="J774" t="s">
        <v>1334</v>
      </c>
      <c r="K774" t="s">
        <v>1334</v>
      </c>
    </row>
    <row r="775" spans="1:11" x14ac:dyDescent="0.2">
      <c r="A775" t="s">
        <v>1334</v>
      </c>
      <c r="B775" t="s">
        <v>1334</v>
      </c>
      <c r="C775" t="s">
        <v>1334</v>
      </c>
      <c r="D775" t="s">
        <v>1334</v>
      </c>
      <c r="E775" t="s">
        <v>1334</v>
      </c>
      <c r="F775" t="s">
        <v>1334</v>
      </c>
      <c r="G775" t="s">
        <v>1334</v>
      </c>
      <c r="H775" t="s">
        <v>1334</v>
      </c>
      <c r="I775" t="s">
        <v>1334</v>
      </c>
      <c r="J775" t="s">
        <v>1334</v>
      </c>
      <c r="K775" t="s">
        <v>1334</v>
      </c>
    </row>
    <row r="776" spans="1:11" x14ac:dyDescent="0.2">
      <c r="A776" t="s">
        <v>1334</v>
      </c>
      <c r="B776" t="s">
        <v>1334</v>
      </c>
      <c r="C776" t="s">
        <v>1334</v>
      </c>
      <c r="D776" t="s">
        <v>1334</v>
      </c>
      <c r="E776" t="s">
        <v>1334</v>
      </c>
      <c r="F776" t="s">
        <v>1334</v>
      </c>
      <c r="G776" t="s">
        <v>1334</v>
      </c>
      <c r="H776" t="s">
        <v>1334</v>
      </c>
      <c r="I776" t="s">
        <v>1334</v>
      </c>
      <c r="J776" t="s">
        <v>1334</v>
      </c>
      <c r="K776" t="s">
        <v>1334</v>
      </c>
    </row>
    <row r="777" spans="1:11" x14ac:dyDescent="0.2">
      <c r="A777" t="s">
        <v>1334</v>
      </c>
      <c r="B777" t="s">
        <v>1334</v>
      </c>
      <c r="C777" t="s">
        <v>1334</v>
      </c>
      <c r="D777" t="s">
        <v>1334</v>
      </c>
      <c r="E777" t="s">
        <v>1334</v>
      </c>
      <c r="F777" t="s">
        <v>1334</v>
      </c>
      <c r="G777" t="s">
        <v>1334</v>
      </c>
      <c r="H777" t="s">
        <v>1334</v>
      </c>
      <c r="I777" t="s">
        <v>1334</v>
      </c>
      <c r="J777" t="s">
        <v>1334</v>
      </c>
      <c r="K777" t="s">
        <v>1334</v>
      </c>
    </row>
    <row r="778" spans="1:11" x14ac:dyDescent="0.2">
      <c r="A778" t="s">
        <v>1334</v>
      </c>
      <c r="B778" t="s">
        <v>1334</v>
      </c>
      <c r="C778" t="s">
        <v>1334</v>
      </c>
      <c r="D778" t="s">
        <v>1334</v>
      </c>
      <c r="E778" t="s">
        <v>1334</v>
      </c>
      <c r="F778" t="s">
        <v>1334</v>
      </c>
      <c r="G778" t="s">
        <v>1334</v>
      </c>
      <c r="H778" t="s">
        <v>1334</v>
      </c>
      <c r="I778" t="s">
        <v>1334</v>
      </c>
      <c r="J778" t="s">
        <v>1334</v>
      </c>
      <c r="K778" t="s">
        <v>1334</v>
      </c>
    </row>
    <row r="779" spans="1:11" x14ac:dyDescent="0.2">
      <c r="A779" t="s">
        <v>1334</v>
      </c>
      <c r="B779" t="s">
        <v>1334</v>
      </c>
      <c r="C779" t="s">
        <v>1334</v>
      </c>
      <c r="D779" t="s">
        <v>1334</v>
      </c>
      <c r="E779" t="s">
        <v>1334</v>
      </c>
      <c r="F779" t="s">
        <v>1334</v>
      </c>
      <c r="G779" t="s">
        <v>1334</v>
      </c>
      <c r="H779" t="s">
        <v>1334</v>
      </c>
      <c r="I779" t="s">
        <v>1334</v>
      </c>
      <c r="J779" t="s">
        <v>1334</v>
      </c>
      <c r="K779" t="s">
        <v>1334</v>
      </c>
    </row>
    <row r="780" spans="1:11" x14ac:dyDescent="0.2">
      <c r="A780" t="s">
        <v>1334</v>
      </c>
      <c r="B780" t="s">
        <v>1334</v>
      </c>
      <c r="C780" t="s">
        <v>1334</v>
      </c>
      <c r="D780" t="s">
        <v>1334</v>
      </c>
      <c r="E780" t="s">
        <v>1334</v>
      </c>
      <c r="F780" t="s">
        <v>1334</v>
      </c>
      <c r="G780" t="s">
        <v>1334</v>
      </c>
      <c r="H780" t="s">
        <v>1334</v>
      </c>
      <c r="I780" t="s">
        <v>1334</v>
      </c>
      <c r="J780" t="s">
        <v>1334</v>
      </c>
      <c r="K780" t="s">
        <v>1334</v>
      </c>
    </row>
    <row r="781" spans="1:11" x14ac:dyDescent="0.2">
      <c r="A781" t="s">
        <v>1334</v>
      </c>
      <c r="B781" t="s">
        <v>1334</v>
      </c>
      <c r="C781" t="s">
        <v>1334</v>
      </c>
      <c r="D781" t="s">
        <v>1334</v>
      </c>
      <c r="E781" t="s">
        <v>1334</v>
      </c>
      <c r="F781" t="s">
        <v>1334</v>
      </c>
      <c r="G781" t="s">
        <v>1334</v>
      </c>
      <c r="H781" t="s">
        <v>1334</v>
      </c>
      <c r="I781" t="s">
        <v>1334</v>
      </c>
      <c r="J781" t="s">
        <v>1334</v>
      </c>
      <c r="K781" t="s">
        <v>1334</v>
      </c>
    </row>
    <row r="782" spans="1:11" x14ac:dyDescent="0.2">
      <c r="A782" t="s">
        <v>1334</v>
      </c>
      <c r="B782" t="s">
        <v>1334</v>
      </c>
      <c r="C782" t="s">
        <v>1334</v>
      </c>
      <c r="D782" t="s">
        <v>1334</v>
      </c>
      <c r="E782" t="s">
        <v>1334</v>
      </c>
      <c r="F782" t="s">
        <v>1334</v>
      </c>
      <c r="G782" t="s">
        <v>1334</v>
      </c>
      <c r="H782" t="s">
        <v>1334</v>
      </c>
      <c r="I782" t="s">
        <v>1334</v>
      </c>
      <c r="J782" t="s">
        <v>1334</v>
      </c>
      <c r="K782" t="s">
        <v>1334</v>
      </c>
    </row>
    <row r="783" spans="1:11" x14ac:dyDescent="0.2">
      <c r="A783" t="s">
        <v>1334</v>
      </c>
      <c r="B783" t="s">
        <v>1334</v>
      </c>
      <c r="C783" t="s">
        <v>1334</v>
      </c>
      <c r="D783" t="s">
        <v>1334</v>
      </c>
      <c r="E783" t="s">
        <v>1334</v>
      </c>
      <c r="F783" t="s">
        <v>1334</v>
      </c>
      <c r="G783" t="s">
        <v>1334</v>
      </c>
      <c r="H783" t="s">
        <v>1334</v>
      </c>
      <c r="I783" t="s">
        <v>1334</v>
      </c>
      <c r="J783" t="s">
        <v>1334</v>
      </c>
      <c r="K783" t="s">
        <v>1334</v>
      </c>
    </row>
    <row r="784" spans="1:11" x14ac:dyDescent="0.2">
      <c r="A784" t="s">
        <v>1334</v>
      </c>
      <c r="B784" t="s">
        <v>1334</v>
      </c>
      <c r="C784" t="s">
        <v>1334</v>
      </c>
      <c r="D784" t="s">
        <v>1334</v>
      </c>
      <c r="E784" t="s">
        <v>1334</v>
      </c>
      <c r="F784" t="s">
        <v>1334</v>
      </c>
      <c r="G784" t="s">
        <v>1334</v>
      </c>
      <c r="H784" t="s">
        <v>1334</v>
      </c>
      <c r="I784" t="s">
        <v>1334</v>
      </c>
      <c r="J784" t="s">
        <v>1334</v>
      </c>
      <c r="K784" t="s">
        <v>1334</v>
      </c>
    </row>
    <row r="785" spans="1:11" x14ac:dyDescent="0.2">
      <c r="A785" t="s">
        <v>1334</v>
      </c>
      <c r="B785" t="s">
        <v>1334</v>
      </c>
      <c r="C785" t="s">
        <v>1334</v>
      </c>
      <c r="D785" t="s">
        <v>1334</v>
      </c>
      <c r="E785" t="s">
        <v>1334</v>
      </c>
      <c r="F785" t="s">
        <v>1334</v>
      </c>
      <c r="G785" t="s">
        <v>1334</v>
      </c>
      <c r="H785" t="s">
        <v>1334</v>
      </c>
      <c r="I785" t="s">
        <v>1334</v>
      </c>
      <c r="J785" t="s">
        <v>1334</v>
      </c>
      <c r="K785" t="s">
        <v>1334</v>
      </c>
    </row>
    <row r="786" spans="1:11" x14ac:dyDescent="0.2">
      <c r="A786" t="s">
        <v>1334</v>
      </c>
      <c r="B786" t="s">
        <v>1334</v>
      </c>
      <c r="C786" t="s">
        <v>1334</v>
      </c>
      <c r="D786" t="s">
        <v>1334</v>
      </c>
      <c r="E786" t="s">
        <v>1334</v>
      </c>
      <c r="F786" t="s">
        <v>1334</v>
      </c>
      <c r="G786" t="s">
        <v>1334</v>
      </c>
      <c r="H786" t="s">
        <v>1334</v>
      </c>
      <c r="I786" t="s">
        <v>1334</v>
      </c>
      <c r="J786" t="s">
        <v>1334</v>
      </c>
      <c r="K786" t="s">
        <v>1334</v>
      </c>
    </row>
    <row r="787" spans="1:11" x14ac:dyDescent="0.2">
      <c r="A787" t="s">
        <v>1334</v>
      </c>
      <c r="B787" t="s">
        <v>1334</v>
      </c>
      <c r="C787" t="s">
        <v>1334</v>
      </c>
      <c r="D787" t="s">
        <v>1334</v>
      </c>
      <c r="E787" t="s">
        <v>1334</v>
      </c>
      <c r="F787" t="s">
        <v>1334</v>
      </c>
      <c r="G787" t="s">
        <v>1334</v>
      </c>
      <c r="H787" t="s">
        <v>1334</v>
      </c>
      <c r="I787" t="s">
        <v>1334</v>
      </c>
      <c r="J787" t="s">
        <v>1334</v>
      </c>
      <c r="K787" t="s">
        <v>1334</v>
      </c>
    </row>
    <row r="788" spans="1:11" x14ac:dyDescent="0.2">
      <c r="A788" t="s">
        <v>1334</v>
      </c>
      <c r="B788" t="s">
        <v>1334</v>
      </c>
      <c r="C788" t="s">
        <v>1334</v>
      </c>
      <c r="D788" t="s">
        <v>1334</v>
      </c>
      <c r="E788" t="s">
        <v>1334</v>
      </c>
      <c r="F788" t="s">
        <v>1334</v>
      </c>
      <c r="G788" t="s">
        <v>1334</v>
      </c>
      <c r="H788" t="s">
        <v>1334</v>
      </c>
      <c r="I788" t="s">
        <v>1334</v>
      </c>
      <c r="J788" t="s">
        <v>1334</v>
      </c>
      <c r="K788" t="s">
        <v>1334</v>
      </c>
    </row>
    <row r="789" spans="1:11" x14ac:dyDescent="0.2">
      <c r="A789" t="s">
        <v>1334</v>
      </c>
      <c r="B789" t="s">
        <v>1334</v>
      </c>
      <c r="C789" t="s">
        <v>1334</v>
      </c>
      <c r="D789" t="s">
        <v>1334</v>
      </c>
      <c r="E789" t="s">
        <v>1334</v>
      </c>
      <c r="F789" t="s">
        <v>1334</v>
      </c>
      <c r="G789" t="s">
        <v>1334</v>
      </c>
      <c r="H789" t="s">
        <v>1334</v>
      </c>
      <c r="I789" t="s">
        <v>1334</v>
      </c>
      <c r="J789" t="s">
        <v>1334</v>
      </c>
      <c r="K789" t="s">
        <v>1334</v>
      </c>
    </row>
    <row r="790" spans="1:11" x14ac:dyDescent="0.2">
      <c r="A790" t="s">
        <v>1334</v>
      </c>
      <c r="B790" t="s">
        <v>1334</v>
      </c>
      <c r="C790" t="s">
        <v>1334</v>
      </c>
      <c r="D790" t="s">
        <v>1334</v>
      </c>
      <c r="E790" t="s">
        <v>1334</v>
      </c>
      <c r="F790" t="s">
        <v>1334</v>
      </c>
      <c r="G790" t="s">
        <v>1334</v>
      </c>
      <c r="H790" t="s">
        <v>1334</v>
      </c>
      <c r="I790" t="s">
        <v>1334</v>
      </c>
      <c r="J790" t="s">
        <v>1334</v>
      </c>
      <c r="K790" t="s">
        <v>1334</v>
      </c>
    </row>
    <row r="791" spans="1:11" x14ac:dyDescent="0.2">
      <c r="A791" t="s">
        <v>1334</v>
      </c>
      <c r="B791" t="s">
        <v>1334</v>
      </c>
      <c r="C791" t="s">
        <v>1334</v>
      </c>
      <c r="D791" t="s">
        <v>1334</v>
      </c>
      <c r="E791" t="s">
        <v>1334</v>
      </c>
      <c r="F791" t="s">
        <v>1334</v>
      </c>
      <c r="G791" t="s">
        <v>1334</v>
      </c>
      <c r="H791" t="s">
        <v>1334</v>
      </c>
      <c r="I791" t="s">
        <v>1334</v>
      </c>
      <c r="J791" t="s">
        <v>1334</v>
      </c>
      <c r="K791" t="s">
        <v>1334</v>
      </c>
    </row>
    <row r="792" spans="1:11" x14ac:dyDescent="0.2">
      <c r="A792" t="s">
        <v>1334</v>
      </c>
      <c r="B792" t="s">
        <v>1334</v>
      </c>
      <c r="C792" t="s">
        <v>1334</v>
      </c>
      <c r="D792" t="s">
        <v>1334</v>
      </c>
      <c r="E792" t="s">
        <v>1334</v>
      </c>
      <c r="F792" t="s">
        <v>1334</v>
      </c>
      <c r="G792" t="s">
        <v>1334</v>
      </c>
      <c r="H792" t="s">
        <v>1334</v>
      </c>
      <c r="I792" t="s">
        <v>1334</v>
      </c>
      <c r="J792" t="s">
        <v>1334</v>
      </c>
      <c r="K792" t="s">
        <v>1334</v>
      </c>
    </row>
    <row r="793" spans="1:11" x14ac:dyDescent="0.2">
      <c r="A793" t="s">
        <v>1334</v>
      </c>
      <c r="B793" t="s">
        <v>1334</v>
      </c>
      <c r="C793" t="s">
        <v>1334</v>
      </c>
      <c r="D793" t="s">
        <v>1334</v>
      </c>
      <c r="E793" t="s">
        <v>1334</v>
      </c>
      <c r="F793" t="s">
        <v>1334</v>
      </c>
      <c r="G793" t="s">
        <v>1334</v>
      </c>
      <c r="H793" t="s">
        <v>1334</v>
      </c>
      <c r="I793" t="s">
        <v>1334</v>
      </c>
      <c r="J793" t="s">
        <v>1334</v>
      </c>
      <c r="K793" t="s">
        <v>1334</v>
      </c>
    </row>
    <row r="794" spans="1:11" x14ac:dyDescent="0.2">
      <c r="A794" t="s">
        <v>1334</v>
      </c>
      <c r="B794" t="s">
        <v>1334</v>
      </c>
      <c r="C794" t="s">
        <v>1334</v>
      </c>
      <c r="D794" t="s">
        <v>1334</v>
      </c>
      <c r="E794" t="s">
        <v>1334</v>
      </c>
      <c r="F794" t="s">
        <v>1334</v>
      </c>
      <c r="G794" t="s">
        <v>1334</v>
      </c>
      <c r="H794" t="s">
        <v>1334</v>
      </c>
      <c r="I794" t="s">
        <v>1334</v>
      </c>
      <c r="J794" t="s">
        <v>1334</v>
      </c>
      <c r="K794" t="s">
        <v>1334</v>
      </c>
    </row>
    <row r="795" spans="1:11" x14ac:dyDescent="0.2">
      <c r="A795" t="s">
        <v>1334</v>
      </c>
      <c r="B795" t="s">
        <v>1334</v>
      </c>
      <c r="C795" t="s">
        <v>1334</v>
      </c>
      <c r="D795" t="s">
        <v>1334</v>
      </c>
      <c r="E795" t="s">
        <v>1334</v>
      </c>
      <c r="F795" t="s">
        <v>1334</v>
      </c>
      <c r="G795" t="s">
        <v>1334</v>
      </c>
      <c r="H795" t="s">
        <v>1334</v>
      </c>
      <c r="I795" t="s">
        <v>1334</v>
      </c>
      <c r="J795" t="s">
        <v>1334</v>
      </c>
      <c r="K795" t="s">
        <v>1334</v>
      </c>
    </row>
    <row r="796" spans="1:11" x14ac:dyDescent="0.2">
      <c r="A796" t="s">
        <v>1334</v>
      </c>
      <c r="B796" t="s">
        <v>1334</v>
      </c>
      <c r="C796" t="s">
        <v>1334</v>
      </c>
      <c r="D796" t="s">
        <v>1334</v>
      </c>
      <c r="E796" t="s">
        <v>1334</v>
      </c>
      <c r="F796" t="s">
        <v>1334</v>
      </c>
      <c r="G796" t="s">
        <v>1334</v>
      </c>
      <c r="H796" t="s">
        <v>1334</v>
      </c>
      <c r="I796" t="s">
        <v>1334</v>
      </c>
      <c r="J796" t="s">
        <v>1334</v>
      </c>
      <c r="K796" t="s">
        <v>1334</v>
      </c>
    </row>
    <row r="797" spans="1:11" x14ac:dyDescent="0.2">
      <c r="A797" t="s">
        <v>1334</v>
      </c>
      <c r="B797" t="s">
        <v>1334</v>
      </c>
      <c r="C797" t="s">
        <v>1334</v>
      </c>
      <c r="D797" t="s">
        <v>1334</v>
      </c>
      <c r="E797" t="s">
        <v>1334</v>
      </c>
      <c r="F797" t="s">
        <v>1334</v>
      </c>
      <c r="G797" t="s">
        <v>1334</v>
      </c>
      <c r="H797" t="s">
        <v>1334</v>
      </c>
      <c r="I797" t="s">
        <v>1334</v>
      </c>
      <c r="J797" t="s">
        <v>1334</v>
      </c>
      <c r="K797" t="s">
        <v>1334</v>
      </c>
    </row>
    <row r="798" spans="1:11" x14ac:dyDescent="0.2">
      <c r="A798" t="s">
        <v>1334</v>
      </c>
      <c r="B798" t="s">
        <v>1334</v>
      </c>
      <c r="C798" t="s">
        <v>1334</v>
      </c>
      <c r="D798" t="s">
        <v>1334</v>
      </c>
      <c r="E798" t="s">
        <v>1334</v>
      </c>
      <c r="F798" t="s">
        <v>1334</v>
      </c>
      <c r="G798" t="s">
        <v>1334</v>
      </c>
      <c r="H798" t="s">
        <v>1334</v>
      </c>
      <c r="I798" t="s">
        <v>1334</v>
      </c>
      <c r="J798" t="s">
        <v>1334</v>
      </c>
      <c r="K798" t="s">
        <v>1334</v>
      </c>
    </row>
    <row r="799" spans="1:11" x14ac:dyDescent="0.2">
      <c r="A799" t="s">
        <v>1334</v>
      </c>
      <c r="B799" t="s">
        <v>1334</v>
      </c>
      <c r="C799" t="s">
        <v>1334</v>
      </c>
      <c r="D799" t="s">
        <v>1334</v>
      </c>
      <c r="E799" t="s">
        <v>1334</v>
      </c>
      <c r="F799" t="s">
        <v>1334</v>
      </c>
      <c r="G799" t="s">
        <v>1334</v>
      </c>
      <c r="H799" t="s">
        <v>1334</v>
      </c>
      <c r="I799" t="s">
        <v>1334</v>
      </c>
      <c r="J799" t="s">
        <v>1334</v>
      </c>
      <c r="K799" t="s">
        <v>1334</v>
      </c>
    </row>
    <row r="800" spans="1:11" x14ac:dyDescent="0.2">
      <c r="A800" t="s">
        <v>1334</v>
      </c>
      <c r="B800" t="s">
        <v>1334</v>
      </c>
      <c r="C800" t="s">
        <v>1334</v>
      </c>
      <c r="D800" t="s">
        <v>1334</v>
      </c>
      <c r="E800" t="s">
        <v>1334</v>
      </c>
      <c r="F800" t="s">
        <v>1334</v>
      </c>
      <c r="G800" t="s">
        <v>1334</v>
      </c>
      <c r="H800" t="s">
        <v>1334</v>
      </c>
      <c r="I800" t="s">
        <v>1334</v>
      </c>
      <c r="J800" t="s">
        <v>1334</v>
      </c>
      <c r="K800" t="s">
        <v>1334</v>
      </c>
    </row>
    <row r="801" spans="1:11" x14ac:dyDescent="0.2">
      <c r="A801" t="s">
        <v>1334</v>
      </c>
      <c r="B801" t="s">
        <v>1334</v>
      </c>
      <c r="C801" t="s">
        <v>1334</v>
      </c>
      <c r="D801" t="s">
        <v>1334</v>
      </c>
      <c r="E801" t="s">
        <v>1334</v>
      </c>
      <c r="F801" t="s">
        <v>1334</v>
      </c>
      <c r="G801" t="s">
        <v>1334</v>
      </c>
      <c r="H801" t="s">
        <v>1334</v>
      </c>
      <c r="I801" t="s">
        <v>1334</v>
      </c>
      <c r="J801" t="s">
        <v>1334</v>
      </c>
      <c r="K801" t="s">
        <v>1334</v>
      </c>
    </row>
    <row r="802" spans="1:11" x14ac:dyDescent="0.2">
      <c r="A802" t="s">
        <v>1334</v>
      </c>
      <c r="B802" t="s">
        <v>1334</v>
      </c>
      <c r="C802" t="s">
        <v>1334</v>
      </c>
      <c r="D802" t="s">
        <v>1334</v>
      </c>
      <c r="E802" t="s">
        <v>1334</v>
      </c>
      <c r="F802" t="s">
        <v>1334</v>
      </c>
      <c r="G802" t="s">
        <v>1334</v>
      </c>
      <c r="H802" t="s">
        <v>1334</v>
      </c>
      <c r="I802" t="s">
        <v>1334</v>
      </c>
      <c r="J802" t="s">
        <v>1334</v>
      </c>
      <c r="K802" t="s">
        <v>1334</v>
      </c>
    </row>
    <row r="803" spans="1:11" x14ac:dyDescent="0.2">
      <c r="A803" t="s">
        <v>1334</v>
      </c>
      <c r="B803" t="s">
        <v>1334</v>
      </c>
      <c r="C803" t="s">
        <v>1334</v>
      </c>
      <c r="D803" t="s">
        <v>1334</v>
      </c>
      <c r="E803" t="s">
        <v>1334</v>
      </c>
      <c r="F803" t="s">
        <v>1334</v>
      </c>
      <c r="G803" t="s">
        <v>1334</v>
      </c>
      <c r="H803" t="s">
        <v>1334</v>
      </c>
      <c r="I803" t="s">
        <v>1334</v>
      </c>
      <c r="J803" t="s">
        <v>1334</v>
      </c>
      <c r="K803" t="s">
        <v>1334</v>
      </c>
    </row>
    <row r="804" spans="1:11" x14ac:dyDescent="0.2">
      <c r="A804" t="s">
        <v>1334</v>
      </c>
      <c r="B804" t="s">
        <v>1334</v>
      </c>
      <c r="C804" t="s">
        <v>1334</v>
      </c>
      <c r="D804" t="s">
        <v>1334</v>
      </c>
      <c r="E804" t="s">
        <v>1334</v>
      </c>
      <c r="F804" t="s">
        <v>1334</v>
      </c>
      <c r="G804" t="s">
        <v>1334</v>
      </c>
      <c r="H804" t="s">
        <v>1334</v>
      </c>
      <c r="I804" t="s">
        <v>1334</v>
      </c>
      <c r="J804" t="s">
        <v>1334</v>
      </c>
      <c r="K804" t="s">
        <v>1334</v>
      </c>
    </row>
    <row r="805" spans="1:11" x14ac:dyDescent="0.2">
      <c r="A805" t="s">
        <v>1334</v>
      </c>
      <c r="B805" t="s">
        <v>1334</v>
      </c>
      <c r="C805" t="s">
        <v>1334</v>
      </c>
      <c r="D805" t="s">
        <v>1334</v>
      </c>
      <c r="E805" t="s">
        <v>1334</v>
      </c>
      <c r="F805" t="s">
        <v>1334</v>
      </c>
      <c r="G805" t="s">
        <v>1334</v>
      </c>
      <c r="H805" t="s">
        <v>1334</v>
      </c>
      <c r="I805" t="s">
        <v>1334</v>
      </c>
      <c r="J805" t="s">
        <v>1334</v>
      </c>
      <c r="K805" t="s">
        <v>1334</v>
      </c>
    </row>
    <row r="806" spans="1:11" x14ac:dyDescent="0.2">
      <c r="A806" t="s">
        <v>1334</v>
      </c>
      <c r="B806" t="s">
        <v>1334</v>
      </c>
      <c r="C806" t="s">
        <v>1334</v>
      </c>
      <c r="D806" t="s">
        <v>1334</v>
      </c>
      <c r="E806" t="s">
        <v>1334</v>
      </c>
      <c r="F806" t="s">
        <v>1334</v>
      </c>
      <c r="G806" t="s">
        <v>1334</v>
      </c>
      <c r="H806" t="s">
        <v>1334</v>
      </c>
      <c r="I806" t="s">
        <v>1334</v>
      </c>
      <c r="J806" t="s">
        <v>1334</v>
      </c>
      <c r="K806" t="s">
        <v>1334</v>
      </c>
    </row>
    <row r="807" spans="1:11" x14ac:dyDescent="0.2">
      <c r="A807" t="s">
        <v>1334</v>
      </c>
      <c r="B807" t="s">
        <v>1334</v>
      </c>
      <c r="C807" t="s">
        <v>1334</v>
      </c>
      <c r="D807" t="s">
        <v>1334</v>
      </c>
      <c r="E807" t="s">
        <v>1334</v>
      </c>
      <c r="F807" t="s">
        <v>1334</v>
      </c>
      <c r="G807" t="s">
        <v>1334</v>
      </c>
      <c r="H807" t="s">
        <v>1334</v>
      </c>
      <c r="I807" t="s">
        <v>1334</v>
      </c>
      <c r="J807" t="s">
        <v>1334</v>
      </c>
      <c r="K807" t="s">
        <v>1334</v>
      </c>
    </row>
    <row r="808" spans="1:11" x14ac:dyDescent="0.2">
      <c r="A808" t="s">
        <v>1334</v>
      </c>
      <c r="B808" t="s">
        <v>1334</v>
      </c>
      <c r="C808" t="s">
        <v>1334</v>
      </c>
      <c r="D808" t="s">
        <v>1334</v>
      </c>
      <c r="E808" t="s">
        <v>1334</v>
      </c>
      <c r="F808" t="s">
        <v>1334</v>
      </c>
      <c r="G808" t="s">
        <v>1334</v>
      </c>
      <c r="H808" t="s">
        <v>1334</v>
      </c>
      <c r="I808" t="s">
        <v>1334</v>
      </c>
      <c r="J808" t="s">
        <v>1334</v>
      </c>
      <c r="K808" t="s">
        <v>1334</v>
      </c>
    </row>
    <row r="809" spans="1:11" x14ac:dyDescent="0.2">
      <c r="A809" t="s">
        <v>1334</v>
      </c>
      <c r="B809" t="s">
        <v>1334</v>
      </c>
      <c r="C809" t="s">
        <v>1334</v>
      </c>
      <c r="D809" t="s">
        <v>1334</v>
      </c>
      <c r="E809" t="s">
        <v>1334</v>
      </c>
      <c r="F809" t="s">
        <v>1334</v>
      </c>
      <c r="G809" t="s">
        <v>1334</v>
      </c>
      <c r="H809" t="s">
        <v>1334</v>
      </c>
      <c r="I809" t="s">
        <v>1334</v>
      </c>
      <c r="J809" t="s">
        <v>1334</v>
      </c>
      <c r="K809" t="s">
        <v>1334</v>
      </c>
    </row>
    <row r="810" spans="1:11" x14ac:dyDescent="0.2">
      <c r="A810" t="s">
        <v>1334</v>
      </c>
      <c r="B810" t="s">
        <v>1334</v>
      </c>
      <c r="C810" t="s">
        <v>1334</v>
      </c>
      <c r="D810" t="s">
        <v>1334</v>
      </c>
      <c r="E810" t="s">
        <v>1334</v>
      </c>
      <c r="F810" t="s">
        <v>1334</v>
      </c>
      <c r="G810" t="s">
        <v>1334</v>
      </c>
      <c r="H810" t="s">
        <v>1334</v>
      </c>
      <c r="I810" t="s">
        <v>1334</v>
      </c>
      <c r="J810" t="s">
        <v>1334</v>
      </c>
      <c r="K810" t="s">
        <v>1334</v>
      </c>
    </row>
    <row r="811" spans="1:11" x14ac:dyDescent="0.2">
      <c r="A811" t="s">
        <v>1334</v>
      </c>
      <c r="B811" t="s">
        <v>1334</v>
      </c>
      <c r="C811" t="s">
        <v>1334</v>
      </c>
      <c r="D811" t="s">
        <v>1334</v>
      </c>
      <c r="E811" t="s">
        <v>1334</v>
      </c>
      <c r="F811" t="s">
        <v>1334</v>
      </c>
      <c r="G811" t="s">
        <v>1334</v>
      </c>
      <c r="H811" t="s">
        <v>1334</v>
      </c>
      <c r="I811" t="s">
        <v>1334</v>
      </c>
      <c r="J811" t="s">
        <v>1334</v>
      </c>
      <c r="K811" t="s">
        <v>1334</v>
      </c>
    </row>
    <row r="812" spans="1:11" x14ac:dyDescent="0.2">
      <c r="A812" t="s">
        <v>1334</v>
      </c>
      <c r="B812" t="s">
        <v>1334</v>
      </c>
      <c r="C812" t="s">
        <v>1334</v>
      </c>
      <c r="D812" t="s">
        <v>1334</v>
      </c>
      <c r="E812" t="s">
        <v>1334</v>
      </c>
      <c r="F812" t="s">
        <v>1334</v>
      </c>
      <c r="G812" t="s">
        <v>1334</v>
      </c>
      <c r="H812" t="s">
        <v>1334</v>
      </c>
      <c r="I812" t="s">
        <v>1334</v>
      </c>
      <c r="J812" t="s">
        <v>1334</v>
      </c>
      <c r="K812" t="s">
        <v>1334</v>
      </c>
    </row>
    <row r="813" spans="1:11" x14ac:dyDescent="0.2">
      <c r="A813" t="s">
        <v>1334</v>
      </c>
      <c r="B813" t="s">
        <v>1334</v>
      </c>
      <c r="C813" t="s">
        <v>1334</v>
      </c>
      <c r="D813" t="s">
        <v>1334</v>
      </c>
      <c r="E813" t="s">
        <v>1334</v>
      </c>
      <c r="F813" t="s">
        <v>1334</v>
      </c>
      <c r="G813" t="s">
        <v>1334</v>
      </c>
      <c r="H813" t="s">
        <v>1334</v>
      </c>
      <c r="I813" t="s">
        <v>1334</v>
      </c>
      <c r="J813" t="s">
        <v>1334</v>
      </c>
      <c r="K813" t="s">
        <v>1334</v>
      </c>
    </row>
    <row r="814" spans="1:11" x14ac:dyDescent="0.2">
      <c r="A814" t="s">
        <v>1334</v>
      </c>
      <c r="B814" t="s">
        <v>1334</v>
      </c>
      <c r="C814" t="s">
        <v>1334</v>
      </c>
      <c r="D814" t="s">
        <v>1334</v>
      </c>
      <c r="E814" t="s">
        <v>1334</v>
      </c>
      <c r="F814" t="s">
        <v>1334</v>
      </c>
      <c r="G814" t="s">
        <v>1334</v>
      </c>
      <c r="H814" t="s">
        <v>1334</v>
      </c>
      <c r="I814" t="s">
        <v>1334</v>
      </c>
      <c r="J814" t="s">
        <v>1334</v>
      </c>
      <c r="K814" t="s">
        <v>1334</v>
      </c>
    </row>
    <row r="815" spans="1:11" x14ac:dyDescent="0.2">
      <c r="A815" t="s">
        <v>1334</v>
      </c>
      <c r="B815" t="s">
        <v>1334</v>
      </c>
      <c r="C815" t="s">
        <v>1334</v>
      </c>
      <c r="D815" t="s">
        <v>1334</v>
      </c>
      <c r="E815" t="s">
        <v>1334</v>
      </c>
      <c r="F815" t="s">
        <v>1334</v>
      </c>
      <c r="G815" t="s">
        <v>1334</v>
      </c>
      <c r="H815" t="s">
        <v>1334</v>
      </c>
      <c r="I815" t="s">
        <v>1334</v>
      </c>
      <c r="J815" t="s">
        <v>1334</v>
      </c>
      <c r="K815" t="s">
        <v>1334</v>
      </c>
    </row>
    <row r="816" spans="1:11" x14ac:dyDescent="0.2">
      <c r="A816" t="s">
        <v>1334</v>
      </c>
      <c r="B816" t="s">
        <v>1334</v>
      </c>
      <c r="C816" t="s">
        <v>1334</v>
      </c>
      <c r="D816" t="s">
        <v>1334</v>
      </c>
      <c r="E816" t="s">
        <v>1334</v>
      </c>
      <c r="F816" t="s">
        <v>1334</v>
      </c>
      <c r="G816" t="s">
        <v>1334</v>
      </c>
      <c r="H816" t="s">
        <v>1334</v>
      </c>
      <c r="I816" t="s">
        <v>1334</v>
      </c>
      <c r="J816" t="s">
        <v>1334</v>
      </c>
      <c r="K816" t="s">
        <v>1334</v>
      </c>
    </row>
    <row r="817" spans="1:11" x14ac:dyDescent="0.2">
      <c r="A817" t="s">
        <v>1334</v>
      </c>
      <c r="B817" t="s">
        <v>1334</v>
      </c>
      <c r="C817" t="s">
        <v>1334</v>
      </c>
      <c r="D817" t="s">
        <v>1334</v>
      </c>
      <c r="E817" t="s">
        <v>1334</v>
      </c>
      <c r="F817" t="s">
        <v>1334</v>
      </c>
      <c r="G817" t="s">
        <v>1334</v>
      </c>
      <c r="H817" t="s">
        <v>1334</v>
      </c>
      <c r="I817" t="s">
        <v>1334</v>
      </c>
      <c r="J817" t="s">
        <v>1334</v>
      </c>
      <c r="K817" t="s">
        <v>1334</v>
      </c>
    </row>
    <row r="818" spans="1:11" x14ac:dyDescent="0.2">
      <c r="A818" t="s">
        <v>1334</v>
      </c>
      <c r="B818" t="s">
        <v>1334</v>
      </c>
      <c r="C818" t="s">
        <v>1334</v>
      </c>
      <c r="D818" t="s">
        <v>1334</v>
      </c>
      <c r="E818" t="s">
        <v>1334</v>
      </c>
      <c r="F818" t="s">
        <v>1334</v>
      </c>
      <c r="G818" t="s">
        <v>1334</v>
      </c>
      <c r="H818" t="s">
        <v>1334</v>
      </c>
      <c r="I818" t="s">
        <v>1334</v>
      </c>
      <c r="J818" t="s">
        <v>1334</v>
      </c>
      <c r="K818" t="s">
        <v>1334</v>
      </c>
    </row>
    <row r="819" spans="1:11" x14ac:dyDescent="0.2">
      <c r="A819" t="s">
        <v>1334</v>
      </c>
      <c r="B819" t="s">
        <v>1334</v>
      </c>
      <c r="C819" t="s">
        <v>1334</v>
      </c>
      <c r="D819" t="s">
        <v>1334</v>
      </c>
      <c r="E819" t="s">
        <v>1334</v>
      </c>
      <c r="F819" t="s">
        <v>1334</v>
      </c>
      <c r="G819" t="s">
        <v>1334</v>
      </c>
      <c r="H819" t="s">
        <v>1334</v>
      </c>
      <c r="I819" t="s">
        <v>1334</v>
      </c>
      <c r="J819" t="s">
        <v>1334</v>
      </c>
      <c r="K819" t="s">
        <v>1334</v>
      </c>
    </row>
    <row r="820" spans="1:11" x14ac:dyDescent="0.2">
      <c r="A820" t="s">
        <v>1334</v>
      </c>
      <c r="B820" t="s">
        <v>1334</v>
      </c>
      <c r="C820" t="s">
        <v>1334</v>
      </c>
      <c r="D820" t="s">
        <v>1334</v>
      </c>
      <c r="E820" t="s">
        <v>1334</v>
      </c>
      <c r="F820" t="s">
        <v>1334</v>
      </c>
      <c r="G820" t="s">
        <v>1334</v>
      </c>
      <c r="H820" t="s">
        <v>1334</v>
      </c>
      <c r="I820" t="s">
        <v>1334</v>
      </c>
      <c r="J820" t="s">
        <v>1334</v>
      </c>
      <c r="K820" t="s">
        <v>1334</v>
      </c>
    </row>
    <row r="821" spans="1:11" x14ac:dyDescent="0.2">
      <c r="A821" t="s">
        <v>1334</v>
      </c>
      <c r="B821" t="s">
        <v>1334</v>
      </c>
      <c r="C821" t="s">
        <v>1334</v>
      </c>
      <c r="D821" t="s">
        <v>1334</v>
      </c>
      <c r="E821" t="s">
        <v>1334</v>
      </c>
      <c r="F821" t="s">
        <v>1334</v>
      </c>
      <c r="G821" t="s">
        <v>1334</v>
      </c>
      <c r="H821" t="s">
        <v>1334</v>
      </c>
      <c r="I821" t="s">
        <v>1334</v>
      </c>
      <c r="J821" t="s">
        <v>1334</v>
      </c>
      <c r="K821" t="s">
        <v>1334</v>
      </c>
    </row>
    <row r="822" spans="1:11" x14ac:dyDescent="0.2">
      <c r="A822" t="s">
        <v>1334</v>
      </c>
      <c r="B822" t="s">
        <v>1334</v>
      </c>
      <c r="C822" t="s">
        <v>1334</v>
      </c>
      <c r="D822" t="s">
        <v>1334</v>
      </c>
      <c r="E822" t="s">
        <v>1334</v>
      </c>
      <c r="F822" t="s">
        <v>1334</v>
      </c>
      <c r="G822" t="s">
        <v>1334</v>
      </c>
      <c r="H822" t="s">
        <v>1334</v>
      </c>
      <c r="I822" t="s">
        <v>1334</v>
      </c>
      <c r="J822" t="s">
        <v>1334</v>
      </c>
      <c r="K822" t="s">
        <v>1334</v>
      </c>
    </row>
    <row r="823" spans="1:11" x14ac:dyDescent="0.2">
      <c r="A823" t="s">
        <v>1334</v>
      </c>
      <c r="B823" t="s">
        <v>1334</v>
      </c>
      <c r="C823" t="s">
        <v>1334</v>
      </c>
      <c r="D823" t="s">
        <v>1334</v>
      </c>
      <c r="E823" t="s">
        <v>1334</v>
      </c>
      <c r="F823" t="s">
        <v>1334</v>
      </c>
      <c r="G823" t="s">
        <v>1334</v>
      </c>
      <c r="H823" t="s">
        <v>1334</v>
      </c>
      <c r="I823" t="s">
        <v>1334</v>
      </c>
      <c r="J823" t="s">
        <v>1334</v>
      </c>
      <c r="K823" t="s">
        <v>1334</v>
      </c>
    </row>
    <row r="824" spans="1:11" x14ac:dyDescent="0.2">
      <c r="A824" t="s">
        <v>1334</v>
      </c>
      <c r="B824" t="s">
        <v>1334</v>
      </c>
      <c r="C824" t="s">
        <v>1334</v>
      </c>
      <c r="D824" t="s">
        <v>1334</v>
      </c>
      <c r="E824" t="s">
        <v>1334</v>
      </c>
      <c r="F824" t="s">
        <v>1334</v>
      </c>
      <c r="G824" t="s">
        <v>1334</v>
      </c>
      <c r="H824" t="s">
        <v>1334</v>
      </c>
      <c r="I824" t="s">
        <v>1334</v>
      </c>
      <c r="J824" t="s">
        <v>1334</v>
      </c>
      <c r="K824" t="s">
        <v>1334</v>
      </c>
    </row>
    <row r="825" spans="1:11" x14ac:dyDescent="0.2">
      <c r="A825" t="s">
        <v>1334</v>
      </c>
      <c r="B825" t="s">
        <v>1334</v>
      </c>
      <c r="C825" t="s">
        <v>1334</v>
      </c>
      <c r="D825" t="s">
        <v>1334</v>
      </c>
      <c r="E825" t="s">
        <v>1334</v>
      </c>
      <c r="F825" t="s">
        <v>1334</v>
      </c>
      <c r="G825" t="s">
        <v>1334</v>
      </c>
      <c r="H825" t="s">
        <v>1334</v>
      </c>
      <c r="I825" t="s">
        <v>1334</v>
      </c>
      <c r="J825" t="s">
        <v>1334</v>
      </c>
      <c r="K825" t="s">
        <v>1334</v>
      </c>
    </row>
    <row r="826" spans="1:11" x14ac:dyDescent="0.2">
      <c r="A826" t="s">
        <v>1334</v>
      </c>
      <c r="B826" t="s">
        <v>1334</v>
      </c>
      <c r="C826" t="s">
        <v>1334</v>
      </c>
      <c r="D826" t="s">
        <v>1334</v>
      </c>
      <c r="E826" t="s">
        <v>1334</v>
      </c>
      <c r="F826" t="s">
        <v>1334</v>
      </c>
      <c r="G826" t="s">
        <v>1334</v>
      </c>
      <c r="H826" t="s">
        <v>1334</v>
      </c>
      <c r="I826" t="s">
        <v>1334</v>
      </c>
      <c r="J826" t="s">
        <v>1334</v>
      </c>
      <c r="K826" t="s">
        <v>1334</v>
      </c>
    </row>
    <row r="827" spans="1:11" x14ac:dyDescent="0.2">
      <c r="A827" t="s">
        <v>1334</v>
      </c>
      <c r="B827" t="s">
        <v>1334</v>
      </c>
      <c r="C827" t="s">
        <v>1334</v>
      </c>
      <c r="D827" t="s">
        <v>1334</v>
      </c>
      <c r="E827" t="s">
        <v>1334</v>
      </c>
      <c r="F827" t="s">
        <v>1334</v>
      </c>
      <c r="G827" t="s">
        <v>1334</v>
      </c>
      <c r="H827" t="s">
        <v>1334</v>
      </c>
      <c r="I827" t="s">
        <v>1334</v>
      </c>
      <c r="J827" t="s">
        <v>1334</v>
      </c>
      <c r="K827" t="s">
        <v>1334</v>
      </c>
    </row>
    <row r="828" spans="1:11" x14ac:dyDescent="0.2">
      <c r="A828" t="s">
        <v>1334</v>
      </c>
      <c r="B828" t="s">
        <v>1334</v>
      </c>
      <c r="C828" t="s">
        <v>1334</v>
      </c>
      <c r="D828" t="s">
        <v>1334</v>
      </c>
      <c r="E828" t="s">
        <v>1334</v>
      </c>
      <c r="F828" t="s">
        <v>1334</v>
      </c>
      <c r="G828" t="s">
        <v>1334</v>
      </c>
      <c r="H828" t="s">
        <v>1334</v>
      </c>
      <c r="I828" t="s">
        <v>1334</v>
      </c>
      <c r="J828" t="s">
        <v>1334</v>
      </c>
      <c r="K828" t="s">
        <v>1334</v>
      </c>
    </row>
    <row r="829" spans="1:11" x14ac:dyDescent="0.2">
      <c r="A829" t="s">
        <v>1334</v>
      </c>
      <c r="B829" t="s">
        <v>1334</v>
      </c>
      <c r="C829" t="s">
        <v>1334</v>
      </c>
      <c r="D829" t="s">
        <v>1334</v>
      </c>
      <c r="E829" t="s">
        <v>1334</v>
      </c>
      <c r="F829" t="s">
        <v>1334</v>
      </c>
      <c r="G829" t="s">
        <v>1334</v>
      </c>
      <c r="H829" t="s">
        <v>1334</v>
      </c>
      <c r="I829" t="s">
        <v>1334</v>
      </c>
      <c r="J829" t="s">
        <v>1334</v>
      </c>
      <c r="K829" t="s">
        <v>1334</v>
      </c>
    </row>
    <row r="830" spans="1:11" x14ac:dyDescent="0.2">
      <c r="A830" t="s">
        <v>1334</v>
      </c>
      <c r="B830" t="s">
        <v>1334</v>
      </c>
      <c r="C830" t="s">
        <v>1334</v>
      </c>
      <c r="D830" t="s">
        <v>1334</v>
      </c>
      <c r="E830" t="s">
        <v>1334</v>
      </c>
      <c r="F830" t="s">
        <v>1334</v>
      </c>
      <c r="G830" t="s">
        <v>1334</v>
      </c>
      <c r="H830" t="s">
        <v>1334</v>
      </c>
      <c r="I830" t="s">
        <v>1334</v>
      </c>
      <c r="J830" t="s">
        <v>1334</v>
      </c>
      <c r="K830" t="s">
        <v>1334</v>
      </c>
    </row>
    <row r="831" spans="1:11" x14ac:dyDescent="0.2">
      <c r="A831" t="s">
        <v>1334</v>
      </c>
      <c r="B831" t="s">
        <v>1334</v>
      </c>
      <c r="C831" t="s">
        <v>1334</v>
      </c>
      <c r="D831" t="s">
        <v>1334</v>
      </c>
      <c r="E831" t="s">
        <v>1334</v>
      </c>
      <c r="F831" t="s">
        <v>1334</v>
      </c>
      <c r="G831" t="s">
        <v>1334</v>
      </c>
      <c r="H831" t="s">
        <v>1334</v>
      </c>
      <c r="I831" t="s">
        <v>1334</v>
      </c>
      <c r="J831" t="s">
        <v>1334</v>
      </c>
      <c r="K831" t="s">
        <v>1334</v>
      </c>
    </row>
    <row r="832" spans="1:11" x14ac:dyDescent="0.2">
      <c r="A832" t="s">
        <v>1334</v>
      </c>
      <c r="B832" t="s">
        <v>1334</v>
      </c>
      <c r="C832" t="s">
        <v>1334</v>
      </c>
      <c r="D832" t="s">
        <v>1334</v>
      </c>
      <c r="E832" t="s">
        <v>1334</v>
      </c>
      <c r="F832" t="s">
        <v>1334</v>
      </c>
      <c r="G832" t="s">
        <v>1334</v>
      </c>
      <c r="H832" t="s">
        <v>1334</v>
      </c>
      <c r="I832" t="s">
        <v>1334</v>
      </c>
      <c r="J832" t="s">
        <v>1334</v>
      </c>
      <c r="K832" t="s">
        <v>1334</v>
      </c>
    </row>
    <row r="833" spans="1:11" x14ac:dyDescent="0.2">
      <c r="A833" t="s">
        <v>1334</v>
      </c>
      <c r="B833" t="s">
        <v>1334</v>
      </c>
      <c r="C833" t="s">
        <v>1334</v>
      </c>
      <c r="D833" t="s">
        <v>1334</v>
      </c>
      <c r="E833" t="s">
        <v>1334</v>
      </c>
      <c r="F833" t="s">
        <v>1334</v>
      </c>
      <c r="G833" t="s">
        <v>1334</v>
      </c>
      <c r="H833" t="s">
        <v>1334</v>
      </c>
      <c r="I833" t="s">
        <v>1334</v>
      </c>
      <c r="J833" t="s">
        <v>1334</v>
      </c>
      <c r="K833" t="s">
        <v>1334</v>
      </c>
    </row>
    <row r="834" spans="1:11" x14ac:dyDescent="0.2">
      <c r="A834" t="s">
        <v>1334</v>
      </c>
      <c r="B834" t="s">
        <v>1334</v>
      </c>
      <c r="C834" t="s">
        <v>1334</v>
      </c>
      <c r="D834" t="s">
        <v>1334</v>
      </c>
      <c r="E834" t="s">
        <v>1334</v>
      </c>
      <c r="F834" t="s">
        <v>1334</v>
      </c>
      <c r="G834" t="s">
        <v>1334</v>
      </c>
      <c r="H834" t="s">
        <v>1334</v>
      </c>
      <c r="I834" t="s">
        <v>1334</v>
      </c>
      <c r="J834" t="s">
        <v>1334</v>
      </c>
      <c r="K834" t="s">
        <v>1334</v>
      </c>
    </row>
    <row r="835" spans="1:11" x14ac:dyDescent="0.2">
      <c r="A835" t="s">
        <v>1334</v>
      </c>
      <c r="B835" t="s">
        <v>1334</v>
      </c>
      <c r="C835" t="s">
        <v>1334</v>
      </c>
      <c r="D835" t="s">
        <v>1334</v>
      </c>
      <c r="E835" t="s">
        <v>1334</v>
      </c>
      <c r="F835" t="s">
        <v>1334</v>
      </c>
      <c r="G835" t="s">
        <v>1334</v>
      </c>
      <c r="H835" t="s">
        <v>1334</v>
      </c>
      <c r="I835" t="s">
        <v>1334</v>
      </c>
      <c r="J835" t="s">
        <v>1334</v>
      </c>
      <c r="K835" t="s">
        <v>1334</v>
      </c>
    </row>
    <row r="836" spans="1:11" x14ac:dyDescent="0.2">
      <c r="A836" t="s">
        <v>1334</v>
      </c>
      <c r="B836" t="s">
        <v>1334</v>
      </c>
      <c r="C836" t="s">
        <v>1334</v>
      </c>
      <c r="D836" t="s">
        <v>1334</v>
      </c>
      <c r="E836" t="s">
        <v>1334</v>
      </c>
      <c r="F836" t="s">
        <v>1334</v>
      </c>
      <c r="G836" t="s">
        <v>1334</v>
      </c>
      <c r="H836" t="s">
        <v>1334</v>
      </c>
      <c r="I836" t="s">
        <v>1334</v>
      </c>
      <c r="J836" t="s">
        <v>1334</v>
      </c>
      <c r="K836" t="s">
        <v>1334</v>
      </c>
    </row>
    <row r="837" spans="1:11" x14ac:dyDescent="0.2">
      <c r="A837" t="s">
        <v>1334</v>
      </c>
      <c r="B837" t="s">
        <v>1334</v>
      </c>
      <c r="C837" t="s">
        <v>1334</v>
      </c>
      <c r="D837" t="s">
        <v>1334</v>
      </c>
      <c r="E837" t="s">
        <v>1334</v>
      </c>
      <c r="F837" t="s">
        <v>1334</v>
      </c>
      <c r="G837" t="s">
        <v>1334</v>
      </c>
      <c r="H837" t="s">
        <v>1334</v>
      </c>
      <c r="I837" t="s">
        <v>1334</v>
      </c>
      <c r="J837" t="s">
        <v>1334</v>
      </c>
      <c r="K837" t="s">
        <v>1334</v>
      </c>
    </row>
    <row r="838" spans="1:11" x14ac:dyDescent="0.2">
      <c r="A838" t="s">
        <v>1334</v>
      </c>
      <c r="B838" t="s">
        <v>1334</v>
      </c>
      <c r="C838" t="s">
        <v>1334</v>
      </c>
      <c r="D838" t="s">
        <v>1334</v>
      </c>
      <c r="E838" t="s">
        <v>1334</v>
      </c>
      <c r="F838" t="s">
        <v>1334</v>
      </c>
      <c r="G838" t="s">
        <v>1334</v>
      </c>
      <c r="H838" t="s">
        <v>1334</v>
      </c>
      <c r="I838" t="s">
        <v>1334</v>
      </c>
      <c r="J838" t="s">
        <v>1334</v>
      </c>
      <c r="K838" t="s">
        <v>1334</v>
      </c>
    </row>
    <row r="839" spans="1:11" x14ac:dyDescent="0.2">
      <c r="A839" t="s">
        <v>1334</v>
      </c>
      <c r="B839" t="s">
        <v>1334</v>
      </c>
      <c r="C839" t="s">
        <v>1334</v>
      </c>
      <c r="D839" t="s">
        <v>1334</v>
      </c>
      <c r="E839" t="s">
        <v>1334</v>
      </c>
      <c r="F839" t="s">
        <v>1334</v>
      </c>
      <c r="G839" t="s">
        <v>1334</v>
      </c>
      <c r="H839" t="s">
        <v>1334</v>
      </c>
      <c r="I839" t="s">
        <v>1334</v>
      </c>
      <c r="J839" t="s">
        <v>1334</v>
      </c>
      <c r="K839" t="s">
        <v>1334</v>
      </c>
    </row>
    <row r="840" spans="1:11" x14ac:dyDescent="0.2">
      <c r="A840" t="s">
        <v>1334</v>
      </c>
      <c r="B840" t="s">
        <v>1334</v>
      </c>
      <c r="C840" t="s">
        <v>1334</v>
      </c>
      <c r="D840" t="s">
        <v>1334</v>
      </c>
      <c r="E840" t="s">
        <v>1334</v>
      </c>
      <c r="F840" t="s">
        <v>1334</v>
      </c>
      <c r="G840" t="s">
        <v>1334</v>
      </c>
      <c r="H840" t="s">
        <v>1334</v>
      </c>
      <c r="I840" t="s">
        <v>1334</v>
      </c>
      <c r="J840" t="s">
        <v>1334</v>
      </c>
      <c r="K840" t="s">
        <v>1334</v>
      </c>
    </row>
    <row r="841" spans="1:11" x14ac:dyDescent="0.2">
      <c r="A841" t="s">
        <v>1334</v>
      </c>
      <c r="B841" t="s">
        <v>1334</v>
      </c>
      <c r="C841" t="s">
        <v>1334</v>
      </c>
      <c r="D841" t="s">
        <v>1334</v>
      </c>
      <c r="E841" t="s">
        <v>1334</v>
      </c>
      <c r="F841" t="s">
        <v>1334</v>
      </c>
      <c r="G841" t="s">
        <v>1334</v>
      </c>
      <c r="H841" t="s">
        <v>1334</v>
      </c>
      <c r="I841" t="s">
        <v>1334</v>
      </c>
      <c r="J841" t="s">
        <v>1334</v>
      </c>
      <c r="K841" t="s">
        <v>1334</v>
      </c>
    </row>
    <row r="842" spans="1:11" x14ac:dyDescent="0.2">
      <c r="A842" t="s">
        <v>1334</v>
      </c>
      <c r="B842" t="s">
        <v>1334</v>
      </c>
      <c r="C842" t="s">
        <v>1334</v>
      </c>
      <c r="D842" t="s">
        <v>1334</v>
      </c>
      <c r="E842" t="s">
        <v>1334</v>
      </c>
      <c r="F842" t="s">
        <v>1334</v>
      </c>
      <c r="G842" t="s">
        <v>1334</v>
      </c>
      <c r="H842" t="s">
        <v>1334</v>
      </c>
      <c r="I842" t="s">
        <v>1334</v>
      </c>
      <c r="J842" t="s">
        <v>1334</v>
      </c>
      <c r="K842" t="s">
        <v>1334</v>
      </c>
    </row>
    <row r="843" spans="1:11" x14ac:dyDescent="0.2">
      <c r="A843" t="s">
        <v>1334</v>
      </c>
      <c r="B843" t="s">
        <v>1334</v>
      </c>
      <c r="C843" t="s">
        <v>1334</v>
      </c>
      <c r="D843" t="s">
        <v>1334</v>
      </c>
      <c r="E843" t="s">
        <v>1334</v>
      </c>
      <c r="F843" t="s">
        <v>1334</v>
      </c>
      <c r="G843" t="s">
        <v>1334</v>
      </c>
      <c r="H843" t="s">
        <v>1334</v>
      </c>
      <c r="I843" t="s">
        <v>1334</v>
      </c>
      <c r="J843" t="s">
        <v>1334</v>
      </c>
      <c r="K843" t="s">
        <v>1334</v>
      </c>
    </row>
    <row r="844" spans="1:11" x14ac:dyDescent="0.2">
      <c r="A844" t="s">
        <v>1334</v>
      </c>
      <c r="B844" t="s">
        <v>1334</v>
      </c>
      <c r="C844" t="s">
        <v>1334</v>
      </c>
      <c r="D844" t="s">
        <v>1334</v>
      </c>
      <c r="E844" t="s">
        <v>1334</v>
      </c>
      <c r="F844" t="s">
        <v>1334</v>
      </c>
      <c r="G844" t="s">
        <v>1334</v>
      </c>
      <c r="H844" t="s">
        <v>1334</v>
      </c>
      <c r="I844" t="s">
        <v>1334</v>
      </c>
      <c r="J844" t="s">
        <v>1334</v>
      </c>
      <c r="K844" t="s">
        <v>1334</v>
      </c>
    </row>
    <row r="845" spans="1:11" x14ac:dyDescent="0.2">
      <c r="A845" t="s">
        <v>1334</v>
      </c>
      <c r="B845" t="s">
        <v>1334</v>
      </c>
      <c r="C845" t="s">
        <v>1334</v>
      </c>
      <c r="D845" t="s">
        <v>1334</v>
      </c>
      <c r="E845" t="s">
        <v>1334</v>
      </c>
      <c r="F845" t="s">
        <v>1334</v>
      </c>
      <c r="G845" t="s">
        <v>1334</v>
      </c>
      <c r="H845" t="s">
        <v>1334</v>
      </c>
      <c r="I845" t="s">
        <v>1334</v>
      </c>
      <c r="J845" t="s">
        <v>1334</v>
      </c>
      <c r="K845" t="s">
        <v>1334</v>
      </c>
    </row>
    <row r="846" spans="1:11" x14ac:dyDescent="0.2">
      <c r="A846" t="s">
        <v>1334</v>
      </c>
      <c r="B846" t="s">
        <v>1334</v>
      </c>
      <c r="C846" t="s">
        <v>1334</v>
      </c>
      <c r="D846" t="s">
        <v>1334</v>
      </c>
      <c r="E846" t="s">
        <v>1334</v>
      </c>
      <c r="F846" t="s">
        <v>1334</v>
      </c>
      <c r="G846" t="s">
        <v>1334</v>
      </c>
      <c r="H846" t="s">
        <v>1334</v>
      </c>
      <c r="I846" t="s">
        <v>1334</v>
      </c>
      <c r="J846" t="s">
        <v>1334</v>
      </c>
      <c r="K846" t="s">
        <v>1334</v>
      </c>
    </row>
    <row r="847" spans="1:11" x14ac:dyDescent="0.2">
      <c r="A847" t="s">
        <v>1334</v>
      </c>
      <c r="B847" t="s">
        <v>1334</v>
      </c>
      <c r="C847" t="s">
        <v>1334</v>
      </c>
      <c r="D847" t="s">
        <v>1334</v>
      </c>
      <c r="E847" t="s">
        <v>1334</v>
      </c>
      <c r="F847" t="s">
        <v>1334</v>
      </c>
      <c r="G847" t="s">
        <v>1334</v>
      </c>
      <c r="H847" t="s">
        <v>1334</v>
      </c>
      <c r="I847" t="s">
        <v>1334</v>
      </c>
      <c r="J847" t="s">
        <v>1334</v>
      </c>
      <c r="K847" t="s">
        <v>1334</v>
      </c>
    </row>
    <row r="848" spans="1:11" x14ac:dyDescent="0.2">
      <c r="A848" t="s">
        <v>1334</v>
      </c>
      <c r="B848" t="s">
        <v>1334</v>
      </c>
      <c r="C848" t="s">
        <v>1334</v>
      </c>
      <c r="D848" t="s">
        <v>1334</v>
      </c>
      <c r="E848" t="s">
        <v>1334</v>
      </c>
      <c r="F848" t="s">
        <v>1334</v>
      </c>
      <c r="G848" t="s">
        <v>1334</v>
      </c>
      <c r="H848" t="s">
        <v>1334</v>
      </c>
      <c r="I848" t="s">
        <v>1334</v>
      </c>
      <c r="J848" t="s">
        <v>1334</v>
      </c>
      <c r="K848" t="s">
        <v>1334</v>
      </c>
    </row>
    <row r="849" spans="1:11" x14ac:dyDescent="0.2">
      <c r="A849" t="s">
        <v>1334</v>
      </c>
      <c r="B849" t="s">
        <v>1334</v>
      </c>
      <c r="C849" t="s">
        <v>1334</v>
      </c>
      <c r="D849" t="s">
        <v>1334</v>
      </c>
      <c r="E849" t="s">
        <v>1334</v>
      </c>
      <c r="F849" t="s">
        <v>1334</v>
      </c>
      <c r="G849" t="s">
        <v>1334</v>
      </c>
      <c r="H849" t="s">
        <v>1334</v>
      </c>
      <c r="I849" t="s">
        <v>1334</v>
      </c>
      <c r="J849" t="s">
        <v>1334</v>
      </c>
      <c r="K849" t="s">
        <v>1334</v>
      </c>
    </row>
    <row r="850" spans="1:11" x14ac:dyDescent="0.2">
      <c r="A850" t="s">
        <v>1334</v>
      </c>
      <c r="B850" t="s">
        <v>1334</v>
      </c>
      <c r="C850" t="s">
        <v>1334</v>
      </c>
      <c r="D850" t="s">
        <v>1334</v>
      </c>
      <c r="E850" t="s">
        <v>1334</v>
      </c>
      <c r="F850" t="s">
        <v>1334</v>
      </c>
      <c r="G850" t="s">
        <v>1334</v>
      </c>
      <c r="H850" t="s">
        <v>1334</v>
      </c>
      <c r="I850" t="s">
        <v>1334</v>
      </c>
      <c r="J850" t="s">
        <v>1334</v>
      </c>
      <c r="K850" t="s">
        <v>1334</v>
      </c>
    </row>
    <row r="851" spans="1:11" x14ac:dyDescent="0.2">
      <c r="A851" t="s">
        <v>1334</v>
      </c>
      <c r="B851" t="s">
        <v>1334</v>
      </c>
      <c r="C851" t="s">
        <v>1334</v>
      </c>
      <c r="D851" t="s">
        <v>1334</v>
      </c>
      <c r="E851" t="s">
        <v>1334</v>
      </c>
      <c r="F851" t="s">
        <v>1334</v>
      </c>
      <c r="G851" t="s">
        <v>1334</v>
      </c>
      <c r="H851" t="s">
        <v>1334</v>
      </c>
      <c r="I851" t="s">
        <v>1334</v>
      </c>
      <c r="J851" t="s">
        <v>1334</v>
      </c>
      <c r="K851" t="s">
        <v>1334</v>
      </c>
    </row>
    <row r="852" spans="1:11" x14ac:dyDescent="0.2">
      <c r="A852" t="s">
        <v>1334</v>
      </c>
      <c r="B852" t="s">
        <v>1334</v>
      </c>
      <c r="C852" t="s">
        <v>1334</v>
      </c>
      <c r="D852" t="s">
        <v>1334</v>
      </c>
      <c r="E852" t="s">
        <v>1334</v>
      </c>
      <c r="F852" t="s">
        <v>1334</v>
      </c>
      <c r="G852" t="s">
        <v>1334</v>
      </c>
      <c r="H852" t="s">
        <v>1334</v>
      </c>
      <c r="I852" t="s">
        <v>1334</v>
      </c>
      <c r="J852" t="s">
        <v>1334</v>
      </c>
      <c r="K852" t="s">
        <v>1334</v>
      </c>
    </row>
    <row r="853" spans="1:11" x14ac:dyDescent="0.2">
      <c r="A853" t="s">
        <v>1334</v>
      </c>
      <c r="B853" t="s">
        <v>1334</v>
      </c>
      <c r="C853" t="s">
        <v>1334</v>
      </c>
      <c r="D853" t="s">
        <v>1334</v>
      </c>
      <c r="E853" t="s">
        <v>1334</v>
      </c>
      <c r="F853" t="s">
        <v>1334</v>
      </c>
      <c r="G853" t="s">
        <v>1334</v>
      </c>
      <c r="H853" t="s">
        <v>1334</v>
      </c>
      <c r="I853" t="s">
        <v>1334</v>
      </c>
      <c r="J853" t="s">
        <v>1334</v>
      </c>
      <c r="K853" t="s">
        <v>1334</v>
      </c>
    </row>
    <row r="854" spans="1:11" x14ac:dyDescent="0.2">
      <c r="A854" t="s">
        <v>1334</v>
      </c>
      <c r="B854" t="s">
        <v>1334</v>
      </c>
      <c r="C854" t="s">
        <v>1334</v>
      </c>
      <c r="D854" t="s">
        <v>1334</v>
      </c>
      <c r="E854" t="s">
        <v>1334</v>
      </c>
      <c r="F854" t="s">
        <v>1334</v>
      </c>
      <c r="G854" t="s">
        <v>1334</v>
      </c>
      <c r="H854" t="s">
        <v>1334</v>
      </c>
      <c r="I854" t="s">
        <v>1334</v>
      </c>
      <c r="J854" t="s">
        <v>1334</v>
      </c>
      <c r="K854" t="s">
        <v>1334</v>
      </c>
    </row>
    <row r="855" spans="1:11" x14ac:dyDescent="0.2">
      <c r="A855" t="s">
        <v>1334</v>
      </c>
      <c r="B855" t="s">
        <v>1334</v>
      </c>
      <c r="C855" t="s">
        <v>1334</v>
      </c>
      <c r="D855" t="s">
        <v>1334</v>
      </c>
      <c r="E855" t="s">
        <v>1334</v>
      </c>
      <c r="F855" t="s">
        <v>1334</v>
      </c>
      <c r="G855" t="s">
        <v>1334</v>
      </c>
      <c r="H855" t="s">
        <v>1334</v>
      </c>
      <c r="I855" t="s">
        <v>1334</v>
      </c>
      <c r="J855" t="s">
        <v>1334</v>
      </c>
      <c r="K855" t="s">
        <v>1334</v>
      </c>
    </row>
    <row r="856" spans="1:11" x14ac:dyDescent="0.2">
      <c r="A856" t="s">
        <v>1334</v>
      </c>
      <c r="B856" t="s">
        <v>1334</v>
      </c>
      <c r="C856" t="s">
        <v>1334</v>
      </c>
      <c r="D856" t="s">
        <v>1334</v>
      </c>
      <c r="E856" t="s">
        <v>1334</v>
      </c>
      <c r="F856" t="s">
        <v>1334</v>
      </c>
      <c r="G856" t="s">
        <v>1334</v>
      </c>
      <c r="H856" t="s">
        <v>1334</v>
      </c>
      <c r="I856" t="s">
        <v>1334</v>
      </c>
      <c r="J856" t="s">
        <v>1334</v>
      </c>
      <c r="K856" t="s">
        <v>1334</v>
      </c>
    </row>
    <row r="857" spans="1:11" x14ac:dyDescent="0.2">
      <c r="A857" t="s">
        <v>1334</v>
      </c>
      <c r="B857" t="s">
        <v>1334</v>
      </c>
      <c r="C857" t="s">
        <v>1334</v>
      </c>
      <c r="D857" t="s">
        <v>1334</v>
      </c>
      <c r="E857" t="s">
        <v>1334</v>
      </c>
      <c r="F857" t="s">
        <v>1334</v>
      </c>
      <c r="G857" t="s">
        <v>1334</v>
      </c>
      <c r="H857" t="s">
        <v>1334</v>
      </c>
      <c r="I857" t="s">
        <v>1334</v>
      </c>
      <c r="J857" t="s">
        <v>1334</v>
      </c>
      <c r="K857" t="s">
        <v>1334</v>
      </c>
    </row>
    <row r="858" spans="1:11" x14ac:dyDescent="0.2">
      <c r="A858" t="s">
        <v>1334</v>
      </c>
      <c r="B858" t="s">
        <v>1334</v>
      </c>
      <c r="C858" t="s">
        <v>1334</v>
      </c>
      <c r="D858" t="s">
        <v>1334</v>
      </c>
      <c r="E858" t="s">
        <v>1334</v>
      </c>
      <c r="F858" t="s">
        <v>1334</v>
      </c>
      <c r="G858" t="s">
        <v>1334</v>
      </c>
      <c r="H858" t="s">
        <v>1334</v>
      </c>
      <c r="I858" t="s">
        <v>1334</v>
      </c>
      <c r="J858" t="s">
        <v>1334</v>
      </c>
      <c r="K858" t="s">
        <v>1334</v>
      </c>
    </row>
    <row r="859" spans="1:11" x14ac:dyDescent="0.2">
      <c r="A859" t="s">
        <v>1334</v>
      </c>
      <c r="B859" t="s">
        <v>1334</v>
      </c>
      <c r="C859" t="s">
        <v>1334</v>
      </c>
      <c r="D859" t="s">
        <v>1334</v>
      </c>
      <c r="E859" t="s">
        <v>1334</v>
      </c>
      <c r="F859" t="s">
        <v>1334</v>
      </c>
      <c r="G859" t="s">
        <v>1334</v>
      </c>
      <c r="H859" t="s">
        <v>1334</v>
      </c>
      <c r="I859" t="s">
        <v>1334</v>
      </c>
      <c r="J859" t="s">
        <v>1334</v>
      </c>
      <c r="K859" t="s">
        <v>1334</v>
      </c>
    </row>
    <row r="860" spans="1:11" x14ac:dyDescent="0.2">
      <c r="A860" t="s">
        <v>1334</v>
      </c>
      <c r="B860" t="s">
        <v>1334</v>
      </c>
      <c r="C860" t="s">
        <v>1334</v>
      </c>
      <c r="D860" t="s">
        <v>1334</v>
      </c>
      <c r="E860" t="s">
        <v>1334</v>
      </c>
      <c r="F860" t="s">
        <v>1334</v>
      </c>
      <c r="G860" t="s">
        <v>1334</v>
      </c>
      <c r="H860" t="s">
        <v>1334</v>
      </c>
      <c r="I860" t="s">
        <v>1334</v>
      </c>
      <c r="J860" t="s">
        <v>1334</v>
      </c>
      <c r="K860" t="s">
        <v>1334</v>
      </c>
    </row>
    <row r="861" spans="1:11" x14ac:dyDescent="0.2">
      <c r="A861" t="s">
        <v>1334</v>
      </c>
      <c r="B861" t="s">
        <v>1334</v>
      </c>
      <c r="C861" t="s">
        <v>1334</v>
      </c>
      <c r="D861" t="s">
        <v>1334</v>
      </c>
      <c r="E861" t="s">
        <v>1334</v>
      </c>
      <c r="F861" t="s">
        <v>1334</v>
      </c>
      <c r="G861" t="s">
        <v>1334</v>
      </c>
      <c r="H861" t="s">
        <v>1334</v>
      </c>
      <c r="I861" t="s">
        <v>1334</v>
      </c>
      <c r="J861" t="s">
        <v>1334</v>
      </c>
      <c r="K861" t="s">
        <v>1334</v>
      </c>
    </row>
    <row r="862" spans="1:11" x14ac:dyDescent="0.2">
      <c r="A862" t="s">
        <v>1334</v>
      </c>
      <c r="B862" t="s">
        <v>1334</v>
      </c>
      <c r="C862" t="s">
        <v>1334</v>
      </c>
      <c r="D862" t="s">
        <v>1334</v>
      </c>
      <c r="E862" t="s">
        <v>1334</v>
      </c>
      <c r="F862" t="s">
        <v>1334</v>
      </c>
      <c r="G862" t="s">
        <v>1334</v>
      </c>
      <c r="H862" t="s">
        <v>1334</v>
      </c>
      <c r="I862" t="s">
        <v>1334</v>
      </c>
      <c r="J862" t="s">
        <v>1334</v>
      </c>
      <c r="K862" t="s">
        <v>1334</v>
      </c>
    </row>
    <row r="863" spans="1:11" x14ac:dyDescent="0.2">
      <c r="A863" t="s">
        <v>1334</v>
      </c>
      <c r="B863" t="s">
        <v>1334</v>
      </c>
      <c r="C863" t="s">
        <v>1334</v>
      </c>
      <c r="D863" t="s">
        <v>1334</v>
      </c>
      <c r="E863" t="s">
        <v>1334</v>
      </c>
      <c r="F863" t="s">
        <v>1334</v>
      </c>
      <c r="G863" t="s">
        <v>1334</v>
      </c>
      <c r="H863" t="s">
        <v>1334</v>
      </c>
      <c r="I863" t="s">
        <v>1334</v>
      </c>
      <c r="J863" t="s">
        <v>1334</v>
      </c>
      <c r="K863" t="s">
        <v>1334</v>
      </c>
    </row>
    <row r="864" spans="1:11" x14ac:dyDescent="0.2">
      <c r="A864" t="s">
        <v>1334</v>
      </c>
      <c r="B864" t="s">
        <v>1334</v>
      </c>
      <c r="C864" t="s">
        <v>1334</v>
      </c>
      <c r="D864" t="s">
        <v>1334</v>
      </c>
      <c r="E864" t="s">
        <v>1334</v>
      </c>
      <c r="F864" t="s">
        <v>1334</v>
      </c>
      <c r="G864" t="s">
        <v>1334</v>
      </c>
      <c r="H864" t="s">
        <v>1334</v>
      </c>
      <c r="I864" t="s">
        <v>1334</v>
      </c>
      <c r="J864" t="s">
        <v>1334</v>
      </c>
      <c r="K864" t="s">
        <v>1334</v>
      </c>
    </row>
    <row r="865" spans="1:11" x14ac:dyDescent="0.2">
      <c r="A865" t="s">
        <v>1334</v>
      </c>
      <c r="B865" t="s">
        <v>1334</v>
      </c>
      <c r="C865" t="s">
        <v>1334</v>
      </c>
      <c r="D865" t="s">
        <v>1334</v>
      </c>
      <c r="E865" t="s">
        <v>1334</v>
      </c>
      <c r="F865" t="s">
        <v>1334</v>
      </c>
      <c r="G865" t="s">
        <v>1334</v>
      </c>
      <c r="H865" t="s">
        <v>1334</v>
      </c>
      <c r="I865" t="s">
        <v>1334</v>
      </c>
      <c r="J865" t="s">
        <v>1334</v>
      </c>
      <c r="K865" t="s">
        <v>1334</v>
      </c>
    </row>
    <row r="866" spans="1:11" x14ac:dyDescent="0.2">
      <c r="A866" t="s">
        <v>1334</v>
      </c>
      <c r="B866" t="s">
        <v>1334</v>
      </c>
      <c r="C866" t="s">
        <v>1334</v>
      </c>
      <c r="D866" t="s">
        <v>1334</v>
      </c>
      <c r="E866" t="s">
        <v>1334</v>
      </c>
      <c r="F866" t="s">
        <v>1334</v>
      </c>
      <c r="G866" t="s">
        <v>1334</v>
      </c>
      <c r="H866" t="s">
        <v>1334</v>
      </c>
      <c r="I866" t="s">
        <v>1334</v>
      </c>
      <c r="J866" t="s">
        <v>1334</v>
      </c>
      <c r="K866" t="s">
        <v>1334</v>
      </c>
    </row>
    <row r="867" spans="1:11" x14ac:dyDescent="0.2">
      <c r="A867" t="s">
        <v>1334</v>
      </c>
      <c r="B867" t="s">
        <v>1334</v>
      </c>
      <c r="C867" t="s">
        <v>1334</v>
      </c>
      <c r="D867" t="s">
        <v>1334</v>
      </c>
      <c r="E867" t="s">
        <v>1334</v>
      </c>
      <c r="F867" t="s">
        <v>1334</v>
      </c>
      <c r="G867" t="s">
        <v>1334</v>
      </c>
      <c r="H867" t="s">
        <v>1334</v>
      </c>
      <c r="I867" t="s">
        <v>1334</v>
      </c>
      <c r="J867" t="s">
        <v>1334</v>
      </c>
      <c r="K867" t="s">
        <v>1334</v>
      </c>
    </row>
    <row r="868" spans="1:11" x14ac:dyDescent="0.2">
      <c r="A868" t="s">
        <v>1334</v>
      </c>
      <c r="B868" t="s">
        <v>1334</v>
      </c>
      <c r="C868" t="s">
        <v>1334</v>
      </c>
      <c r="D868" t="s">
        <v>1334</v>
      </c>
      <c r="E868" t="s">
        <v>1334</v>
      </c>
      <c r="F868" t="s">
        <v>1334</v>
      </c>
      <c r="G868" t="s">
        <v>1334</v>
      </c>
      <c r="H868" t="s">
        <v>1334</v>
      </c>
      <c r="I868" t="s">
        <v>1334</v>
      </c>
      <c r="J868" t="s">
        <v>1334</v>
      </c>
      <c r="K868" t="s">
        <v>1334</v>
      </c>
    </row>
    <row r="869" spans="1:11" x14ac:dyDescent="0.2">
      <c r="A869" t="s">
        <v>1334</v>
      </c>
      <c r="B869" t="s">
        <v>1334</v>
      </c>
      <c r="C869" t="s">
        <v>1334</v>
      </c>
      <c r="D869" t="s">
        <v>1334</v>
      </c>
      <c r="E869" t="s">
        <v>1334</v>
      </c>
      <c r="F869" t="s">
        <v>1334</v>
      </c>
      <c r="G869" t="s">
        <v>1334</v>
      </c>
      <c r="H869" t="s">
        <v>1334</v>
      </c>
      <c r="I869" t="s">
        <v>1334</v>
      </c>
      <c r="J869" t="s">
        <v>1334</v>
      </c>
      <c r="K869" t="s">
        <v>1334</v>
      </c>
    </row>
    <row r="870" spans="1:11" x14ac:dyDescent="0.2">
      <c r="A870" t="s">
        <v>1334</v>
      </c>
      <c r="B870" t="s">
        <v>1334</v>
      </c>
      <c r="C870" t="s">
        <v>1334</v>
      </c>
      <c r="D870" t="s">
        <v>1334</v>
      </c>
      <c r="E870" t="s">
        <v>1334</v>
      </c>
      <c r="F870" t="s">
        <v>1334</v>
      </c>
      <c r="G870" t="s">
        <v>1334</v>
      </c>
      <c r="H870" t="s">
        <v>1334</v>
      </c>
      <c r="I870" t="s">
        <v>1334</v>
      </c>
      <c r="J870" t="s">
        <v>1334</v>
      </c>
      <c r="K870" t="s">
        <v>1334</v>
      </c>
    </row>
    <row r="871" spans="1:11" x14ac:dyDescent="0.2">
      <c r="A871" t="s">
        <v>1334</v>
      </c>
      <c r="B871" t="s">
        <v>1334</v>
      </c>
      <c r="C871" t="s">
        <v>1334</v>
      </c>
      <c r="D871" t="s">
        <v>1334</v>
      </c>
      <c r="E871" t="s">
        <v>1334</v>
      </c>
      <c r="F871" t="s">
        <v>1334</v>
      </c>
      <c r="G871" t="s">
        <v>1334</v>
      </c>
      <c r="H871" t="s">
        <v>1334</v>
      </c>
      <c r="I871" t="s">
        <v>1334</v>
      </c>
      <c r="J871" t="s">
        <v>1334</v>
      </c>
      <c r="K871" t="s">
        <v>1334</v>
      </c>
    </row>
    <row r="872" spans="1:11" x14ac:dyDescent="0.2">
      <c r="A872" t="s">
        <v>1334</v>
      </c>
      <c r="B872" t="s">
        <v>1334</v>
      </c>
      <c r="C872" t="s">
        <v>1334</v>
      </c>
      <c r="D872" t="s">
        <v>1334</v>
      </c>
      <c r="E872" t="s">
        <v>1334</v>
      </c>
      <c r="F872" t="s">
        <v>1334</v>
      </c>
      <c r="G872" t="s">
        <v>1334</v>
      </c>
      <c r="H872" t="s">
        <v>1334</v>
      </c>
      <c r="I872" t="s">
        <v>1334</v>
      </c>
      <c r="J872" t="s">
        <v>1334</v>
      </c>
      <c r="K872" t="s">
        <v>1334</v>
      </c>
    </row>
    <row r="873" spans="1:11" x14ac:dyDescent="0.2">
      <c r="A873" t="s">
        <v>1334</v>
      </c>
      <c r="B873" t="s">
        <v>1334</v>
      </c>
      <c r="C873" t="s">
        <v>1334</v>
      </c>
      <c r="D873" t="s">
        <v>1334</v>
      </c>
      <c r="E873" t="s">
        <v>1334</v>
      </c>
      <c r="F873" t="s">
        <v>1334</v>
      </c>
      <c r="G873" t="s">
        <v>1334</v>
      </c>
      <c r="H873" t="s">
        <v>1334</v>
      </c>
      <c r="I873" t="s">
        <v>1334</v>
      </c>
      <c r="J873" t="s">
        <v>1334</v>
      </c>
      <c r="K873" t="s">
        <v>1334</v>
      </c>
    </row>
    <row r="874" spans="1:11" x14ac:dyDescent="0.2">
      <c r="A874" t="s">
        <v>1334</v>
      </c>
      <c r="B874" t="s">
        <v>1334</v>
      </c>
      <c r="C874" t="s">
        <v>1334</v>
      </c>
      <c r="D874" t="s">
        <v>1334</v>
      </c>
      <c r="E874" t="s">
        <v>1334</v>
      </c>
      <c r="F874" t="s">
        <v>1334</v>
      </c>
      <c r="G874" t="s">
        <v>1334</v>
      </c>
      <c r="H874" t="s">
        <v>1334</v>
      </c>
      <c r="I874" t="s">
        <v>1334</v>
      </c>
      <c r="J874" t="s">
        <v>1334</v>
      </c>
      <c r="K874" t="s">
        <v>1334</v>
      </c>
    </row>
    <row r="875" spans="1:11" x14ac:dyDescent="0.2">
      <c r="A875" t="s">
        <v>1334</v>
      </c>
      <c r="B875" t="s">
        <v>1334</v>
      </c>
      <c r="C875" t="s">
        <v>1334</v>
      </c>
      <c r="D875" t="s">
        <v>1334</v>
      </c>
      <c r="E875" t="s">
        <v>1334</v>
      </c>
      <c r="F875" t="s">
        <v>1334</v>
      </c>
      <c r="G875" t="s">
        <v>1334</v>
      </c>
      <c r="H875" t="s">
        <v>1334</v>
      </c>
      <c r="I875" t="s">
        <v>1334</v>
      </c>
      <c r="J875" t="s">
        <v>1334</v>
      </c>
      <c r="K875" t="s">
        <v>1334</v>
      </c>
    </row>
    <row r="876" spans="1:11" x14ac:dyDescent="0.2">
      <c r="A876" t="s">
        <v>1334</v>
      </c>
      <c r="B876" t="s">
        <v>1334</v>
      </c>
      <c r="C876" t="s">
        <v>1334</v>
      </c>
      <c r="D876" t="s">
        <v>1334</v>
      </c>
      <c r="E876" t="s">
        <v>1334</v>
      </c>
      <c r="F876" t="s">
        <v>1334</v>
      </c>
      <c r="G876" t="s">
        <v>1334</v>
      </c>
      <c r="H876" t="s">
        <v>1334</v>
      </c>
      <c r="I876" t="s">
        <v>1334</v>
      </c>
      <c r="J876" t="s">
        <v>1334</v>
      </c>
      <c r="K876" t="s">
        <v>1334</v>
      </c>
    </row>
    <row r="877" spans="1:11" x14ac:dyDescent="0.2">
      <c r="A877" t="s">
        <v>1334</v>
      </c>
      <c r="B877" t="s">
        <v>1334</v>
      </c>
      <c r="C877" t="s">
        <v>1334</v>
      </c>
      <c r="D877" t="s">
        <v>1334</v>
      </c>
      <c r="E877" t="s">
        <v>1334</v>
      </c>
      <c r="F877" t="s">
        <v>1334</v>
      </c>
      <c r="G877" t="s">
        <v>1334</v>
      </c>
      <c r="H877" t="s">
        <v>1334</v>
      </c>
      <c r="I877" t="s">
        <v>1334</v>
      </c>
      <c r="J877" t="s">
        <v>1334</v>
      </c>
      <c r="K877" t="s">
        <v>1334</v>
      </c>
    </row>
    <row r="878" spans="1:11" x14ac:dyDescent="0.2">
      <c r="A878" t="s">
        <v>1334</v>
      </c>
      <c r="B878" t="s">
        <v>1334</v>
      </c>
      <c r="C878" t="s">
        <v>1334</v>
      </c>
      <c r="D878" t="s">
        <v>1334</v>
      </c>
      <c r="E878" t="s">
        <v>1334</v>
      </c>
      <c r="F878" t="s">
        <v>1334</v>
      </c>
      <c r="G878" t="s">
        <v>1334</v>
      </c>
      <c r="H878" t="s">
        <v>1334</v>
      </c>
      <c r="I878" t="s">
        <v>1334</v>
      </c>
      <c r="J878" t="s">
        <v>1334</v>
      </c>
      <c r="K878" t="s">
        <v>1334</v>
      </c>
    </row>
    <row r="879" spans="1:11" x14ac:dyDescent="0.2">
      <c r="A879" t="s">
        <v>1334</v>
      </c>
      <c r="B879" t="s">
        <v>1334</v>
      </c>
      <c r="C879" t="s">
        <v>1334</v>
      </c>
      <c r="D879" t="s">
        <v>1334</v>
      </c>
      <c r="E879" t="s">
        <v>1334</v>
      </c>
      <c r="F879" t="s">
        <v>1334</v>
      </c>
      <c r="G879" t="s">
        <v>1334</v>
      </c>
      <c r="H879" t="s">
        <v>1334</v>
      </c>
      <c r="I879" t="s">
        <v>1334</v>
      </c>
      <c r="J879" t="s">
        <v>1334</v>
      </c>
      <c r="K879" t="s">
        <v>1334</v>
      </c>
    </row>
    <row r="880" spans="1:11" x14ac:dyDescent="0.2">
      <c r="A880" t="s">
        <v>1334</v>
      </c>
      <c r="B880" t="s">
        <v>1334</v>
      </c>
      <c r="C880" t="s">
        <v>1334</v>
      </c>
      <c r="D880" t="s">
        <v>1334</v>
      </c>
      <c r="E880" t="s">
        <v>1334</v>
      </c>
      <c r="F880" t="s">
        <v>1334</v>
      </c>
      <c r="G880" t="s">
        <v>1334</v>
      </c>
      <c r="H880" t="s">
        <v>1334</v>
      </c>
      <c r="I880" t="s">
        <v>1334</v>
      </c>
      <c r="J880" t="s">
        <v>1334</v>
      </c>
      <c r="K880" t="s">
        <v>1334</v>
      </c>
    </row>
    <row r="881" spans="1:11" x14ac:dyDescent="0.2">
      <c r="A881" t="s">
        <v>1334</v>
      </c>
      <c r="B881" t="s">
        <v>1334</v>
      </c>
      <c r="C881" t="s">
        <v>1334</v>
      </c>
      <c r="D881" t="s">
        <v>1334</v>
      </c>
      <c r="E881" t="s">
        <v>1334</v>
      </c>
      <c r="F881" t="s">
        <v>1334</v>
      </c>
      <c r="G881" t="s">
        <v>1334</v>
      </c>
      <c r="H881" t="s">
        <v>1334</v>
      </c>
      <c r="I881" t="s">
        <v>1334</v>
      </c>
      <c r="J881" t="s">
        <v>1334</v>
      </c>
      <c r="K881" t="s">
        <v>1334</v>
      </c>
    </row>
    <row r="882" spans="1:11" x14ac:dyDescent="0.2">
      <c r="A882" t="s">
        <v>1334</v>
      </c>
      <c r="B882" t="s">
        <v>1334</v>
      </c>
      <c r="C882" t="s">
        <v>1334</v>
      </c>
      <c r="D882" t="s">
        <v>1334</v>
      </c>
      <c r="E882" t="s">
        <v>1334</v>
      </c>
      <c r="F882" t="s">
        <v>1334</v>
      </c>
      <c r="G882" t="s">
        <v>1334</v>
      </c>
      <c r="H882" t="s">
        <v>1334</v>
      </c>
      <c r="I882" t="s">
        <v>1334</v>
      </c>
      <c r="J882" t="s">
        <v>1334</v>
      </c>
      <c r="K882" t="s">
        <v>1334</v>
      </c>
    </row>
    <row r="883" spans="1:11" x14ac:dyDescent="0.2">
      <c r="A883" t="s">
        <v>1334</v>
      </c>
      <c r="B883" t="s">
        <v>1334</v>
      </c>
      <c r="C883" t="s">
        <v>1334</v>
      </c>
      <c r="D883" t="s">
        <v>1334</v>
      </c>
      <c r="E883" t="s">
        <v>1334</v>
      </c>
      <c r="F883" t="s">
        <v>1334</v>
      </c>
      <c r="G883" t="s">
        <v>1334</v>
      </c>
      <c r="H883" t="s">
        <v>1334</v>
      </c>
      <c r="I883" t="s">
        <v>1334</v>
      </c>
      <c r="J883" t="s">
        <v>1334</v>
      </c>
      <c r="K883" t="s">
        <v>1334</v>
      </c>
    </row>
    <row r="884" spans="1:11" x14ac:dyDescent="0.2">
      <c r="A884" t="s">
        <v>1334</v>
      </c>
      <c r="B884" t="s">
        <v>1334</v>
      </c>
      <c r="C884" t="s">
        <v>1334</v>
      </c>
      <c r="D884" t="s">
        <v>1334</v>
      </c>
      <c r="E884" t="s">
        <v>1334</v>
      </c>
      <c r="F884" t="s">
        <v>1334</v>
      </c>
      <c r="G884" t="s">
        <v>1334</v>
      </c>
      <c r="H884" t="s">
        <v>1334</v>
      </c>
      <c r="I884" t="s">
        <v>1334</v>
      </c>
      <c r="J884" t="s">
        <v>1334</v>
      </c>
      <c r="K884" t="s">
        <v>1334</v>
      </c>
    </row>
    <row r="885" spans="1:11" x14ac:dyDescent="0.2">
      <c r="A885" t="s">
        <v>1334</v>
      </c>
      <c r="B885" t="s">
        <v>1334</v>
      </c>
      <c r="C885" t="s">
        <v>1334</v>
      </c>
      <c r="D885" t="s">
        <v>1334</v>
      </c>
      <c r="E885" t="s">
        <v>1334</v>
      </c>
      <c r="F885" t="s">
        <v>1334</v>
      </c>
      <c r="G885" t="s">
        <v>1334</v>
      </c>
      <c r="H885" t="s">
        <v>1334</v>
      </c>
      <c r="I885" t="s">
        <v>1334</v>
      </c>
      <c r="J885" t="s">
        <v>1334</v>
      </c>
      <c r="K885" t="s">
        <v>1334</v>
      </c>
    </row>
    <row r="886" spans="1:11" x14ac:dyDescent="0.2">
      <c r="A886" t="s">
        <v>1334</v>
      </c>
      <c r="B886" t="s">
        <v>1334</v>
      </c>
      <c r="C886" t="s">
        <v>1334</v>
      </c>
      <c r="D886" t="s">
        <v>1334</v>
      </c>
      <c r="E886" t="s">
        <v>1334</v>
      </c>
      <c r="F886" t="s">
        <v>1334</v>
      </c>
      <c r="G886" t="s">
        <v>1334</v>
      </c>
      <c r="H886" t="s">
        <v>1334</v>
      </c>
      <c r="I886" t="s">
        <v>1334</v>
      </c>
      <c r="J886" t="s">
        <v>1334</v>
      </c>
      <c r="K886" t="s">
        <v>1334</v>
      </c>
    </row>
    <row r="887" spans="1:11" x14ac:dyDescent="0.2">
      <c r="A887" t="s">
        <v>1334</v>
      </c>
      <c r="B887" t="s">
        <v>1334</v>
      </c>
      <c r="C887" t="s">
        <v>1334</v>
      </c>
      <c r="D887" t="s">
        <v>1334</v>
      </c>
      <c r="E887" t="s">
        <v>1334</v>
      </c>
      <c r="F887" t="s">
        <v>1334</v>
      </c>
      <c r="G887" t="s">
        <v>1334</v>
      </c>
      <c r="H887" t="s">
        <v>1334</v>
      </c>
      <c r="I887" t="s">
        <v>1334</v>
      </c>
      <c r="J887" t="s">
        <v>1334</v>
      </c>
      <c r="K887" t="s">
        <v>1334</v>
      </c>
    </row>
    <row r="888" spans="1:11" x14ac:dyDescent="0.2">
      <c r="A888" t="s">
        <v>1334</v>
      </c>
      <c r="B888" t="s">
        <v>1334</v>
      </c>
      <c r="C888" t="s">
        <v>1334</v>
      </c>
      <c r="D888" t="s">
        <v>1334</v>
      </c>
      <c r="E888" t="s">
        <v>1334</v>
      </c>
      <c r="F888" t="s">
        <v>1334</v>
      </c>
      <c r="G888" t="s">
        <v>1334</v>
      </c>
      <c r="H888" t="s">
        <v>1334</v>
      </c>
      <c r="I888" t="s">
        <v>1334</v>
      </c>
      <c r="J888" t="s">
        <v>1334</v>
      </c>
      <c r="K888" t="s">
        <v>1334</v>
      </c>
    </row>
    <row r="889" spans="1:11" x14ac:dyDescent="0.2">
      <c r="A889" t="s">
        <v>1334</v>
      </c>
      <c r="B889" t="s">
        <v>1334</v>
      </c>
      <c r="C889" t="s">
        <v>1334</v>
      </c>
      <c r="D889" t="s">
        <v>1334</v>
      </c>
      <c r="E889" t="s">
        <v>1334</v>
      </c>
      <c r="F889" t="s">
        <v>1334</v>
      </c>
      <c r="G889" t="s">
        <v>1334</v>
      </c>
      <c r="H889" t="s">
        <v>1334</v>
      </c>
      <c r="I889" t="s">
        <v>1334</v>
      </c>
      <c r="J889" t="s">
        <v>1334</v>
      </c>
      <c r="K889" t="s">
        <v>1334</v>
      </c>
    </row>
    <row r="890" spans="1:11" x14ac:dyDescent="0.2">
      <c r="A890" t="s">
        <v>1334</v>
      </c>
      <c r="B890" t="s">
        <v>1334</v>
      </c>
      <c r="C890" t="s">
        <v>1334</v>
      </c>
      <c r="D890" t="s">
        <v>1334</v>
      </c>
      <c r="E890" t="s">
        <v>1334</v>
      </c>
      <c r="F890" t="s">
        <v>1334</v>
      </c>
      <c r="G890" t="s">
        <v>1334</v>
      </c>
      <c r="H890" t="s">
        <v>1334</v>
      </c>
      <c r="I890" t="s">
        <v>1334</v>
      </c>
      <c r="J890" t="s">
        <v>1334</v>
      </c>
      <c r="K890" t="s">
        <v>1334</v>
      </c>
    </row>
    <row r="891" spans="1:11" x14ac:dyDescent="0.2">
      <c r="A891" t="s">
        <v>1334</v>
      </c>
      <c r="B891" t="s">
        <v>1334</v>
      </c>
      <c r="C891" t="s">
        <v>1334</v>
      </c>
      <c r="D891" t="s">
        <v>1334</v>
      </c>
      <c r="E891" t="s">
        <v>1334</v>
      </c>
      <c r="F891" t="s">
        <v>1334</v>
      </c>
      <c r="G891" t="s">
        <v>1334</v>
      </c>
      <c r="H891" t="s">
        <v>1334</v>
      </c>
      <c r="I891" t="s">
        <v>1334</v>
      </c>
      <c r="J891" t="s">
        <v>1334</v>
      </c>
      <c r="K891" t="s">
        <v>1334</v>
      </c>
    </row>
    <row r="892" spans="1:11" x14ac:dyDescent="0.2">
      <c r="A892" t="s">
        <v>1334</v>
      </c>
      <c r="B892" t="s">
        <v>1334</v>
      </c>
      <c r="C892" t="s">
        <v>1334</v>
      </c>
      <c r="D892" t="s">
        <v>1334</v>
      </c>
      <c r="E892" t="s">
        <v>1334</v>
      </c>
      <c r="F892" t="s">
        <v>1334</v>
      </c>
      <c r="G892" t="s">
        <v>1334</v>
      </c>
      <c r="H892" t="s">
        <v>1334</v>
      </c>
      <c r="I892" t="s">
        <v>1334</v>
      </c>
      <c r="J892" t="s">
        <v>1334</v>
      </c>
      <c r="K892" t="s">
        <v>1334</v>
      </c>
    </row>
    <row r="893" spans="1:11" x14ac:dyDescent="0.2">
      <c r="A893" t="s">
        <v>1334</v>
      </c>
      <c r="B893" t="s">
        <v>1334</v>
      </c>
      <c r="C893" t="s">
        <v>1334</v>
      </c>
      <c r="D893" t="s">
        <v>1334</v>
      </c>
      <c r="E893" t="s">
        <v>1334</v>
      </c>
      <c r="F893" t="s">
        <v>1334</v>
      </c>
      <c r="G893" t="s">
        <v>1334</v>
      </c>
      <c r="H893" t="s">
        <v>1334</v>
      </c>
      <c r="I893" t="s">
        <v>1334</v>
      </c>
      <c r="J893" t="s">
        <v>1334</v>
      </c>
      <c r="K893" t="s">
        <v>1334</v>
      </c>
    </row>
    <row r="894" spans="1:11" x14ac:dyDescent="0.2">
      <c r="A894" t="s">
        <v>1334</v>
      </c>
      <c r="B894" t="s">
        <v>1334</v>
      </c>
      <c r="C894" t="s">
        <v>1334</v>
      </c>
      <c r="D894" t="s">
        <v>1334</v>
      </c>
      <c r="E894" t="s">
        <v>1334</v>
      </c>
      <c r="F894" t="s">
        <v>1334</v>
      </c>
      <c r="G894" t="s">
        <v>1334</v>
      </c>
      <c r="H894" t="s">
        <v>1334</v>
      </c>
      <c r="I894" t="s">
        <v>1334</v>
      </c>
      <c r="J894" t="s">
        <v>1334</v>
      </c>
      <c r="K894" t="s">
        <v>1334</v>
      </c>
    </row>
    <row r="895" spans="1:11" x14ac:dyDescent="0.2">
      <c r="A895" t="s">
        <v>1334</v>
      </c>
      <c r="B895" t="s">
        <v>1334</v>
      </c>
      <c r="C895" t="s">
        <v>1334</v>
      </c>
      <c r="D895" t="s">
        <v>1334</v>
      </c>
      <c r="E895" t="s">
        <v>1334</v>
      </c>
      <c r="F895" t="s">
        <v>1334</v>
      </c>
      <c r="G895" t="s">
        <v>1334</v>
      </c>
      <c r="H895" t="s">
        <v>1334</v>
      </c>
      <c r="I895" t="s">
        <v>1334</v>
      </c>
      <c r="J895" t="s">
        <v>1334</v>
      </c>
      <c r="K895" t="s">
        <v>1334</v>
      </c>
    </row>
    <row r="896" spans="1:11" x14ac:dyDescent="0.2">
      <c r="A896" t="s">
        <v>1334</v>
      </c>
      <c r="B896" t="s">
        <v>1334</v>
      </c>
      <c r="C896" t="s">
        <v>1334</v>
      </c>
      <c r="D896" t="s">
        <v>1334</v>
      </c>
      <c r="E896" t="s">
        <v>1334</v>
      </c>
      <c r="F896" t="s">
        <v>1334</v>
      </c>
      <c r="G896" t="s">
        <v>1334</v>
      </c>
      <c r="H896" t="s">
        <v>1334</v>
      </c>
      <c r="I896" t="s">
        <v>1334</v>
      </c>
      <c r="J896" t="s">
        <v>1334</v>
      </c>
      <c r="K896" t="s">
        <v>1334</v>
      </c>
    </row>
    <row r="897" spans="1:11" x14ac:dyDescent="0.2">
      <c r="A897" t="s">
        <v>1334</v>
      </c>
      <c r="B897" t="s">
        <v>1334</v>
      </c>
      <c r="C897" t="s">
        <v>1334</v>
      </c>
      <c r="D897" t="s">
        <v>1334</v>
      </c>
      <c r="E897" t="s">
        <v>1334</v>
      </c>
      <c r="F897" t="s">
        <v>1334</v>
      </c>
      <c r="G897" t="s">
        <v>1334</v>
      </c>
      <c r="H897" t="s">
        <v>1334</v>
      </c>
      <c r="I897" t="s">
        <v>1334</v>
      </c>
      <c r="J897" t="s">
        <v>1334</v>
      </c>
      <c r="K897" t="s">
        <v>1334</v>
      </c>
    </row>
    <row r="898" spans="1:11" x14ac:dyDescent="0.2">
      <c r="A898" t="s">
        <v>1334</v>
      </c>
      <c r="B898" t="s">
        <v>1334</v>
      </c>
      <c r="C898" t="s">
        <v>1334</v>
      </c>
      <c r="D898" t="s">
        <v>1334</v>
      </c>
      <c r="E898" t="s">
        <v>1334</v>
      </c>
      <c r="F898" t="s">
        <v>1334</v>
      </c>
      <c r="G898" t="s">
        <v>1334</v>
      </c>
      <c r="H898" t="s">
        <v>1334</v>
      </c>
      <c r="I898" t="s">
        <v>1334</v>
      </c>
      <c r="J898" t="s">
        <v>1334</v>
      </c>
      <c r="K898" t="s">
        <v>1334</v>
      </c>
    </row>
    <row r="899" spans="1:11" x14ac:dyDescent="0.2">
      <c r="A899" t="s">
        <v>1334</v>
      </c>
      <c r="B899" t="s">
        <v>1334</v>
      </c>
      <c r="C899" t="s">
        <v>1334</v>
      </c>
      <c r="D899" t="s">
        <v>1334</v>
      </c>
      <c r="E899" t="s">
        <v>1334</v>
      </c>
      <c r="F899" t="s">
        <v>1334</v>
      </c>
      <c r="G899" t="s">
        <v>1334</v>
      </c>
      <c r="H899" t="s">
        <v>1334</v>
      </c>
      <c r="I899" t="s">
        <v>1334</v>
      </c>
      <c r="J899" t="s">
        <v>1334</v>
      </c>
      <c r="K899" t="s">
        <v>1334</v>
      </c>
    </row>
    <row r="900" spans="1:11" x14ac:dyDescent="0.2">
      <c r="A900" t="s">
        <v>1334</v>
      </c>
      <c r="B900" t="s">
        <v>1334</v>
      </c>
      <c r="C900" t="s">
        <v>1334</v>
      </c>
      <c r="D900" t="s">
        <v>1334</v>
      </c>
      <c r="E900" t="s">
        <v>1334</v>
      </c>
      <c r="F900" t="s">
        <v>1334</v>
      </c>
      <c r="G900" t="s">
        <v>1334</v>
      </c>
      <c r="H900" t="s">
        <v>1334</v>
      </c>
      <c r="I900" t="s">
        <v>1334</v>
      </c>
      <c r="J900" t="s">
        <v>1334</v>
      </c>
      <c r="K900" t="s">
        <v>1334</v>
      </c>
    </row>
    <row r="901" spans="1:11" x14ac:dyDescent="0.2">
      <c r="A901" t="s">
        <v>1334</v>
      </c>
      <c r="B901" t="s">
        <v>1334</v>
      </c>
      <c r="C901" t="s">
        <v>1334</v>
      </c>
      <c r="D901" t="s">
        <v>1334</v>
      </c>
      <c r="E901" t="s">
        <v>1334</v>
      </c>
      <c r="F901" t="s">
        <v>1334</v>
      </c>
      <c r="G901" t="s">
        <v>1334</v>
      </c>
      <c r="H901" t="s">
        <v>1334</v>
      </c>
      <c r="I901" t="s">
        <v>1334</v>
      </c>
      <c r="J901" t="s">
        <v>1334</v>
      </c>
      <c r="K901" t="s">
        <v>1334</v>
      </c>
    </row>
    <row r="902" spans="1:11" x14ac:dyDescent="0.2">
      <c r="A902" t="s">
        <v>1334</v>
      </c>
      <c r="B902" t="s">
        <v>1334</v>
      </c>
      <c r="C902" t="s">
        <v>1334</v>
      </c>
      <c r="D902" t="s">
        <v>1334</v>
      </c>
      <c r="E902" t="s">
        <v>1334</v>
      </c>
      <c r="F902" t="s">
        <v>1334</v>
      </c>
      <c r="G902" t="s">
        <v>1334</v>
      </c>
      <c r="H902" t="s">
        <v>1334</v>
      </c>
      <c r="I902" t="s">
        <v>1334</v>
      </c>
      <c r="J902" t="s">
        <v>1334</v>
      </c>
      <c r="K902" t="s">
        <v>1334</v>
      </c>
    </row>
    <row r="903" spans="1:11" x14ac:dyDescent="0.2">
      <c r="A903" t="s">
        <v>1334</v>
      </c>
      <c r="B903" t="s">
        <v>1334</v>
      </c>
      <c r="C903" t="s">
        <v>1334</v>
      </c>
      <c r="D903" t="s">
        <v>1334</v>
      </c>
      <c r="E903" t="s">
        <v>1334</v>
      </c>
      <c r="F903" t="s">
        <v>1334</v>
      </c>
      <c r="G903" t="s">
        <v>1334</v>
      </c>
      <c r="H903" t="s">
        <v>1334</v>
      </c>
      <c r="I903" t="s">
        <v>1334</v>
      </c>
      <c r="J903" t="s">
        <v>1334</v>
      </c>
      <c r="K903" t="s">
        <v>1334</v>
      </c>
    </row>
    <row r="904" spans="1:11" x14ac:dyDescent="0.2">
      <c r="A904" t="s">
        <v>1334</v>
      </c>
      <c r="B904" t="s">
        <v>1334</v>
      </c>
      <c r="C904" t="s">
        <v>1334</v>
      </c>
      <c r="D904" t="s">
        <v>1334</v>
      </c>
      <c r="E904" t="s">
        <v>1334</v>
      </c>
      <c r="F904" t="s">
        <v>1334</v>
      </c>
      <c r="G904" t="s">
        <v>1334</v>
      </c>
      <c r="H904" t="s">
        <v>1334</v>
      </c>
      <c r="I904" t="s">
        <v>1334</v>
      </c>
      <c r="J904" t="s">
        <v>1334</v>
      </c>
      <c r="K904" t="s">
        <v>1334</v>
      </c>
    </row>
    <row r="905" spans="1:11" x14ac:dyDescent="0.2">
      <c r="A905" t="s">
        <v>1334</v>
      </c>
      <c r="B905" t="s">
        <v>1334</v>
      </c>
      <c r="C905" t="s">
        <v>1334</v>
      </c>
      <c r="D905" t="s">
        <v>1334</v>
      </c>
      <c r="E905" t="s">
        <v>1334</v>
      </c>
      <c r="F905" t="s">
        <v>1334</v>
      </c>
      <c r="G905" t="s">
        <v>1334</v>
      </c>
      <c r="H905" t="s">
        <v>1334</v>
      </c>
      <c r="I905" t="s">
        <v>1334</v>
      </c>
      <c r="J905" t="s">
        <v>1334</v>
      </c>
      <c r="K905" t="s">
        <v>1334</v>
      </c>
    </row>
    <row r="906" spans="1:11" x14ac:dyDescent="0.2">
      <c r="A906" t="s">
        <v>1334</v>
      </c>
      <c r="B906" t="s">
        <v>1334</v>
      </c>
      <c r="C906" t="s">
        <v>1334</v>
      </c>
      <c r="D906" t="s">
        <v>1334</v>
      </c>
      <c r="E906" t="s">
        <v>1334</v>
      </c>
      <c r="F906" t="s">
        <v>1334</v>
      </c>
      <c r="G906" t="s">
        <v>1334</v>
      </c>
      <c r="H906" t="s">
        <v>1334</v>
      </c>
      <c r="I906" t="s">
        <v>1334</v>
      </c>
      <c r="J906" t="s">
        <v>1334</v>
      </c>
      <c r="K906" t="s">
        <v>1334</v>
      </c>
    </row>
    <row r="907" spans="1:11" x14ac:dyDescent="0.2">
      <c r="A907" t="s">
        <v>1334</v>
      </c>
      <c r="B907" t="s">
        <v>1334</v>
      </c>
      <c r="C907" t="s">
        <v>1334</v>
      </c>
      <c r="D907" t="s">
        <v>1334</v>
      </c>
      <c r="E907" t="s">
        <v>1334</v>
      </c>
      <c r="F907" t="s">
        <v>1334</v>
      </c>
      <c r="G907" t="s">
        <v>1334</v>
      </c>
      <c r="H907" t="s">
        <v>1334</v>
      </c>
      <c r="I907" t="s">
        <v>1334</v>
      </c>
      <c r="J907" t="s">
        <v>1334</v>
      </c>
      <c r="K907" t="s">
        <v>1334</v>
      </c>
    </row>
    <row r="908" spans="1:11" x14ac:dyDescent="0.2">
      <c r="A908" t="s">
        <v>1334</v>
      </c>
      <c r="B908" t="s">
        <v>1334</v>
      </c>
      <c r="C908" t="s">
        <v>1334</v>
      </c>
      <c r="D908" t="s">
        <v>1334</v>
      </c>
      <c r="E908" t="s">
        <v>1334</v>
      </c>
      <c r="F908" t="s">
        <v>1334</v>
      </c>
      <c r="G908" t="s">
        <v>1334</v>
      </c>
      <c r="H908" t="s">
        <v>1334</v>
      </c>
      <c r="I908" t="s">
        <v>1334</v>
      </c>
      <c r="J908" t="s">
        <v>1334</v>
      </c>
      <c r="K908" t="s">
        <v>1334</v>
      </c>
    </row>
    <row r="909" spans="1:11" x14ac:dyDescent="0.2">
      <c r="A909" t="s">
        <v>1334</v>
      </c>
      <c r="B909" t="s">
        <v>1334</v>
      </c>
      <c r="C909" t="s">
        <v>1334</v>
      </c>
      <c r="D909" t="s">
        <v>1334</v>
      </c>
      <c r="E909" t="s">
        <v>1334</v>
      </c>
      <c r="F909" t="s">
        <v>1334</v>
      </c>
      <c r="G909" t="s">
        <v>1334</v>
      </c>
      <c r="H909" t="s">
        <v>1334</v>
      </c>
      <c r="I909" t="s">
        <v>1334</v>
      </c>
      <c r="J909" t="s">
        <v>1334</v>
      </c>
      <c r="K909" t="s">
        <v>1334</v>
      </c>
    </row>
    <row r="910" spans="1:11" x14ac:dyDescent="0.2">
      <c r="A910" t="s">
        <v>1334</v>
      </c>
      <c r="B910" t="s">
        <v>1334</v>
      </c>
      <c r="C910" t="s">
        <v>1334</v>
      </c>
      <c r="D910" t="s">
        <v>1334</v>
      </c>
      <c r="E910" t="s">
        <v>1334</v>
      </c>
      <c r="F910" t="s">
        <v>1334</v>
      </c>
      <c r="G910" t="s">
        <v>1334</v>
      </c>
      <c r="H910" t="s">
        <v>1334</v>
      </c>
      <c r="I910" t="s">
        <v>1334</v>
      </c>
      <c r="J910" t="s">
        <v>1334</v>
      </c>
      <c r="K910" t="s">
        <v>1334</v>
      </c>
    </row>
    <row r="911" spans="1:11" x14ac:dyDescent="0.2">
      <c r="A911" t="s">
        <v>1334</v>
      </c>
      <c r="B911" t="s">
        <v>1334</v>
      </c>
      <c r="C911" t="s">
        <v>1334</v>
      </c>
      <c r="D911" t="s">
        <v>1334</v>
      </c>
      <c r="E911" t="s">
        <v>1334</v>
      </c>
      <c r="F911" t="s">
        <v>1334</v>
      </c>
      <c r="G911" t="s">
        <v>1334</v>
      </c>
      <c r="H911" t="s">
        <v>1334</v>
      </c>
      <c r="I911" t="s">
        <v>1334</v>
      </c>
      <c r="J911" t="s">
        <v>1334</v>
      </c>
      <c r="K911" t="s">
        <v>1334</v>
      </c>
    </row>
    <row r="912" spans="1:11" x14ac:dyDescent="0.2">
      <c r="A912" t="s">
        <v>1334</v>
      </c>
      <c r="B912" t="s">
        <v>1334</v>
      </c>
      <c r="C912" t="s">
        <v>1334</v>
      </c>
      <c r="D912" t="s">
        <v>1334</v>
      </c>
      <c r="E912" t="s">
        <v>1334</v>
      </c>
      <c r="F912" t="s">
        <v>1334</v>
      </c>
      <c r="G912" t="s">
        <v>1334</v>
      </c>
      <c r="H912" t="s">
        <v>1334</v>
      </c>
      <c r="I912" t="s">
        <v>1334</v>
      </c>
      <c r="J912" t="s">
        <v>1334</v>
      </c>
      <c r="K912" t="s">
        <v>1334</v>
      </c>
    </row>
    <row r="913" spans="1:11" x14ac:dyDescent="0.2">
      <c r="A913" t="s">
        <v>1334</v>
      </c>
      <c r="B913" t="s">
        <v>1334</v>
      </c>
      <c r="C913" t="s">
        <v>1334</v>
      </c>
      <c r="D913" t="s">
        <v>1334</v>
      </c>
      <c r="E913" t="s">
        <v>1334</v>
      </c>
      <c r="F913" t="s">
        <v>1334</v>
      </c>
      <c r="G913" t="s">
        <v>1334</v>
      </c>
      <c r="H913" t="s">
        <v>1334</v>
      </c>
      <c r="I913" t="s">
        <v>1334</v>
      </c>
      <c r="J913" t="s">
        <v>1334</v>
      </c>
      <c r="K913" t="s">
        <v>1334</v>
      </c>
    </row>
    <row r="914" spans="1:11" x14ac:dyDescent="0.2">
      <c r="A914" t="s">
        <v>1334</v>
      </c>
      <c r="B914" t="s">
        <v>1334</v>
      </c>
      <c r="C914" t="s">
        <v>1334</v>
      </c>
      <c r="D914" t="s">
        <v>1334</v>
      </c>
      <c r="E914" t="s">
        <v>1334</v>
      </c>
      <c r="F914" t="s">
        <v>1334</v>
      </c>
      <c r="G914" t="s">
        <v>1334</v>
      </c>
      <c r="H914" t="s">
        <v>1334</v>
      </c>
      <c r="I914" t="s">
        <v>1334</v>
      </c>
      <c r="J914" t="s">
        <v>1334</v>
      </c>
      <c r="K914" t="s">
        <v>1334</v>
      </c>
    </row>
    <row r="915" spans="1:11" x14ac:dyDescent="0.2">
      <c r="A915" t="s">
        <v>1334</v>
      </c>
      <c r="B915" t="s">
        <v>1334</v>
      </c>
      <c r="C915" t="s">
        <v>1334</v>
      </c>
      <c r="D915" t="s">
        <v>1334</v>
      </c>
      <c r="E915" t="s">
        <v>1334</v>
      </c>
      <c r="F915" t="s">
        <v>1334</v>
      </c>
      <c r="G915" t="s">
        <v>1334</v>
      </c>
      <c r="H915" t="s">
        <v>1334</v>
      </c>
      <c r="I915" t="s">
        <v>1334</v>
      </c>
      <c r="J915" t="s">
        <v>1334</v>
      </c>
      <c r="K915" t="s">
        <v>1334</v>
      </c>
    </row>
    <row r="916" spans="1:11" x14ac:dyDescent="0.2">
      <c r="A916" t="s">
        <v>1334</v>
      </c>
      <c r="B916" t="s">
        <v>1334</v>
      </c>
      <c r="C916" t="s">
        <v>1334</v>
      </c>
      <c r="D916" t="s">
        <v>1334</v>
      </c>
      <c r="E916" t="s">
        <v>1334</v>
      </c>
      <c r="F916" t="s">
        <v>1334</v>
      </c>
      <c r="G916" t="s">
        <v>1334</v>
      </c>
      <c r="H916" t="s">
        <v>1334</v>
      </c>
      <c r="I916" t="s">
        <v>1334</v>
      </c>
      <c r="J916" t="s">
        <v>1334</v>
      </c>
      <c r="K916" t="s">
        <v>1334</v>
      </c>
    </row>
    <row r="917" spans="1:11" x14ac:dyDescent="0.2">
      <c r="A917" t="s">
        <v>1334</v>
      </c>
      <c r="B917" t="s">
        <v>1334</v>
      </c>
      <c r="C917" t="s">
        <v>1334</v>
      </c>
      <c r="D917" t="s">
        <v>1334</v>
      </c>
      <c r="E917" t="s">
        <v>1334</v>
      </c>
      <c r="F917" t="s">
        <v>1334</v>
      </c>
      <c r="G917" t="s">
        <v>1334</v>
      </c>
      <c r="H917" t="s">
        <v>1334</v>
      </c>
      <c r="I917" t="s">
        <v>1334</v>
      </c>
      <c r="J917" t="s">
        <v>1334</v>
      </c>
      <c r="K917" t="s">
        <v>1334</v>
      </c>
    </row>
    <row r="918" spans="1:11" x14ac:dyDescent="0.2">
      <c r="A918" t="s">
        <v>1334</v>
      </c>
      <c r="B918" t="s">
        <v>1334</v>
      </c>
      <c r="C918" t="s">
        <v>1334</v>
      </c>
      <c r="D918" t="s">
        <v>1334</v>
      </c>
      <c r="E918" t="s">
        <v>1334</v>
      </c>
      <c r="F918" t="s">
        <v>1334</v>
      </c>
      <c r="G918" t="s">
        <v>1334</v>
      </c>
      <c r="H918" t="s">
        <v>1334</v>
      </c>
      <c r="I918" t="s">
        <v>1334</v>
      </c>
      <c r="J918" t="s">
        <v>1334</v>
      </c>
      <c r="K918" t="s">
        <v>1334</v>
      </c>
    </row>
    <row r="919" spans="1:11" x14ac:dyDescent="0.2">
      <c r="A919" t="s">
        <v>1334</v>
      </c>
      <c r="B919" t="s">
        <v>1334</v>
      </c>
      <c r="C919" t="s">
        <v>1334</v>
      </c>
      <c r="D919" t="s">
        <v>1334</v>
      </c>
      <c r="E919" t="s">
        <v>1334</v>
      </c>
      <c r="F919" t="s">
        <v>1334</v>
      </c>
      <c r="G919" t="s">
        <v>1334</v>
      </c>
      <c r="H919" t="s">
        <v>1334</v>
      </c>
      <c r="I919" t="s">
        <v>1334</v>
      </c>
      <c r="J919" t="s">
        <v>1334</v>
      </c>
      <c r="K919" t="s">
        <v>1334</v>
      </c>
    </row>
    <row r="920" spans="1:11" x14ac:dyDescent="0.2">
      <c r="A920" t="s">
        <v>1334</v>
      </c>
      <c r="B920" t="s">
        <v>1334</v>
      </c>
      <c r="C920" t="s">
        <v>1334</v>
      </c>
      <c r="D920" t="s">
        <v>1334</v>
      </c>
      <c r="E920" t="s">
        <v>1334</v>
      </c>
      <c r="F920" t="s">
        <v>1334</v>
      </c>
      <c r="G920" t="s">
        <v>1334</v>
      </c>
      <c r="H920" t="s">
        <v>1334</v>
      </c>
      <c r="I920" t="s">
        <v>1334</v>
      </c>
      <c r="J920" t="s">
        <v>1334</v>
      </c>
      <c r="K920" t="s">
        <v>1334</v>
      </c>
    </row>
    <row r="921" spans="1:11" x14ac:dyDescent="0.2">
      <c r="A921" t="s">
        <v>1334</v>
      </c>
      <c r="B921" t="s">
        <v>1334</v>
      </c>
      <c r="C921" t="s">
        <v>1334</v>
      </c>
      <c r="D921" t="s">
        <v>1334</v>
      </c>
      <c r="E921" t="s">
        <v>1334</v>
      </c>
      <c r="F921" t="s">
        <v>1334</v>
      </c>
      <c r="G921" t="s">
        <v>1334</v>
      </c>
      <c r="H921" t="s">
        <v>1334</v>
      </c>
      <c r="I921" t="s">
        <v>1334</v>
      </c>
      <c r="J921" t="s">
        <v>1334</v>
      </c>
      <c r="K921" t="s">
        <v>1334</v>
      </c>
    </row>
    <row r="922" spans="1:11" x14ac:dyDescent="0.2">
      <c r="A922" t="s">
        <v>1334</v>
      </c>
      <c r="B922" t="s">
        <v>1334</v>
      </c>
      <c r="C922" t="s">
        <v>1334</v>
      </c>
      <c r="D922" t="s">
        <v>1334</v>
      </c>
      <c r="E922" t="s">
        <v>1334</v>
      </c>
      <c r="F922" t="s">
        <v>1334</v>
      </c>
      <c r="G922" t="s">
        <v>1334</v>
      </c>
      <c r="H922" t="s">
        <v>1334</v>
      </c>
      <c r="I922" t="s">
        <v>1334</v>
      </c>
      <c r="J922" t="s">
        <v>1334</v>
      </c>
      <c r="K922" t="s">
        <v>1334</v>
      </c>
    </row>
    <row r="923" spans="1:11" x14ac:dyDescent="0.2">
      <c r="A923" t="s">
        <v>1334</v>
      </c>
      <c r="B923" t="s">
        <v>1334</v>
      </c>
      <c r="C923" t="s">
        <v>1334</v>
      </c>
      <c r="D923" t="s">
        <v>1334</v>
      </c>
      <c r="E923" t="s">
        <v>1334</v>
      </c>
      <c r="F923" t="s">
        <v>1334</v>
      </c>
      <c r="G923" t="s">
        <v>1334</v>
      </c>
      <c r="H923" t="s">
        <v>1334</v>
      </c>
      <c r="I923" t="s">
        <v>1334</v>
      </c>
      <c r="J923" t="s">
        <v>1334</v>
      </c>
      <c r="K923" t="s">
        <v>1334</v>
      </c>
    </row>
    <row r="924" spans="1:11" x14ac:dyDescent="0.2">
      <c r="A924" t="s">
        <v>1334</v>
      </c>
      <c r="B924" t="s">
        <v>1334</v>
      </c>
      <c r="C924" t="s">
        <v>1334</v>
      </c>
      <c r="D924" t="s">
        <v>1334</v>
      </c>
      <c r="E924" t="s">
        <v>1334</v>
      </c>
      <c r="F924" t="s">
        <v>1334</v>
      </c>
      <c r="G924" t="s">
        <v>1334</v>
      </c>
      <c r="H924" t="s">
        <v>1334</v>
      </c>
      <c r="I924" t="s">
        <v>1334</v>
      </c>
      <c r="J924" t="s">
        <v>1334</v>
      </c>
      <c r="K924" t="s">
        <v>1334</v>
      </c>
    </row>
    <row r="925" spans="1:11" x14ac:dyDescent="0.2">
      <c r="A925" t="s">
        <v>1334</v>
      </c>
      <c r="B925" t="s">
        <v>1334</v>
      </c>
      <c r="C925" t="s">
        <v>1334</v>
      </c>
      <c r="D925" t="s">
        <v>1334</v>
      </c>
      <c r="E925" t="s">
        <v>1334</v>
      </c>
      <c r="F925" t="s">
        <v>1334</v>
      </c>
      <c r="G925" t="s">
        <v>1334</v>
      </c>
      <c r="H925" t="s">
        <v>1334</v>
      </c>
      <c r="I925" t="s">
        <v>1334</v>
      </c>
      <c r="J925" t="s">
        <v>1334</v>
      </c>
      <c r="K925" t="s">
        <v>1334</v>
      </c>
    </row>
    <row r="926" spans="1:11" x14ac:dyDescent="0.2">
      <c r="A926" t="s">
        <v>1334</v>
      </c>
      <c r="B926" t="s">
        <v>1334</v>
      </c>
      <c r="C926" t="s">
        <v>1334</v>
      </c>
      <c r="D926" t="s">
        <v>1334</v>
      </c>
      <c r="E926" t="s">
        <v>1334</v>
      </c>
      <c r="F926" t="s">
        <v>1334</v>
      </c>
      <c r="G926" t="s">
        <v>1334</v>
      </c>
      <c r="H926" t="s">
        <v>1334</v>
      </c>
      <c r="I926" t="s">
        <v>1334</v>
      </c>
      <c r="J926" t="s">
        <v>1334</v>
      </c>
      <c r="K926" t="s">
        <v>1334</v>
      </c>
    </row>
    <row r="927" spans="1:11" x14ac:dyDescent="0.2">
      <c r="A927" t="s">
        <v>1334</v>
      </c>
      <c r="B927" t="s">
        <v>1334</v>
      </c>
      <c r="C927" t="s">
        <v>1334</v>
      </c>
      <c r="D927" t="s">
        <v>1334</v>
      </c>
      <c r="E927" t="s">
        <v>1334</v>
      </c>
      <c r="F927" t="s">
        <v>1334</v>
      </c>
      <c r="G927" t="s">
        <v>1334</v>
      </c>
      <c r="H927" t="s">
        <v>1334</v>
      </c>
      <c r="I927" t="s">
        <v>1334</v>
      </c>
      <c r="J927" t="s">
        <v>1334</v>
      </c>
      <c r="K927" t="s">
        <v>1334</v>
      </c>
    </row>
    <row r="928" spans="1:11" x14ac:dyDescent="0.2">
      <c r="A928" t="s">
        <v>1334</v>
      </c>
      <c r="B928" t="s">
        <v>1334</v>
      </c>
      <c r="C928" t="s">
        <v>1334</v>
      </c>
      <c r="D928" t="s">
        <v>1334</v>
      </c>
      <c r="E928" t="s">
        <v>1334</v>
      </c>
      <c r="F928" t="s">
        <v>1334</v>
      </c>
      <c r="G928" t="s">
        <v>1334</v>
      </c>
      <c r="H928" t="s">
        <v>1334</v>
      </c>
      <c r="I928" t="s">
        <v>1334</v>
      </c>
      <c r="J928" t="s">
        <v>1334</v>
      </c>
      <c r="K928" t="s">
        <v>1334</v>
      </c>
    </row>
    <row r="929" spans="1:11" x14ac:dyDescent="0.2">
      <c r="A929" t="s">
        <v>1334</v>
      </c>
      <c r="B929" t="s">
        <v>1334</v>
      </c>
      <c r="C929" t="s">
        <v>1334</v>
      </c>
      <c r="D929" t="s">
        <v>1334</v>
      </c>
      <c r="E929" t="s">
        <v>1334</v>
      </c>
      <c r="F929" t="s">
        <v>1334</v>
      </c>
      <c r="G929" t="s">
        <v>1334</v>
      </c>
      <c r="H929" t="s">
        <v>1334</v>
      </c>
      <c r="I929" t="s">
        <v>1334</v>
      </c>
      <c r="J929" t="s">
        <v>1334</v>
      </c>
      <c r="K929" t="s">
        <v>1334</v>
      </c>
    </row>
    <row r="930" spans="1:11" x14ac:dyDescent="0.2">
      <c r="A930" t="s">
        <v>1334</v>
      </c>
      <c r="B930" t="s">
        <v>1334</v>
      </c>
      <c r="C930" t="s">
        <v>1334</v>
      </c>
      <c r="D930" t="s">
        <v>1334</v>
      </c>
      <c r="E930" t="s">
        <v>1334</v>
      </c>
      <c r="F930" t="s">
        <v>1334</v>
      </c>
      <c r="G930" t="s">
        <v>1334</v>
      </c>
      <c r="H930" t="s">
        <v>1334</v>
      </c>
      <c r="I930" t="s">
        <v>1334</v>
      </c>
      <c r="J930" t="s">
        <v>1334</v>
      </c>
      <c r="K930" t="s">
        <v>1334</v>
      </c>
    </row>
    <row r="931" spans="1:11" x14ac:dyDescent="0.2">
      <c r="A931" t="s">
        <v>1334</v>
      </c>
      <c r="B931" t="s">
        <v>1334</v>
      </c>
      <c r="C931" t="s">
        <v>1334</v>
      </c>
      <c r="D931" t="s">
        <v>1334</v>
      </c>
      <c r="E931" t="s">
        <v>1334</v>
      </c>
      <c r="F931" t="s">
        <v>1334</v>
      </c>
      <c r="G931" t="s">
        <v>1334</v>
      </c>
      <c r="H931" t="s">
        <v>1334</v>
      </c>
      <c r="I931" t="s">
        <v>1334</v>
      </c>
      <c r="J931" t="s">
        <v>1334</v>
      </c>
      <c r="K931" t="s">
        <v>1334</v>
      </c>
    </row>
    <row r="932" spans="1:11" x14ac:dyDescent="0.2">
      <c r="A932" t="s">
        <v>1334</v>
      </c>
      <c r="B932" t="s">
        <v>1334</v>
      </c>
      <c r="C932" t="s">
        <v>1334</v>
      </c>
      <c r="D932" t="s">
        <v>1334</v>
      </c>
      <c r="E932" t="s">
        <v>1334</v>
      </c>
      <c r="F932" t="s">
        <v>1334</v>
      </c>
      <c r="G932" t="s">
        <v>1334</v>
      </c>
      <c r="H932" t="s">
        <v>1334</v>
      </c>
      <c r="I932" t="s">
        <v>1334</v>
      </c>
      <c r="J932" t="s">
        <v>1334</v>
      </c>
      <c r="K932" t="s">
        <v>1334</v>
      </c>
    </row>
    <row r="933" spans="1:11" x14ac:dyDescent="0.2">
      <c r="A933" t="s">
        <v>1334</v>
      </c>
      <c r="B933" t="s">
        <v>1334</v>
      </c>
      <c r="C933" t="s">
        <v>1334</v>
      </c>
      <c r="D933" t="s">
        <v>1334</v>
      </c>
      <c r="E933" t="s">
        <v>1334</v>
      </c>
      <c r="F933" t="s">
        <v>1334</v>
      </c>
      <c r="G933" t="s">
        <v>1334</v>
      </c>
      <c r="H933" t="s">
        <v>1334</v>
      </c>
      <c r="I933" t="s">
        <v>1334</v>
      </c>
      <c r="J933" t="s">
        <v>1334</v>
      </c>
      <c r="K933" t="s">
        <v>1334</v>
      </c>
    </row>
    <row r="934" spans="1:11" x14ac:dyDescent="0.2">
      <c r="A934" t="s">
        <v>1334</v>
      </c>
      <c r="B934" t="s">
        <v>1334</v>
      </c>
      <c r="C934" t="s">
        <v>1334</v>
      </c>
      <c r="D934" t="s">
        <v>1334</v>
      </c>
      <c r="E934" t="s">
        <v>1334</v>
      </c>
      <c r="F934" t="s">
        <v>1334</v>
      </c>
      <c r="G934" t="s">
        <v>1334</v>
      </c>
      <c r="H934" t="s">
        <v>1334</v>
      </c>
      <c r="I934" t="s">
        <v>1334</v>
      </c>
      <c r="J934" t="s">
        <v>1334</v>
      </c>
      <c r="K934" t="s">
        <v>1334</v>
      </c>
    </row>
    <row r="935" spans="1:11" x14ac:dyDescent="0.2">
      <c r="A935" t="s">
        <v>1334</v>
      </c>
      <c r="B935" t="s">
        <v>1334</v>
      </c>
      <c r="C935" t="s">
        <v>1334</v>
      </c>
      <c r="D935" t="s">
        <v>1334</v>
      </c>
      <c r="E935" t="s">
        <v>1334</v>
      </c>
      <c r="F935" t="s">
        <v>1334</v>
      </c>
      <c r="G935" t="s">
        <v>1334</v>
      </c>
      <c r="H935" t="s">
        <v>1334</v>
      </c>
      <c r="I935" t="s">
        <v>1334</v>
      </c>
      <c r="J935" t="s">
        <v>1334</v>
      </c>
      <c r="K935" t="s">
        <v>1334</v>
      </c>
    </row>
    <row r="936" spans="1:11" x14ac:dyDescent="0.2">
      <c r="A936" t="s">
        <v>1334</v>
      </c>
      <c r="B936" t="s">
        <v>1334</v>
      </c>
      <c r="C936" t="s">
        <v>1334</v>
      </c>
      <c r="D936" t="s">
        <v>1334</v>
      </c>
      <c r="E936" t="s">
        <v>1334</v>
      </c>
      <c r="F936" t="s">
        <v>1334</v>
      </c>
      <c r="G936" t="s">
        <v>1334</v>
      </c>
      <c r="H936" t="s">
        <v>1334</v>
      </c>
      <c r="I936" t="s">
        <v>1334</v>
      </c>
      <c r="J936" t="s">
        <v>1334</v>
      </c>
      <c r="K936" t="s">
        <v>1334</v>
      </c>
    </row>
    <row r="937" spans="1:11" x14ac:dyDescent="0.2">
      <c r="A937" t="s">
        <v>1334</v>
      </c>
      <c r="B937" t="s">
        <v>1334</v>
      </c>
      <c r="C937" t="s">
        <v>1334</v>
      </c>
      <c r="D937" t="s">
        <v>1334</v>
      </c>
      <c r="E937" t="s">
        <v>1334</v>
      </c>
      <c r="F937" t="s">
        <v>1334</v>
      </c>
      <c r="G937" t="s">
        <v>1334</v>
      </c>
      <c r="H937" t="s">
        <v>1334</v>
      </c>
      <c r="I937" t="s">
        <v>1334</v>
      </c>
      <c r="J937" t="s">
        <v>1334</v>
      </c>
      <c r="K937" t="s">
        <v>1334</v>
      </c>
    </row>
    <row r="938" spans="1:11" x14ac:dyDescent="0.2">
      <c r="A938" t="s">
        <v>1334</v>
      </c>
      <c r="B938" t="s">
        <v>1334</v>
      </c>
      <c r="C938" t="s">
        <v>1334</v>
      </c>
      <c r="D938" t="s">
        <v>1334</v>
      </c>
      <c r="E938" t="s">
        <v>1334</v>
      </c>
      <c r="F938" t="s">
        <v>1334</v>
      </c>
      <c r="G938" t="s">
        <v>1334</v>
      </c>
      <c r="H938" t="s">
        <v>1334</v>
      </c>
      <c r="I938" t="s">
        <v>1334</v>
      </c>
      <c r="J938" t="s">
        <v>1334</v>
      </c>
      <c r="K938" t="s">
        <v>1334</v>
      </c>
    </row>
    <row r="939" spans="1:11" x14ac:dyDescent="0.2">
      <c r="A939" t="s">
        <v>1334</v>
      </c>
      <c r="B939" t="s">
        <v>1334</v>
      </c>
      <c r="C939" t="s">
        <v>1334</v>
      </c>
      <c r="D939" t="s">
        <v>1334</v>
      </c>
      <c r="E939" t="s">
        <v>1334</v>
      </c>
      <c r="F939" t="s">
        <v>1334</v>
      </c>
      <c r="G939" t="s">
        <v>1334</v>
      </c>
      <c r="H939" t="s">
        <v>1334</v>
      </c>
      <c r="I939" t="s">
        <v>1334</v>
      </c>
      <c r="J939" t="s">
        <v>1334</v>
      </c>
      <c r="K939" t="s">
        <v>1334</v>
      </c>
    </row>
    <row r="940" spans="1:11" x14ac:dyDescent="0.2">
      <c r="A940" t="s">
        <v>1334</v>
      </c>
      <c r="B940" t="s">
        <v>1334</v>
      </c>
      <c r="C940" t="s">
        <v>1334</v>
      </c>
      <c r="D940" t="s">
        <v>1334</v>
      </c>
      <c r="E940" t="s">
        <v>1334</v>
      </c>
      <c r="F940" t="s">
        <v>1334</v>
      </c>
      <c r="G940" t="s">
        <v>1334</v>
      </c>
      <c r="H940" t="s">
        <v>1334</v>
      </c>
      <c r="I940" t="s">
        <v>1334</v>
      </c>
      <c r="J940" t="s">
        <v>1334</v>
      </c>
      <c r="K940" t="s">
        <v>1334</v>
      </c>
    </row>
    <row r="941" spans="1:11" x14ac:dyDescent="0.2">
      <c r="A941" t="s">
        <v>1334</v>
      </c>
      <c r="B941" t="s">
        <v>1334</v>
      </c>
      <c r="C941" t="s">
        <v>1334</v>
      </c>
      <c r="D941" t="s">
        <v>1334</v>
      </c>
      <c r="E941" t="s">
        <v>1334</v>
      </c>
      <c r="F941" t="s">
        <v>1334</v>
      </c>
      <c r="G941" t="s">
        <v>1334</v>
      </c>
      <c r="H941" t="s">
        <v>1334</v>
      </c>
      <c r="I941" t="s">
        <v>1334</v>
      </c>
      <c r="J941" t="s">
        <v>1334</v>
      </c>
      <c r="K941" t="s">
        <v>1334</v>
      </c>
    </row>
    <row r="942" spans="1:11" x14ac:dyDescent="0.2">
      <c r="A942" t="s">
        <v>1334</v>
      </c>
      <c r="B942" t="s">
        <v>1334</v>
      </c>
      <c r="C942" t="s">
        <v>1334</v>
      </c>
      <c r="D942" t="s">
        <v>1334</v>
      </c>
      <c r="E942" t="s">
        <v>1334</v>
      </c>
      <c r="F942" t="s">
        <v>1334</v>
      </c>
      <c r="G942" t="s">
        <v>1334</v>
      </c>
      <c r="H942" t="s">
        <v>1334</v>
      </c>
      <c r="I942" t="s">
        <v>1334</v>
      </c>
      <c r="J942" t="s">
        <v>1334</v>
      </c>
      <c r="K942" t="s">
        <v>1334</v>
      </c>
    </row>
    <row r="943" spans="1:11" x14ac:dyDescent="0.2">
      <c r="A943" t="s">
        <v>1334</v>
      </c>
      <c r="B943" t="s">
        <v>1334</v>
      </c>
      <c r="C943" t="s">
        <v>1334</v>
      </c>
      <c r="D943" t="s">
        <v>1334</v>
      </c>
      <c r="E943" t="s">
        <v>1334</v>
      </c>
      <c r="F943" t="s">
        <v>1334</v>
      </c>
      <c r="G943" t="s">
        <v>1334</v>
      </c>
      <c r="H943" t="s">
        <v>1334</v>
      </c>
      <c r="I943" t="s">
        <v>1334</v>
      </c>
      <c r="J943" t="s">
        <v>1334</v>
      </c>
      <c r="K943" t="s">
        <v>1334</v>
      </c>
    </row>
    <row r="944" spans="1:11" x14ac:dyDescent="0.2">
      <c r="A944" t="s">
        <v>1334</v>
      </c>
      <c r="B944" t="s">
        <v>1334</v>
      </c>
      <c r="C944" t="s">
        <v>1334</v>
      </c>
      <c r="D944" t="s">
        <v>1334</v>
      </c>
      <c r="E944" t="s">
        <v>1334</v>
      </c>
      <c r="F944" t="s">
        <v>1334</v>
      </c>
      <c r="G944" t="s">
        <v>1334</v>
      </c>
      <c r="H944" t="s">
        <v>1334</v>
      </c>
      <c r="I944" t="s">
        <v>1334</v>
      </c>
      <c r="J944" t="s">
        <v>1334</v>
      </c>
      <c r="K944" t="s">
        <v>1334</v>
      </c>
    </row>
    <row r="945" spans="1:11" x14ac:dyDescent="0.2">
      <c r="A945" t="s">
        <v>1334</v>
      </c>
      <c r="B945" t="s">
        <v>1334</v>
      </c>
      <c r="C945" t="s">
        <v>1334</v>
      </c>
      <c r="D945" t="s">
        <v>1334</v>
      </c>
      <c r="E945" t="s">
        <v>1334</v>
      </c>
      <c r="F945" t="s">
        <v>1334</v>
      </c>
      <c r="G945" t="s">
        <v>1334</v>
      </c>
      <c r="H945" t="s">
        <v>1334</v>
      </c>
      <c r="I945" t="s">
        <v>1334</v>
      </c>
      <c r="J945" t="s">
        <v>1334</v>
      </c>
      <c r="K945" t="s">
        <v>1334</v>
      </c>
    </row>
    <row r="946" spans="1:11" x14ac:dyDescent="0.2">
      <c r="A946" t="s">
        <v>1334</v>
      </c>
      <c r="B946" t="s">
        <v>1334</v>
      </c>
      <c r="C946" t="s">
        <v>1334</v>
      </c>
      <c r="D946" t="s">
        <v>1334</v>
      </c>
      <c r="E946" t="s">
        <v>1334</v>
      </c>
      <c r="F946" t="s">
        <v>1334</v>
      </c>
      <c r="G946" t="s">
        <v>1334</v>
      </c>
      <c r="H946" t="s">
        <v>1334</v>
      </c>
      <c r="I946" t="s">
        <v>1334</v>
      </c>
      <c r="J946" t="s">
        <v>1334</v>
      </c>
      <c r="K946" t="s">
        <v>1334</v>
      </c>
    </row>
    <row r="947" spans="1:11" x14ac:dyDescent="0.2">
      <c r="A947" t="s">
        <v>1334</v>
      </c>
      <c r="B947" t="s">
        <v>1334</v>
      </c>
      <c r="C947" t="s">
        <v>1334</v>
      </c>
      <c r="D947" t="s">
        <v>1334</v>
      </c>
      <c r="E947" t="s">
        <v>1334</v>
      </c>
      <c r="F947" t="s">
        <v>1334</v>
      </c>
      <c r="G947" t="s">
        <v>1334</v>
      </c>
      <c r="H947" t="s">
        <v>1334</v>
      </c>
      <c r="I947" t="s">
        <v>1334</v>
      </c>
      <c r="J947" t="s">
        <v>1334</v>
      </c>
      <c r="K947" t="s">
        <v>1334</v>
      </c>
    </row>
    <row r="948" spans="1:11" x14ac:dyDescent="0.2">
      <c r="A948" t="s">
        <v>1334</v>
      </c>
      <c r="B948" t="s">
        <v>1334</v>
      </c>
      <c r="C948" t="s">
        <v>1334</v>
      </c>
      <c r="D948" t="s">
        <v>1334</v>
      </c>
      <c r="E948" t="s">
        <v>1334</v>
      </c>
      <c r="F948" t="s">
        <v>1334</v>
      </c>
      <c r="G948" t="s">
        <v>1334</v>
      </c>
      <c r="H948" t="s">
        <v>1334</v>
      </c>
      <c r="I948" t="s">
        <v>1334</v>
      </c>
      <c r="J948" t="s">
        <v>1334</v>
      </c>
      <c r="K948" t="s">
        <v>1334</v>
      </c>
    </row>
    <row r="949" spans="1:11" x14ac:dyDescent="0.2">
      <c r="A949" t="s">
        <v>1334</v>
      </c>
      <c r="B949" t="s">
        <v>1334</v>
      </c>
      <c r="C949" t="s">
        <v>1334</v>
      </c>
      <c r="D949" t="s">
        <v>1334</v>
      </c>
      <c r="E949" t="s">
        <v>1334</v>
      </c>
      <c r="F949" t="s">
        <v>1334</v>
      </c>
      <c r="G949" t="s">
        <v>1334</v>
      </c>
      <c r="H949" t="s">
        <v>1334</v>
      </c>
      <c r="I949" t="s">
        <v>1334</v>
      </c>
      <c r="J949" t="s">
        <v>1334</v>
      </c>
      <c r="K949" t="s">
        <v>1334</v>
      </c>
    </row>
    <row r="950" spans="1:11" x14ac:dyDescent="0.2">
      <c r="A950" t="s">
        <v>1334</v>
      </c>
      <c r="B950" t="s">
        <v>1334</v>
      </c>
      <c r="C950" t="s">
        <v>1334</v>
      </c>
      <c r="D950" t="s">
        <v>1334</v>
      </c>
      <c r="E950" t="s">
        <v>1334</v>
      </c>
      <c r="F950" t="s">
        <v>1334</v>
      </c>
      <c r="G950" t="s">
        <v>1334</v>
      </c>
      <c r="H950" t="s">
        <v>1334</v>
      </c>
      <c r="I950" t="s">
        <v>1334</v>
      </c>
      <c r="J950" t="s">
        <v>1334</v>
      </c>
      <c r="K950" t="s">
        <v>1334</v>
      </c>
    </row>
    <row r="951" spans="1:11" x14ac:dyDescent="0.2">
      <c r="A951" t="s">
        <v>1334</v>
      </c>
      <c r="B951" t="s">
        <v>1334</v>
      </c>
      <c r="C951" t="s">
        <v>1334</v>
      </c>
      <c r="D951" t="s">
        <v>1334</v>
      </c>
      <c r="E951" t="s">
        <v>1334</v>
      </c>
      <c r="F951" t="s">
        <v>1334</v>
      </c>
      <c r="G951" t="s">
        <v>1334</v>
      </c>
      <c r="H951" t="s">
        <v>1334</v>
      </c>
      <c r="I951" t="s">
        <v>1334</v>
      </c>
      <c r="J951" t="s">
        <v>1334</v>
      </c>
      <c r="K951" t="s">
        <v>1334</v>
      </c>
    </row>
    <row r="952" spans="1:11" x14ac:dyDescent="0.2">
      <c r="A952" t="s">
        <v>1334</v>
      </c>
      <c r="B952" t="s">
        <v>1334</v>
      </c>
      <c r="C952" t="s">
        <v>1334</v>
      </c>
      <c r="D952" t="s">
        <v>1334</v>
      </c>
      <c r="E952" t="s">
        <v>1334</v>
      </c>
      <c r="F952" t="s">
        <v>1334</v>
      </c>
      <c r="G952" t="s">
        <v>1334</v>
      </c>
      <c r="H952" t="s">
        <v>1334</v>
      </c>
      <c r="I952" t="s">
        <v>1334</v>
      </c>
      <c r="J952" t="s">
        <v>1334</v>
      </c>
      <c r="K952" t="s">
        <v>1334</v>
      </c>
    </row>
    <row r="953" spans="1:11" x14ac:dyDescent="0.2">
      <c r="A953" t="s">
        <v>1334</v>
      </c>
      <c r="B953" t="s">
        <v>1334</v>
      </c>
      <c r="C953" t="s">
        <v>1334</v>
      </c>
      <c r="D953" t="s">
        <v>1334</v>
      </c>
      <c r="E953" t="s">
        <v>1334</v>
      </c>
      <c r="F953" t="s">
        <v>1334</v>
      </c>
      <c r="G953" t="s">
        <v>1334</v>
      </c>
      <c r="H953" t="s">
        <v>1334</v>
      </c>
      <c r="I953" t="s">
        <v>1334</v>
      </c>
      <c r="J953" t="s">
        <v>1334</v>
      </c>
      <c r="K953" t="s">
        <v>1334</v>
      </c>
    </row>
    <row r="954" spans="1:11" x14ac:dyDescent="0.2">
      <c r="A954" t="s">
        <v>1334</v>
      </c>
      <c r="B954" t="s">
        <v>1334</v>
      </c>
      <c r="C954" t="s">
        <v>1334</v>
      </c>
      <c r="D954" t="s">
        <v>1334</v>
      </c>
      <c r="E954" t="s">
        <v>1334</v>
      </c>
      <c r="F954" t="s">
        <v>1334</v>
      </c>
      <c r="G954" t="s">
        <v>1334</v>
      </c>
      <c r="H954" t="s">
        <v>1334</v>
      </c>
      <c r="I954" t="s">
        <v>1334</v>
      </c>
      <c r="J954" t="s">
        <v>1334</v>
      </c>
      <c r="K954" t="s">
        <v>1334</v>
      </c>
    </row>
    <row r="955" spans="1:11" x14ac:dyDescent="0.2">
      <c r="A955" t="s">
        <v>1334</v>
      </c>
      <c r="B955" t="s">
        <v>1334</v>
      </c>
      <c r="C955" t="s">
        <v>1334</v>
      </c>
      <c r="D955" t="s">
        <v>1334</v>
      </c>
      <c r="E955" t="s">
        <v>1334</v>
      </c>
      <c r="F955" t="s">
        <v>1334</v>
      </c>
      <c r="G955" t="s">
        <v>1334</v>
      </c>
      <c r="H955" t="s">
        <v>1334</v>
      </c>
      <c r="I955" t="s">
        <v>1334</v>
      </c>
      <c r="J955" t="s">
        <v>1334</v>
      </c>
      <c r="K955" t="s">
        <v>1334</v>
      </c>
    </row>
    <row r="956" spans="1:11" x14ac:dyDescent="0.2">
      <c r="A956" t="s">
        <v>1334</v>
      </c>
      <c r="B956" t="s">
        <v>1334</v>
      </c>
      <c r="C956" t="s">
        <v>1334</v>
      </c>
      <c r="D956" t="s">
        <v>1334</v>
      </c>
      <c r="E956" t="s">
        <v>1334</v>
      </c>
      <c r="F956" t="s">
        <v>1334</v>
      </c>
      <c r="G956" t="s">
        <v>1334</v>
      </c>
      <c r="H956" t="s">
        <v>1334</v>
      </c>
      <c r="I956" t="s">
        <v>1334</v>
      </c>
      <c r="J956" t="s">
        <v>1334</v>
      </c>
      <c r="K956" t="s">
        <v>1334</v>
      </c>
    </row>
    <row r="957" spans="1:11" x14ac:dyDescent="0.2">
      <c r="A957" t="s">
        <v>1334</v>
      </c>
      <c r="B957" t="s">
        <v>1334</v>
      </c>
      <c r="C957" t="s">
        <v>1334</v>
      </c>
      <c r="D957" t="s">
        <v>1334</v>
      </c>
      <c r="E957" t="s">
        <v>1334</v>
      </c>
      <c r="F957" t="s">
        <v>1334</v>
      </c>
      <c r="G957" t="s">
        <v>1334</v>
      </c>
      <c r="H957" t="s">
        <v>1334</v>
      </c>
      <c r="I957" t="s">
        <v>1334</v>
      </c>
      <c r="J957" t="s">
        <v>1334</v>
      </c>
      <c r="K957" t="s">
        <v>1334</v>
      </c>
    </row>
    <row r="958" spans="1:11" x14ac:dyDescent="0.2">
      <c r="A958" t="s">
        <v>1334</v>
      </c>
      <c r="B958" t="s">
        <v>1334</v>
      </c>
      <c r="C958" t="s">
        <v>1334</v>
      </c>
      <c r="D958" t="s">
        <v>1334</v>
      </c>
      <c r="E958" t="s">
        <v>1334</v>
      </c>
      <c r="F958" t="s">
        <v>1334</v>
      </c>
      <c r="G958" t="s">
        <v>1334</v>
      </c>
      <c r="H958" t="s">
        <v>1334</v>
      </c>
      <c r="I958" t="s">
        <v>1334</v>
      </c>
      <c r="J958" t="s">
        <v>1334</v>
      </c>
      <c r="K958" t="s">
        <v>1334</v>
      </c>
    </row>
    <row r="959" spans="1:11" x14ac:dyDescent="0.2">
      <c r="A959" t="s">
        <v>1334</v>
      </c>
      <c r="B959" t="s">
        <v>1334</v>
      </c>
      <c r="C959" t="s">
        <v>1334</v>
      </c>
      <c r="D959" t="s">
        <v>1334</v>
      </c>
      <c r="E959" t="s">
        <v>1334</v>
      </c>
      <c r="F959" t="s">
        <v>1334</v>
      </c>
      <c r="G959" t="s">
        <v>1334</v>
      </c>
      <c r="H959" t="s">
        <v>1334</v>
      </c>
      <c r="I959" t="s">
        <v>1334</v>
      </c>
      <c r="J959" t="s">
        <v>1334</v>
      </c>
      <c r="K959" t="s">
        <v>1334</v>
      </c>
    </row>
    <row r="960" spans="1:11" x14ac:dyDescent="0.2">
      <c r="A960" t="s">
        <v>1334</v>
      </c>
      <c r="B960" t="s">
        <v>1334</v>
      </c>
      <c r="C960" t="s">
        <v>1334</v>
      </c>
      <c r="D960" t="s">
        <v>1334</v>
      </c>
      <c r="E960" t="s">
        <v>1334</v>
      </c>
      <c r="F960" t="s">
        <v>1334</v>
      </c>
      <c r="G960" t="s">
        <v>1334</v>
      </c>
      <c r="H960" t="s">
        <v>1334</v>
      </c>
      <c r="I960" t="s">
        <v>1334</v>
      </c>
      <c r="J960" t="s">
        <v>1334</v>
      </c>
      <c r="K960" t="s">
        <v>1334</v>
      </c>
    </row>
    <row r="961" spans="1:11" x14ac:dyDescent="0.2">
      <c r="A961" t="s">
        <v>1334</v>
      </c>
      <c r="B961" t="s">
        <v>1334</v>
      </c>
      <c r="C961" t="s">
        <v>1334</v>
      </c>
      <c r="D961" t="s">
        <v>1334</v>
      </c>
      <c r="E961" t="s">
        <v>1334</v>
      </c>
      <c r="F961" t="s">
        <v>1334</v>
      </c>
      <c r="G961" t="s">
        <v>1334</v>
      </c>
      <c r="H961" t="s">
        <v>1334</v>
      </c>
      <c r="I961" t="s">
        <v>1334</v>
      </c>
      <c r="J961" t="s">
        <v>1334</v>
      </c>
      <c r="K961" t="s">
        <v>1334</v>
      </c>
    </row>
    <row r="962" spans="1:11" x14ac:dyDescent="0.2">
      <c r="A962" t="s">
        <v>1334</v>
      </c>
      <c r="B962" t="s">
        <v>1334</v>
      </c>
      <c r="C962" t="s">
        <v>1334</v>
      </c>
      <c r="D962" t="s">
        <v>1334</v>
      </c>
      <c r="E962" t="s">
        <v>1334</v>
      </c>
      <c r="F962" t="s">
        <v>1334</v>
      </c>
      <c r="G962" t="s">
        <v>1334</v>
      </c>
      <c r="H962" t="s">
        <v>1334</v>
      </c>
      <c r="I962" t="s">
        <v>1334</v>
      </c>
      <c r="J962" t="s">
        <v>1334</v>
      </c>
      <c r="K962" t="s">
        <v>1334</v>
      </c>
    </row>
    <row r="963" spans="1:11" x14ac:dyDescent="0.2">
      <c r="A963" t="s">
        <v>1334</v>
      </c>
      <c r="B963" t="s">
        <v>1334</v>
      </c>
      <c r="C963" t="s">
        <v>1334</v>
      </c>
      <c r="D963" t="s">
        <v>1334</v>
      </c>
      <c r="E963" t="s">
        <v>1334</v>
      </c>
      <c r="F963" t="s">
        <v>1334</v>
      </c>
      <c r="G963" t="s">
        <v>1334</v>
      </c>
      <c r="H963" t="s">
        <v>1334</v>
      </c>
      <c r="I963" t="s">
        <v>1334</v>
      </c>
      <c r="J963" t="s">
        <v>1334</v>
      </c>
      <c r="K963" t="s">
        <v>1334</v>
      </c>
    </row>
    <row r="964" spans="1:11" x14ac:dyDescent="0.2">
      <c r="A964" t="s">
        <v>1334</v>
      </c>
      <c r="B964" t="s">
        <v>1334</v>
      </c>
      <c r="C964" t="s">
        <v>1334</v>
      </c>
      <c r="D964" t="s">
        <v>1334</v>
      </c>
      <c r="E964" t="s">
        <v>1334</v>
      </c>
      <c r="F964" t="s">
        <v>1334</v>
      </c>
      <c r="G964" t="s">
        <v>1334</v>
      </c>
      <c r="H964" t="s">
        <v>1334</v>
      </c>
      <c r="I964" t="s">
        <v>1334</v>
      </c>
      <c r="J964" t="s">
        <v>1334</v>
      </c>
      <c r="K964" t="s">
        <v>1334</v>
      </c>
    </row>
    <row r="965" spans="1:11" x14ac:dyDescent="0.2">
      <c r="A965" t="s">
        <v>1334</v>
      </c>
      <c r="B965" t="s">
        <v>1334</v>
      </c>
      <c r="C965" t="s">
        <v>1334</v>
      </c>
      <c r="D965" t="s">
        <v>1334</v>
      </c>
      <c r="E965" t="s">
        <v>1334</v>
      </c>
      <c r="F965" t="s">
        <v>1334</v>
      </c>
      <c r="G965" t="s">
        <v>1334</v>
      </c>
      <c r="H965" t="s">
        <v>1334</v>
      </c>
      <c r="I965" t="s">
        <v>1334</v>
      </c>
      <c r="J965" t="s">
        <v>1334</v>
      </c>
      <c r="K965" t="s">
        <v>1334</v>
      </c>
    </row>
    <row r="966" spans="1:11" x14ac:dyDescent="0.2">
      <c r="A966" t="s">
        <v>1334</v>
      </c>
      <c r="B966" t="s">
        <v>1334</v>
      </c>
      <c r="C966" t="s">
        <v>1334</v>
      </c>
      <c r="D966" t="s">
        <v>1334</v>
      </c>
      <c r="E966" t="s">
        <v>1334</v>
      </c>
      <c r="F966" t="s">
        <v>1334</v>
      </c>
      <c r="G966" t="s">
        <v>1334</v>
      </c>
      <c r="H966" t="s">
        <v>1334</v>
      </c>
      <c r="I966" t="s">
        <v>1334</v>
      </c>
      <c r="J966" t="s">
        <v>1334</v>
      </c>
      <c r="K966" t="s">
        <v>1334</v>
      </c>
    </row>
    <row r="967" spans="1:11" x14ac:dyDescent="0.2">
      <c r="A967" t="s">
        <v>1334</v>
      </c>
      <c r="B967" t="s">
        <v>1334</v>
      </c>
      <c r="C967" t="s">
        <v>1334</v>
      </c>
      <c r="D967" t="s">
        <v>1334</v>
      </c>
      <c r="E967" t="s">
        <v>1334</v>
      </c>
      <c r="F967" t="s">
        <v>1334</v>
      </c>
      <c r="G967" t="s">
        <v>1334</v>
      </c>
      <c r="H967" t="s">
        <v>1334</v>
      </c>
      <c r="I967" t="s">
        <v>1334</v>
      </c>
      <c r="J967" t="s">
        <v>1334</v>
      </c>
      <c r="K967" t="s">
        <v>1334</v>
      </c>
    </row>
    <row r="968" spans="1:11" x14ac:dyDescent="0.2">
      <c r="A968" t="s">
        <v>1334</v>
      </c>
      <c r="B968" t="s">
        <v>1334</v>
      </c>
      <c r="C968" t="s">
        <v>1334</v>
      </c>
      <c r="D968" t="s">
        <v>1334</v>
      </c>
      <c r="E968" t="s">
        <v>1334</v>
      </c>
      <c r="F968" t="s">
        <v>1334</v>
      </c>
      <c r="G968" t="s">
        <v>1334</v>
      </c>
      <c r="H968" t="s">
        <v>1334</v>
      </c>
      <c r="I968" t="s">
        <v>1334</v>
      </c>
      <c r="J968" t="s">
        <v>1334</v>
      </c>
      <c r="K968" t="s">
        <v>1334</v>
      </c>
    </row>
    <row r="969" spans="1:11" x14ac:dyDescent="0.2">
      <c r="A969" t="s">
        <v>1334</v>
      </c>
      <c r="B969" t="s">
        <v>1334</v>
      </c>
      <c r="C969" t="s">
        <v>1334</v>
      </c>
      <c r="D969" t="s">
        <v>1334</v>
      </c>
      <c r="E969" t="s">
        <v>1334</v>
      </c>
      <c r="F969" t="s">
        <v>1334</v>
      </c>
      <c r="G969" t="s">
        <v>1334</v>
      </c>
      <c r="H969" t="s">
        <v>1334</v>
      </c>
      <c r="I969" t="s">
        <v>1334</v>
      </c>
      <c r="J969" t="s">
        <v>1334</v>
      </c>
      <c r="K969" t="s">
        <v>1334</v>
      </c>
    </row>
    <row r="970" spans="1:11" x14ac:dyDescent="0.2">
      <c r="A970" t="s">
        <v>1334</v>
      </c>
      <c r="B970" t="s">
        <v>1334</v>
      </c>
      <c r="C970" t="s">
        <v>1334</v>
      </c>
      <c r="D970" t="s">
        <v>1334</v>
      </c>
      <c r="E970" t="s">
        <v>1334</v>
      </c>
      <c r="F970" t="s">
        <v>1334</v>
      </c>
      <c r="G970" t="s">
        <v>1334</v>
      </c>
      <c r="H970" t="s">
        <v>1334</v>
      </c>
      <c r="I970" t="s">
        <v>1334</v>
      </c>
      <c r="J970" t="s">
        <v>1334</v>
      </c>
      <c r="K970" t="s">
        <v>1334</v>
      </c>
    </row>
    <row r="971" spans="1:11" x14ac:dyDescent="0.2">
      <c r="A971" t="s">
        <v>1334</v>
      </c>
      <c r="B971" t="s">
        <v>1334</v>
      </c>
      <c r="C971" t="s">
        <v>1334</v>
      </c>
      <c r="D971" t="s">
        <v>1334</v>
      </c>
      <c r="E971" t="s">
        <v>1334</v>
      </c>
      <c r="F971" t="s">
        <v>1334</v>
      </c>
      <c r="G971" t="s">
        <v>1334</v>
      </c>
      <c r="H971" t="s">
        <v>1334</v>
      </c>
      <c r="I971" t="s">
        <v>1334</v>
      </c>
      <c r="J971" t="s">
        <v>1334</v>
      </c>
      <c r="K971" t="s">
        <v>1334</v>
      </c>
    </row>
    <row r="972" spans="1:11" x14ac:dyDescent="0.2">
      <c r="A972" t="s">
        <v>1334</v>
      </c>
      <c r="B972" t="s">
        <v>1334</v>
      </c>
      <c r="C972" t="s">
        <v>1334</v>
      </c>
      <c r="D972" t="s">
        <v>1334</v>
      </c>
      <c r="E972" t="s">
        <v>1334</v>
      </c>
      <c r="F972" t="s">
        <v>1334</v>
      </c>
      <c r="G972" t="s">
        <v>1334</v>
      </c>
      <c r="H972" t="s">
        <v>1334</v>
      </c>
      <c r="I972" t="s">
        <v>1334</v>
      </c>
      <c r="J972" t="s">
        <v>1334</v>
      </c>
      <c r="K972" t="s">
        <v>1334</v>
      </c>
    </row>
    <row r="973" spans="1:11" x14ac:dyDescent="0.2">
      <c r="A973" t="s">
        <v>1334</v>
      </c>
      <c r="B973" t="s">
        <v>1334</v>
      </c>
      <c r="C973" t="s">
        <v>1334</v>
      </c>
      <c r="D973" t="s">
        <v>1334</v>
      </c>
      <c r="E973" t="s">
        <v>1334</v>
      </c>
      <c r="F973" t="s">
        <v>1334</v>
      </c>
      <c r="G973" t="s">
        <v>1334</v>
      </c>
      <c r="H973" t="s">
        <v>1334</v>
      </c>
      <c r="I973" t="s">
        <v>1334</v>
      </c>
      <c r="J973" t="s">
        <v>1334</v>
      </c>
      <c r="K973" t="s">
        <v>1334</v>
      </c>
    </row>
    <row r="974" spans="1:11" x14ac:dyDescent="0.2">
      <c r="A974" t="s">
        <v>1334</v>
      </c>
      <c r="B974" t="s">
        <v>1334</v>
      </c>
      <c r="C974" t="s">
        <v>1334</v>
      </c>
      <c r="D974" t="s">
        <v>1334</v>
      </c>
      <c r="E974" t="s">
        <v>1334</v>
      </c>
      <c r="F974" t="s">
        <v>1334</v>
      </c>
      <c r="G974" t="s">
        <v>1334</v>
      </c>
      <c r="H974" t="s">
        <v>1334</v>
      </c>
      <c r="I974" t="s">
        <v>1334</v>
      </c>
      <c r="J974" t="s">
        <v>1334</v>
      </c>
      <c r="K974" t="s">
        <v>1334</v>
      </c>
    </row>
    <row r="975" spans="1:11" x14ac:dyDescent="0.2">
      <c r="A975" t="s">
        <v>1334</v>
      </c>
      <c r="B975" t="s">
        <v>1334</v>
      </c>
      <c r="C975" t="s">
        <v>1334</v>
      </c>
      <c r="D975" t="s">
        <v>1334</v>
      </c>
      <c r="E975" t="s">
        <v>1334</v>
      </c>
      <c r="F975" t="s">
        <v>1334</v>
      </c>
      <c r="G975" t="s">
        <v>1334</v>
      </c>
      <c r="H975" t="s">
        <v>1334</v>
      </c>
      <c r="I975" t="s">
        <v>1334</v>
      </c>
      <c r="J975" t="s">
        <v>1334</v>
      </c>
      <c r="K975" t="s">
        <v>1334</v>
      </c>
    </row>
    <row r="976" spans="1:11" x14ac:dyDescent="0.2">
      <c r="A976" t="s">
        <v>1334</v>
      </c>
      <c r="B976" t="s">
        <v>1334</v>
      </c>
      <c r="C976" t="s">
        <v>1334</v>
      </c>
      <c r="D976" t="s">
        <v>1334</v>
      </c>
      <c r="E976" t="s">
        <v>1334</v>
      </c>
      <c r="F976" t="s">
        <v>1334</v>
      </c>
      <c r="G976" t="s">
        <v>1334</v>
      </c>
      <c r="H976" t="s">
        <v>1334</v>
      </c>
      <c r="I976" t="s">
        <v>1334</v>
      </c>
      <c r="J976" t="s">
        <v>1334</v>
      </c>
      <c r="K976" t="s">
        <v>1334</v>
      </c>
    </row>
    <row r="977" spans="1:11" x14ac:dyDescent="0.2">
      <c r="A977" t="s">
        <v>1334</v>
      </c>
      <c r="B977" t="s">
        <v>1334</v>
      </c>
      <c r="C977" t="s">
        <v>1334</v>
      </c>
      <c r="D977" t="s">
        <v>1334</v>
      </c>
      <c r="E977" t="s">
        <v>1334</v>
      </c>
      <c r="F977" t="s">
        <v>1334</v>
      </c>
      <c r="G977" t="s">
        <v>1334</v>
      </c>
      <c r="H977" t="s">
        <v>1334</v>
      </c>
      <c r="I977" t="s">
        <v>1334</v>
      </c>
      <c r="J977" t="s">
        <v>1334</v>
      </c>
      <c r="K977" t="s">
        <v>1334</v>
      </c>
    </row>
    <row r="978" spans="1:11" x14ac:dyDescent="0.2">
      <c r="A978" t="s">
        <v>1334</v>
      </c>
      <c r="B978" t="s">
        <v>1334</v>
      </c>
      <c r="C978" t="s">
        <v>1334</v>
      </c>
      <c r="D978" t="s">
        <v>1334</v>
      </c>
      <c r="E978" t="s">
        <v>1334</v>
      </c>
      <c r="F978" t="s">
        <v>1334</v>
      </c>
      <c r="G978" t="s">
        <v>1334</v>
      </c>
      <c r="H978" t="s">
        <v>1334</v>
      </c>
      <c r="I978" t="s">
        <v>1334</v>
      </c>
      <c r="J978" t="s">
        <v>1334</v>
      </c>
      <c r="K978" t="s">
        <v>1334</v>
      </c>
    </row>
    <row r="979" spans="1:11" x14ac:dyDescent="0.2">
      <c r="A979" t="s">
        <v>1334</v>
      </c>
      <c r="B979" t="s">
        <v>1334</v>
      </c>
      <c r="C979" t="s">
        <v>1334</v>
      </c>
      <c r="D979" t="s">
        <v>1334</v>
      </c>
      <c r="E979" t="s">
        <v>1334</v>
      </c>
      <c r="F979" t="s">
        <v>1334</v>
      </c>
      <c r="G979" t="s">
        <v>1334</v>
      </c>
      <c r="H979" t="s">
        <v>1334</v>
      </c>
      <c r="I979" t="s">
        <v>1334</v>
      </c>
      <c r="J979" t="s">
        <v>1334</v>
      </c>
      <c r="K979" t="s">
        <v>1334</v>
      </c>
    </row>
    <row r="980" spans="1:11" x14ac:dyDescent="0.2">
      <c r="A980" t="s">
        <v>1334</v>
      </c>
      <c r="B980" t="s">
        <v>1334</v>
      </c>
      <c r="C980" t="s">
        <v>1334</v>
      </c>
      <c r="D980" t="s">
        <v>1334</v>
      </c>
      <c r="E980" t="s">
        <v>1334</v>
      </c>
      <c r="F980" t="s">
        <v>1334</v>
      </c>
      <c r="G980" t="s">
        <v>1334</v>
      </c>
      <c r="H980" t="s">
        <v>1334</v>
      </c>
      <c r="I980" t="s">
        <v>1334</v>
      </c>
      <c r="J980" t="s">
        <v>1334</v>
      </c>
      <c r="K980" t="s">
        <v>1334</v>
      </c>
    </row>
    <row r="981" spans="1:11" x14ac:dyDescent="0.2">
      <c r="A981" t="s">
        <v>1334</v>
      </c>
      <c r="B981" t="s">
        <v>1334</v>
      </c>
      <c r="C981" t="s">
        <v>1334</v>
      </c>
      <c r="D981" t="s">
        <v>1334</v>
      </c>
      <c r="E981" t="s">
        <v>1334</v>
      </c>
      <c r="F981" t="s">
        <v>1334</v>
      </c>
      <c r="G981" t="s">
        <v>1334</v>
      </c>
      <c r="H981" t="s">
        <v>1334</v>
      </c>
      <c r="I981" t="s">
        <v>1334</v>
      </c>
      <c r="J981" t="s">
        <v>1334</v>
      </c>
      <c r="K981" t="s">
        <v>1334</v>
      </c>
    </row>
    <row r="982" spans="1:11" x14ac:dyDescent="0.2">
      <c r="A982" t="s">
        <v>1334</v>
      </c>
      <c r="B982" t="s">
        <v>1334</v>
      </c>
      <c r="C982" t="s">
        <v>1334</v>
      </c>
      <c r="D982" t="s">
        <v>1334</v>
      </c>
      <c r="E982" t="s">
        <v>1334</v>
      </c>
      <c r="F982" t="s">
        <v>1334</v>
      </c>
      <c r="G982" t="s">
        <v>1334</v>
      </c>
      <c r="H982" t="s">
        <v>1334</v>
      </c>
      <c r="I982" t="s">
        <v>1334</v>
      </c>
      <c r="J982" t="s">
        <v>1334</v>
      </c>
      <c r="K982" t="s">
        <v>1334</v>
      </c>
    </row>
    <row r="983" spans="1:11" x14ac:dyDescent="0.2">
      <c r="A983" t="s">
        <v>1334</v>
      </c>
      <c r="B983" t="s">
        <v>1334</v>
      </c>
      <c r="C983" t="s">
        <v>1334</v>
      </c>
      <c r="D983" t="s">
        <v>1334</v>
      </c>
      <c r="E983" t="s">
        <v>1334</v>
      </c>
      <c r="F983" t="s">
        <v>1334</v>
      </c>
      <c r="G983" t="s">
        <v>1334</v>
      </c>
      <c r="H983" t="s">
        <v>1334</v>
      </c>
      <c r="I983" t="s">
        <v>1334</v>
      </c>
      <c r="J983" t="s">
        <v>1334</v>
      </c>
      <c r="K983" t="s">
        <v>1334</v>
      </c>
    </row>
    <row r="984" spans="1:11" x14ac:dyDescent="0.2">
      <c r="A984" t="s">
        <v>1334</v>
      </c>
      <c r="B984" t="s">
        <v>1334</v>
      </c>
      <c r="C984" t="s">
        <v>1334</v>
      </c>
      <c r="D984" t="s">
        <v>1334</v>
      </c>
      <c r="E984" t="s">
        <v>1334</v>
      </c>
      <c r="F984" t="s">
        <v>1334</v>
      </c>
      <c r="G984" t="s">
        <v>1334</v>
      </c>
      <c r="H984" t="s">
        <v>1334</v>
      </c>
      <c r="I984" t="s">
        <v>1334</v>
      </c>
      <c r="J984" t="s">
        <v>1334</v>
      </c>
      <c r="K984" t="s">
        <v>1334</v>
      </c>
    </row>
    <row r="985" spans="1:11" x14ac:dyDescent="0.2">
      <c r="A985" t="s">
        <v>1334</v>
      </c>
      <c r="B985" t="s">
        <v>1334</v>
      </c>
      <c r="C985" t="s">
        <v>1334</v>
      </c>
      <c r="D985" t="s">
        <v>1334</v>
      </c>
      <c r="E985" t="s">
        <v>1334</v>
      </c>
      <c r="F985" t="s">
        <v>1334</v>
      </c>
      <c r="G985" t="s">
        <v>1334</v>
      </c>
      <c r="H985" t="s">
        <v>1334</v>
      </c>
      <c r="I985" t="s">
        <v>1334</v>
      </c>
      <c r="J985" t="s">
        <v>1334</v>
      </c>
      <c r="K985" t="s">
        <v>1334</v>
      </c>
    </row>
    <row r="986" spans="1:11" x14ac:dyDescent="0.2">
      <c r="A986" t="s">
        <v>1334</v>
      </c>
      <c r="B986" t="s">
        <v>1334</v>
      </c>
      <c r="C986" t="s">
        <v>1334</v>
      </c>
      <c r="D986" t="s">
        <v>1334</v>
      </c>
      <c r="E986" t="s">
        <v>1334</v>
      </c>
      <c r="F986" t="s">
        <v>1334</v>
      </c>
      <c r="G986" t="s">
        <v>1334</v>
      </c>
      <c r="H986" t="s">
        <v>1334</v>
      </c>
      <c r="I986" t="s">
        <v>1334</v>
      </c>
      <c r="J986" t="s">
        <v>1334</v>
      </c>
      <c r="K986" t="s">
        <v>1334</v>
      </c>
    </row>
    <row r="987" spans="1:11" x14ac:dyDescent="0.2">
      <c r="A987" t="s">
        <v>1334</v>
      </c>
      <c r="B987" t="s">
        <v>1334</v>
      </c>
      <c r="C987" t="s">
        <v>1334</v>
      </c>
      <c r="D987" t="s">
        <v>1334</v>
      </c>
      <c r="E987" t="s">
        <v>1334</v>
      </c>
      <c r="F987" t="s">
        <v>1334</v>
      </c>
      <c r="G987" t="s">
        <v>1334</v>
      </c>
      <c r="H987" t="s">
        <v>1334</v>
      </c>
      <c r="I987" t="s">
        <v>1334</v>
      </c>
      <c r="J987" t="s">
        <v>1334</v>
      </c>
      <c r="K987" t="s">
        <v>1334</v>
      </c>
    </row>
    <row r="988" spans="1:11" x14ac:dyDescent="0.2">
      <c r="A988" t="s">
        <v>1334</v>
      </c>
      <c r="B988" t="s">
        <v>1334</v>
      </c>
      <c r="C988" t="s">
        <v>1334</v>
      </c>
      <c r="D988" t="s">
        <v>1334</v>
      </c>
      <c r="E988" t="s">
        <v>1334</v>
      </c>
      <c r="F988" t="s">
        <v>1334</v>
      </c>
      <c r="G988" t="s">
        <v>1334</v>
      </c>
      <c r="H988" t="s">
        <v>1334</v>
      </c>
      <c r="I988" t="s">
        <v>1334</v>
      </c>
      <c r="J988" t="s">
        <v>1334</v>
      </c>
      <c r="K988" t="s">
        <v>1334</v>
      </c>
    </row>
    <row r="989" spans="1:11" x14ac:dyDescent="0.2">
      <c r="A989" t="s">
        <v>1334</v>
      </c>
      <c r="B989" t="s">
        <v>1334</v>
      </c>
      <c r="C989" t="s">
        <v>1334</v>
      </c>
      <c r="D989" t="s">
        <v>1334</v>
      </c>
      <c r="E989" t="s">
        <v>1334</v>
      </c>
      <c r="F989" t="s">
        <v>1334</v>
      </c>
      <c r="G989" t="s">
        <v>1334</v>
      </c>
      <c r="H989" t="s">
        <v>1334</v>
      </c>
      <c r="I989" t="s">
        <v>1334</v>
      </c>
      <c r="J989" t="s">
        <v>1334</v>
      </c>
      <c r="K989" t="s">
        <v>1334</v>
      </c>
    </row>
    <row r="990" spans="1:11" x14ac:dyDescent="0.2">
      <c r="A990" t="s">
        <v>1334</v>
      </c>
      <c r="B990" t="s">
        <v>1334</v>
      </c>
      <c r="C990" t="s">
        <v>1334</v>
      </c>
      <c r="D990" t="s">
        <v>1334</v>
      </c>
      <c r="E990" t="s">
        <v>1334</v>
      </c>
      <c r="F990" t="s">
        <v>1334</v>
      </c>
      <c r="G990" t="s">
        <v>1334</v>
      </c>
      <c r="H990" t="s">
        <v>1334</v>
      </c>
      <c r="I990" t="s">
        <v>1334</v>
      </c>
      <c r="J990" t="s">
        <v>1334</v>
      </c>
      <c r="K990" t="s">
        <v>1334</v>
      </c>
    </row>
    <row r="991" spans="1:11" x14ac:dyDescent="0.2">
      <c r="A991" t="s">
        <v>1334</v>
      </c>
      <c r="B991" t="s">
        <v>1334</v>
      </c>
      <c r="C991" t="s">
        <v>1334</v>
      </c>
      <c r="D991" t="s">
        <v>1334</v>
      </c>
      <c r="E991" t="s">
        <v>1334</v>
      </c>
      <c r="F991" t="s">
        <v>1334</v>
      </c>
      <c r="G991" t="s">
        <v>1334</v>
      </c>
      <c r="H991" t="s">
        <v>1334</v>
      </c>
      <c r="I991" t="s">
        <v>1334</v>
      </c>
      <c r="J991" t="s">
        <v>1334</v>
      </c>
      <c r="K991" t="s">
        <v>1334</v>
      </c>
    </row>
    <row r="992" spans="1:11" x14ac:dyDescent="0.2">
      <c r="A992" t="s">
        <v>1334</v>
      </c>
      <c r="B992" t="s">
        <v>1334</v>
      </c>
      <c r="C992" t="s">
        <v>1334</v>
      </c>
      <c r="D992" t="s">
        <v>1334</v>
      </c>
      <c r="E992" t="s">
        <v>1334</v>
      </c>
      <c r="F992" t="s">
        <v>1334</v>
      </c>
      <c r="G992" t="s">
        <v>1334</v>
      </c>
      <c r="H992" t="s">
        <v>1334</v>
      </c>
      <c r="I992" t="s">
        <v>1334</v>
      </c>
      <c r="J992" t="s">
        <v>1334</v>
      </c>
      <c r="K992" t="s">
        <v>1334</v>
      </c>
    </row>
    <row r="993" spans="1:11" x14ac:dyDescent="0.2">
      <c r="A993" t="s">
        <v>1334</v>
      </c>
      <c r="B993" t="s">
        <v>1334</v>
      </c>
      <c r="C993" t="s">
        <v>1334</v>
      </c>
      <c r="D993" t="s">
        <v>1334</v>
      </c>
      <c r="E993" t="s">
        <v>1334</v>
      </c>
      <c r="F993" t="s">
        <v>1334</v>
      </c>
      <c r="G993" t="s">
        <v>1334</v>
      </c>
      <c r="H993" t="s">
        <v>1334</v>
      </c>
      <c r="I993" t="s">
        <v>1334</v>
      </c>
      <c r="J993" t="s">
        <v>1334</v>
      </c>
      <c r="K993" t="s">
        <v>1334</v>
      </c>
    </row>
    <row r="994" spans="1:11" x14ac:dyDescent="0.2">
      <c r="A994" t="s">
        <v>1334</v>
      </c>
      <c r="B994" t="s">
        <v>1334</v>
      </c>
      <c r="C994" t="s">
        <v>1334</v>
      </c>
      <c r="D994" t="s">
        <v>1334</v>
      </c>
      <c r="E994" t="s">
        <v>1334</v>
      </c>
      <c r="F994" t="s">
        <v>1334</v>
      </c>
      <c r="G994" t="s">
        <v>1334</v>
      </c>
      <c r="H994" t="s">
        <v>1334</v>
      </c>
      <c r="I994" t="s">
        <v>1334</v>
      </c>
      <c r="J994" t="s">
        <v>1334</v>
      </c>
      <c r="K994" t="s">
        <v>1334</v>
      </c>
    </row>
    <row r="995" spans="1:11" x14ac:dyDescent="0.2">
      <c r="A995" t="s">
        <v>1334</v>
      </c>
      <c r="B995" t="s">
        <v>1334</v>
      </c>
      <c r="C995" t="s">
        <v>1334</v>
      </c>
      <c r="D995" t="s">
        <v>1334</v>
      </c>
      <c r="E995" t="s">
        <v>1334</v>
      </c>
      <c r="F995" t="s">
        <v>1334</v>
      </c>
      <c r="G995" t="s">
        <v>1334</v>
      </c>
      <c r="H995" t="s">
        <v>1334</v>
      </c>
      <c r="I995" t="s">
        <v>1334</v>
      </c>
      <c r="J995" t="s">
        <v>1334</v>
      </c>
      <c r="K995" t="s">
        <v>1334</v>
      </c>
    </row>
    <row r="996" spans="1:11" x14ac:dyDescent="0.2">
      <c r="A996" t="s">
        <v>1334</v>
      </c>
      <c r="B996" t="s">
        <v>1334</v>
      </c>
      <c r="C996" t="s">
        <v>1334</v>
      </c>
      <c r="D996" t="s">
        <v>1334</v>
      </c>
      <c r="E996" t="s">
        <v>1334</v>
      </c>
      <c r="F996" t="s">
        <v>1334</v>
      </c>
      <c r="G996" t="s">
        <v>1334</v>
      </c>
      <c r="H996" t="s">
        <v>1334</v>
      </c>
      <c r="I996" t="s">
        <v>1334</v>
      </c>
      <c r="J996" t="s">
        <v>1334</v>
      </c>
      <c r="K996" t="s">
        <v>1334</v>
      </c>
    </row>
    <row r="997" spans="1:11" x14ac:dyDescent="0.2">
      <c r="A997" t="s">
        <v>1334</v>
      </c>
      <c r="B997" t="s">
        <v>1334</v>
      </c>
      <c r="C997" t="s">
        <v>1334</v>
      </c>
      <c r="D997" t="s">
        <v>1334</v>
      </c>
      <c r="E997" t="s">
        <v>1334</v>
      </c>
      <c r="F997" t="s">
        <v>1334</v>
      </c>
      <c r="G997" t="s">
        <v>1334</v>
      </c>
      <c r="H997" t="s">
        <v>1334</v>
      </c>
      <c r="I997" t="s">
        <v>1334</v>
      </c>
      <c r="J997" t="s">
        <v>1334</v>
      </c>
      <c r="K997" t="s">
        <v>1334</v>
      </c>
    </row>
    <row r="998" spans="1:11" x14ac:dyDescent="0.2">
      <c r="A998" t="s">
        <v>1334</v>
      </c>
      <c r="B998" t="s">
        <v>1334</v>
      </c>
      <c r="C998" t="s">
        <v>1334</v>
      </c>
      <c r="D998" t="s">
        <v>1334</v>
      </c>
      <c r="E998" t="s">
        <v>1334</v>
      </c>
      <c r="F998" t="s">
        <v>1334</v>
      </c>
      <c r="G998" t="s">
        <v>1334</v>
      </c>
      <c r="H998" t="s">
        <v>1334</v>
      </c>
      <c r="I998" t="s">
        <v>1334</v>
      </c>
      <c r="J998" t="s">
        <v>1334</v>
      </c>
      <c r="K998" t="s">
        <v>1334</v>
      </c>
    </row>
    <row r="999" spans="1:11" x14ac:dyDescent="0.2">
      <c r="A999" t="s">
        <v>1334</v>
      </c>
      <c r="B999" t="s">
        <v>1334</v>
      </c>
      <c r="C999" t="s">
        <v>1334</v>
      </c>
      <c r="D999" t="s">
        <v>1334</v>
      </c>
      <c r="E999" t="s">
        <v>1334</v>
      </c>
      <c r="F999" t="s">
        <v>1334</v>
      </c>
      <c r="G999" t="s">
        <v>1334</v>
      </c>
      <c r="H999" t="s">
        <v>1334</v>
      </c>
      <c r="I999" t="s">
        <v>1334</v>
      </c>
      <c r="J999" t="s">
        <v>1334</v>
      </c>
      <c r="K999" t="s">
        <v>1334</v>
      </c>
    </row>
    <row r="1000" spans="1:11" x14ac:dyDescent="0.2">
      <c r="A1000" t="s">
        <v>1334</v>
      </c>
      <c r="B1000" t="s">
        <v>1334</v>
      </c>
      <c r="C1000" t="s">
        <v>1334</v>
      </c>
      <c r="D1000" t="s">
        <v>1334</v>
      </c>
      <c r="E1000" t="s">
        <v>1334</v>
      </c>
      <c r="F1000" t="s">
        <v>1334</v>
      </c>
      <c r="G1000" t="s">
        <v>1334</v>
      </c>
      <c r="H1000" t="s">
        <v>1334</v>
      </c>
      <c r="I1000" t="s">
        <v>1334</v>
      </c>
      <c r="J1000" t="s">
        <v>1334</v>
      </c>
      <c r="K1000" t="s">
        <v>1334</v>
      </c>
    </row>
  </sheetData>
  <pageMargins left="0.7" right="0.7" top="0.78740157499999996" bottom="0.78740157499999996" header="0.3" footer="0.3"/>
  <ignoredErrors>
    <ignoredError sqref="A1:K1000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72"/>
  <sheetViews>
    <sheetView workbookViewId="0"/>
  </sheetViews>
  <sheetFormatPr baseColWidth="10" defaultRowHeight="16" x14ac:dyDescent="0.2"/>
  <sheetData>
    <row r="1" spans="1:8" x14ac:dyDescent="0.2">
      <c r="A1" t="s">
        <v>3846</v>
      </c>
      <c r="B1" t="s">
        <v>3847</v>
      </c>
      <c r="C1" t="s">
        <v>3848</v>
      </c>
      <c r="D1" t="s">
        <v>3849</v>
      </c>
      <c r="E1" t="s">
        <v>3850</v>
      </c>
      <c r="G1" t="s">
        <v>3851</v>
      </c>
      <c r="H1" t="s">
        <v>3852</v>
      </c>
    </row>
    <row r="2" spans="1:8" x14ac:dyDescent="0.2">
      <c r="A2">
        <v>0</v>
      </c>
      <c r="B2" t="s">
        <v>2967</v>
      </c>
    </row>
    <row r="3" spans="1:8" x14ac:dyDescent="0.2">
      <c r="A3">
        <v>2</v>
      </c>
      <c r="B3" t="s">
        <v>2970</v>
      </c>
      <c r="D3" t="s">
        <v>3853</v>
      </c>
      <c r="E3" t="s">
        <v>3854</v>
      </c>
      <c r="G3" t="s">
        <v>0</v>
      </c>
      <c r="H3" t="s">
        <v>3855</v>
      </c>
    </row>
    <row r="4" spans="1:8" x14ac:dyDescent="0.2">
      <c r="A4">
        <v>3</v>
      </c>
      <c r="B4" t="s">
        <v>2973</v>
      </c>
      <c r="D4" t="s">
        <v>3856</v>
      </c>
      <c r="E4" t="s">
        <v>3857</v>
      </c>
      <c r="G4" t="s">
        <v>3186</v>
      </c>
      <c r="H4" t="s">
        <v>3858</v>
      </c>
    </row>
    <row r="5" spans="1:8" x14ac:dyDescent="0.2">
      <c r="A5">
        <v>4</v>
      </c>
      <c r="B5" t="s">
        <v>3859</v>
      </c>
      <c r="D5" t="s">
        <v>3860</v>
      </c>
      <c r="E5" t="s">
        <v>3861</v>
      </c>
      <c r="G5" t="s">
        <v>3115</v>
      </c>
      <c r="H5" t="s">
        <v>3862</v>
      </c>
    </row>
    <row r="6" spans="1:8" x14ac:dyDescent="0.2">
      <c r="A6">
        <v>5</v>
      </c>
      <c r="B6" t="s">
        <v>2977</v>
      </c>
      <c r="D6" t="s">
        <v>3863</v>
      </c>
      <c r="E6" t="s">
        <v>3864</v>
      </c>
      <c r="G6" t="s">
        <v>5</v>
      </c>
      <c r="H6" t="s">
        <v>3865</v>
      </c>
    </row>
    <row r="7" spans="1:8" x14ac:dyDescent="0.2">
      <c r="A7">
        <v>9</v>
      </c>
      <c r="B7" t="s">
        <v>2979</v>
      </c>
      <c r="D7" t="s">
        <v>3866</v>
      </c>
      <c r="E7" t="s">
        <v>3867</v>
      </c>
      <c r="G7" t="s">
        <v>3868</v>
      </c>
      <c r="H7" t="s">
        <v>3869</v>
      </c>
    </row>
    <row r="8" spans="1:8" x14ac:dyDescent="0.2">
      <c r="A8">
        <v>6</v>
      </c>
      <c r="B8" t="s">
        <v>2981</v>
      </c>
      <c r="D8" t="s">
        <v>3870</v>
      </c>
      <c r="E8" t="s">
        <v>3871</v>
      </c>
      <c r="G8" t="s">
        <v>7</v>
      </c>
      <c r="H8" t="s">
        <v>3872</v>
      </c>
    </row>
    <row r="9" spans="1:8" x14ac:dyDescent="0.2">
      <c r="A9">
        <v>7</v>
      </c>
      <c r="B9" t="s">
        <v>2983</v>
      </c>
      <c r="D9" t="s">
        <v>3873</v>
      </c>
      <c r="E9" t="s">
        <v>3874</v>
      </c>
      <c r="G9" t="s">
        <v>8</v>
      </c>
      <c r="H9" t="s">
        <v>3875</v>
      </c>
    </row>
    <row r="10" spans="1:8" x14ac:dyDescent="0.2">
      <c r="A10">
        <v>8</v>
      </c>
      <c r="B10" t="s">
        <v>2985</v>
      </c>
      <c r="D10" t="s">
        <v>3876</v>
      </c>
      <c r="E10" t="s">
        <v>3877</v>
      </c>
      <c r="G10" t="s">
        <v>3878</v>
      </c>
      <c r="H10" t="s">
        <v>3879</v>
      </c>
    </row>
    <row r="11" spans="1:8" x14ac:dyDescent="0.2">
      <c r="A11">
        <v>10</v>
      </c>
      <c r="B11" t="s">
        <v>2987</v>
      </c>
      <c r="G11" t="s">
        <v>3117</v>
      </c>
      <c r="H11" t="s">
        <v>3880</v>
      </c>
    </row>
    <row r="12" spans="1:8" x14ac:dyDescent="0.2">
      <c r="A12">
        <v>12</v>
      </c>
      <c r="B12" t="s">
        <v>265</v>
      </c>
      <c r="D12" t="s">
        <v>3881</v>
      </c>
      <c r="E12" t="s">
        <v>3882</v>
      </c>
      <c r="G12" t="s">
        <v>3118</v>
      </c>
      <c r="H12" t="s">
        <v>3883</v>
      </c>
    </row>
    <row r="13" spans="1:8" x14ac:dyDescent="0.2">
      <c r="A13">
        <v>14</v>
      </c>
      <c r="B13" t="s">
        <v>2991</v>
      </c>
      <c r="D13" t="s">
        <v>3860</v>
      </c>
      <c r="E13" t="s">
        <v>3861</v>
      </c>
      <c r="G13" t="s">
        <v>3117</v>
      </c>
      <c r="H13" t="s">
        <v>3880</v>
      </c>
    </row>
    <row r="14" spans="1:8" x14ac:dyDescent="0.2">
      <c r="A14">
        <v>15</v>
      </c>
      <c r="B14" t="s">
        <v>2993</v>
      </c>
      <c r="D14" t="s">
        <v>3870</v>
      </c>
      <c r="E14" t="s">
        <v>3871</v>
      </c>
      <c r="G14" t="s">
        <v>3884</v>
      </c>
      <c r="H14" t="s">
        <v>3885</v>
      </c>
    </row>
    <row r="15" spans="1:8" x14ac:dyDescent="0.2">
      <c r="A15">
        <v>20</v>
      </c>
      <c r="B15" t="s">
        <v>2995</v>
      </c>
      <c r="D15" t="s">
        <v>3886</v>
      </c>
      <c r="E15" t="s">
        <v>3887</v>
      </c>
      <c r="G15" t="s">
        <v>3117</v>
      </c>
      <c r="H15" t="s">
        <v>3888</v>
      </c>
    </row>
    <row r="16" spans="1:8" x14ac:dyDescent="0.2">
      <c r="A16">
        <v>17</v>
      </c>
      <c r="B16" t="s">
        <v>2997</v>
      </c>
      <c r="D16" t="s">
        <v>3873</v>
      </c>
      <c r="E16" t="s">
        <v>3874</v>
      </c>
      <c r="G16" t="s">
        <v>3889</v>
      </c>
      <c r="H16" t="s">
        <v>3885</v>
      </c>
    </row>
    <row r="17" spans="1:8" x14ac:dyDescent="0.2">
      <c r="A17">
        <v>18</v>
      </c>
      <c r="B17" t="s">
        <v>2999</v>
      </c>
      <c r="D17" t="s">
        <v>3876</v>
      </c>
      <c r="E17" t="s">
        <v>3877</v>
      </c>
      <c r="G17" t="s">
        <v>3890</v>
      </c>
      <c r="H17" t="s">
        <v>3891</v>
      </c>
    </row>
    <row r="18" spans="1:8" x14ac:dyDescent="0.2">
      <c r="A18">
        <v>1</v>
      </c>
      <c r="B18" t="s">
        <v>3302</v>
      </c>
      <c r="G18" t="s">
        <v>3892</v>
      </c>
      <c r="H18" t="s">
        <v>3893</v>
      </c>
    </row>
    <row r="19" spans="1:8" x14ac:dyDescent="0.2">
      <c r="A19">
        <v>11</v>
      </c>
      <c r="B19" t="s">
        <v>3004</v>
      </c>
      <c r="G19" t="s">
        <v>3894</v>
      </c>
      <c r="H19" t="s">
        <v>3895</v>
      </c>
    </row>
    <row r="20" spans="1:8" x14ac:dyDescent="0.2">
      <c r="A20">
        <v>16</v>
      </c>
      <c r="B20" t="s">
        <v>3005</v>
      </c>
      <c r="D20" t="s">
        <v>3863</v>
      </c>
      <c r="E20" t="s">
        <v>3864</v>
      </c>
      <c r="G20" t="s">
        <v>17</v>
      </c>
      <c r="H20" t="s">
        <v>3896</v>
      </c>
    </row>
    <row r="21" spans="1:8" x14ac:dyDescent="0.2">
      <c r="A21">
        <v>19</v>
      </c>
      <c r="B21" t="s">
        <v>3006</v>
      </c>
      <c r="D21" t="s">
        <v>3866</v>
      </c>
      <c r="E21" t="s">
        <v>3867</v>
      </c>
      <c r="G21" t="s">
        <v>18</v>
      </c>
      <c r="H21" t="s">
        <v>3896</v>
      </c>
    </row>
    <row r="22" spans="1:8" x14ac:dyDescent="0.2">
      <c r="A22">
        <v>21</v>
      </c>
      <c r="B22" t="s">
        <v>3008</v>
      </c>
      <c r="D22" t="s">
        <v>3897</v>
      </c>
      <c r="E22" t="s">
        <v>3898</v>
      </c>
      <c r="G22" t="s">
        <v>19</v>
      </c>
      <c r="H22" t="s">
        <v>3896</v>
      </c>
    </row>
    <row r="23" spans="1:8" x14ac:dyDescent="0.2">
      <c r="A23">
        <v>50</v>
      </c>
      <c r="B23" t="s">
        <v>3010</v>
      </c>
      <c r="C23" t="s">
        <v>3899</v>
      </c>
      <c r="G23" t="s">
        <v>3900</v>
      </c>
      <c r="H23" t="s">
        <v>3896</v>
      </c>
    </row>
    <row r="24" spans="1:8" x14ac:dyDescent="0.2">
      <c r="A24">
        <v>102</v>
      </c>
      <c r="B24" t="s">
        <v>3013</v>
      </c>
      <c r="C24" t="s">
        <v>3899</v>
      </c>
      <c r="G24" t="s">
        <v>3901</v>
      </c>
      <c r="H24" t="s">
        <v>3896</v>
      </c>
    </row>
    <row r="25" spans="1:8" x14ac:dyDescent="0.2">
      <c r="A25">
        <v>109</v>
      </c>
      <c r="B25" t="s">
        <v>3017</v>
      </c>
      <c r="C25" t="s">
        <v>3899</v>
      </c>
      <c r="G25" t="s">
        <v>24</v>
      </c>
      <c r="H25" t="s">
        <v>3896</v>
      </c>
    </row>
    <row r="26" spans="1:8" x14ac:dyDescent="0.2">
      <c r="A26">
        <v>112</v>
      </c>
      <c r="B26" t="s">
        <v>3902</v>
      </c>
      <c r="C26" t="s">
        <v>3899</v>
      </c>
      <c r="G26" t="s">
        <v>25</v>
      </c>
      <c r="H26" t="s">
        <v>3896</v>
      </c>
    </row>
    <row r="27" spans="1:8" x14ac:dyDescent="0.2">
      <c r="A27">
        <v>150</v>
      </c>
      <c r="B27" t="s">
        <v>3023</v>
      </c>
      <c r="C27" t="s">
        <v>3899</v>
      </c>
      <c r="G27" t="s">
        <v>3903</v>
      </c>
      <c r="H27" t="s">
        <v>3904</v>
      </c>
    </row>
    <row r="28" spans="1:8" x14ac:dyDescent="0.2">
      <c r="A28">
        <v>188</v>
      </c>
      <c r="B28" t="s">
        <v>3025</v>
      </c>
      <c r="C28" t="s">
        <v>3899</v>
      </c>
      <c r="G28" t="s">
        <v>3120</v>
      </c>
      <c r="H28" t="s">
        <v>3905</v>
      </c>
    </row>
    <row r="29" spans="1:8" x14ac:dyDescent="0.2">
      <c r="A29">
        <v>200</v>
      </c>
      <c r="B29" t="s">
        <v>3028</v>
      </c>
      <c r="C29" t="s">
        <v>3899</v>
      </c>
      <c r="G29" t="s">
        <v>3121</v>
      </c>
      <c r="H29" t="s">
        <v>3906</v>
      </c>
    </row>
    <row r="30" spans="1:8" x14ac:dyDescent="0.2">
      <c r="A30">
        <v>201</v>
      </c>
      <c r="B30" t="s">
        <v>3031</v>
      </c>
      <c r="C30" t="s">
        <v>3899</v>
      </c>
      <c r="G30" t="s">
        <v>31</v>
      </c>
      <c r="H30" t="s">
        <v>3907</v>
      </c>
    </row>
    <row r="31" spans="1:8" x14ac:dyDescent="0.2">
      <c r="A31">
        <v>202</v>
      </c>
      <c r="B31" t="s">
        <v>3033</v>
      </c>
      <c r="C31" t="s">
        <v>3899</v>
      </c>
      <c r="G31" t="s">
        <v>33</v>
      </c>
      <c r="H31" t="s">
        <v>3908</v>
      </c>
    </row>
    <row r="32" spans="1:8" x14ac:dyDescent="0.2">
      <c r="A32">
        <v>210</v>
      </c>
      <c r="B32" t="s">
        <v>3034</v>
      </c>
      <c r="C32" t="s">
        <v>3899</v>
      </c>
      <c r="G32" t="s">
        <v>34</v>
      </c>
      <c r="H32" t="s">
        <v>3909</v>
      </c>
    </row>
    <row r="33" spans="1:8" x14ac:dyDescent="0.2">
      <c r="A33">
        <v>211</v>
      </c>
      <c r="B33" t="s">
        <v>3037</v>
      </c>
      <c r="C33" t="s">
        <v>3899</v>
      </c>
      <c r="G33" t="s">
        <v>35</v>
      </c>
      <c r="H33" t="s">
        <v>3910</v>
      </c>
    </row>
    <row r="34" spans="1:8" x14ac:dyDescent="0.2">
      <c r="A34">
        <v>212</v>
      </c>
      <c r="B34" t="s">
        <v>3039</v>
      </c>
      <c r="C34" t="s">
        <v>3899</v>
      </c>
      <c r="G34" t="s">
        <v>36</v>
      </c>
      <c r="H34" t="s">
        <v>3911</v>
      </c>
    </row>
    <row r="35" spans="1:8" x14ac:dyDescent="0.2">
      <c r="A35">
        <v>213</v>
      </c>
      <c r="B35" t="s">
        <v>3040</v>
      </c>
      <c r="C35" t="s">
        <v>3899</v>
      </c>
      <c r="G35" t="s">
        <v>37</v>
      </c>
      <c r="H35" t="s">
        <v>3912</v>
      </c>
    </row>
    <row r="36" spans="1:8" x14ac:dyDescent="0.2">
      <c r="A36">
        <v>220</v>
      </c>
      <c r="B36" t="s">
        <v>3045</v>
      </c>
      <c r="C36" t="s">
        <v>3899</v>
      </c>
      <c r="G36" t="s">
        <v>39</v>
      </c>
      <c r="H36" t="s">
        <v>3913</v>
      </c>
    </row>
    <row r="37" spans="1:8" x14ac:dyDescent="0.2">
      <c r="A37">
        <v>221</v>
      </c>
      <c r="B37" t="s">
        <v>3047</v>
      </c>
      <c r="C37" t="s">
        <v>3899</v>
      </c>
      <c r="G37" t="s">
        <v>40</v>
      </c>
      <c r="H37" t="s">
        <v>3913</v>
      </c>
    </row>
    <row r="38" spans="1:8" x14ac:dyDescent="0.2">
      <c r="A38">
        <v>240</v>
      </c>
      <c r="B38" t="s">
        <v>3049</v>
      </c>
      <c r="C38" t="s">
        <v>3899</v>
      </c>
    </row>
    <row r="39" spans="1:8" x14ac:dyDescent="0.2">
      <c r="A39">
        <v>250</v>
      </c>
      <c r="B39" t="s">
        <v>3051</v>
      </c>
      <c r="C39" t="s">
        <v>3899</v>
      </c>
      <c r="G39" t="s">
        <v>41</v>
      </c>
      <c r="H39" t="s">
        <v>3913</v>
      </c>
    </row>
    <row r="40" spans="1:8" x14ac:dyDescent="0.2">
      <c r="A40">
        <v>251</v>
      </c>
      <c r="B40" t="s">
        <v>3053</v>
      </c>
      <c r="C40" t="s">
        <v>3899</v>
      </c>
      <c r="G40" t="s">
        <v>42</v>
      </c>
      <c r="H40" t="s">
        <v>3914</v>
      </c>
    </row>
    <row r="41" spans="1:8" x14ac:dyDescent="0.2">
      <c r="A41">
        <v>252</v>
      </c>
      <c r="B41" t="s">
        <v>3055</v>
      </c>
      <c r="C41" t="s">
        <v>3899</v>
      </c>
      <c r="G41" t="s">
        <v>45</v>
      </c>
      <c r="H41" t="s">
        <v>3915</v>
      </c>
    </row>
    <row r="42" spans="1:8" x14ac:dyDescent="0.2">
      <c r="A42">
        <v>253</v>
      </c>
      <c r="B42" t="s">
        <v>3057</v>
      </c>
      <c r="C42" t="s">
        <v>3899</v>
      </c>
      <c r="G42" t="s">
        <v>46</v>
      </c>
      <c r="H42" t="s">
        <v>3916</v>
      </c>
    </row>
    <row r="43" spans="1:8" x14ac:dyDescent="0.2">
      <c r="A43">
        <v>254</v>
      </c>
      <c r="B43" t="s">
        <v>3060</v>
      </c>
      <c r="C43" t="s">
        <v>3899</v>
      </c>
      <c r="G43" t="s">
        <v>47</v>
      </c>
      <c r="H43" t="s">
        <v>3917</v>
      </c>
    </row>
    <row r="44" spans="1:8" x14ac:dyDescent="0.2">
      <c r="A44">
        <v>255</v>
      </c>
      <c r="B44" t="s">
        <v>3061</v>
      </c>
      <c r="C44" t="s">
        <v>3899</v>
      </c>
      <c r="G44" t="s">
        <v>48</v>
      </c>
      <c r="H44" t="s">
        <v>3918</v>
      </c>
    </row>
    <row r="45" spans="1:8" x14ac:dyDescent="0.2">
      <c r="A45">
        <v>256</v>
      </c>
      <c r="B45" t="s">
        <v>3062</v>
      </c>
      <c r="C45" t="s">
        <v>3899</v>
      </c>
      <c r="G45" t="s">
        <v>3122</v>
      </c>
      <c r="H45" t="s">
        <v>3919</v>
      </c>
    </row>
    <row r="46" spans="1:8" x14ac:dyDescent="0.2">
      <c r="A46">
        <v>300</v>
      </c>
      <c r="B46" t="s">
        <v>3064</v>
      </c>
      <c r="C46" t="s">
        <v>3899</v>
      </c>
      <c r="G46" t="s">
        <v>3920</v>
      </c>
      <c r="H46" t="s">
        <v>3921</v>
      </c>
    </row>
    <row r="47" spans="1:8" x14ac:dyDescent="0.2">
      <c r="A47">
        <v>301</v>
      </c>
      <c r="B47" t="s">
        <v>3067</v>
      </c>
      <c r="C47" t="s">
        <v>3899</v>
      </c>
      <c r="G47" t="s">
        <v>3922</v>
      </c>
      <c r="H47" t="s">
        <v>3921</v>
      </c>
    </row>
    <row r="48" spans="1:8" x14ac:dyDescent="0.2">
      <c r="A48">
        <v>302</v>
      </c>
      <c r="B48" t="s">
        <v>3069</v>
      </c>
      <c r="C48" t="s">
        <v>3899</v>
      </c>
      <c r="G48" t="s">
        <v>3923</v>
      </c>
      <c r="H48" t="s">
        <v>3921</v>
      </c>
    </row>
    <row r="49" spans="1:9" x14ac:dyDescent="0.2">
      <c r="A49">
        <v>303</v>
      </c>
      <c r="B49" t="s">
        <v>3071</v>
      </c>
      <c r="C49" t="s">
        <v>3899</v>
      </c>
    </row>
    <row r="50" spans="1:9" x14ac:dyDescent="0.2">
      <c r="A50">
        <v>304</v>
      </c>
      <c r="B50" t="s">
        <v>3924</v>
      </c>
      <c r="C50" t="s">
        <v>3899</v>
      </c>
    </row>
    <row r="51" spans="1:9" x14ac:dyDescent="0.2">
      <c r="A51">
        <v>976</v>
      </c>
      <c r="B51" t="s">
        <v>3075</v>
      </c>
      <c r="C51" t="s">
        <v>3899</v>
      </c>
      <c r="G51" t="s">
        <v>3925</v>
      </c>
      <c r="H51" t="s">
        <v>3926</v>
      </c>
    </row>
    <row r="52" spans="1:9" x14ac:dyDescent="0.2">
      <c r="A52">
        <v>977</v>
      </c>
      <c r="B52" t="s">
        <v>3077</v>
      </c>
      <c r="C52" t="s">
        <v>3899</v>
      </c>
      <c r="G52" t="s">
        <v>3927</v>
      </c>
      <c r="H52" t="s">
        <v>3928</v>
      </c>
    </row>
    <row r="53" spans="1:9" x14ac:dyDescent="0.2">
      <c r="A53">
        <v>978</v>
      </c>
      <c r="B53" t="s">
        <v>3079</v>
      </c>
      <c r="C53" t="s">
        <v>3899</v>
      </c>
      <c r="G53" t="s">
        <v>3929</v>
      </c>
      <c r="H53" t="s">
        <v>3930</v>
      </c>
    </row>
    <row r="54" spans="1:9" x14ac:dyDescent="0.2">
      <c r="A54">
        <v>979</v>
      </c>
      <c r="B54" t="s">
        <v>3082</v>
      </c>
      <c r="C54" t="s">
        <v>3899</v>
      </c>
      <c r="G54" t="s">
        <v>3931</v>
      </c>
      <c r="H54" t="s">
        <v>3932</v>
      </c>
      <c r="I54" t="s">
        <v>3933</v>
      </c>
    </row>
    <row r="55" spans="1:9" x14ac:dyDescent="0.2">
      <c r="A55">
        <v>980</v>
      </c>
      <c r="B55" t="s">
        <v>3084</v>
      </c>
      <c r="C55" t="s">
        <v>3899</v>
      </c>
      <c r="G55" t="s">
        <v>3934</v>
      </c>
      <c r="H55" t="s">
        <v>3935</v>
      </c>
    </row>
    <row r="56" spans="1:9" x14ac:dyDescent="0.2">
      <c r="A56">
        <v>981</v>
      </c>
      <c r="B56" t="s">
        <v>3087</v>
      </c>
      <c r="C56" t="s">
        <v>3899</v>
      </c>
      <c r="G56" t="s">
        <v>3936</v>
      </c>
      <c r="H56" t="s">
        <v>3937</v>
      </c>
    </row>
    <row r="57" spans="1:9" x14ac:dyDescent="0.2">
      <c r="A57">
        <v>982</v>
      </c>
      <c r="B57" t="s">
        <v>3089</v>
      </c>
      <c r="C57" t="s">
        <v>3899</v>
      </c>
      <c r="G57" t="s">
        <v>3938</v>
      </c>
      <c r="H57" t="s">
        <v>3939</v>
      </c>
    </row>
    <row r="58" spans="1:9" x14ac:dyDescent="0.2">
      <c r="A58">
        <v>983</v>
      </c>
      <c r="B58" t="s">
        <v>3091</v>
      </c>
      <c r="C58" t="s">
        <v>3899</v>
      </c>
      <c r="G58" t="s">
        <v>65</v>
      </c>
      <c r="H58" t="s">
        <v>3940</v>
      </c>
    </row>
    <row r="59" spans="1:9" x14ac:dyDescent="0.2">
      <c r="A59">
        <v>984</v>
      </c>
      <c r="B59" t="s">
        <v>3093</v>
      </c>
      <c r="C59" t="s">
        <v>3899</v>
      </c>
      <c r="G59" t="s">
        <v>66</v>
      </c>
      <c r="H59" t="s">
        <v>3941</v>
      </c>
    </row>
    <row r="60" spans="1:9" x14ac:dyDescent="0.2">
      <c r="A60">
        <v>985</v>
      </c>
      <c r="B60" t="s">
        <v>3096</v>
      </c>
      <c r="C60" t="s">
        <v>3899</v>
      </c>
      <c r="G60" t="s">
        <v>3942</v>
      </c>
      <c r="H60" t="s">
        <v>3943</v>
      </c>
    </row>
    <row r="61" spans="1:9" x14ac:dyDescent="0.2">
      <c r="G61" t="s">
        <v>3944</v>
      </c>
      <c r="H61" t="s">
        <v>3945</v>
      </c>
    </row>
    <row r="62" spans="1:9" x14ac:dyDescent="0.2">
      <c r="A62">
        <v>988</v>
      </c>
      <c r="B62" t="s">
        <v>3098</v>
      </c>
      <c r="C62" t="s">
        <v>3899</v>
      </c>
      <c r="G62" t="s">
        <v>3946</v>
      </c>
      <c r="H62" t="s">
        <v>3945</v>
      </c>
    </row>
    <row r="63" spans="1:9" x14ac:dyDescent="0.2">
      <c r="A63">
        <v>991</v>
      </c>
      <c r="B63" t="s">
        <v>3100</v>
      </c>
      <c r="C63" t="s">
        <v>3899</v>
      </c>
      <c r="G63" t="s">
        <v>3947</v>
      </c>
      <c r="H63" t="s">
        <v>3945</v>
      </c>
    </row>
    <row r="64" spans="1:9" x14ac:dyDescent="0.2">
      <c r="A64">
        <v>992</v>
      </c>
      <c r="B64" t="s">
        <v>3102</v>
      </c>
      <c r="C64" t="s">
        <v>3899</v>
      </c>
      <c r="G64" t="s">
        <v>3948</v>
      </c>
    </row>
    <row r="65" spans="1:7" x14ac:dyDescent="0.2">
      <c r="A65">
        <v>993</v>
      </c>
      <c r="B65" t="s">
        <v>3104</v>
      </c>
      <c r="C65" t="s">
        <v>3899</v>
      </c>
      <c r="G65" t="s">
        <v>3949</v>
      </c>
    </row>
    <row r="66" spans="1:7" x14ac:dyDescent="0.2">
      <c r="A66">
        <v>994</v>
      </c>
      <c r="B66" t="s">
        <v>3106</v>
      </c>
      <c r="C66" t="s">
        <v>3899</v>
      </c>
      <c r="G66" t="s">
        <v>3950</v>
      </c>
    </row>
    <row r="67" spans="1:7" x14ac:dyDescent="0.2">
      <c r="C67" t="s">
        <v>3899</v>
      </c>
    </row>
    <row r="68" spans="1:7" x14ac:dyDescent="0.2">
      <c r="A68">
        <v>996</v>
      </c>
      <c r="B68" t="s">
        <v>3108</v>
      </c>
      <c r="C68" t="s">
        <v>3899</v>
      </c>
    </row>
    <row r="69" spans="1:7" x14ac:dyDescent="0.2">
      <c r="A69">
        <v>997</v>
      </c>
      <c r="B69" t="s">
        <v>3110</v>
      </c>
      <c r="C69" t="s">
        <v>3899</v>
      </c>
    </row>
    <row r="70" spans="1:7" x14ac:dyDescent="0.2">
      <c r="C70" t="s">
        <v>3899</v>
      </c>
    </row>
    <row r="71" spans="1:7" x14ac:dyDescent="0.2">
      <c r="A71">
        <v>999</v>
      </c>
      <c r="B71" t="s">
        <v>3112</v>
      </c>
      <c r="C71" t="s">
        <v>3899</v>
      </c>
    </row>
    <row r="72" spans="1:7" x14ac:dyDescent="0.2">
      <c r="C72" t="s">
        <v>3899</v>
      </c>
    </row>
  </sheetData>
  <pageMargins left="0.7" right="0.7" top="0.78740157499999996" bottom="0.78740157499999996" header="0" footer="0"/>
  <ignoredErrors>
    <ignoredError sqref="A1:I100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7</vt:i4>
      </vt:variant>
      <vt:variant>
        <vt:lpstr>Benannte Bereiche</vt:lpstr>
      </vt:variant>
      <vt:variant>
        <vt:i4>1</vt:i4>
      </vt:variant>
    </vt:vector>
  </HeadingPairs>
  <TitlesOfParts>
    <vt:vector size="8" baseType="lpstr">
      <vt:lpstr>Membres 2026_2027</vt:lpstr>
      <vt:lpstr>Medico 2026</vt:lpstr>
      <vt:lpstr>Tables new</vt:lpstr>
      <vt:lpstr>Donateurs-Benévoles-Sponsors</vt:lpstr>
      <vt:lpstr>Annulés</vt:lpstr>
      <vt:lpstr>Codes alt-neu</vt:lpstr>
      <vt:lpstr>Tables</vt:lpstr>
      <vt:lpstr>CAT_JOUEUR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Adrien Deischter</cp:lastModifiedBy>
  <dcterms:created xsi:type="dcterms:W3CDTF">2026-07-13T16:16:37Z</dcterms:created>
  <dcterms:modified xsi:type="dcterms:W3CDTF">2026-07-19T09:08:08Z</dcterms:modified>
</cp:coreProperties>
</file>