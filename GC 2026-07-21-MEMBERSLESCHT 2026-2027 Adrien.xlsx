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Prog+Daten/Downloads/"/>
    </mc:Choice>
  </mc:AlternateContent>
  <xr:revisionPtr revIDLastSave="0" documentId="13_ncr:1_{A79389B5-A970-2741-AD3C-7FC92521E74C}" xr6:coauthVersionLast="47" xr6:coauthVersionMax="47" xr10:uidLastSave="{00000000-0000-0000-0000-000000000000}"/>
  <bookViews>
    <workbookView xWindow="13740" yWindow="9800" windowWidth="34160" windowHeight="20180" tabRatio="601" xr2:uid="{00000000-000D-0000-FFFF-FFFF00000000}"/>
  </bookViews>
  <sheets>
    <sheet name=" Membres 2026 -2027" sheetId="7" r:id="rId1"/>
    <sheet name="Médico 2026" sheetId="6" r:id="rId2"/>
    <sheet name="TABLES" sheetId="2" r:id="rId3"/>
    <sheet name="Donateurs-Benevoles-Sponsors" sheetId="5" r:id="rId4"/>
    <sheet name="Annulés " sheetId="3" r:id="rId5"/>
    <sheet name="ANNULé" sheetId="4" state="hidden" r:id="rId6"/>
  </sheets>
  <definedNames>
    <definedName name="_xlnm._FilterDatabase" localSheetId="0" hidden="1">' Membres 2026 -2027'!$A$1:$BS$639</definedName>
    <definedName name="_xlnm._FilterDatabase" localSheetId="4" hidden="1">'Annulés '!$A$1:$V$438</definedName>
    <definedName name="_xlnm._FilterDatabase" localSheetId="3" hidden="1">'Donateurs-Benevoles-Sponsors'!$A$1:$BJ$36</definedName>
    <definedName name="_xlnm._FilterDatabase" localSheetId="1" hidden="1">'Médico 2026'!$B$1:$AN$262</definedName>
    <definedName name="CAT">TABLES!$A$1:$B$77</definedName>
    <definedName name="CAT_JOUEUR">TABLES!$A$1:$B$72</definedName>
    <definedName name="Z_243A2D66_1EE2_4BD0_AC78_A12DB67B0F32_.wvu.Cols">#REF!</definedName>
    <definedName name="Z_243A2D66_1EE2_4BD0_AC78_A12DB67B0F32_.wvu.PrintArea" localSheetId="0">' Membres 2026 -2027'!$A$2:$AR$17</definedName>
    <definedName name="Z_243A2D66_1EE2_4BD0_AC78_A12DB67B0F32_.wvu.PrintArea" localSheetId="3">'Donateurs-Benevoles-Sponsors'!$A$2:$AL$8</definedName>
    <definedName name="Z_243A2D66_1EE2_4BD0_AC78_A12DB67B0F32_.wvu.PrintArea" localSheetId="1">'Médico 2026'!$B$2:$M$9</definedName>
    <definedName name="Z_243A2D66_1EE2_4BD0_AC78_A12DB67B0F32_.wvu.PrintArea">#REF!</definedName>
    <definedName name="Z_50463E73_06BB_425A_826A_D8C115AC8DE1_.wvu.Cols">#REF!</definedName>
    <definedName name="Z_50463E73_06BB_425A_826A_D8C115AC8DE1_.wvu.PrintArea" localSheetId="0">' Membres 2026 -2027'!$A$2:$AR$23</definedName>
    <definedName name="Z_50463E73_06BB_425A_826A_D8C115AC8DE1_.wvu.PrintArea" localSheetId="3">'Donateurs-Benevoles-Sponsors'!$A$2:$AL$8</definedName>
    <definedName name="Z_50463E73_06BB_425A_826A_D8C115AC8DE1_.wvu.PrintArea" localSheetId="1">'Médico 2026'!$B$2:$M$12</definedName>
    <definedName name="Z_50463E73_06BB_425A_826A_D8C115AC8DE1_.wvu.PrintArea">#REF!</definedName>
    <definedName name="Z_7ED0D532_AB01_4B5B_B792_F1D681C634D4_.wvu.Cols">#REF!</definedName>
    <definedName name="Z_7ED0D532_AB01_4B5B_B792_F1D681C634D4_.wvu.PrintArea" localSheetId="0">' Membres 2026 -2027'!$A$2:$AR$23</definedName>
    <definedName name="Z_7ED0D532_AB01_4B5B_B792_F1D681C634D4_.wvu.PrintArea" localSheetId="3">'Donateurs-Benevoles-Sponsors'!$A$2:$AL$8</definedName>
    <definedName name="Z_7ED0D532_AB01_4B5B_B792_F1D681C634D4_.wvu.PrintArea" localSheetId="1">'Médico 2026'!$B$2:$M$12</definedName>
    <definedName name="Z_7ED0D532_AB01_4B5B_B792_F1D681C634D4_.wvu.PrintArea">#REF!</definedName>
    <definedName name="Z_A330C943_2282_6741_AC59_F66715D3AB2F_.wvu.PrintArea" localSheetId="0">' Membres 2026 -2027'!$A$2:$AR$21</definedName>
    <definedName name="Z_A330C943_2282_6741_AC59_F66715D3AB2F_.wvu.PrintArea" localSheetId="3">'Donateurs-Benevoles-Sponsors'!$A$2:$AL$8</definedName>
    <definedName name="Z_A330C943_2282_6741_AC59_F66715D3AB2F_.wvu.PrintArea" localSheetId="1">'Médico 2026'!$B$2:$M$11</definedName>
    <definedName name="Z_A330C943_2282_6741_AC59_F66715D3AB2F_.wvu.PrintArea">#REF!</definedName>
    <definedName name="Z_A62E59E8_AA88_4548_90FF_37D3E1DB2512_.wvu.PrintArea" localSheetId="0">' Membres 2026 -2027'!$A$2:$AR$9</definedName>
    <definedName name="Z_A62E59E8_AA88_4548_90FF_37D3E1DB2512_.wvu.PrintArea" localSheetId="3">'Donateurs-Benevoles-Sponsors'!$A$2:$AL$5</definedName>
    <definedName name="Z_A62E59E8_AA88_4548_90FF_37D3E1DB2512_.wvu.PrintArea" localSheetId="1">'Médico 2026'!$B$2:$M$3</definedName>
    <definedName name="Z_A62E59E8_AA88_4548_90FF_37D3E1DB2512_.wvu.PrintArea">#REF!</definedName>
    <definedName name="Z_D79DF7E4_7CDF_4EE5_9DA3_76624A56F291_.wvu.PrintArea" localSheetId="0">' Membres 2026 -2027'!$A$2:$AR$9</definedName>
    <definedName name="Z_D79DF7E4_7CDF_4EE5_9DA3_76624A56F291_.wvu.PrintArea" localSheetId="3">'Donateurs-Benevoles-Sponsors'!$A$2:$AL$5</definedName>
    <definedName name="Z_D79DF7E4_7CDF_4EE5_9DA3_76624A56F291_.wvu.PrintArea" localSheetId="1">'Médico 2026'!$B$2:$M$3</definedName>
    <definedName name="Z_D79DF7E4_7CDF_4EE5_9DA3_76624A56F291_.wvu.Print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hQ9XhR3mKHFzWayHbvtUaqgHdXRw=="/>
    </ext>
  </extLst>
</workbook>
</file>

<file path=xl/calcChain.xml><?xml version="1.0" encoding="utf-8"?>
<calcChain xmlns="http://schemas.openxmlformats.org/spreadsheetml/2006/main">
  <c r="Q36" i="7" l="1"/>
  <c r="Q314" i="7"/>
  <c r="N36" i="7"/>
  <c r="N314" i="7"/>
  <c r="L486" i="3"/>
  <c r="J486" i="3"/>
  <c r="L485" i="3"/>
  <c r="J485" i="3"/>
  <c r="Q37" i="7"/>
  <c r="N37" i="7"/>
  <c r="Q561" i="7"/>
  <c r="N561" i="7"/>
  <c r="L484" i="3"/>
  <c r="J484" i="3"/>
  <c r="L483" i="3"/>
  <c r="J483" i="3"/>
  <c r="L482" i="3"/>
  <c r="J482" i="3"/>
  <c r="L481" i="3"/>
  <c r="J481" i="3"/>
  <c r="Q761" i="7"/>
  <c r="N761" i="7"/>
  <c r="Q760" i="7"/>
  <c r="N760" i="7"/>
  <c r="Q759" i="7"/>
  <c r="N759" i="7"/>
  <c r="Q758" i="7"/>
  <c r="N758" i="7"/>
  <c r="Q757" i="7"/>
  <c r="N757" i="7"/>
  <c r="Q756" i="7"/>
  <c r="N756" i="7"/>
  <c r="Q755" i="7"/>
  <c r="N755" i="7"/>
  <c r="Q754" i="7"/>
  <c r="N754" i="7"/>
  <c r="Q753" i="7"/>
  <c r="N753" i="7"/>
  <c r="Q752" i="7"/>
  <c r="N752" i="7"/>
  <c r="Q751" i="7"/>
  <c r="N751" i="7"/>
  <c r="Q750" i="7"/>
  <c r="N750" i="7"/>
  <c r="Q749" i="7"/>
  <c r="N749" i="7"/>
  <c r="Q748" i="7"/>
  <c r="N748" i="7"/>
  <c r="Q747" i="7"/>
  <c r="N747" i="7"/>
  <c r="Q746" i="7"/>
  <c r="N746" i="7"/>
  <c r="Q745" i="7"/>
  <c r="N745" i="7"/>
  <c r="Q744" i="7"/>
  <c r="N744" i="7"/>
  <c r="Q743" i="7"/>
  <c r="N743" i="7"/>
  <c r="Q742" i="7"/>
  <c r="N742" i="7"/>
  <c r="Q741" i="7"/>
  <c r="N741" i="7"/>
  <c r="Q740" i="7"/>
  <c r="N740" i="7"/>
  <c r="Q739" i="7"/>
  <c r="N739" i="7"/>
  <c r="Q738" i="7"/>
  <c r="N738" i="7"/>
  <c r="Q737" i="7"/>
  <c r="N737" i="7"/>
  <c r="Q736" i="7"/>
  <c r="N736" i="7"/>
  <c r="Q735" i="7"/>
  <c r="N735" i="7"/>
  <c r="Q734" i="7"/>
  <c r="N734" i="7"/>
  <c r="Q733" i="7"/>
  <c r="N733" i="7"/>
  <c r="Q732" i="7"/>
  <c r="N732" i="7"/>
  <c r="Q731" i="7"/>
  <c r="N731" i="7"/>
  <c r="Q730" i="7"/>
  <c r="N730" i="7"/>
  <c r="Q729" i="7"/>
  <c r="N729" i="7"/>
  <c r="Q728" i="7"/>
  <c r="N728" i="7"/>
  <c r="Q727" i="7"/>
  <c r="N727" i="7"/>
  <c r="Q726" i="7"/>
  <c r="N726" i="7"/>
  <c r="Q725" i="7"/>
  <c r="N725" i="7"/>
  <c r="Q724" i="7"/>
  <c r="N724" i="7"/>
  <c r="Q723" i="7"/>
  <c r="N723" i="7"/>
  <c r="Q722" i="7"/>
  <c r="N722" i="7"/>
  <c r="Q721" i="7"/>
  <c r="N721" i="7"/>
  <c r="Q720" i="7"/>
  <c r="N720" i="7"/>
  <c r="Q719" i="7"/>
  <c r="N719" i="7"/>
  <c r="Q718" i="7"/>
  <c r="N718" i="7"/>
  <c r="Q717" i="7"/>
  <c r="N717" i="7"/>
  <c r="Q716" i="7"/>
  <c r="N716" i="7"/>
  <c r="Q715" i="7"/>
  <c r="N715" i="7"/>
  <c r="Q714" i="7"/>
  <c r="N714" i="7"/>
  <c r="Q713" i="7"/>
  <c r="N713" i="7"/>
  <c r="Q712" i="7"/>
  <c r="N712" i="7"/>
  <c r="Q711" i="7"/>
  <c r="N711" i="7"/>
  <c r="Q710" i="7"/>
  <c r="N710" i="7"/>
  <c r="Q709" i="7"/>
  <c r="N709" i="7"/>
  <c r="Q708" i="7"/>
  <c r="N708" i="7"/>
  <c r="Q707" i="7"/>
  <c r="N707" i="7"/>
  <c r="Q706" i="7"/>
  <c r="N706" i="7"/>
  <c r="Q705" i="7"/>
  <c r="N705" i="7"/>
  <c r="Q704" i="7"/>
  <c r="N704" i="7"/>
  <c r="Q703" i="7"/>
  <c r="N703" i="7"/>
  <c r="Q702" i="7"/>
  <c r="N702" i="7"/>
  <c r="Q701" i="7"/>
  <c r="N701" i="7"/>
  <c r="Q700" i="7"/>
  <c r="N700" i="7"/>
  <c r="Q699" i="7"/>
  <c r="N699" i="7"/>
  <c r="Q698" i="7"/>
  <c r="N698" i="7"/>
  <c r="Q697" i="7"/>
  <c r="N697" i="7"/>
  <c r="Q696" i="7"/>
  <c r="N696" i="7"/>
  <c r="Q695" i="7"/>
  <c r="N695" i="7"/>
  <c r="Q694" i="7"/>
  <c r="N694" i="7"/>
  <c r="Q693" i="7"/>
  <c r="N693" i="7"/>
  <c r="Q692" i="7"/>
  <c r="N692" i="7"/>
  <c r="Q691" i="7"/>
  <c r="N691" i="7"/>
  <c r="Q690" i="7"/>
  <c r="N690" i="7"/>
  <c r="Q689" i="7"/>
  <c r="N689" i="7"/>
  <c r="Q688" i="7"/>
  <c r="N688" i="7"/>
  <c r="Q687" i="7"/>
  <c r="N687" i="7"/>
  <c r="Q686" i="7"/>
  <c r="N686" i="7"/>
  <c r="Q685" i="7"/>
  <c r="N685" i="7"/>
  <c r="Q684" i="7"/>
  <c r="N684" i="7"/>
  <c r="Q683" i="7"/>
  <c r="N683" i="7"/>
  <c r="Q682" i="7"/>
  <c r="N682" i="7"/>
  <c r="Q681" i="7"/>
  <c r="N681" i="7"/>
  <c r="Q680" i="7"/>
  <c r="N680" i="7"/>
  <c r="Q679" i="7"/>
  <c r="N679" i="7"/>
  <c r="Q678" i="7"/>
  <c r="N678" i="7"/>
  <c r="Q677" i="7"/>
  <c r="N677" i="7"/>
  <c r="Q676" i="7"/>
  <c r="N676" i="7"/>
  <c r="Q675" i="7"/>
  <c r="N675" i="7"/>
  <c r="Q674" i="7"/>
  <c r="N674" i="7"/>
  <c r="Q673" i="7"/>
  <c r="N673" i="7"/>
  <c r="Q672" i="7"/>
  <c r="N672" i="7"/>
  <c r="Q671" i="7"/>
  <c r="N671" i="7"/>
  <c r="Q670" i="7"/>
  <c r="N670" i="7"/>
  <c r="Q669" i="7"/>
  <c r="N669" i="7"/>
  <c r="Q668" i="7"/>
  <c r="N668" i="7"/>
  <c r="Q667" i="7"/>
  <c r="N667" i="7"/>
  <c r="Q666" i="7"/>
  <c r="N666" i="7"/>
  <c r="Q665" i="7"/>
  <c r="N665" i="7"/>
  <c r="Q664" i="7"/>
  <c r="N664" i="7"/>
  <c r="Q663" i="7"/>
  <c r="N663" i="7"/>
  <c r="Q662" i="7"/>
  <c r="N662" i="7"/>
  <c r="Q661" i="7"/>
  <c r="N661" i="7"/>
  <c r="Q660" i="7"/>
  <c r="N660" i="7"/>
  <c r="Q659" i="7"/>
  <c r="N659" i="7"/>
  <c r="Q658" i="7"/>
  <c r="N658" i="7"/>
  <c r="Q657" i="7"/>
  <c r="N657" i="7"/>
  <c r="Q656" i="7"/>
  <c r="N656" i="7"/>
  <c r="Q655" i="7"/>
  <c r="N655" i="7"/>
  <c r="Q654" i="7"/>
  <c r="N654" i="7"/>
  <c r="Q653" i="7"/>
  <c r="N653" i="7"/>
  <c r="Q652" i="7"/>
  <c r="N652" i="7"/>
  <c r="Q651" i="7"/>
  <c r="N651" i="7"/>
  <c r="Q650" i="7"/>
  <c r="N650" i="7"/>
  <c r="Q649" i="7"/>
  <c r="N649" i="7"/>
  <c r="Q648" i="7"/>
  <c r="N648" i="7"/>
  <c r="Q647" i="7"/>
  <c r="N647" i="7"/>
  <c r="Q646" i="7"/>
  <c r="N646" i="7"/>
  <c r="Q645" i="7"/>
  <c r="N645" i="7"/>
  <c r="Q644" i="7"/>
  <c r="N644" i="7"/>
  <c r="Q643" i="7"/>
  <c r="N643" i="7"/>
  <c r="Q642" i="7"/>
  <c r="N642" i="7"/>
  <c r="Q641" i="7"/>
  <c r="N641" i="7"/>
  <c r="Q640" i="7"/>
  <c r="N640" i="7"/>
  <c r="Q639" i="7"/>
  <c r="N639" i="7"/>
  <c r="Q638" i="7"/>
  <c r="N638" i="7"/>
  <c r="Q637" i="7"/>
  <c r="N637" i="7"/>
  <c r="Q636" i="7"/>
  <c r="N636" i="7"/>
  <c r="Q635" i="7"/>
  <c r="N635" i="7"/>
  <c r="Q634" i="7"/>
  <c r="N634" i="7"/>
  <c r="Q633" i="7"/>
  <c r="N633" i="7"/>
  <c r="Q632" i="7"/>
  <c r="N632" i="7"/>
  <c r="Q631" i="7"/>
  <c r="N631" i="7"/>
  <c r="Q630" i="7"/>
  <c r="N630" i="7"/>
  <c r="Q629" i="7"/>
  <c r="N629" i="7"/>
  <c r="Q628" i="7"/>
  <c r="N628" i="7"/>
  <c r="Q627" i="7"/>
  <c r="N627" i="7"/>
  <c r="Q626" i="7"/>
  <c r="N626" i="7"/>
  <c r="Q625" i="7"/>
  <c r="N625" i="7"/>
  <c r="Q624" i="7"/>
  <c r="N624" i="7"/>
  <c r="Q623" i="7"/>
  <c r="N623" i="7"/>
  <c r="Q622" i="7"/>
  <c r="N622" i="7"/>
  <c r="Q621" i="7"/>
  <c r="N621" i="7"/>
  <c r="Q620" i="7"/>
  <c r="N620" i="7"/>
  <c r="Q619" i="7"/>
  <c r="N619" i="7"/>
  <c r="Q618" i="7"/>
  <c r="N618" i="7"/>
  <c r="Q617" i="7"/>
  <c r="N617" i="7"/>
  <c r="Q616" i="7"/>
  <c r="N616" i="7"/>
  <c r="Q615" i="7"/>
  <c r="N615" i="7"/>
  <c r="Q614" i="7"/>
  <c r="N614" i="7"/>
  <c r="Q613" i="7"/>
  <c r="N613" i="7"/>
  <c r="Q612" i="7"/>
  <c r="N612" i="7"/>
  <c r="Q611" i="7"/>
  <c r="N611" i="7"/>
  <c r="Q610" i="7"/>
  <c r="N610" i="7"/>
  <c r="Q609" i="7"/>
  <c r="N609" i="7"/>
  <c r="Q608" i="7"/>
  <c r="N608" i="7"/>
  <c r="Q607" i="7"/>
  <c r="N607" i="7"/>
  <c r="Q606" i="7"/>
  <c r="N606" i="7"/>
  <c r="Q605" i="7"/>
  <c r="N605" i="7"/>
  <c r="Q604" i="7"/>
  <c r="N604" i="7"/>
  <c r="Q603" i="7"/>
  <c r="N603" i="7"/>
  <c r="Q602" i="7"/>
  <c r="N602" i="7"/>
  <c r="Q601" i="7"/>
  <c r="N601" i="7"/>
  <c r="Q600" i="7"/>
  <c r="N600" i="7"/>
  <c r="Q599" i="7"/>
  <c r="N599" i="7"/>
  <c r="Q598" i="7"/>
  <c r="N598" i="7"/>
  <c r="Q597" i="7"/>
  <c r="N597" i="7"/>
  <c r="Q596" i="7"/>
  <c r="N596" i="7"/>
  <c r="Q595" i="7"/>
  <c r="N595" i="7"/>
  <c r="Q594" i="7"/>
  <c r="N594" i="7"/>
  <c r="Q593" i="7"/>
  <c r="N593" i="7"/>
  <c r="Q592" i="7"/>
  <c r="N592" i="7"/>
  <c r="Q591" i="7"/>
  <c r="N591" i="7"/>
  <c r="Q590" i="7"/>
  <c r="N590" i="7"/>
  <c r="Q589" i="7"/>
  <c r="N589" i="7"/>
  <c r="Q588" i="7"/>
  <c r="N588" i="7"/>
  <c r="Q587" i="7"/>
  <c r="N587" i="7"/>
  <c r="Q586" i="7"/>
  <c r="N586" i="7"/>
  <c r="Q585" i="7"/>
  <c r="N585" i="7"/>
  <c r="Q584" i="7"/>
  <c r="N584" i="7"/>
  <c r="Q583" i="7"/>
  <c r="N583" i="7"/>
  <c r="Q582" i="7"/>
  <c r="N582" i="7"/>
  <c r="Q581" i="7"/>
  <c r="N581" i="7"/>
  <c r="Q580" i="7"/>
  <c r="N580" i="7"/>
  <c r="Q579" i="7"/>
  <c r="N579" i="7"/>
  <c r="Q578" i="7"/>
  <c r="N578" i="7"/>
  <c r="Q577" i="7"/>
  <c r="N577" i="7"/>
  <c r="Q576" i="7"/>
  <c r="N576" i="7"/>
  <c r="Q575" i="7"/>
  <c r="N575" i="7"/>
  <c r="Q574" i="7"/>
  <c r="N574" i="7"/>
  <c r="Q573" i="7"/>
  <c r="N573" i="7"/>
  <c r="Q572" i="7"/>
  <c r="N572" i="7"/>
  <c r="Q571" i="7"/>
  <c r="N571" i="7"/>
  <c r="Q570" i="7"/>
  <c r="N570" i="7"/>
  <c r="Q569" i="7"/>
  <c r="N569" i="7"/>
  <c r="Q291" i="7"/>
  <c r="N291" i="7"/>
  <c r="Q568" i="7"/>
  <c r="N568" i="7"/>
  <c r="Q567" i="7"/>
  <c r="N567" i="7"/>
  <c r="Q566" i="7"/>
  <c r="N566" i="7"/>
  <c r="Q565" i="7"/>
  <c r="N565" i="7"/>
  <c r="Q564" i="7"/>
  <c r="N564" i="7"/>
  <c r="Q563" i="7"/>
  <c r="N563" i="7"/>
  <c r="Q562" i="7"/>
  <c r="N562" i="7"/>
  <c r="Q531" i="7"/>
  <c r="N531" i="7"/>
  <c r="Q274" i="7"/>
  <c r="N274" i="7"/>
  <c r="Q275" i="7"/>
  <c r="N275" i="7"/>
  <c r="Q344" i="7"/>
  <c r="N344" i="7"/>
  <c r="Q397" i="7"/>
  <c r="N397" i="7"/>
  <c r="Q203" i="7"/>
  <c r="N203" i="7"/>
  <c r="Q560" i="7"/>
  <c r="N560" i="7"/>
  <c r="Q559" i="7"/>
  <c r="N559" i="7"/>
  <c r="Q558" i="7"/>
  <c r="N558" i="7"/>
  <c r="Q557" i="7"/>
  <c r="N557" i="7"/>
  <c r="Q556" i="7"/>
  <c r="N556" i="7"/>
  <c r="Q554" i="7"/>
  <c r="N554" i="7"/>
  <c r="Q553" i="7"/>
  <c r="N553" i="7"/>
  <c r="Q555" i="7"/>
  <c r="N555" i="7"/>
  <c r="Q552" i="7"/>
  <c r="N552" i="7"/>
  <c r="Q550" i="7"/>
  <c r="N550" i="7"/>
  <c r="Q551" i="7"/>
  <c r="N551" i="7"/>
  <c r="Q548" i="7"/>
  <c r="N548" i="7"/>
  <c r="Q547" i="7"/>
  <c r="N547" i="7"/>
  <c r="Q549" i="7"/>
  <c r="N549" i="7"/>
  <c r="Q545" i="7"/>
  <c r="N545" i="7"/>
  <c r="Q544" i="7"/>
  <c r="N544" i="7"/>
  <c r="Q546" i="7"/>
  <c r="N546" i="7"/>
  <c r="Q543" i="7"/>
  <c r="N543" i="7"/>
  <c r="Q542" i="7"/>
  <c r="N542" i="7"/>
  <c r="Q541" i="7"/>
  <c r="N541" i="7"/>
  <c r="Q540" i="7"/>
  <c r="N540" i="7"/>
  <c r="Q539" i="7"/>
  <c r="N539" i="7"/>
  <c r="Q538" i="7"/>
  <c r="N538" i="7"/>
  <c r="Q537" i="7"/>
  <c r="N537" i="7"/>
  <c r="Q536" i="7"/>
  <c r="N536" i="7"/>
  <c r="Q535" i="7"/>
  <c r="N535" i="7"/>
  <c r="Q533" i="7"/>
  <c r="N533" i="7"/>
  <c r="Q534" i="7"/>
  <c r="N534" i="7"/>
  <c r="Q530" i="7"/>
  <c r="N530" i="7"/>
  <c r="Q529" i="7"/>
  <c r="N529" i="7"/>
  <c r="Q528" i="7"/>
  <c r="N528" i="7"/>
  <c r="Q532" i="7"/>
  <c r="N532" i="7"/>
  <c r="Q527" i="7"/>
  <c r="N527" i="7"/>
  <c r="Q525" i="7"/>
  <c r="N525" i="7"/>
  <c r="Q524" i="7"/>
  <c r="N524" i="7"/>
  <c r="Q526" i="7"/>
  <c r="N526" i="7"/>
  <c r="Q520" i="7"/>
  <c r="N520" i="7"/>
  <c r="Q523" i="7"/>
  <c r="N523" i="7"/>
  <c r="Q519" i="7"/>
  <c r="N519" i="7"/>
  <c r="Q522" i="7"/>
  <c r="N522" i="7"/>
  <c r="Q521" i="7"/>
  <c r="N521" i="7"/>
  <c r="Q518" i="7"/>
  <c r="N518" i="7"/>
  <c r="Q517" i="7"/>
  <c r="N517" i="7"/>
  <c r="Q516" i="7"/>
  <c r="N516" i="7"/>
  <c r="Q515" i="7"/>
  <c r="N515" i="7"/>
  <c r="Q514" i="7"/>
  <c r="N514" i="7"/>
  <c r="Q513" i="7"/>
  <c r="N513" i="7"/>
  <c r="Q512" i="7"/>
  <c r="N512" i="7"/>
  <c r="Q511" i="7"/>
  <c r="N511" i="7"/>
  <c r="Q510" i="7"/>
  <c r="N510" i="7"/>
  <c r="Q509" i="7"/>
  <c r="N509" i="7"/>
  <c r="Q508" i="7"/>
  <c r="N508" i="7"/>
  <c r="Q506" i="7"/>
  <c r="N506" i="7"/>
  <c r="Q507" i="7"/>
  <c r="N507" i="7"/>
  <c r="Q505" i="7"/>
  <c r="N505" i="7"/>
  <c r="Q504" i="7"/>
  <c r="N504" i="7"/>
  <c r="Q503" i="7"/>
  <c r="N503" i="7"/>
  <c r="Q502" i="7"/>
  <c r="N502" i="7"/>
  <c r="Q500" i="7"/>
  <c r="N500" i="7"/>
  <c r="Q499" i="7"/>
  <c r="N499" i="7"/>
  <c r="Q501" i="7"/>
  <c r="N501" i="7"/>
  <c r="Q498" i="7"/>
  <c r="N498" i="7"/>
  <c r="Q497" i="7"/>
  <c r="N497" i="7"/>
  <c r="Q496" i="7"/>
  <c r="N496" i="7"/>
  <c r="Q495" i="7"/>
  <c r="N495" i="7"/>
  <c r="Q493" i="7"/>
  <c r="N493" i="7"/>
  <c r="Q492" i="7"/>
  <c r="N492" i="7"/>
  <c r="Q494" i="7"/>
  <c r="N494" i="7"/>
  <c r="Q491" i="7"/>
  <c r="N491" i="7"/>
  <c r="Q490" i="7"/>
  <c r="N490" i="7"/>
  <c r="Q489" i="7"/>
  <c r="N489" i="7"/>
  <c r="Q488" i="7"/>
  <c r="N488" i="7"/>
  <c r="Q487" i="7"/>
  <c r="N487" i="7"/>
  <c r="Q486" i="7"/>
  <c r="N486" i="7"/>
  <c r="Q485" i="7"/>
  <c r="N485" i="7"/>
  <c r="Q484" i="7"/>
  <c r="N484" i="7"/>
  <c r="Q483" i="7"/>
  <c r="N483" i="7"/>
  <c r="Q481" i="7"/>
  <c r="N481" i="7"/>
  <c r="Q482" i="7"/>
  <c r="N482" i="7"/>
  <c r="Q480" i="7"/>
  <c r="N480" i="7"/>
  <c r="Q479" i="7"/>
  <c r="N479" i="7"/>
  <c r="Q478" i="7"/>
  <c r="N478" i="7"/>
  <c r="Q477" i="7"/>
  <c r="N477" i="7"/>
  <c r="Q474" i="7"/>
  <c r="N474" i="7"/>
  <c r="Q476" i="7"/>
  <c r="N476" i="7"/>
  <c r="Q475" i="7"/>
  <c r="N475" i="7"/>
  <c r="Q473" i="7"/>
  <c r="N473" i="7"/>
  <c r="Q472" i="7"/>
  <c r="N472" i="7"/>
  <c r="Q471" i="7"/>
  <c r="N471" i="7"/>
  <c r="Q470" i="7"/>
  <c r="N470" i="7"/>
  <c r="Q468" i="7"/>
  <c r="N468" i="7"/>
  <c r="Q469" i="7"/>
  <c r="N469" i="7"/>
  <c r="Q467" i="7"/>
  <c r="N467" i="7"/>
  <c r="Q466" i="7"/>
  <c r="N466" i="7"/>
  <c r="Q465" i="7"/>
  <c r="N465" i="7"/>
  <c r="Q463" i="7"/>
  <c r="N463" i="7"/>
  <c r="Q464" i="7"/>
  <c r="N464" i="7"/>
  <c r="Q462" i="7"/>
  <c r="N462" i="7"/>
  <c r="Q461" i="7"/>
  <c r="N461" i="7"/>
  <c r="Q460" i="7"/>
  <c r="N460" i="7"/>
  <c r="Q459" i="7"/>
  <c r="N459" i="7"/>
  <c r="Q458" i="7"/>
  <c r="N458" i="7"/>
  <c r="Q456" i="7"/>
  <c r="N456" i="7"/>
  <c r="Q457" i="7"/>
  <c r="N457" i="7"/>
  <c r="Q455" i="7"/>
  <c r="N455" i="7"/>
  <c r="Q453" i="7"/>
  <c r="N453" i="7"/>
  <c r="Q452" i="7"/>
  <c r="N452" i="7"/>
  <c r="Q454" i="7"/>
  <c r="N454" i="7"/>
  <c r="Q451" i="7"/>
  <c r="N451" i="7"/>
  <c r="Q450" i="7"/>
  <c r="N450" i="7"/>
  <c r="Q449" i="7"/>
  <c r="N449" i="7"/>
  <c r="Q448" i="7"/>
  <c r="N448" i="7"/>
  <c r="Q447" i="7"/>
  <c r="N447" i="7"/>
  <c r="Q445" i="7"/>
  <c r="N445" i="7"/>
  <c r="Q446" i="7"/>
  <c r="N446" i="7"/>
  <c r="Q444" i="7"/>
  <c r="N444" i="7"/>
  <c r="Q443" i="7"/>
  <c r="N443" i="7"/>
  <c r="Q442" i="7"/>
  <c r="N442" i="7"/>
  <c r="Q441" i="7"/>
  <c r="N441" i="7"/>
  <c r="Q440" i="7"/>
  <c r="N440" i="7"/>
  <c r="Q437" i="7"/>
  <c r="N437" i="7"/>
  <c r="Q439" i="7"/>
  <c r="N439" i="7"/>
  <c r="Q438" i="7"/>
  <c r="N438" i="7"/>
  <c r="Q435" i="7"/>
  <c r="N435" i="7"/>
  <c r="Q436" i="7"/>
  <c r="N436" i="7"/>
  <c r="Q434" i="7"/>
  <c r="N434" i="7"/>
  <c r="Q432" i="7"/>
  <c r="N432" i="7"/>
  <c r="Q433" i="7"/>
  <c r="N433" i="7"/>
  <c r="Q431" i="7"/>
  <c r="N431" i="7"/>
  <c r="Q430" i="7"/>
  <c r="N430" i="7"/>
  <c r="Q429" i="7"/>
  <c r="N429" i="7"/>
  <c r="Q428" i="7"/>
  <c r="N428" i="7"/>
  <c r="Q427" i="7"/>
  <c r="N427" i="7"/>
  <c r="Q426" i="7"/>
  <c r="N426" i="7"/>
  <c r="Q425" i="7"/>
  <c r="N425" i="7"/>
  <c r="Q424" i="7"/>
  <c r="N424" i="7"/>
  <c r="Q423" i="7"/>
  <c r="N423" i="7"/>
  <c r="Q422" i="7"/>
  <c r="N422" i="7"/>
  <c r="Q421" i="7"/>
  <c r="N421" i="7"/>
  <c r="Q420" i="7"/>
  <c r="N420" i="7"/>
  <c r="Q419" i="7"/>
  <c r="N419" i="7"/>
  <c r="Q418" i="7"/>
  <c r="N418" i="7"/>
  <c r="Q416" i="7"/>
  <c r="N416" i="7"/>
  <c r="Q417" i="7"/>
  <c r="N417" i="7"/>
  <c r="Q415" i="7"/>
  <c r="N415" i="7"/>
  <c r="Q412" i="7"/>
  <c r="N412" i="7"/>
  <c r="Q411" i="7"/>
  <c r="N411" i="7"/>
  <c r="Q413" i="7"/>
  <c r="N413" i="7"/>
  <c r="Q414" i="7"/>
  <c r="N414" i="7"/>
  <c r="Q410" i="7"/>
  <c r="N410" i="7"/>
  <c r="Q409" i="7"/>
  <c r="N409" i="7"/>
  <c r="Q408" i="7"/>
  <c r="N408" i="7"/>
  <c r="Q407" i="7"/>
  <c r="N407" i="7"/>
  <c r="Q406" i="7"/>
  <c r="N406" i="7"/>
  <c r="Q405" i="7"/>
  <c r="N405" i="7"/>
  <c r="Q404" i="7"/>
  <c r="N404" i="7"/>
  <c r="Q403" i="7"/>
  <c r="N403" i="7"/>
  <c r="Q402" i="7"/>
  <c r="N402" i="7"/>
  <c r="Q401" i="7"/>
  <c r="N401" i="7"/>
  <c r="Q400" i="7"/>
  <c r="N400" i="7"/>
  <c r="Q399" i="7"/>
  <c r="N399" i="7"/>
  <c r="Q398" i="7"/>
  <c r="N398" i="7"/>
  <c r="Q396" i="7"/>
  <c r="N396" i="7"/>
  <c r="Q395" i="7"/>
  <c r="N395" i="7"/>
  <c r="Q394" i="7"/>
  <c r="N394" i="7"/>
  <c r="Q393" i="7"/>
  <c r="N393" i="7"/>
  <c r="Q392" i="7"/>
  <c r="N392" i="7"/>
  <c r="Q391" i="7"/>
  <c r="N391" i="7"/>
  <c r="Q389" i="7"/>
  <c r="N389" i="7"/>
  <c r="Q390" i="7"/>
  <c r="N390" i="7"/>
  <c r="Q388" i="7"/>
  <c r="N388" i="7"/>
  <c r="Q387" i="7"/>
  <c r="N387" i="7"/>
  <c r="Q386" i="7"/>
  <c r="N386" i="7"/>
  <c r="Q385" i="7"/>
  <c r="N385" i="7"/>
  <c r="Q384" i="7"/>
  <c r="N384" i="7"/>
  <c r="Q383" i="7"/>
  <c r="N383" i="7"/>
  <c r="Q381" i="7"/>
  <c r="N381" i="7"/>
  <c r="Q382" i="7"/>
  <c r="N382" i="7"/>
  <c r="Q380" i="7"/>
  <c r="N380" i="7"/>
  <c r="Q379" i="7"/>
  <c r="N379" i="7"/>
  <c r="Q378" i="7"/>
  <c r="N378" i="7"/>
  <c r="Q376" i="7"/>
  <c r="N376" i="7"/>
  <c r="Q377" i="7"/>
  <c r="N377" i="7"/>
  <c r="Q375" i="7"/>
  <c r="N375" i="7"/>
  <c r="Q374" i="7"/>
  <c r="N374" i="7"/>
  <c r="Q373" i="7"/>
  <c r="N373" i="7"/>
  <c r="Q372" i="7"/>
  <c r="N372" i="7"/>
  <c r="Q371" i="7"/>
  <c r="N371" i="7"/>
  <c r="Q370" i="7"/>
  <c r="N370" i="7"/>
  <c r="Q368" i="7"/>
  <c r="N368" i="7"/>
  <c r="Q369" i="7"/>
  <c r="N369" i="7"/>
  <c r="Q367" i="7"/>
  <c r="N367" i="7"/>
  <c r="Q366" i="7"/>
  <c r="N366" i="7"/>
  <c r="Q365" i="7"/>
  <c r="N365" i="7"/>
  <c r="Q364" i="7"/>
  <c r="N364" i="7"/>
  <c r="Q363" i="7"/>
  <c r="N363" i="7"/>
  <c r="Q362" i="7"/>
  <c r="N362" i="7"/>
  <c r="Q361" i="7"/>
  <c r="N361" i="7"/>
  <c r="Q360" i="7"/>
  <c r="N360" i="7"/>
  <c r="Q359" i="7"/>
  <c r="N359" i="7"/>
  <c r="Q358" i="7"/>
  <c r="N358" i="7"/>
  <c r="Q357" i="7"/>
  <c r="N357" i="7"/>
  <c r="Q356" i="7"/>
  <c r="N356" i="7"/>
  <c r="Q355" i="7"/>
  <c r="N355" i="7"/>
  <c r="Q354" i="7"/>
  <c r="N354" i="7"/>
  <c r="Q353" i="7"/>
  <c r="N353" i="7"/>
  <c r="Q352" i="7"/>
  <c r="N352" i="7"/>
  <c r="Q351" i="7"/>
  <c r="N351" i="7"/>
  <c r="Q350" i="7"/>
  <c r="N350" i="7"/>
  <c r="Q349" i="7"/>
  <c r="N349" i="7"/>
  <c r="Q347" i="7"/>
  <c r="N347" i="7"/>
  <c r="Q348" i="7"/>
  <c r="N348" i="7"/>
  <c r="Q346" i="7"/>
  <c r="N346" i="7"/>
  <c r="Q345" i="7"/>
  <c r="N345" i="7"/>
  <c r="Q342" i="7"/>
  <c r="N342" i="7"/>
  <c r="Q343" i="7"/>
  <c r="N343" i="7"/>
  <c r="Q341" i="7"/>
  <c r="N341" i="7"/>
  <c r="Q340" i="7"/>
  <c r="N340" i="7"/>
  <c r="Q339" i="7"/>
  <c r="N339" i="7"/>
  <c r="Q338" i="7"/>
  <c r="N338" i="7"/>
  <c r="Q337" i="7"/>
  <c r="N337" i="7"/>
  <c r="Q336" i="7"/>
  <c r="N336" i="7"/>
  <c r="Q333" i="7"/>
  <c r="N333" i="7"/>
  <c r="Q335" i="7"/>
  <c r="N335" i="7"/>
  <c r="Q334" i="7"/>
  <c r="N334" i="7"/>
  <c r="Q332" i="7"/>
  <c r="N332" i="7"/>
  <c r="Q331" i="7"/>
  <c r="N331" i="7"/>
  <c r="Q330" i="7"/>
  <c r="N330" i="7"/>
  <c r="Q328" i="7"/>
  <c r="N328" i="7"/>
  <c r="Q327" i="7"/>
  <c r="N327" i="7"/>
  <c r="Q329" i="7"/>
  <c r="N329" i="7"/>
  <c r="Q326" i="7"/>
  <c r="N326" i="7"/>
  <c r="Q325" i="7"/>
  <c r="N325" i="7"/>
  <c r="Q323" i="7"/>
  <c r="N323" i="7"/>
  <c r="Q322" i="7"/>
  <c r="N322" i="7"/>
  <c r="Q324" i="7"/>
  <c r="N324" i="7"/>
  <c r="Q321" i="7"/>
  <c r="N321" i="7"/>
  <c r="Q318" i="7"/>
  <c r="N318" i="7"/>
  <c r="Q320" i="7"/>
  <c r="N320" i="7"/>
  <c r="Q319" i="7"/>
  <c r="N319" i="7"/>
  <c r="Q317" i="7"/>
  <c r="N317" i="7"/>
  <c r="Q316" i="7"/>
  <c r="N316" i="7"/>
  <c r="Q315" i="7"/>
  <c r="N315" i="7"/>
  <c r="Q313" i="7"/>
  <c r="N313" i="7"/>
  <c r="Q312" i="7"/>
  <c r="N312" i="7"/>
  <c r="Q311" i="7"/>
  <c r="N311" i="7"/>
  <c r="Q309" i="7"/>
  <c r="N309" i="7"/>
  <c r="Q310" i="7"/>
  <c r="N310" i="7"/>
  <c r="Q308" i="7"/>
  <c r="N308" i="7"/>
  <c r="Q307" i="7"/>
  <c r="N307" i="7"/>
  <c r="Q306" i="7"/>
  <c r="N306" i="7"/>
  <c r="Q305" i="7"/>
  <c r="N305" i="7"/>
  <c r="Q304" i="7"/>
  <c r="N304" i="7"/>
  <c r="Q303" i="7"/>
  <c r="N303" i="7"/>
  <c r="Q302" i="7"/>
  <c r="N302" i="7"/>
  <c r="Q300" i="7"/>
  <c r="N300" i="7"/>
  <c r="Q301" i="7"/>
  <c r="N301" i="7"/>
  <c r="Q298" i="7"/>
  <c r="N298" i="7"/>
  <c r="Q299" i="7"/>
  <c r="N299" i="7"/>
  <c r="Q297" i="7"/>
  <c r="N297" i="7"/>
  <c r="Q296" i="7"/>
  <c r="N296" i="7"/>
  <c r="Q295" i="7"/>
  <c r="N295" i="7"/>
  <c r="Q294" i="7"/>
  <c r="N294" i="7"/>
  <c r="Q292" i="7"/>
  <c r="N292" i="7"/>
  <c r="Q293" i="7"/>
  <c r="N293" i="7"/>
  <c r="Q290" i="7"/>
  <c r="N290" i="7"/>
  <c r="Q287" i="7"/>
  <c r="N287" i="7"/>
  <c r="Q289" i="7"/>
  <c r="N289" i="7"/>
  <c r="Q288" i="7"/>
  <c r="N288" i="7"/>
  <c r="Q284" i="7"/>
  <c r="N284" i="7"/>
  <c r="Q286" i="7"/>
  <c r="N286" i="7"/>
  <c r="Q285" i="7"/>
  <c r="N285" i="7"/>
  <c r="Q283" i="7"/>
  <c r="N283" i="7"/>
  <c r="Q282" i="7"/>
  <c r="N282" i="7"/>
  <c r="Q281" i="7"/>
  <c r="N281" i="7"/>
  <c r="Q280" i="7"/>
  <c r="N280" i="7"/>
  <c r="Q279" i="7"/>
  <c r="N279" i="7"/>
  <c r="Q278" i="7"/>
  <c r="N278" i="7"/>
  <c r="Q277" i="7"/>
  <c r="N277" i="7"/>
  <c r="Q276" i="7"/>
  <c r="N276" i="7"/>
  <c r="Q273" i="7"/>
  <c r="N273" i="7"/>
  <c r="Q272" i="7"/>
  <c r="N272" i="7"/>
  <c r="Q271" i="7"/>
  <c r="N271" i="7"/>
  <c r="Q270" i="7"/>
  <c r="N270" i="7"/>
  <c r="Q269" i="7"/>
  <c r="N269" i="7"/>
  <c r="Q268" i="7"/>
  <c r="N268" i="7"/>
  <c r="Q265" i="7"/>
  <c r="N265" i="7"/>
  <c r="Q266" i="7"/>
  <c r="N266" i="7"/>
  <c r="Q267" i="7"/>
  <c r="N267" i="7"/>
  <c r="Q264" i="7"/>
  <c r="N264" i="7"/>
  <c r="Q263" i="7"/>
  <c r="N263" i="7"/>
  <c r="Q260" i="7"/>
  <c r="N260" i="7"/>
  <c r="Q261" i="7"/>
  <c r="N261" i="7"/>
  <c r="Q262" i="7"/>
  <c r="N262" i="7"/>
  <c r="Q259" i="7"/>
  <c r="N259" i="7"/>
  <c r="Q258" i="7"/>
  <c r="N258" i="7"/>
  <c r="Q257" i="7"/>
  <c r="N257" i="7"/>
  <c r="Q255" i="7"/>
  <c r="N255" i="7"/>
  <c r="Q256" i="7"/>
  <c r="N256" i="7"/>
  <c r="Q254" i="7"/>
  <c r="N254" i="7"/>
  <c r="Q253" i="7"/>
  <c r="N253" i="7"/>
  <c r="Q252" i="7"/>
  <c r="N252" i="7"/>
  <c r="Q251" i="7"/>
  <c r="N251" i="7"/>
  <c r="Q250" i="7"/>
  <c r="N250" i="7"/>
  <c r="Q249" i="7"/>
  <c r="N249" i="7"/>
  <c r="Q248" i="7"/>
  <c r="N248" i="7"/>
  <c r="Q247" i="7"/>
  <c r="N247" i="7"/>
  <c r="Q246" i="7"/>
  <c r="N246" i="7"/>
  <c r="Q244" i="7"/>
  <c r="N244" i="7"/>
  <c r="Q243" i="7"/>
  <c r="N243" i="7"/>
  <c r="Q245" i="7"/>
  <c r="N245" i="7"/>
  <c r="Q242" i="7"/>
  <c r="N242" i="7"/>
  <c r="Q240" i="7"/>
  <c r="N240" i="7"/>
  <c r="Q241" i="7"/>
  <c r="N241" i="7"/>
  <c r="Q239" i="7"/>
  <c r="N239" i="7"/>
  <c r="Q238" i="7"/>
  <c r="N238" i="7"/>
  <c r="Q237" i="7"/>
  <c r="N237" i="7"/>
  <c r="Q236" i="7"/>
  <c r="N236" i="7"/>
  <c r="Q235" i="7"/>
  <c r="N235" i="7"/>
  <c r="Q234" i="7"/>
  <c r="N234" i="7"/>
  <c r="Q233" i="7"/>
  <c r="N233" i="7"/>
  <c r="Q232" i="7"/>
  <c r="N232" i="7"/>
  <c r="Q230" i="7"/>
  <c r="N230" i="7"/>
  <c r="Q231" i="7"/>
  <c r="N231" i="7"/>
  <c r="Q229" i="7"/>
  <c r="N229" i="7"/>
  <c r="Q228" i="7"/>
  <c r="N228" i="7"/>
  <c r="Q225" i="7"/>
  <c r="N225" i="7"/>
  <c r="Q227" i="7"/>
  <c r="N227" i="7"/>
  <c r="Q226" i="7"/>
  <c r="N226" i="7"/>
  <c r="Q223" i="7"/>
  <c r="N223" i="7"/>
  <c r="Q224" i="7"/>
  <c r="N224" i="7"/>
  <c r="Q222" i="7"/>
  <c r="N222" i="7"/>
  <c r="Q221" i="7"/>
  <c r="N221" i="7"/>
  <c r="Q218" i="7"/>
  <c r="N218" i="7"/>
  <c r="Q220" i="7"/>
  <c r="N220" i="7"/>
  <c r="Q219" i="7"/>
  <c r="N219" i="7"/>
  <c r="Q217" i="7"/>
  <c r="N217" i="7"/>
  <c r="Q216" i="7"/>
  <c r="N216" i="7"/>
  <c r="Q215" i="7"/>
  <c r="N215" i="7"/>
  <c r="Q214" i="7"/>
  <c r="N214" i="7"/>
  <c r="Q213" i="7"/>
  <c r="N213" i="7"/>
  <c r="Q212" i="7"/>
  <c r="N212" i="7"/>
  <c r="Q211" i="7"/>
  <c r="N211" i="7"/>
  <c r="Q210" i="7"/>
  <c r="N210" i="7"/>
  <c r="Q209" i="7"/>
  <c r="N209" i="7"/>
  <c r="Q206" i="7"/>
  <c r="N206" i="7"/>
  <c r="Q205" i="7"/>
  <c r="N205" i="7"/>
  <c r="Q208" i="7"/>
  <c r="N208" i="7"/>
  <c r="Q207" i="7"/>
  <c r="N207" i="7"/>
  <c r="Q204" i="7"/>
  <c r="N204" i="7"/>
  <c r="Q202" i="7"/>
  <c r="N202" i="7"/>
  <c r="Q201" i="7"/>
  <c r="N201" i="7"/>
  <c r="Q200" i="7"/>
  <c r="N200" i="7"/>
  <c r="Q199" i="7"/>
  <c r="N199" i="7"/>
  <c r="Q198" i="7"/>
  <c r="N198" i="7"/>
  <c r="Q197" i="7"/>
  <c r="N197" i="7"/>
  <c r="Q196" i="7"/>
  <c r="N196" i="7"/>
  <c r="Q195" i="7"/>
  <c r="N195" i="7"/>
  <c r="Q194" i="7"/>
  <c r="N194" i="7"/>
  <c r="Q193" i="7"/>
  <c r="N193" i="7"/>
  <c r="Q192" i="7"/>
  <c r="N192" i="7"/>
  <c r="Q191" i="7"/>
  <c r="N191" i="7"/>
  <c r="Q190" i="7"/>
  <c r="N190" i="7"/>
  <c r="Q189" i="7"/>
  <c r="N189" i="7"/>
  <c r="Q188" i="7"/>
  <c r="N188" i="7"/>
  <c r="Q187" i="7"/>
  <c r="N187" i="7"/>
  <c r="Q186" i="7"/>
  <c r="N186" i="7"/>
  <c r="Q185" i="7"/>
  <c r="N185" i="7"/>
  <c r="Q184" i="7"/>
  <c r="N184" i="7"/>
  <c r="Q183" i="7"/>
  <c r="N183" i="7"/>
  <c r="Q182" i="7"/>
  <c r="N182" i="7"/>
  <c r="Q181" i="7"/>
  <c r="N181" i="7"/>
  <c r="Q180" i="7"/>
  <c r="N180" i="7"/>
  <c r="Q179" i="7"/>
  <c r="N179" i="7"/>
  <c r="Q178" i="7"/>
  <c r="N178" i="7"/>
  <c r="Q177" i="7"/>
  <c r="N177" i="7"/>
  <c r="Q176" i="7"/>
  <c r="N176" i="7"/>
  <c r="Q175" i="7"/>
  <c r="N175" i="7"/>
  <c r="Q174" i="7"/>
  <c r="N174" i="7"/>
  <c r="Q173" i="7"/>
  <c r="N173" i="7"/>
  <c r="Q172" i="7"/>
  <c r="N172" i="7"/>
  <c r="Q171" i="7"/>
  <c r="N171" i="7"/>
  <c r="Q170" i="7"/>
  <c r="N170" i="7"/>
  <c r="Q169" i="7"/>
  <c r="N169" i="7"/>
  <c r="Q168" i="7"/>
  <c r="N168" i="7"/>
  <c r="Q165" i="7"/>
  <c r="N165" i="7"/>
  <c r="Q166" i="7"/>
  <c r="N166" i="7"/>
  <c r="Q167" i="7"/>
  <c r="N167" i="7"/>
  <c r="Q164" i="7"/>
  <c r="N164" i="7"/>
  <c r="Q163" i="7"/>
  <c r="N163" i="7"/>
  <c r="Q161" i="7"/>
  <c r="N161" i="7"/>
  <c r="Q162" i="7"/>
  <c r="N162" i="7"/>
  <c r="Q159" i="7"/>
  <c r="N159" i="7"/>
  <c r="Q160" i="7"/>
  <c r="N160" i="7"/>
  <c r="Q158" i="7"/>
  <c r="N158" i="7"/>
  <c r="Q156" i="7"/>
  <c r="N156" i="7"/>
  <c r="Q155" i="7"/>
  <c r="N155" i="7"/>
  <c r="Q157" i="7"/>
  <c r="N157" i="7"/>
  <c r="Q154" i="7"/>
  <c r="N154" i="7"/>
  <c r="Q153" i="7"/>
  <c r="N153" i="7"/>
  <c r="Q152" i="7"/>
  <c r="N152" i="7"/>
  <c r="Q150" i="7"/>
  <c r="N150" i="7"/>
  <c r="Q151" i="7"/>
  <c r="N151" i="7"/>
  <c r="Q149" i="7"/>
  <c r="N149" i="7"/>
  <c r="Q148" i="7"/>
  <c r="N148" i="7"/>
  <c r="Q147" i="7"/>
  <c r="N147" i="7"/>
  <c r="Q146" i="7"/>
  <c r="N146" i="7"/>
  <c r="Q145" i="7"/>
  <c r="N145" i="7"/>
  <c r="Q144" i="7"/>
  <c r="N144" i="7"/>
  <c r="Q143" i="7"/>
  <c r="N143" i="7"/>
  <c r="Q142" i="7"/>
  <c r="N142" i="7"/>
  <c r="Q140" i="7"/>
  <c r="N140" i="7"/>
  <c r="Q141" i="7"/>
  <c r="N141" i="7"/>
  <c r="Q139" i="7"/>
  <c r="N139" i="7"/>
  <c r="Q138" i="7"/>
  <c r="N138" i="7"/>
  <c r="Q135" i="7"/>
  <c r="N135" i="7"/>
  <c r="Q137" i="7"/>
  <c r="N137" i="7"/>
  <c r="Q136" i="7"/>
  <c r="N136" i="7"/>
  <c r="Q134" i="7"/>
  <c r="N134" i="7"/>
  <c r="Q133" i="7"/>
  <c r="N133" i="7"/>
  <c r="Q131" i="7"/>
  <c r="N131" i="7"/>
  <c r="Q132" i="7"/>
  <c r="N132" i="7"/>
  <c r="Q130" i="7"/>
  <c r="N130" i="7"/>
  <c r="Q129" i="7"/>
  <c r="N129" i="7"/>
  <c r="Q127" i="7"/>
  <c r="N127" i="7"/>
  <c r="Q128" i="7"/>
  <c r="N128" i="7"/>
  <c r="Q125" i="7"/>
  <c r="N125" i="7"/>
  <c r="Q126" i="7"/>
  <c r="N126" i="7"/>
  <c r="Q122" i="7"/>
  <c r="N122" i="7"/>
  <c r="Q124" i="7"/>
  <c r="N124" i="7"/>
  <c r="Q123" i="7"/>
  <c r="N123" i="7"/>
  <c r="Q121" i="7"/>
  <c r="N121" i="7"/>
  <c r="Q120" i="7"/>
  <c r="N120" i="7"/>
  <c r="Q119" i="7"/>
  <c r="N119" i="7"/>
  <c r="Q118" i="7"/>
  <c r="N118" i="7"/>
  <c r="Q116" i="7"/>
  <c r="N116" i="7"/>
  <c r="Q117" i="7"/>
  <c r="N117" i="7"/>
  <c r="Q115" i="7"/>
  <c r="N115" i="7"/>
  <c r="Q114" i="7"/>
  <c r="N114" i="7"/>
  <c r="Q113" i="7"/>
  <c r="N113" i="7"/>
  <c r="Q112" i="7"/>
  <c r="N112" i="7"/>
  <c r="Q111" i="7"/>
  <c r="N111" i="7"/>
  <c r="Q110" i="7"/>
  <c r="N110" i="7"/>
  <c r="Q109" i="7"/>
  <c r="N109" i="7"/>
  <c r="Q108" i="7"/>
  <c r="N108" i="7"/>
  <c r="Q107" i="7"/>
  <c r="N107" i="7"/>
  <c r="Q106" i="7"/>
  <c r="N106" i="7"/>
  <c r="Q105" i="7"/>
  <c r="N105" i="7"/>
  <c r="Q104" i="7"/>
  <c r="N104" i="7"/>
  <c r="Q103" i="7"/>
  <c r="N103" i="7"/>
  <c r="Q102" i="7"/>
  <c r="N102" i="7"/>
  <c r="Q101" i="7"/>
  <c r="N101" i="7"/>
  <c r="Q99" i="7"/>
  <c r="N99" i="7"/>
  <c r="Q98" i="7"/>
  <c r="N98" i="7"/>
  <c r="Q100" i="7"/>
  <c r="N100" i="7"/>
  <c r="Q95" i="7"/>
  <c r="N95" i="7"/>
  <c r="Q97" i="7"/>
  <c r="N97" i="7"/>
  <c r="Q96" i="7"/>
  <c r="N96" i="7"/>
  <c r="Q94" i="7"/>
  <c r="N94" i="7"/>
  <c r="Q93" i="7"/>
  <c r="N93" i="7"/>
  <c r="Q91" i="7"/>
  <c r="N91" i="7"/>
  <c r="Q92" i="7"/>
  <c r="N92" i="7"/>
  <c r="Q90" i="7"/>
  <c r="N90" i="7"/>
  <c r="Q89" i="7"/>
  <c r="N89" i="7"/>
  <c r="Q88" i="7"/>
  <c r="N88" i="7"/>
  <c r="Q86" i="7"/>
  <c r="N86" i="7"/>
  <c r="Q87" i="7"/>
  <c r="N87" i="7"/>
  <c r="Q85" i="7"/>
  <c r="N85" i="7"/>
  <c r="Q84" i="7"/>
  <c r="N84" i="7"/>
  <c r="Q83" i="7"/>
  <c r="N83" i="7"/>
  <c r="Q82" i="7"/>
  <c r="N82" i="7"/>
  <c r="Q79" i="7"/>
  <c r="N79" i="7"/>
  <c r="Q81" i="7"/>
  <c r="N81" i="7"/>
  <c r="Q80" i="7"/>
  <c r="N80" i="7"/>
  <c r="Q78" i="7"/>
  <c r="N78" i="7"/>
  <c r="Q77" i="7"/>
  <c r="N77" i="7"/>
  <c r="Q76" i="7"/>
  <c r="N76" i="7"/>
  <c r="Q75" i="7"/>
  <c r="N75" i="7"/>
  <c r="Q74" i="7"/>
  <c r="N74" i="7"/>
  <c r="Q73" i="7"/>
  <c r="N73" i="7"/>
  <c r="Q72" i="7"/>
  <c r="N72" i="7"/>
  <c r="Q71" i="7"/>
  <c r="N71" i="7"/>
  <c r="Q70" i="7"/>
  <c r="N70" i="7"/>
  <c r="Q69" i="7"/>
  <c r="N69" i="7"/>
  <c r="Q68" i="7"/>
  <c r="N68" i="7"/>
  <c r="Q67" i="7"/>
  <c r="N67" i="7"/>
  <c r="Q66" i="7"/>
  <c r="N66" i="7"/>
  <c r="Q65" i="7"/>
  <c r="N65" i="7"/>
  <c r="Q64" i="7"/>
  <c r="N64" i="7"/>
  <c r="Q63" i="7"/>
  <c r="N63" i="7"/>
  <c r="Q62" i="7"/>
  <c r="N62" i="7"/>
  <c r="Q61" i="7"/>
  <c r="N61" i="7"/>
  <c r="Q60" i="7"/>
  <c r="N60" i="7"/>
  <c r="BE58" i="7"/>
  <c r="Q58" i="7"/>
  <c r="N58" i="7"/>
  <c r="Q57" i="7"/>
  <c r="N57" i="7"/>
  <c r="Q59" i="7"/>
  <c r="N59" i="7"/>
  <c r="Q56" i="7"/>
  <c r="N56" i="7"/>
  <c r="Q55" i="7"/>
  <c r="N55" i="7"/>
  <c r="Q54" i="7"/>
  <c r="N54" i="7"/>
  <c r="Q53" i="7"/>
  <c r="N53" i="7"/>
  <c r="AR52" i="7"/>
  <c r="Q52" i="7"/>
  <c r="N52" i="7"/>
  <c r="Q51" i="7"/>
  <c r="N51" i="7"/>
  <c r="Q50" i="7"/>
  <c r="N50" i="7"/>
  <c r="Q49" i="7"/>
  <c r="N49" i="7"/>
  <c r="Q48" i="7"/>
  <c r="N48" i="7"/>
  <c r="Q47" i="7"/>
  <c r="N47" i="7"/>
  <c r="Q46" i="7"/>
  <c r="N46" i="7"/>
  <c r="Q45" i="7"/>
  <c r="N45" i="7"/>
  <c r="Q43" i="7"/>
  <c r="N43" i="7"/>
  <c r="Q44" i="7"/>
  <c r="N44" i="7"/>
  <c r="Q42" i="7"/>
  <c r="N42" i="7"/>
  <c r="Q41" i="7"/>
  <c r="N41" i="7"/>
  <c r="Q40" i="7"/>
  <c r="N40" i="7"/>
  <c r="Q39" i="7"/>
  <c r="N39" i="7"/>
  <c r="Q38" i="7"/>
  <c r="N38" i="7"/>
  <c r="Q34" i="7"/>
  <c r="N34" i="7"/>
  <c r="Q33" i="7"/>
  <c r="N33" i="7"/>
  <c r="Q35" i="7"/>
  <c r="N35" i="7"/>
  <c r="Q32" i="7"/>
  <c r="N32" i="7"/>
  <c r="Q31" i="7"/>
  <c r="N31" i="7"/>
  <c r="Q30" i="7"/>
  <c r="N30" i="7"/>
  <c r="Q29" i="7"/>
  <c r="N29" i="7"/>
  <c r="Q28" i="7"/>
  <c r="N28" i="7"/>
  <c r="Q27" i="7"/>
  <c r="N27" i="7"/>
  <c r="Q26" i="7"/>
  <c r="N26" i="7"/>
  <c r="Q25" i="7"/>
  <c r="N25" i="7"/>
  <c r="Q22" i="7"/>
  <c r="N22" i="7"/>
  <c r="Q24" i="7"/>
  <c r="N24" i="7"/>
  <c r="Q23" i="7"/>
  <c r="N23" i="7"/>
  <c r="Q21" i="7"/>
  <c r="N21" i="7"/>
  <c r="Q20" i="7"/>
  <c r="N20" i="7"/>
  <c r="Q18" i="7"/>
  <c r="N18" i="7"/>
  <c r="Q19" i="7"/>
  <c r="N19" i="7"/>
  <c r="Q17" i="7"/>
  <c r="N17" i="7"/>
  <c r="Q16" i="7"/>
  <c r="N16" i="7"/>
  <c r="Q14" i="7"/>
  <c r="N14" i="7"/>
  <c r="Q15" i="7"/>
  <c r="N15" i="7"/>
  <c r="Q12" i="7"/>
  <c r="N12" i="7"/>
  <c r="Q13" i="7"/>
  <c r="N13" i="7"/>
  <c r="Q11" i="7"/>
  <c r="N11" i="7"/>
  <c r="Q10" i="7"/>
  <c r="N10" i="7"/>
  <c r="Q9" i="7"/>
  <c r="N9" i="7"/>
  <c r="Q8" i="7"/>
  <c r="N8" i="7"/>
  <c r="Q6" i="7"/>
  <c r="N6" i="7"/>
  <c r="Q7" i="7"/>
  <c r="N7" i="7"/>
  <c r="Q5" i="7"/>
  <c r="N5" i="7"/>
  <c r="Q4" i="7"/>
  <c r="N4" i="7"/>
  <c r="Q3" i="7"/>
  <c r="N3" i="7"/>
  <c r="Q2" i="7"/>
  <c r="N2" i="7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Z28" i="6"/>
  <c r="E28" i="6"/>
  <c r="E27" i="6"/>
  <c r="E26" i="6"/>
  <c r="E25" i="6"/>
  <c r="E24" i="6"/>
  <c r="M23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L446" i="3"/>
  <c r="J446" i="3"/>
  <c r="L445" i="3"/>
  <c r="J445" i="3"/>
  <c r="L444" i="3"/>
  <c r="J444" i="3"/>
  <c r="L443" i="3"/>
  <c r="J443" i="3"/>
  <c r="L442" i="3"/>
  <c r="J442" i="3"/>
  <c r="L441" i="3"/>
  <c r="J441" i="3"/>
  <c r="L440" i="3"/>
  <c r="J440" i="3"/>
  <c r="L439" i="3"/>
  <c r="J439" i="3"/>
  <c r="L438" i="3"/>
  <c r="J438" i="3"/>
  <c r="L437" i="3"/>
  <c r="J437" i="3"/>
  <c r="L436" i="3"/>
  <c r="J436" i="3"/>
  <c r="L435" i="3"/>
  <c r="J435" i="3"/>
  <c r="L434" i="3"/>
  <c r="J434" i="3"/>
  <c r="L433" i="3"/>
  <c r="J433" i="3"/>
  <c r="L432" i="3"/>
  <c r="J432" i="3"/>
  <c r="L431" i="3"/>
  <c r="J431" i="3"/>
  <c r="L430" i="3"/>
  <c r="J430" i="3"/>
  <c r="L429" i="3"/>
  <c r="J429" i="3"/>
  <c r="L428" i="3"/>
  <c r="J428" i="3"/>
  <c r="L427" i="3"/>
  <c r="J427" i="3"/>
  <c r="L426" i="3"/>
  <c r="J426" i="3"/>
  <c r="L425" i="3" l="1"/>
  <c r="L424" i="3"/>
  <c r="J424" i="3"/>
  <c r="L423" i="3"/>
  <c r="J423" i="3"/>
  <c r="L422" i="3"/>
  <c r="J422" i="3"/>
  <c r="L421" i="3"/>
  <c r="J421" i="3"/>
  <c r="L420" i="3"/>
  <c r="J420" i="3"/>
  <c r="L419" i="3"/>
  <c r="J419" i="3"/>
  <c r="L418" i="3"/>
  <c r="J418" i="3"/>
  <c r="L417" i="3"/>
  <c r="J417" i="3"/>
  <c r="L416" i="3"/>
  <c r="J416" i="3"/>
  <c r="L415" i="3"/>
  <c r="J415" i="3"/>
  <c r="L414" i="3"/>
  <c r="J414" i="3"/>
  <c r="L413" i="3"/>
  <c r="J413" i="3"/>
  <c r="L412" i="3"/>
  <c r="J412" i="3"/>
  <c r="L411" i="3" l="1"/>
  <c r="J411" i="3"/>
  <c r="L410" i="3"/>
  <c r="J410" i="3"/>
  <c r="L409" i="3"/>
  <c r="J409" i="3"/>
  <c r="L408" i="3"/>
  <c r="J408" i="3"/>
  <c r="L407" i="3"/>
  <c r="J407" i="3"/>
  <c r="L406" i="3"/>
  <c r="J406" i="3"/>
  <c r="L405" i="3"/>
  <c r="J405" i="3"/>
  <c r="L404" i="3"/>
  <c r="J404" i="3"/>
  <c r="L403" i="3"/>
  <c r="J403" i="3"/>
  <c r="L402" i="3"/>
  <c r="J402" i="3"/>
  <c r="L400" i="3"/>
  <c r="J400" i="3"/>
  <c r="L399" i="3"/>
  <c r="J399" i="3"/>
  <c r="L398" i="3"/>
  <c r="J398" i="3"/>
  <c r="L397" i="3"/>
  <c r="J397" i="3"/>
  <c r="L396" i="3"/>
  <c r="J396" i="3"/>
  <c r="L395" i="3"/>
  <c r="J395" i="3"/>
  <c r="L394" i="3"/>
  <c r="J394" i="3"/>
  <c r="L393" i="3"/>
  <c r="J393" i="3"/>
  <c r="L392" i="3"/>
  <c r="J392" i="3"/>
  <c r="L391" i="3"/>
  <c r="J391" i="3"/>
  <c r="L390" i="3"/>
  <c r="J390" i="3"/>
  <c r="L389" i="3"/>
  <c r="J389" i="3"/>
  <c r="L388" i="3"/>
  <c r="J388" i="3"/>
  <c r="L387" i="3"/>
  <c r="J387" i="3"/>
  <c r="L386" i="3"/>
  <c r="J386" i="3"/>
  <c r="L385" i="3"/>
  <c r="J385" i="3"/>
  <c r="L384" i="3"/>
  <c r="J384" i="3"/>
  <c r="L383" i="3"/>
  <c r="J383" i="3"/>
  <c r="L382" i="3"/>
  <c r="J382" i="3"/>
  <c r="L381" i="3"/>
  <c r="J381" i="3"/>
  <c r="L380" i="3"/>
  <c r="J380" i="3"/>
  <c r="L379" i="3"/>
  <c r="J379" i="3"/>
  <c r="L378" i="3"/>
  <c r="J378" i="3"/>
  <c r="L377" i="3"/>
  <c r="J377" i="3"/>
  <c r="L376" i="3"/>
  <c r="J376" i="3"/>
  <c r="L375" i="3"/>
  <c r="J375" i="3"/>
  <c r="L374" i="3"/>
  <c r="J374" i="3"/>
  <c r="L373" i="3"/>
  <c r="J373" i="3"/>
  <c r="L372" i="3"/>
  <c r="J372" i="3"/>
  <c r="L371" i="3"/>
  <c r="J371" i="3"/>
  <c r="L370" i="3"/>
  <c r="J370" i="3"/>
  <c r="L369" i="3"/>
  <c r="J369" i="3"/>
  <c r="L368" i="3"/>
  <c r="J368" i="3"/>
  <c r="L366" i="3"/>
  <c r="L367" i="3"/>
  <c r="J367" i="3"/>
  <c r="J366" i="3"/>
  <c r="L365" i="3"/>
  <c r="J365" i="3"/>
  <c r="L364" i="3"/>
  <c r="J364" i="3"/>
  <c r="L363" i="3"/>
  <c r="J363" i="3"/>
  <c r="L362" i="3"/>
  <c r="J362" i="3"/>
  <c r="L361" i="3"/>
  <c r="J361" i="3"/>
  <c r="L360" i="3"/>
  <c r="J360" i="3"/>
  <c r="L359" i="3"/>
  <c r="J359" i="3"/>
  <c r="L358" i="3"/>
  <c r="J358" i="3"/>
  <c r="L357" i="3"/>
  <c r="J357" i="3"/>
  <c r="L356" i="3"/>
  <c r="J356" i="3"/>
  <c r="L355" i="3"/>
  <c r="J355" i="3"/>
  <c r="L354" i="3"/>
  <c r="J354" i="3"/>
  <c r="L353" i="3"/>
  <c r="J353" i="3"/>
  <c r="L352" i="3"/>
  <c r="J352" i="3"/>
  <c r="L351" i="3"/>
  <c r="J351" i="3"/>
  <c r="L350" i="3"/>
  <c r="J350" i="3"/>
  <c r="L349" i="3"/>
  <c r="J349" i="3"/>
  <c r="L348" i="3"/>
  <c r="J348" i="3"/>
  <c r="L347" i="3"/>
  <c r="J347" i="3"/>
  <c r="L346" i="3"/>
  <c r="J346" i="3"/>
  <c r="L345" i="3"/>
  <c r="J345" i="3"/>
  <c r="L344" i="3"/>
  <c r="J344" i="3"/>
  <c r="L343" i="3"/>
  <c r="J343" i="3"/>
  <c r="L342" i="3"/>
  <c r="J342" i="3"/>
  <c r="L341" i="3"/>
  <c r="J341" i="3"/>
  <c r="L340" i="3"/>
  <c r="J340" i="3"/>
  <c r="L339" i="3"/>
  <c r="J339" i="3"/>
  <c r="L338" i="3"/>
  <c r="J338" i="3"/>
  <c r="L337" i="3"/>
  <c r="J337" i="3"/>
  <c r="L336" i="3"/>
  <c r="J336" i="3"/>
  <c r="L335" i="3"/>
  <c r="J335" i="3"/>
  <c r="L334" i="3"/>
  <c r="J334" i="3"/>
  <c r="L333" i="3"/>
  <c r="J333" i="3"/>
  <c r="L332" i="3"/>
  <c r="J332" i="3"/>
  <c r="L331" i="3"/>
  <c r="J331" i="3"/>
  <c r="J330" i="3"/>
  <c r="L330" i="3"/>
  <c r="L329" i="3"/>
  <c r="J329" i="3"/>
  <c r="L328" i="3"/>
  <c r="J328" i="3"/>
  <c r="L327" i="3"/>
  <c r="J327" i="3"/>
  <c r="L326" i="3"/>
  <c r="L325" i="3"/>
  <c r="J325" i="3"/>
  <c r="L324" i="3"/>
  <c r="J324" i="3"/>
  <c r="L323" i="3"/>
  <c r="J323" i="3"/>
  <c r="J322" i="3"/>
  <c r="L322" i="3"/>
  <c r="L321" i="3"/>
  <c r="J321" i="3"/>
  <c r="L320" i="3"/>
  <c r="J320" i="3"/>
  <c r="L319" i="3"/>
  <c r="J319" i="3"/>
  <c r="L318" i="3"/>
  <c r="J318" i="3"/>
  <c r="L317" i="3"/>
  <c r="J317" i="3"/>
  <c r="L316" i="3"/>
  <c r="J316" i="3"/>
  <c r="L315" i="3"/>
  <c r="J315" i="3"/>
  <c r="L314" i="3"/>
  <c r="J314" i="3"/>
  <c r="L313" i="3"/>
  <c r="J313" i="3"/>
  <c r="L312" i="3"/>
  <c r="J312" i="3"/>
  <c r="L311" i="3"/>
  <c r="J311" i="3"/>
  <c r="L310" i="3"/>
  <c r="J310" i="3"/>
  <c r="L309" i="3"/>
  <c r="J309" i="3"/>
  <c r="L308" i="3"/>
  <c r="J308" i="3"/>
  <c r="L307" i="3"/>
  <c r="J307" i="3"/>
  <c r="L306" i="3"/>
  <c r="J306" i="3"/>
  <c r="L305" i="3"/>
  <c r="J305" i="3"/>
  <c r="L304" i="3"/>
  <c r="J304" i="3"/>
  <c r="L303" i="3"/>
  <c r="J303" i="3"/>
  <c r="L302" i="3"/>
  <c r="J302" i="3"/>
  <c r="L301" i="3"/>
  <c r="J301" i="3"/>
  <c r="L300" i="3"/>
  <c r="J300" i="3"/>
  <c r="L25" i="5"/>
  <c r="J25" i="5"/>
  <c r="L24" i="5"/>
  <c r="J24" i="5"/>
  <c r="L23" i="5"/>
  <c r="J23" i="5"/>
  <c r="L22" i="5"/>
  <c r="J22" i="5"/>
  <c r="L21" i="5"/>
  <c r="J21" i="5"/>
  <c r="L20" i="5"/>
  <c r="J20" i="5"/>
  <c r="L19" i="5"/>
  <c r="J19" i="5"/>
  <c r="L18" i="5"/>
  <c r="J18" i="5"/>
  <c r="L17" i="5"/>
  <c r="J17" i="5"/>
  <c r="L16" i="5"/>
  <c r="J16" i="5"/>
  <c r="L15" i="5"/>
  <c r="J15" i="5"/>
  <c r="L14" i="5"/>
  <c r="J14" i="5"/>
  <c r="L13" i="5"/>
  <c r="J13" i="5"/>
  <c r="L12" i="5"/>
  <c r="J12" i="5"/>
  <c r="L11" i="5"/>
  <c r="J11" i="5"/>
  <c r="L10" i="5"/>
  <c r="J10" i="5"/>
  <c r="L9" i="5"/>
  <c r="J9" i="5"/>
  <c r="L8" i="5"/>
  <c r="J8" i="5"/>
  <c r="L7" i="5"/>
  <c r="J7" i="5"/>
  <c r="L6" i="5"/>
  <c r="J6" i="5"/>
  <c r="L5" i="5"/>
  <c r="J5" i="5"/>
  <c r="L4" i="5"/>
  <c r="J4" i="5"/>
  <c r="L3" i="5"/>
  <c r="J3" i="5"/>
  <c r="L2" i="5"/>
  <c r="J2" i="5"/>
  <c r="J299" i="3"/>
  <c r="L227" i="3" l="1"/>
  <c r="J227" i="3"/>
  <c r="L226" i="3"/>
  <c r="J226" i="3"/>
  <c r="L163" i="3" l="1"/>
  <c r="I163" i="3"/>
  <c r="J163" i="3" s="1"/>
  <c r="L162" i="3"/>
  <c r="I162" i="3"/>
  <c r="J162" i="3" s="1"/>
  <c r="L161" i="3"/>
  <c r="I161" i="3"/>
  <c r="J161" i="3" s="1"/>
  <c r="L160" i="3"/>
  <c r="I160" i="3"/>
  <c r="J160" i="3" s="1"/>
  <c r="L159" i="3"/>
  <c r="J159" i="3"/>
  <c r="L158" i="3"/>
  <c r="I158" i="3"/>
  <c r="J158" i="3" s="1"/>
  <c r="L157" i="3"/>
  <c r="J157" i="3"/>
  <c r="L156" i="3"/>
  <c r="J156" i="3"/>
  <c r="L155" i="3"/>
  <c r="J155" i="3"/>
  <c r="L154" i="3"/>
  <c r="J154" i="3"/>
  <c r="L153" i="3"/>
  <c r="J153" i="3"/>
  <c r="L152" i="3"/>
  <c r="J152" i="3"/>
  <c r="L151" i="3"/>
  <c r="J151" i="3"/>
  <c r="L150" i="3"/>
  <c r="J150" i="3"/>
  <c r="L149" i="3"/>
  <c r="J149" i="3"/>
  <c r="L148" i="3"/>
  <c r="J148" i="3"/>
  <c r="L147" i="3"/>
  <c r="J147" i="3"/>
  <c r="L146" i="3"/>
  <c r="J146" i="3"/>
  <c r="L145" i="3"/>
  <c r="J145" i="3"/>
  <c r="L144" i="3"/>
  <c r="J144" i="3"/>
  <c r="L143" i="3"/>
  <c r="J143" i="3"/>
  <c r="L142" i="3"/>
  <c r="J142" i="3"/>
  <c r="L141" i="3"/>
  <c r="J141" i="3"/>
  <c r="L140" i="3"/>
  <c r="J140" i="3"/>
  <c r="L139" i="3"/>
  <c r="J139" i="3"/>
  <c r="L138" i="3"/>
  <c r="J138" i="3"/>
  <c r="L137" i="3"/>
  <c r="J137" i="3"/>
  <c r="L136" i="3"/>
  <c r="J136" i="3"/>
  <c r="L135" i="3"/>
  <c r="J135" i="3"/>
  <c r="L134" i="3"/>
  <c r="J134" i="3"/>
  <c r="L133" i="3"/>
  <c r="J133" i="3"/>
  <c r="L132" i="3"/>
  <c r="J132" i="3"/>
  <c r="L131" i="3"/>
  <c r="J131" i="3"/>
  <c r="L130" i="3"/>
  <c r="J130" i="3"/>
  <c r="L129" i="3"/>
  <c r="J129" i="3"/>
  <c r="L128" i="3"/>
  <c r="J128" i="3"/>
  <c r="L127" i="3"/>
  <c r="J127" i="3"/>
  <c r="L126" i="3"/>
  <c r="J126" i="3"/>
  <c r="L125" i="3"/>
  <c r="J125" i="3"/>
  <c r="L124" i="3"/>
  <c r="J124" i="3"/>
  <c r="L123" i="3"/>
  <c r="J123" i="3"/>
  <c r="L122" i="3"/>
  <c r="J122" i="3"/>
  <c r="L121" i="3"/>
  <c r="J121" i="3"/>
  <c r="L120" i="3"/>
  <c r="L119" i="3"/>
  <c r="J119" i="3"/>
  <c r="L118" i="3"/>
  <c r="J118" i="3"/>
  <c r="L117" i="3"/>
  <c r="J117" i="3"/>
  <c r="L116" i="3"/>
  <c r="J116" i="3"/>
  <c r="L115" i="3"/>
  <c r="J115" i="3"/>
  <c r="L114" i="3"/>
  <c r="J114" i="3"/>
  <c r="L113" i="3"/>
  <c r="J113" i="3"/>
  <c r="L112" i="3"/>
  <c r="J112" i="3"/>
  <c r="L111" i="3"/>
  <c r="J111" i="3"/>
  <c r="L110" i="3"/>
  <c r="J110" i="3"/>
  <c r="L109" i="3"/>
  <c r="J109" i="3"/>
  <c r="L108" i="3"/>
  <c r="J108" i="3"/>
  <c r="L107" i="3"/>
  <c r="J107" i="3"/>
  <c r="L106" i="3"/>
  <c r="J106" i="3"/>
  <c r="L105" i="3"/>
  <c r="J105" i="3"/>
  <c r="L104" i="3"/>
  <c r="J104" i="3"/>
  <c r="L103" i="3"/>
  <c r="J103" i="3"/>
  <c r="L102" i="3"/>
  <c r="J102" i="3"/>
  <c r="L101" i="3"/>
  <c r="J101" i="3"/>
  <c r="L100" i="3"/>
  <c r="J100" i="3"/>
  <c r="L99" i="3"/>
  <c r="J99" i="3"/>
  <c r="L98" i="3"/>
  <c r="J98" i="3"/>
  <c r="L97" i="3"/>
  <c r="J97" i="3"/>
  <c r="L96" i="3"/>
  <c r="J96" i="3"/>
  <c r="L95" i="3"/>
  <c r="J95" i="3"/>
  <c r="L94" i="3"/>
  <c r="J94" i="3"/>
  <c r="L75" i="3"/>
  <c r="L74" i="3"/>
  <c r="L73" i="3"/>
  <c r="L72" i="3"/>
  <c r="L71" i="3"/>
  <c r="L69" i="3"/>
  <c r="L68" i="3"/>
  <c r="L66" i="3"/>
  <c r="V65" i="3"/>
  <c r="L65" i="3"/>
  <c r="L64" i="3"/>
  <c r="L63" i="3"/>
  <c r="L62" i="3"/>
  <c r="L61" i="3"/>
  <c r="L60" i="3"/>
  <c r="L59" i="3"/>
  <c r="L58" i="3"/>
  <c r="V57" i="3"/>
  <c r="L57" i="3"/>
  <c r="L56" i="3"/>
  <c r="L55" i="3"/>
  <c r="V54" i="3"/>
  <c r="L54" i="3"/>
  <c r="L53" i="3"/>
  <c r="V52" i="3"/>
  <c r="L52" i="3"/>
  <c r="L51" i="3"/>
  <c r="L50" i="3"/>
  <c r="L49" i="3"/>
  <c r="L48" i="3"/>
  <c r="V47" i="3"/>
  <c r="L47" i="3"/>
  <c r="L46" i="3"/>
  <c r="L45" i="3"/>
  <c r="L44" i="3"/>
  <c r="L43" i="3"/>
  <c r="L42" i="3"/>
  <c r="L41" i="3"/>
  <c r="L40" i="3"/>
  <c r="L39" i="3"/>
  <c r="L38" i="3"/>
  <c r="L37" i="3"/>
  <c r="L34" i="3"/>
  <c r="V33" i="3"/>
  <c r="L33" i="3"/>
  <c r="V32" i="3"/>
  <c r="L32" i="3"/>
  <c r="L31" i="3"/>
  <c r="L30" i="3"/>
  <c r="V29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9" i="3"/>
  <c r="L8" i="3"/>
  <c r="L7" i="3"/>
  <c r="L6" i="3"/>
  <c r="V4" i="3"/>
  <c r="L4" i="3"/>
  <c r="L3" i="3"/>
  <c r="L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Virginio</author>
  </authors>
  <commentList>
    <comment ref="I312" authorId="0" shapeId="0" xr:uid="{EC8931EF-43E9-4AC1-9266-9BA8BFD6A6FB}">
      <text>
        <r>
          <rPr>
            <b/>
            <sz val="9"/>
            <color indexed="81"/>
            <rFont val="Segoe UI"/>
            <family val="2"/>
          </rPr>
          <t>Virginio: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28" authorId="0" shapeId="0" xr:uid="{00000000-0006-0000-0200-000001000000}">
      <text>
        <r>
          <rPr>
            <sz val="10"/>
            <color rgb="FF000000"/>
            <rFont val="Arial"/>
            <family val="2"/>
          </rPr>
          <t>======
ID#AAAADLgYqWE
Gino    (2019-06-19 16:06:42)
Inapte temporairement</t>
        </r>
      </text>
    </comment>
    <comment ref="B180" authorId="0" shapeId="0" xr:uid="{00000000-0006-0000-0200-000002000000}">
      <text>
        <r>
          <rPr>
            <sz val="10"/>
            <color rgb="FF000000"/>
            <rFont val="Arial"/>
            <family val="2"/>
          </rPr>
          <t>======
ID#AAAADLgYqWI
Gino    (2019-06-19 16:06:42)
Lizenz leeft enner Moyen-Altman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LsYBA8vQWg0hEmjHA9TP8hPBsCA=="/>
    </ext>
  </extLst>
</comments>
</file>

<file path=xl/sharedStrings.xml><?xml version="1.0" encoding="utf-8"?>
<sst xmlns="http://schemas.openxmlformats.org/spreadsheetml/2006/main" count="16753" uniqueCount="5668">
  <si>
    <t>CAT</t>
  </si>
  <si>
    <t>CAT-JOUEURS</t>
  </si>
  <si>
    <t>comment</t>
  </si>
  <si>
    <t>Annulé année</t>
  </si>
  <si>
    <t>NOM</t>
  </si>
  <si>
    <t>Colonne listing membres</t>
  </si>
  <si>
    <t>Prénom</t>
  </si>
  <si>
    <t>Langue / Nationalité</t>
  </si>
  <si>
    <t>explication</t>
  </si>
  <si>
    <t>Adresse</t>
  </si>
  <si>
    <t>Code</t>
  </si>
  <si>
    <t>Localité</t>
  </si>
  <si>
    <t>code courrier</t>
  </si>
  <si>
    <t>Cat</t>
  </si>
  <si>
    <t>Catégorie interne HBM</t>
  </si>
  <si>
    <t>Catégorie Listing FLH</t>
  </si>
  <si>
    <t>Licence</t>
  </si>
  <si>
    <t>CAT à compléter</t>
  </si>
  <si>
    <t>Date début
licence</t>
  </si>
  <si>
    <t>date début membre</t>
  </si>
  <si>
    <t>Prochain 
Médico</t>
  </si>
  <si>
    <t>Naissance</t>
  </si>
  <si>
    <t>Matricule</t>
  </si>
  <si>
    <t>Tél.</t>
  </si>
  <si>
    <t>Tél.-Bureau</t>
  </si>
  <si>
    <t>GSM</t>
  </si>
  <si>
    <t>Email</t>
  </si>
  <si>
    <t>Nom</t>
  </si>
  <si>
    <t>A14</t>
  </si>
  <si>
    <t>Seniors - Hommes</t>
  </si>
  <si>
    <t>FMT= XXXX, selon données licence FLH</t>
  </si>
  <si>
    <t>U 19 Hommes</t>
  </si>
  <si>
    <t>FMT= Xxxx, selon données licence FLH</t>
  </si>
  <si>
    <t>Code 
postale</t>
  </si>
  <si>
    <t>U 17 Hommes</t>
  </si>
  <si>
    <t xml:space="preserve">
 courrier</t>
  </si>
  <si>
    <t>FMT= X/Yyyyy; X= code langue de communication, Y = pays nationalité (1 seul) cohérent à listing FLH</t>
  </si>
  <si>
    <t>U 15 Hommes</t>
  </si>
  <si>
    <t>ALMEIDA GUIA</t>
  </si>
  <si>
    <t>Igor</t>
  </si>
  <si>
    <t>FMT= 999, Xxxxx; 999= n° maison, Xxxx nom de la rue</t>
  </si>
  <si>
    <t>Code postale</t>
  </si>
  <si>
    <t>FMT= X/99999; X= code pays de résidence; 999 = code postale</t>
  </si>
  <si>
    <t>U 13 Hommes</t>
  </si>
  <si>
    <t>FMT= Xxxx; Xxxx= Nom de la Localité</t>
  </si>
  <si>
    <t>U 11 Hommes</t>
  </si>
  <si>
    <t>U17H</t>
  </si>
  <si>
    <t>U15H</t>
  </si>
  <si>
    <t>U13H</t>
  </si>
  <si>
    <t>U11M
2010/11</t>
  </si>
  <si>
    <t>U7M
2009/08/..</t>
  </si>
  <si>
    <t>U15F</t>
  </si>
  <si>
    <t>U13F</t>
  </si>
  <si>
    <t>8, rue de Reichlange</t>
  </si>
  <si>
    <t>FMT= X999; S = joueur individuel, D= donateur, F999= famille + n° de famille</t>
  </si>
  <si>
    <t>Début procédure licence (JJ/MM/AA)</t>
  </si>
  <si>
    <t>code interne HBM</t>
  </si>
  <si>
    <t>courrier</t>
  </si>
  <si>
    <t>Statut "Demande de licence". (sorti Mail)</t>
  </si>
  <si>
    <t>Commentaires &amp; changements (Secrétaire)</t>
  </si>
  <si>
    <t>FMT = xx; xx = no si le membre a demandé par écrit de ne plus être contacté; ? Si un doute de communication existe, (blanc) = défaut</t>
  </si>
  <si>
    <t>Date début
licence (JJ/MM/AA)</t>
  </si>
  <si>
    <t>Arbitre</t>
  </si>
  <si>
    <t>FMT= 99; 99 = le n° de la catégorie définie par la FLH pour la saison en cours</t>
  </si>
  <si>
    <t>Dames</t>
  </si>
  <si>
    <t>FMT = Xxxxxxx; Xxxxx = text libre selon table catégorie définie par le club ou le défaut de la FLH de la saison en cours</t>
  </si>
  <si>
    <t>date début membre (JJ/MM/AA)</t>
  </si>
  <si>
    <t>Naissance (JJ/MM/AA)</t>
  </si>
  <si>
    <t>U 18 Dames</t>
  </si>
  <si>
    <t>Cat_Arbitre</t>
  </si>
  <si>
    <t>Comité</t>
  </si>
  <si>
    <t>Officiel</t>
  </si>
  <si>
    <t>FLH</t>
  </si>
  <si>
    <t>Entraîneur</t>
  </si>
  <si>
    <t>PMT cot 2015</t>
  </si>
  <si>
    <t>PMT cot 2016</t>
  </si>
  <si>
    <t>PMT cot 2017</t>
  </si>
  <si>
    <t>cat 
cot 
18-19</t>
  </si>
  <si>
    <t>envoi1 cot
 18-19</t>
  </si>
  <si>
    <t>envoi2 cot 
18-19</t>
  </si>
  <si>
    <t>carte membre 18-19</t>
  </si>
  <si>
    <t>pmt cot 18-19</t>
  </si>
  <si>
    <t>L-8508</t>
  </si>
  <si>
    <t>Redange</t>
  </si>
  <si>
    <t>rappel impayes 2018-19</t>
  </si>
  <si>
    <t>comment Cot 18-19</t>
  </si>
  <si>
    <t xml:space="preserve">subs. etat 2018
</t>
  </si>
  <si>
    <t>Subside Etat 2018</t>
  </si>
  <si>
    <t>Subside Etat 2019</t>
  </si>
  <si>
    <t>2018/19
activité
Joueur/se</t>
  </si>
  <si>
    <t>U 15 Dames</t>
  </si>
  <si>
    <t>FMT = Xxxxxxx; Xxxxx = texte libre selon table catégorie de la FLH</t>
  </si>
  <si>
    <t>U 13 Dames</t>
  </si>
  <si>
    <t>FMT= 99; 99 = le n° de la catégorie définie par la FLH pour la saison suivante pour simuler les cadres de la sasion suivante</t>
  </si>
  <si>
    <t>U 11 Dames</t>
  </si>
  <si>
    <t xml:space="preserve">colonne de liaison de ce groupe(catégorie FLH) pour regrouper j = joueur de cette catégorie, ju= joueur de la catégorie inférieure , jd = joueur de la catégorie supérieure, c = contact (parents,…) ou (blanc = pas concerné ); ju et jd sont des reclassements internes organisationnels  </t>
  </si>
  <si>
    <t>Officiel H</t>
  </si>
  <si>
    <t>2018/19 Joueur/se
à remotiver</t>
  </si>
  <si>
    <t xml:space="preserve">2018/19 Licence à supprimer </t>
  </si>
  <si>
    <t>ADROVIC</t>
  </si>
  <si>
    <t>Officiel D</t>
  </si>
  <si>
    <t>Vétérans - Hommes</t>
  </si>
  <si>
    <t>Vétérans - Dames</t>
  </si>
  <si>
    <t>Elias</t>
  </si>
  <si>
    <t>Benevole</t>
  </si>
  <si>
    <t>Seniors - Hommes arbitre</t>
  </si>
  <si>
    <t>FMT = 10-9999; 10 = n° du HBM, 9999 = n° de licence de la FLH (listing)</t>
  </si>
  <si>
    <t>F / luxembourgeoise</t>
  </si>
  <si>
    <t>Veteran arbitre</t>
  </si>
  <si>
    <t>7, rue Neuve</t>
  </si>
  <si>
    <t>L-7432</t>
  </si>
  <si>
    <t>Gosseldange</t>
  </si>
  <si>
    <t>FMT = JJ/MM/SSAA; JJ= jour, MM = mois; SS= siècle; AA = année</t>
  </si>
  <si>
    <t>Dames bloqué interne</t>
  </si>
  <si>
    <t xml:space="preserve">FMT = SSAA/MM/JJ-Xxxx; siècle, année, mois, jour; Xxxx = état de la demande: lp = mail aux parents, j = mail à joueur, FLH = mail à FLH ; </t>
  </si>
  <si>
    <t>comité</t>
  </si>
  <si>
    <t xml:space="preserve">FMT = Xxxxx; Xxxx = texte libre du secrétaire pour expliquer une exception dans les données du membre/licencié ou une instruction à suivre </t>
  </si>
  <si>
    <t>Non actif licencié</t>
  </si>
  <si>
    <t>FMT : JJ/MM/SSAA; respecter cohérence avec listing FLH</t>
  </si>
  <si>
    <t>621 229 317</t>
  </si>
  <si>
    <t>Donateurs</t>
  </si>
  <si>
    <t>FMT : JJ/MM/SSAA; selon 1 ier contact demande de membre ou selon date licence ????; joueur qui part et revient : la date de réintégration est à saisir, les années de la première période sont perdues</t>
  </si>
  <si>
    <t>Donateurs licencié</t>
  </si>
  <si>
    <t>FMT = SSAA; selon date listing FLH;uniquement pour licencié</t>
  </si>
  <si>
    <t>Membre honoraire</t>
  </si>
  <si>
    <t>FMT = JJ/MM/SSAA; selon date carte identité; respecter cohérence avec listing FLH</t>
  </si>
  <si>
    <t>Contact famille M</t>
  </si>
  <si>
    <t>FMT = SSAA MM JJ 999 99;  selon date carte identité; respecter cohérence avec listing FLH; NA = pas nécessaire pour FLH ni demande subside</t>
  </si>
  <si>
    <t>Contact famille F</t>
  </si>
  <si>
    <t>FMT = 9(9); selon donnée demande membership/licence</t>
  </si>
  <si>
    <t>BETTENDROFFER</t>
  </si>
  <si>
    <t>Contact famille</t>
  </si>
  <si>
    <t>Corinne</t>
  </si>
  <si>
    <t>2A, rue Hurkes</t>
  </si>
  <si>
    <t>L-7591</t>
  </si>
  <si>
    <t>Beringen</t>
  </si>
  <si>
    <t>Arrêt Temporaire</t>
  </si>
  <si>
    <t>Arrêt temporaire licencié</t>
  </si>
  <si>
    <t>FMT = x(.x)@x.x; selon donnée demande membership/licence</t>
  </si>
  <si>
    <t>Ancien Membre</t>
  </si>
  <si>
    <t xml:space="preserve">FMT = X; X = niveau du diplôme: A, B, C, ; J = jeune </t>
  </si>
  <si>
    <t>Abondon</t>
  </si>
  <si>
    <t>FMT = XXXXX; X = rôle selon définition statuts; président, secrétaire, trésorier, membre et/ou rôle groupe de travail: Coordinateur:  events, sports, compétition, …</t>
  </si>
  <si>
    <t>Abandon licencié</t>
  </si>
  <si>
    <t xml:space="preserve">FMT = X; O = oui, C = en cours, W = mise en veille </t>
  </si>
  <si>
    <t>Arrêt jeune (garder licence)</t>
  </si>
  <si>
    <t xml:space="preserve">FMT = X; = membre d'un organe de la FLH; comité central, tribunal fédéral, tribunal appel, commission des jeunes, commission arbitre,... </t>
  </si>
  <si>
    <t>Supprimer contact famille (arrêt jeune)</t>
  </si>
  <si>
    <t xml:space="preserve">FMT = X; X = niveau du diplôme: A, B, C, ou ???????; J = jeune </t>
  </si>
  <si>
    <t>inactif</t>
  </si>
  <si>
    <t>PMT cot SSAA-4AA-3</t>
  </si>
  <si>
    <t>FMT = xxx ou 999 ou 999A; complété par le trésorier; 999 = montant payé, 99A = montant acompte payé, fcomp = la cot est comprise dans un PMT familial; free = la cotisation n'est pas dû; pi: la personne n'est pas intéressée d'être membre ( père/mère d'un jeune</t>
  </si>
  <si>
    <t>PMT cot SSAA-3AA-2</t>
  </si>
  <si>
    <t>PMT cot SSAA-2AA-1</t>
  </si>
  <si>
    <t>202</t>
  </si>
  <si>
    <t>32 96 34</t>
  </si>
  <si>
    <t>26 95 96 18</t>
  </si>
  <si>
    <t>transfer entrant en discution</t>
  </si>
  <si>
    <t>FMT = xxx ; complété par le trésorier; XXX = catégorie courrier cotisation: fam, famr, s, sr, new, new0, new50: voir note gestion cotisation</t>
  </si>
  <si>
    <t>prêt gratuit pas équipe club origine</t>
  </si>
  <si>
    <t>FMT= JJ/MM/AA; date envoi 1 ière lettre (selon catégorie) cotisation;complété par le trésorier</t>
  </si>
  <si>
    <t>Arrêt (reprend plus la compétion a cause blessure)</t>
  </si>
  <si>
    <t>FMT= JJ/MM/AA; date envoi 2 ième lettre (selon catégorie) cotisation;complété par le trésorier</t>
  </si>
  <si>
    <t>blessé attendre rétablissement</t>
  </si>
  <si>
    <t>FMT = X9; X =type de carte membre à confectionner; 9 = n° de création ; F = carte membre famille, S = carte membre simple; complété par le trésorier; voir note gestion cotisation</t>
  </si>
  <si>
    <t>bcorinne84@yahoo.com                                 bcorinne84@hotmail.de</t>
  </si>
  <si>
    <t>impayé remotiver, officiel ou coach backup</t>
  </si>
  <si>
    <t>pmt cot SSAA-1AA</t>
  </si>
  <si>
    <t>FMT = xxx ou 999 ou 999A; complété par le trésorier; 999 = montant payé, 99A = montant acompte payé, fcomp = la cot est comprise dans un PMT familial; free = la cotisation n'est pas dû; pi: la personne n'est pas intéressée d'être membre ( père/mère d'un jeune; voir note gestion cotisation</t>
  </si>
  <si>
    <t>impayé jeune garder licence potentiel jeune</t>
  </si>
  <si>
    <t>FMT = 9; 9 = nombre de rappel envoyé; complété par le trésorier; voir note gestion cotisation</t>
  </si>
  <si>
    <t>sponsor, veut garder licence</t>
  </si>
  <si>
    <t>FMT = XXXXXXX; Xxxx = texte libre du trésorier pour expliquer une exception de gestion ou de suivi de la demande de cotisation</t>
  </si>
  <si>
    <t>actif 20AA-AA+1</t>
  </si>
  <si>
    <t>Isabelle</t>
  </si>
  <si>
    <t>7,rue des Pommiers</t>
  </si>
  <si>
    <t>L-2343</t>
  </si>
  <si>
    <t>Luxembourg</t>
  </si>
  <si>
    <t>impayé,lic supprimée,gardé dans memberlist</t>
  </si>
  <si>
    <t>zone de travil pour préparer la demande
FMT = RAA ou 9; code catégorie utilisé pour compléter la demande; 
1= &lt; 16ans+n° licence existe
2= &lt; 16 ans sans n° de licence
3=n° de licence, date naissance et matricule inconnu, &lt; 16 ans
4= n° licence inexistant,date naissance et matricule inconnu, &lt; 16 ans
RAA= repris année AA</t>
  </si>
  <si>
    <t>impayé, garder licence 16-17 potentiel tft</t>
  </si>
  <si>
    <t>code de ventilation dans catégorie</t>
  </si>
  <si>
    <t>arrêt 2017-18, svt mail 10-2017</t>
  </si>
  <si>
    <t>203</t>
  </si>
  <si>
    <t xml:space="preserve">complété par entraîneur et coordinateur competition; </t>
  </si>
  <si>
    <t>691 831 618</t>
  </si>
  <si>
    <t>ancien, potentiel officiel</t>
  </si>
  <si>
    <t>complété par entraîneur et coordinateur competition</t>
  </si>
  <si>
    <t>Commentaires 2018/19</t>
  </si>
  <si>
    <t>Présences entrainements 17/18</t>
  </si>
  <si>
    <t>inactif, payé cot, garder licence</t>
  </si>
  <si>
    <t>Présences Matchs 17/18</t>
  </si>
  <si>
    <t>j</t>
  </si>
  <si>
    <t>supprimer licence et memberslist</t>
  </si>
  <si>
    <t>Commentaires Présences 17/18</t>
  </si>
  <si>
    <t>impayé, garder licence,remotiver joueur-officiel</t>
  </si>
  <si>
    <t>BIERGEN</t>
  </si>
  <si>
    <t>Steve</t>
  </si>
  <si>
    <t>M / luxembourgeois</t>
  </si>
  <si>
    <t>12, rue de la poste</t>
  </si>
  <si>
    <t>L-6774</t>
  </si>
  <si>
    <t>supprimer  licence</t>
  </si>
  <si>
    <t>supprimer memberslist</t>
  </si>
  <si>
    <t>jeune inactif, impayé, analyse 08-2017 si potentiel</t>
  </si>
  <si>
    <t>adulte inactif, impayé, analyse 08-2017 si potentiel</t>
  </si>
  <si>
    <t>Grevenmacher</t>
  </si>
  <si>
    <t>Divers voir commentaires</t>
  </si>
  <si>
    <t>2008 08 03 258 18</t>
  </si>
  <si>
    <t>sabina.licina@gmail.com</t>
  </si>
  <si>
    <t>fam</t>
  </si>
  <si>
    <t>///</t>
  </si>
  <si>
    <t>BINCK</t>
  </si>
  <si>
    <t>David</t>
  </si>
  <si>
    <t>45,rue de la Forêt Verte</t>
  </si>
  <si>
    <t>L-7340</t>
  </si>
  <si>
    <t>Heisdorf</t>
  </si>
  <si>
    <t>1.2</t>
  </si>
  <si>
    <t>26 33 03 70</t>
  </si>
  <si>
    <t>d.binck@hotmail.com</t>
  </si>
  <si>
    <t>BIRSCHEIDT</t>
  </si>
  <si>
    <t>Geraldine</t>
  </si>
  <si>
    <t>62, rte Principale</t>
  </si>
  <si>
    <t>L-7450</t>
  </si>
  <si>
    <t>Lintgen</t>
  </si>
  <si>
    <t>Mère</t>
  </si>
  <si>
    <t>504</t>
  </si>
  <si>
    <t>32 60 04</t>
  </si>
  <si>
    <t>661 300 981</t>
  </si>
  <si>
    <t>gertommi@yahoo.de</t>
  </si>
  <si>
    <t>BLEI</t>
  </si>
  <si>
    <t xml:space="preserve">Christian </t>
  </si>
  <si>
    <t>14, rue Bremeschhaf</t>
  </si>
  <si>
    <t>L-8385</t>
  </si>
  <si>
    <t>Kehlen</t>
  </si>
  <si>
    <t>33 83 83</t>
  </si>
  <si>
    <t>bubiblei@gmail.com</t>
  </si>
  <si>
    <t>CEKIC</t>
  </si>
  <si>
    <t>Irma</t>
  </si>
  <si>
    <t>F / Yougoslave</t>
  </si>
  <si>
    <t>49, rue d'Ettelbrück</t>
  </si>
  <si>
    <t>L-7590</t>
  </si>
  <si>
    <t>Mersch</t>
  </si>
  <si>
    <t xml:space="preserve"> ///</t>
  </si>
  <si>
    <t>464</t>
  </si>
  <si>
    <t>NA</t>
  </si>
  <si>
    <t>691 739 737</t>
  </si>
  <si>
    <t>CHAVES</t>
  </si>
  <si>
    <t>Antony</t>
  </si>
  <si>
    <t>F / Française</t>
  </si>
  <si>
    <t>154, route d'Esch</t>
  </si>
  <si>
    <t>L-1470</t>
  </si>
  <si>
    <t>SENIORS - Hommes</t>
  </si>
  <si>
    <t xml:space="preserve"> </t>
  </si>
  <si>
    <t>CORDEIRO</t>
  </si>
  <si>
    <t>André</t>
  </si>
  <si>
    <t>7, rue du Moulin</t>
  </si>
  <si>
    <t>L-7595</t>
  </si>
  <si>
    <t>Reckange</t>
  </si>
  <si>
    <t>691 705 152</t>
  </si>
  <si>
    <t>dragaonegro97@hotmail.com</t>
  </si>
  <si>
    <t>g-1</t>
  </si>
  <si>
    <t>DA SILVA</t>
  </si>
  <si>
    <t>Suzana</t>
  </si>
  <si>
    <t>F / portugaise</t>
  </si>
  <si>
    <t>17, rue de la Chapelle</t>
  </si>
  <si>
    <t>L-7765</t>
  </si>
  <si>
    <t>Bissen</t>
  </si>
  <si>
    <t>AGENCE SIMON</t>
  </si>
  <si>
    <t>D</t>
  </si>
  <si>
    <t>621 693 758</t>
  </si>
  <si>
    <t>DE JONG</t>
  </si>
  <si>
    <t>Maxime</t>
  </si>
  <si>
    <t>141, rue de Luxembourg</t>
  </si>
  <si>
    <t>L-7540</t>
  </si>
  <si>
    <t>Rollingen/Mersch</t>
  </si>
  <si>
    <t>598</t>
  </si>
  <si>
    <t>46 13 64</t>
  </si>
  <si>
    <t>621 282 383</t>
  </si>
  <si>
    <t>lorangclaudine@yahoo.com</t>
  </si>
  <si>
    <t>DOSTERT</t>
  </si>
  <si>
    <t>Ben</t>
  </si>
  <si>
    <t>11, rue du Cimetière</t>
  </si>
  <si>
    <t>L-7396</t>
  </si>
  <si>
    <t>Hünsdorf</t>
  </si>
  <si>
    <t>363</t>
  </si>
  <si>
    <t>33 28 92</t>
  </si>
  <si>
    <t>33 72 44</t>
  </si>
  <si>
    <t>621 394 485</t>
  </si>
  <si>
    <t>DROUET</t>
  </si>
  <si>
    <t>Dana</t>
  </si>
  <si>
    <t>don</t>
  </si>
  <si>
    <t>3, rue de l'Ecole</t>
  </si>
  <si>
    <t>pas envoi</t>
  </si>
  <si>
    <t>L-7410</t>
  </si>
  <si>
    <t>Angelsberg</t>
  </si>
  <si>
    <t>R17</t>
  </si>
  <si>
    <t>AGOVIC</t>
  </si>
  <si>
    <t>Ajscla</t>
  </si>
  <si>
    <t>A / allemande</t>
  </si>
  <si>
    <t>9, An der Gässel</t>
  </si>
  <si>
    <t>L-9452</t>
  </si>
  <si>
    <t>Bettel</t>
  </si>
  <si>
    <t>F94</t>
  </si>
  <si>
    <t>470</t>
  </si>
  <si>
    <t>26 32 16 20</t>
  </si>
  <si>
    <t>691 321 620 (Père)</t>
  </si>
  <si>
    <t>691 263 216 (Mère)</t>
  </si>
  <si>
    <t>dnico@pt.lu</t>
  </si>
  <si>
    <t>FOUSS</t>
  </si>
  <si>
    <t>Benoit</t>
  </si>
  <si>
    <t>F / Belge</t>
  </si>
  <si>
    <t>2, rue des Françiscaines</t>
  </si>
  <si>
    <t>L-7569</t>
  </si>
  <si>
    <t>c</t>
  </si>
  <si>
    <t>661 330 110</t>
  </si>
  <si>
    <t>no mail ad</t>
  </si>
  <si>
    <t>ALBERGO</t>
  </si>
  <si>
    <t>1, rue Principale</t>
  </si>
  <si>
    <t>L-8818</t>
  </si>
  <si>
    <t>Grevels</t>
  </si>
  <si>
    <t>Seul</t>
  </si>
  <si>
    <t>103</t>
  </si>
  <si>
    <t>32 97 80</t>
  </si>
  <si>
    <t>691 739 857</t>
  </si>
  <si>
    <t>GOERGEN</t>
  </si>
  <si>
    <t>4-6 av Victor Hugo</t>
  </si>
  <si>
    <t xml:space="preserve">L-1750 </t>
  </si>
  <si>
    <t>GRÁCIO GONÇALVES</t>
  </si>
  <si>
    <t>Diogo</t>
  </si>
  <si>
    <t>27, route de Diekirch</t>
  </si>
  <si>
    <t xml:space="preserve">L-7440 </t>
  </si>
  <si>
    <t>453</t>
  </si>
  <si>
    <t>26 32 17 50</t>
  </si>
  <si>
    <t>621 183 250</t>
  </si>
  <si>
    <t>gracio@pt.lu</t>
  </si>
  <si>
    <t>HASTERT</t>
  </si>
  <si>
    <t>Jil</t>
  </si>
  <si>
    <t>15, rue de Mullendorf</t>
  </si>
  <si>
    <t>L-7329</t>
  </si>
  <si>
    <t>433</t>
  </si>
  <si>
    <t>33 11 39</t>
  </si>
  <si>
    <t>621 389 045</t>
  </si>
  <si>
    <t>ghastert@pt.lu</t>
  </si>
  <si>
    <t>JUNGBLUT</t>
  </si>
  <si>
    <t>Stephan</t>
  </si>
  <si>
    <t>F/ luxembourgeoise</t>
  </si>
  <si>
    <t>58, rue Principale</t>
  </si>
  <si>
    <t>free</t>
  </si>
  <si>
    <t>S</t>
  </si>
  <si>
    <t>4.1</t>
  </si>
  <si>
    <t>jungblut_pierre@yahoo.de</t>
  </si>
  <si>
    <t>ALTMAN</t>
  </si>
  <si>
    <t>Françoise</t>
  </si>
  <si>
    <t>30H, rue de Steinsel</t>
  </si>
  <si>
    <t>L-7395</t>
  </si>
  <si>
    <t>F01</t>
  </si>
  <si>
    <t>KREMER</t>
  </si>
  <si>
    <t>Billy</t>
  </si>
  <si>
    <t>140, cité Roger Schmitz</t>
  </si>
  <si>
    <t>L-7381</t>
  </si>
  <si>
    <t>Bofferdange</t>
  </si>
  <si>
    <t>276</t>
  </si>
  <si>
    <t>33 10 74</t>
  </si>
  <si>
    <t>691 629 276</t>
  </si>
  <si>
    <t>KRUSIC</t>
  </si>
  <si>
    <t>Tina</t>
  </si>
  <si>
    <t>3, rue des Jardins</t>
  </si>
  <si>
    <t>L-7325</t>
  </si>
  <si>
    <t>10 - 495</t>
  </si>
  <si>
    <t>661 164 061</t>
  </si>
  <si>
    <t>danzi@pt.lu</t>
  </si>
  <si>
    <t>sanjakrusic@gmail.com</t>
  </si>
  <si>
    <t>d-1</t>
  </si>
  <si>
    <t>ALVES DOS SANTOS</t>
  </si>
  <si>
    <t>Marlène</t>
  </si>
  <si>
    <t>91, rue d'Arlon</t>
  </si>
  <si>
    <t>L-7513</t>
  </si>
  <si>
    <t>F108</t>
  </si>
  <si>
    <t>LANNERS</t>
  </si>
  <si>
    <t>Sarah</t>
  </si>
  <si>
    <t>16, Besch-Monts Bongerts</t>
  </si>
  <si>
    <t>L-7526</t>
  </si>
  <si>
    <t>013</t>
  </si>
  <si>
    <t>32 72 26</t>
  </si>
  <si>
    <t>691 626 937</t>
  </si>
  <si>
    <t>sarahlanners@hotmail.de</t>
  </si>
  <si>
    <t>MEIS</t>
  </si>
  <si>
    <t>Marthe</t>
  </si>
  <si>
    <t>maison 24</t>
  </si>
  <si>
    <t>L-9840</t>
  </si>
  <si>
    <t>Siebenaler</t>
  </si>
  <si>
    <t>691 883 012</t>
  </si>
  <si>
    <t xml:space="preserve">marlene_alves_6@hotmail.com </t>
  </si>
  <si>
    <t>022</t>
  </si>
  <si>
    <t>26 80 39 63</t>
  </si>
  <si>
    <t>621 704 968</t>
  </si>
  <si>
    <t>MOLITOR</t>
  </si>
  <si>
    <t>11, rue de la Chapelle</t>
  </si>
  <si>
    <t>L-7522</t>
  </si>
  <si>
    <t>ANSAY</t>
  </si>
  <si>
    <t>Guy</t>
  </si>
  <si>
    <t>F / Belgo-Franco-Lux</t>
  </si>
  <si>
    <t>1, Medernacherstrooss</t>
  </si>
  <si>
    <t>L-9366</t>
  </si>
  <si>
    <t>Ermsdorf</t>
  </si>
  <si>
    <t>F65</t>
  </si>
  <si>
    <t>MONEN</t>
  </si>
  <si>
    <t>Christiane</t>
  </si>
  <si>
    <t>6, rue d'Ettelbruck</t>
  </si>
  <si>
    <t>L-7715</t>
  </si>
  <si>
    <t>Colmar - Berg</t>
  </si>
  <si>
    <t>193</t>
  </si>
  <si>
    <t>83 51 72</t>
  </si>
  <si>
    <t>26 84 00 84</t>
  </si>
  <si>
    <t>NIELSEN</t>
  </si>
  <si>
    <t>Olivier</t>
  </si>
  <si>
    <t>A / danoise</t>
  </si>
  <si>
    <t>4, op der Delt</t>
  </si>
  <si>
    <t>L-7597</t>
  </si>
  <si>
    <t>fcmp</t>
  </si>
  <si>
    <t>famr</t>
  </si>
  <si>
    <t>f1</t>
  </si>
  <si>
    <t>g</t>
  </si>
  <si>
    <t>Hugo</t>
  </si>
  <si>
    <t>531</t>
  </si>
  <si>
    <t>26 31 09 35</t>
  </si>
  <si>
    <t>621 316 315</t>
  </si>
  <si>
    <t>gitte.nielsen@cargolux.com</t>
  </si>
  <si>
    <t>PEREIRA</t>
  </si>
  <si>
    <t>Melodie</t>
  </si>
  <si>
    <t>F</t>
  </si>
  <si>
    <t>13, rte de Finsterthal</t>
  </si>
  <si>
    <t>L-7769</t>
  </si>
  <si>
    <t>083</t>
  </si>
  <si>
    <t>83 56 15</t>
  </si>
  <si>
    <t>621 398 820</t>
  </si>
  <si>
    <t>melodie@hotmail.de</t>
  </si>
  <si>
    <t>PETIT</t>
  </si>
  <si>
    <t>Jo</t>
  </si>
  <si>
    <t>38, rue d'Ettelbruck</t>
  </si>
  <si>
    <t>014</t>
  </si>
  <si>
    <t>32 76 85</t>
  </si>
  <si>
    <t>691 598 726</t>
  </si>
  <si>
    <t>PIETRASIK</t>
  </si>
  <si>
    <t>Ariel</t>
  </si>
  <si>
    <t>A / polonaise</t>
  </si>
  <si>
    <t>2003 03 21 473 40</t>
  </si>
  <si>
    <t>impasse Merelbach</t>
  </si>
  <si>
    <t>L-7780</t>
  </si>
  <si>
    <t>621 322 682</t>
  </si>
  <si>
    <t>hugoansay@hotmail.com</t>
  </si>
  <si>
    <t>211</t>
  </si>
  <si>
    <t>26 87 66 40</t>
  </si>
  <si>
    <t>Luka</t>
  </si>
  <si>
    <t>Norbert</t>
  </si>
  <si>
    <t>5a, route de Mersch</t>
  </si>
  <si>
    <t>483</t>
  </si>
  <si>
    <t>691 778 725</t>
  </si>
  <si>
    <t>Katarzyna</t>
  </si>
  <si>
    <t>019</t>
  </si>
  <si>
    <t>621 432 718</t>
  </si>
  <si>
    <t>2001 05 12 035 29</t>
  </si>
  <si>
    <t>621 219 668</t>
  </si>
  <si>
    <t>ansay.luka@gmail.com</t>
  </si>
  <si>
    <t>Grzegorz</t>
  </si>
  <si>
    <t>067</t>
  </si>
  <si>
    <t>621 412 486</t>
  </si>
  <si>
    <t>Mathis</t>
  </si>
  <si>
    <t>SCHMALE</t>
  </si>
  <si>
    <t>Jean Christophe</t>
  </si>
  <si>
    <t>21, cité Beringen</t>
  </si>
  <si>
    <t>L-7592</t>
  </si>
  <si>
    <t>2005 05 04 094 50</t>
  </si>
  <si>
    <t>malion.ansay@gmail.com</t>
  </si>
  <si>
    <t>087</t>
  </si>
  <si>
    <t>661 206 960 (mère)</t>
  </si>
  <si>
    <t>661 166 716</t>
  </si>
  <si>
    <t>chocy112@gmail.com</t>
  </si>
  <si>
    <t>SCHNEIDER</t>
  </si>
  <si>
    <t>Jos</t>
  </si>
  <si>
    <t>72, rue de la Bergerie</t>
  </si>
  <si>
    <t>L-7441</t>
  </si>
  <si>
    <t>Karine</t>
  </si>
  <si>
    <t>OFFICIEL</t>
  </si>
  <si>
    <t>32 54 64</t>
  </si>
  <si>
    <t>691 743 371</t>
  </si>
  <si>
    <t>hempi@pt.lu</t>
  </si>
  <si>
    <t>Marie-France</t>
  </si>
  <si>
    <t>Tun</t>
  </si>
  <si>
    <t>ARNAUD</t>
  </si>
  <si>
    <t>F / française</t>
  </si>
  <si>
    <t>29, cité Nock</t>
  </si>
  <si>
    <t>L-8710</t>
  </si>
  <si>
    <t>Boevange/Attert</t>
  </si>
  <si>
    <t>F86</t>
  </si>
  <si>
    <t>442</t>
  </si>
  <si>
    <t>SCHOELLEN</t>
  </si>
  <si>
    <t>Mariette</t>
  </si>
  <si>
    <t>19, rue Prince Henri</t>
  </si>
  <si>
    <t>L-7230</t>
  </si>
  <si>
    <t>Helmsange</t>
  </si>
  <si>
    <t>WINANDY</t>
  </si>
  <si>
    <t>Edith</t>
  </si>
  <si>
    <t>15, rue Aalheck</t>
  </si>
  <si>
    <t>L-7511</t>
  </si>
  <si>
    <t>2008 04 20 030 77</t>
  </si>
  <si>
    <t>Pascal</t>
  </si>
  <si>
    <t>480</t>
  </si>
  <si>
    <t>A15</t>
  </si>
  <si>
    <t>ANTUNES DE MAGALHAES</t>
  </si>
  <si>
    <t>Melissa</t>
  </si>
  <si>
    <t>10, rue de la chapelle</t>
  </si>
  <si>
    <t>26 33 12 91</t>
  </si>
  <si>
    <t>A'RVAI</t>
  </si>
  <si>
    <t>Alexandra</t>
  </si>
  <si>
    <t>F / hongroise</t>
  </si>
  <si>
    <t>8 rue Emile Mayrich</t>
  </si>
  <si>
    <t>L-3522</t>
  </si>
  <si>
    <t>Dudelange</t>
  </si>
  <si>
    <t>F106</t>
  </si>
  <si>
    <t>618</t>
  </si>
  <si>
    <t>691 712 428 (mère)</t>
  </si>
  <si>
    <t>621 252 615</t>
  </si>
  <si>
    <t>xxmelissaxx31@gmail.com</t>
  </si>
  <si>
    <t>BERNS</t>
  </si>
  <si>
    <t>Luc</t>
  </si>
  <si>
    <t>81, rue de Schoenfels</t>
  </si>
  <si>
    <t>L-8151</t>
  </si>
  <si>
    <t>Bridel</t>
  </si>
  <si>
    <t>1996 10 31 322 38</t>
  </si>
  <si>
    <t>58 85 50</t>
  </si>
  <si>
    <t>691 317 217</t>
  </si>
  <si>
    <t>alexandrarvai@yahoo.de</t>
  </si>
  <si>
    <t>new50</t>
  </si>
  <si>
    <t>Béla</t>
  </si>
  <si>
    <t>33 41 89</t>
  </si>
  <si>
    <t>menetbos@hotmail.de         andre.berns@education.lu</t>
  </si>
  <si>
    <t>BILL</t>
  </si>
  <si>
    <t>621 239 323</t>
  </si>
  <si>
    <t>arvai@pt.lu</t>
  </si>
  <si>
    <t>Jessica</t>
  </si>
  <si>
    <t>4, rue de Greisch</t>
  </si>
  <si>
    <t>L-7480</t>
  </si>
  <si>
    <t>Klaudia</t>
  </si>
  <si>
    <t>Tuntange</t>
  </si>
  <si>
    <t>055</t>
  </si>
  <si>
    <t>691 310 333</t>
  </si>
  <si>
    <t>bc_arvai@yahoo.de</t>
  </si>
  <si>
    <t>23 63 91 31</t>
  </si>
  <si>
    <t>691 471 393</t>
  </si>
  <si>
    <t>169, rue de Luxembourg</t>
  </si>
  <si>
    <t>F109</t>
  </si>
  <si>
    <t>bjess88@hotmail.com</t>
  </si>
  <si>
    <t>CALVARIO</t>
  </si>
  <si>
    <t xml:space="preserve">Diana Elise </t>
  </si>
  <si>
    <t>D / Allemande</t>
  </si>
  <si>
    <t>15, rue St. Laurent</t>
  </si>
  <si>
    <t>L-7370</t>
  </si>
  <si>
    <t>Lorentzweiler</t>
  </si>
  <si>
    <t>CORRE</t>
  </si>
  <si>
    <t>Thomas</t>
  </si>
  <si>
    <t>F/ Français</t>
  </si>
  <si>
    <t>448, rte de Luxembourg</t>
  </si>
  <si>
    <t>L-1940</t>
  </si>
  <si>
    <t>691381621</t>
  </si>
  <si>
    <t>Thomas.Corre@arendt.com</t>
  </si>
  <si>
    <t>BALIC</t>
  </si>
  <si>
    <t>Dzenisa</t>
  </si>
  <si>
    <t>F / Serbe</t>
  </si>
  <si>
    <t>6, rue du Fossé</t>
  </si>
  <si>
    <t>L-7772</t>
  </si>
  <si>
    <t>DENEUMOUSTIER</t>
  </si>
  <si>
    <t>24, Op der Hatzgriecht</t>
  </si>
  <si>
    <t xml:space="preserve">L-7521 </t>
  </si>
  <si>
    <t>065</t>
  </si>
  <si>
    <t>32 65 54</t>
  </si>
  <si>
    <t>691 530 269</t>
  </si>
  <si>
    <t xml:space="preserve">adeischter@icloud.com </t>
  </si>
  <si>
    <t>DENGLER</t>
  </si>
  <si>
    <t>Simone</t>
  </si>
  <si>
    <t>8, rue Bamhaff</t>
  </si>
  <si>
    <t>L-7741</t>
  </si>
  <si>
    <t>Colmar-Berg</t>
  </si>
  <si>
    <t>10 - 536</t>
  </si>
  <si>
    <t>431</t>
  </si>
  <si>
    <t>Simone.dengler@mail.com</t>
  </si>
  <si>
    <t>691 709 932</t>
  </si>
  <si>
    <t xml:space="preserve">DIDELOT </t>
  </si>
  <si>
    <t>Line</t>
  </si>
  <si>
    <t>120, rue de Fischbach</t>
  </si>
  <si>
    <t xml:space="preserve">L-7447 </t>
  </si>
  <si>
    <t>BARBOSA DE ALMEIDA</t>
  </si>
  <si>
    <t>Gabriel Fernando</t>
  </si>
  <si>
    <t>5, Comte Thierry</t>
  </si>
  <si>
    <t>L-7566</t>
  </si>
  <si>
    <t>033</t>
  </si>
  <si>
    <t>32 98 18</t>
  </si>
  <si>
    <t>691 226 319</t>
  </si>
  <si>
    <t>DUTON SOUSA</t>
  </si>
  <si>
    <t>45, route de Luxembourg</t>
  </si>
  <si>
    <t>L-7733</t>
  </si>
  <si>
    <t>510</t>
  </si>
  <si>
    <t>85 86 75</t>
  </si>
  <si>
    <t>621 761 166</t>
  </si>
  <si>
    <t>dutonjessica1992@hotmail.com</t>
  </si>
  <si>
    <t>10 - 638</t>
  </si>
  <si>
    <t>27 99 43 13</t>
  </si>
  <si>
    <t>691 847 603</t>
  </si>
  <si>
    <t>crisbrasil1970@hotmail.com</t>
  </si>
  <si>
    <t>FERNANDEZ FARIA</t>
  </si>
  <si>
    <t>Ivan</t>
  </si>
  <si>
    <t>4, rue de Schandel</t>
  </si>
  <si>
    <t>L-8707</t>
  </si>
  <si>
    <t>Useldange</t>
  </si>
  <si>
    <t>BARBOSA RODRIGUES</t>
  </si>
  <si>
    <t>Fabiana</t>
  </si>
  <si>
    <t>F / portuguaise</t>
  </si>
  <si>
    <t>L-7596</t>
  </si>
  <si>
    <t>Reckange / Mersch</t>
  </si>
  <si>
    <t>503</t>
  </si>
  <si>
    <t>30 75 29</t>
  </si>
  <si>
    <t>621 164 744</t>
  </si>
  <si>
    <t>sol.cathy@hotmail.com</t>
  </si>
  <si>
    <t>Luca</t>
  </si>
  <si>
    <t>501</t>
  </si>
  <si>
    <t>FRIESEISEN</t>
  </si>
  <si>
    <t>Kevin</t>
  </si>
  <si>
    <t>28, rue Principale</t>
  </si>
  <si>
    <t>L-9190</t>
  </si>
  <si>
    <t>Vichten</t>
  </si>
  <si>
    <t>1993 27 04 546 43</t>
  </si>
  <si>
    <t>691 594 372</t>
  </si>
  <si>
    <t>452</t>
  </si>
  <si>
    <t>fb27041993@gmail.com</t>
  </si>
  <si>
    <t>26 91 23 1</t>
  </si>
  <si>
    <t>621 371 820</t>
  </si>
  <si>
    <t>621 474 198</t>
  </si>
  <si>
    <t>nathalie@baumeeschter.lu</t>
  </si>
  <si>
    <t xml:space="preserve">FRISCH </t>
  </si>
  <si>
    <t>Andy</t>
  </si>
  <si>
    <t>9, rue de Schoos</t>
  </si>
  <si>
    <t>610</t>
  </si>
  <si>
    <t>30/01.2014</t>
  </si>
  <si>
    <t>BARTHEL</t>
  </si>
  <si>
    <t>Nico</t>
  </si>
  <si>
    <t>26 32 07 82</t>
  </si>
  <si>
    <t>621 461 096</t>
  </si>
  <si>
    <t>BAUSTERT</t>
  </si>
  <si>
    <t>Joelle</t>
  </si>
  <si>
    <t>13, rue Kremerich</t>
  </si>
  <si>
    <t>L-6133</t>
  </si>
  <si>
    <t>Junglinster</t>
  </si>
  <si>
    <t>GONCALVES OLIVEIRA</t>
  </si>
  <si>
    <t>F85</t>
  </si>
  <si>
    <t>Sam</t>
  </si>
  <si>
    <t>20,rue de Quatre-vent</t>
  </si>
  <si>
    <t>L-7562</t>
  </si>
  <si>
    <t>BECHTOLD</t>
  </si>
  <si>
    <t>JONAS</t>
  </si>
  <si>
    <t>7, Nidderpallenerstrooss</t>
  </si>
  <si>
    <t>L-8551</t>
  </si>
  <si>
    <t>Noedange</t>
  </si>
  <si>
    <t>F58</t>
  </si>
  <si>
    <t>BINGEN</t>
  </si>
  <si>
    <t>Fränk</t>
  </si>
  <si>
    <t>11, Am Letschert</t>
  </si>
  <si>
    <t>L-8711</t>
  </si>
  <si>
    <t>BISENIUS</t>
  </si>
  <si>
    <t>Carlo</t>
  </si>
  <si>
    <t>28, rue de Fischbach</t>
  </si>
  <si>
    <t>L-7447</t>
  </si>
  <si>
    <t>F03</t>
  </si>
  <si>
    <t>630</t>
  </si>
  <si>
    <t>32 89 71</t>
  </si>
  <si>
    <t>691 571 848</t>
  </si>
  <si>
    <t>rayquaza0078@gmail.com</t>
  </si>
  <si>
    <t>Jeannine</t>
  </si>
  <si>
    <t>BÖHMER</t>
  </si>
  <si>
    <t>Peter</t>
  </si>
  <si>
    <t>9, rue du Coin</t>
  </si>
  <si>
    <t>HAAS</t>
  </si>
  <si>
    <t>Tom</t>
  </si>
  <si>
    <t>41, rue E Servais</t>
  </si>
  <si>
    <t>L-7565</t>
  </si>
  <si>
    <t>BAUDELET</t>
  </si>
  <si>
    <t>Dalmi</t>
  </si>
  <si>
    <t>BONAVIA</t>
  </si>
  <si>
    <t>Diego</t>
  </si>
  <si>
    <t>2, rue Virstadt</t>
  </si>
  <si>
    <t>L-9689</t>
  </si>
  <si>
    <t>5, rue Michel Stoffel</t>
  </si>
  <si>
    <t>Tarchamps</t>
  </si>
  <si>
    <t>L-7793</t>
  </si>
  <si>
    <t>029</t>
  </si>
  <si>
    <t>F05</t>
  </si>
  <si>
    <t>32 53 22</t>
  </si>
  <si>
    <t>Elisa</t>
  </si>
  <si>
    <t>Père</t>
  </si>
  <si>
    <t>Silvia</t>
  </si>
  <si>
    <t>BONAVIA-CHRISTOPHE</t>
  </si>
  <si>
    <t>Carole</t>
  </si>
  <si>
    <t>BOURG</t>
  </si>
  <si>
    <t>Jeannot</t>
  </si>
  <si>
    <t>29, Duerfstrooss</t>
  </si>
  <si>
    <t>L-8620</t>
  </si>
  <si>
    <t>Schandel.</t>
  </si>
  <si>
    <t>F06</t>
  </si>
  <si>
    <t>BOURG-THIELEN</t>
  </si>
  <si>
    <t>Gaby</t>
  </si>
  <si>
    <t>BROSIUS</t>
  </si>
  <si>
    <t>Anouck</t>
  </si>
  <si>
    <t>20D, op der Huuscht</t>
  </si>
  <si>
    <t>L-9395</t>
  </si>
  <si>
    <t>Tandel</t>
  </si>
  <si>
    <t>F08</t>
  </si>
  <si>
    <t>Joscha</t>
  </si>
  <si>
    <t>L-7462</t>
  </si>
  <si>
    <t>Moesdorf</t>
  </si>
  <si>
    <t>BROUSSE</t>
  </si>
  <si>
    <t>Alexëi</t>
  </si>
  <si>
    <t>11, rue des Roses</t>
  </si>
  <si>
    <t>L-7335</t>
  </si>
  <si>
    <t>141</t>
  </si>
  <si>
    <t>BUCHHEIMER</t>
  </si>
  <si>
    <t>621 489 927</t>
  </si>
  <si>
    <t>34a, Am Henneschteneck</t>
  </si>
  <si>
    <t>L-9151</t>
  </si>
  <si>
    <t>Eschdorf</t>
  </si>
  <si>
    <t>F62</t>
  </si>
  <si>
    <t>1994 05 11 480 21</t>
  </si>
  <si>
    <t>26 95 77 97</t>
  </si>
  <si>
    <t>621 746 589</t>
  </si>
  <si>
    <t>Baudelet.dalmi@hotmail.fr</t>
  </si>
  <si>
    <t>Noah</t>
  </si>
  <si>
    <t>BUGHIN</t>
  </si>
  <si>
    <t xml:space="preserve">Hugo </t>
  </si>
  <si>
    <t>16, A Klatzber</t>
  </si>
  <si>
    <t>L-9150</t>
  </si>
  <si>
    <t>F38</t>
  </si>
  <si>
    <t>CAROLIDES</t>
  </si>
  <si>
    <t>Diane</t>
  </si>
  <si>
    <t>CASTELLANO</t>
  </si>
  <si>
    <t>Virginio</t>
  </si>
  <si>
    <t>115, rte de Luxembourg</t>
  </si>
  <si>
    <t>CHOW WING</t>
  </si>
  <si>
    <t>Nicolas</t>
  </si>
  <si>
    <t>9, op de Heelt</t>
  </si>
  <si>
    <t>F10</t>
  </si>
  <si>
    <t>CLEMENT</t>
  </si>
  <si>
    <t>Liliane</t>
  </si>
  <si>
    <t>L-7525</t>
  </si>
  <si>
    <t>F26</t>
  </si>
  <si>
    <t>COLAS</t>
  </si>
  <si>
    <t>Yannick</t>
  </si>
  <si>
    <t>9, rue de Nancy</t>
  </si>
  <si>
    <t>F-57680</t>
  </si>
  <si>
    <t>Corny sur Moselle</t>
  </si>
  <si>
    <t>F73</t>
  </si>
  <si>
    <t>10 - 669</t>
  </si>
  <si>
    <t>COLBACH</t>
  </si>
  <si>
    <t>Vincent</t>
  </si>
  <si>
    <t>54, rue Principale</t>
  </si>
  <si>
    <t>142</t>
  </si>
  <si>
    <t>F43</t>
  </si>
  <si>
    <t>DA CONCEICAO</t>
  </si>
  <si>
    <t>Samantha</t>
  </si>
  <si>
    <t>JONETTE</t>
  </si>
  <si>
    <t>5A, rue d'Enneschtgaas</t>
  </si>
  <si>
    <t>Charlotte</t>
  </si>
  <si>
    <t>L-7435</t>
  </si>
  <si>
    <t>Hollenfels</t>
  </si>
  <si>
    <t>10, rue du Berger</t>
  </si>
  <si>
    <t>F11</t>
  </si>
  <si>
    <t>L-7430</t>
  </si>
  <si>
    <t>Fischbach</t>
  </si>
  <si>
    <t>Sandra</t>
  </si>
  <si>
    <t>DEISCHTER</t>
  </si>
  <si>
    <t>Adrien</t>
  </si>
  <si>
    <t>3, rue de Junglinster</t>
  </si>
  <si>
    <t xml:space="preserve">L-6160 </t>
  </si>
  <si>
    <t>Bourglinster</t>
  </si>
  <si>
    <t>DENAYER</t>
  </si>
  <si>
    <t>362</t>
  </si>
  <si>
    <t>26 32 08 85</t>
  </si>
  <si>
    <t>8199-2778</t>
  </si>
  <si>
    <t>32 98 46 (père)</t>
  </si>
  <si>
    <t>Maxence</t>
  </si>
  <si>
    <t>24, Waasserwee</t>
  </si>
  <si>
    <t>L-7661</t>
  </si>
  <si>
    <t>Medernach</t>
  </si>
  <si>
    <t>F12</t>
  </si>
  <si>
    <t>10 - 631</t>
  </si>
  <si>
    <t>DIDELOT</t>
  </si>
  <si>
    <t>Joran</t>
  </si>
  <si>
    <t>10 - 236</t>
  </si>
  <si>
    <t>Lynn</t>
  </si>
  <si>
    <t>Loïc</t>
  </si>
  <si>
    <t>691 319 927</t>
  </si>
  <si>
    <t>KAFAI  EL KHORASANI</t>
  </si>
  <si>
    <t>56, rue de Mullendorf</t>
  </si>
  <si>
    <t>Steinsel</t>
  </si>
  <si>
    <t>jobau@pt.lu</t>
  </si>
  <si>
    <t>484</t>
  </si>
  <si>
    <t>75 97 60</t>
  </si>
  <si>
    <t>621 633 654</t>
  </si>
  <si>
    <t>sam.kafai@pt.lu</t>
  </si>
  <si>
    <t>KALINOWSKI</t>
  </si>
  <si>
    <t>Krzysztof Pawel</t>
  </si>
  <si>
    <t>288, rue de Rollingergrund</t>
  </si>
  <si>
    <t>L-2441</t>
  </si>
  <si>
    <t>BEAUME</t>
  </si>
  <si>
    <t>Christian</t>
  </si>
  <si>
    <t>8, rue Ahlheck</t>
  </si>
  <si>
    <t>476</t>
  </si>
  <si>
    <t>kalikris@wp.pl</t>
  </si>
  <si>
    <t>KAROTOM</t>
  </si>
  <si>
    <t>Roald</t>
  </si>
  <si>
    <t>A / estonie</t>
  </si>
  <si>
    <t>1a, rue St. Sebastien</t>
  </si>
  <si>
    <t>L-3752</t>
  </si>
  <si>
    <t>Rumelange</t>
  </si>
  <si>
    <t>DIDELOT-SCHOEN</t>
  </si>
  <si>
    <t xml:space="preserve">DIEDENHOFEN </t>
  </si>
  <si>
    <t>635</t>
  </si>
  <si>
    <t>Alex</t>
  </si>
  <si>
    <t>140, rue de Fischbach</t>
  </si>
  <si>
    <t>691 980 085</t>
  </si>
  <si>
    <t>F13</t>
  </si>
  <si>
    <t>rkarotom@outlook.com</t>
  </si>
  <si>
    <t>26 32 07 08</t>
  </si>
  <si>
    <t>DILBER</t>
  </si>
  <si>
    <t>Nikolina</t>
  </si>
  <si>
    <t>4, rte de Mondorf</t>
  </si>
  <si>
    <t>L-3260</t>
  </si>
  <si>
    <t>Bettembourg</t>
  </si>
  <si>
    <t>DUNKEL</t>
  </si>
  <si>
    <t>Vanessa</t>
  </si>
  <si>
    <t>12, cité François Nemers</t>
  </si>
  <si>
    <t>L-7418</t>
  </si>
  <si>
    <t>KOCH</t>
  </si>
  <si>
    <t>Buschdorf</t>
  </si>
  <si>
    <t>16, Wisswee</t>
  </si>
  <si>
    <t>L-5441</t>
  </si>
  <si>
    <t>EPPS</t>
  </si>
  <si>
    <t>Remerschen</t>
  </si>
  <si>
    <t>Charly</t>
  </si>
  <si>
    <t>1, rue du Moulin</t>
  </si>
  <si>
    <t>L-9167</t>
  </si>
  <si>
    <t>Mertzig</t>
  </si>
  <si>
    <t>F39</t>
  </si>
  <si>
    <t>Dan</t>
  </si>
  <si>
    <t>10 - 673</t>
  </si>
  <si>
    <t>6, im Batz</t>
  </si>
  <si>
    <t>FABER</t>
  </si>
  <si>
    <t>Eric</t>
  </si>
  <si>
    <t>L-7541</t>
  </si>
  <si>
    <t>FELTEN</t>
  </si>
  <si>
    <t>Laurent</t>
  </si>
  <si>
    <t>482</t>
  </si>
  <si>
    <t>23 66 47 95</t>
  </si>
  <si>
    <t>691 865 000</t>
  </si>
  <si>
    <t>Elisabeth</t>
  </si>
  <si>
    <t>132, cité Roger Schmitz</t>
  </si>
  <si>
    <t>FERNANDEZ</t>
  </si>
  <si>
    <t>Anna Maria</t>
  </si>
  <si>
    <t>FRIEDEN</t>
  </si>
  <si>
    <t>Georges</t>
  </si>
  <si>
    <t xml:space="preserve">20, Haaptstrooss </t>
  </si>
  <si>
    <t>L-7475</t>
  </si>
  <si>
    <t>Schoos</t>
  </si>
  <si>
    <t>FRIEDRICH</t>
  </si>
  <si>
    <t>Claude</t>
  </si>
  <si>
    <t>6B,rue de Junglinster</t>
  </si>
  <si>
    <t>L-6150</t>
  </si>
  <si>
    <t>Altlinster</t>
  </si>
  <si>
    <t>210</t>
  </si>
  <si>
    <t>33 19 21</t>
  </si>
  <si>
    <t>FRISING</t>
  </si>
  <si>
    <t>691 685 866</t>
  </si>
  <si>
    <t>Tommy</t>
  </si>
  <si>
    <t>Maison 3</t>
  </si>
  <si>
    <t>L-6380</t>
  </si>
  <si>
    <t>LAGRANGE</t>
  </si>
  <si>
    <t>Savelborn</t>
  </si>
  <si>
    <t>Anouk</t>
  </si>
  <si>
    <t>F66</t>
  </si>
  <si>
    <t>3, rue Marie Therèse</t>
  </si>
  <si>
    <t>L-3257</t>
  </si>
  <si>
    <t>GENGLER</t>
  </si>
  <si>
    <t>Sven</t>
  </si>
  <si>
    <t>8, Um Riesenhaff</t>
  </si>
  <si>
    <t>L-7433</t>
  </si>
  <si>
    <t>Grevenknapp</t>
  </si>
  <si>
    <t>F101</t>
  </si>
  <si>
    <t>GOEDERT</t>
  </si>
  <si>
    <t>Charel</t>
  </si>
  <si>
    <t>10 - 712</t>
  </si>
  <si>
    <t>3, rue de la Marie</t>
  </si>
  <si>
    <t>L-6135</t>
  </si>
  <si>
    <t>GOERENS</t>
  </si>
  <si>
    <t>Yves</t>
  </si>
  <si>
    <t>8, rue Général Patton</t>
  </si>
  <si>
    <t>L-2317</t>
  </si>
  <si>
    <t>Howald</t>
  </si>
  <si>
    <t>512</t>
  </si>
  <si>
    <t>Karla</t>
  </si>
  <si>
    <t>51 36 24</t>
  </si>
  <si>
    <t>24, rue Emile-Mayrisch</t>
  </si>
  <si>
    <t>L-8528</t>
  </si>
  <si>
    <t>691 545 401</t>
  </si>
  <si>
    <t>Colpach-Haut</t>
  </si>
  <si>
    <t>nukki@hotmail.com                           anouk.lagrange@police.etat.lu</t>
  </si>
  <si>
    <t>F92</t>
  </si>
  <si>
    <t>2010 12 08 118 25</t>
  </si>
  <si>
    <t>LEISEN</t>
  </si>
  <si>
    <t>691 815 077 (père)</t>
  </si>
  <si>
    <t>Jo - Anne</t>
  </si>
  <si>
    <t>691 436 498 (mère)</t>
  </si>
  <si>
    <t>1C,chaussée St. Martin</t>
  </si>
  <si>
    <t>L-6989</t>
  </si>
  <si>
    <t>carmenbouche@hotmail.com</t>
  </si>
  <si>
    <t>GUYON</t>
  </si>
  <si>
    <t>Hostert</t>
  </si>
  <si>
    <t>Gaël</t>
  </si>
  <si>
    <t>13, rue Wenzel</t>
  </si>
  <si>
    <t>L-7593</t>
  </si>
  <si>
    <t>F50</t>
  </si>
  <si>
    <t xml:space="preserve">Luc </t>
  </si>
  <si>
    <t>158</t>
  </si>
  <si>
    <t>F19</t>
  </si>
  <si>
    <t>26 94 56 64</t>
  </si>
  <si>
    <t>661 614 335</t>
  </si>
  <si>
    <t>HUBERTY</t>
  </si>
  <si>
    <t>Jan</t>
  </si>
  <si>
    <t>31, rue du Village</t>
  </si>
  <si>
    <t>L-7416</t>
  </si>
  <si>
    <t>Brouch</t>
  </si>
  <si>
    <t>JANSEN</t>
  </si>
  <si>
    <t>Sander</t>
  </si>
  <si>
    <t>2, rue du Camping</t>
  </si>
  <si>
    <t>L-7572</t>
  </si>
  <si>
    <t>F82</t>
  </si>
  <si>
    <t>JODOCY</t>
  </si>
  <si>
    <t>Denise</t>
  </si>
  <si>
    <t>8a, rue de Kehlen</t>
  </si>
  <si>
    <t>L-8390</t>
  </si>
  <si>
    <t>Nospelt</t>
  </si>
  <si>
    <t>MALGET</t>
  </si>
  <si>
    <t>F21</t>
  </si>
  <si>
    <t>Joé</t>
  </si>
  <si>
    <t>129, rte de Luxembourg</t>
  </si>
  <si>
    <t>20B, Op der Huuscht</t>
  </si>
  <si>
    <t>KONCAR</t>
  </si>
  <si>
    <t>10 - 670</t>
  </si>
  <si>
    <t>Armand</t>
  </si>
  <si>
    <t>128</t>
  </si>
  <si>
    <t>Christophe</t>
  </si>
  <si>
    <t>32 94 29</t>
  </si>
  <si>
    <t>691 808 253</t>
  </si>
  <si>
    <t>joemalget@hotmail.com</t>
  </si>
  <si>
    <t>Philippe</t>
  </si>
  <si>
    <t>L-7390</t>
  </si>
  <si>
    <t>Blaschette</t>
  </si>
  <si>
    <t>KRIER</t>
  </si>
  <si>
    <t>67a, route de Mersch</t>
  </si>
  <si>
    <t>LAZZARI</t>
  </si>
  <si>
    <t>Patricia</t>
  </si>
  <si>
    <t>LECHES</t>
  </si>
  <si>
    <t>Max</t>
  </si>
  <si>
    <t>2, rue de Mersch</t>
  </si>
  <si>
    <t>OSTRIHON</t>
  </si>
  <si>
    <t>LEHNEN</t>
  </si>
  <si>
    <t>Cynthia</t>
  </si>
  <si>
    <t>26 62 00 24</t>
  </si>
  <si>
    <t>Dylan</t>
  </si>
  <si>
    <t>9, rue de l'Eglise</t>
  </si>
  <si>
    <t>bechtold@pt.lu</t>
  </si>
  <si>
    <t>L-9650</t>
  </si>
  <si>
    <t>Esch-sur-Sûre</t>
  </si>
  <si>
    <t>Patrick</t>
  </si>
  <si>
    <t>26, rue de la Forêt</t>
  </si>
  <si>
    <t>L-7227</t>
  </si>
  <si>
    <t>Bereldange</t>
  </si>
  <si>
    <t>MALTOV</t>
  </si>
  <si>
    <t>Vladimir</t>
  </si>
  <si>
    <t>7, rue des Templier</t>
  </si>
  <si>
    <t>L-7343</t>
  </si>
  <si>
    <t>MARTINS</t>
  </si>
  <si>
    <t>pi</t>
  </si>
  <si>
    <t>Lishia</t>
  </si>
  <si>
    <t>Nuno</t>
  </si>
  <si>
    <t>Pavol</t>
  </si>
  <si>
    <t>MERING</t>
  </si>
  <si>
    <t>Steven</t>
  </si>
  <si>
    <t>Larochette</t>
  </si>
  <si>
    <t>METZLER</t>
  </si>
  <si>
    <t>Bernard</t>
  </si>
  <si>
    <t>14, cité Breitfeld</t>
  </si>
  <si>
    <t>17, rue Marcel Noppeney</t>
  </si>
  <si>
    <t>L-2231</t>
  </si>
  <si>
    <t>L-4519</t>
  </si>
  <si>
    <t>NEYDECK</t>
  </si>
  <si>
    <t>Harry</t>
  </si>
  <si>
    <t>24, rue du Moulin</t>
  </si>
  <si>
    <t>L-4251</t>
  </si>
  <si>
    <t>Esch / Alzette</t>
  </si>
  <si>
    <t>F07</t>
  </si>
  <si>
    <t>NUNES FRAGA</t>
  </si>
  <si>
    <t>Raphael</t>
  </si>
  <si>
    <t>14, rue du Coin</t>
  </si>
  <si>
    <t>Differdange</t>
  </si>
  <si>
    <t>PETTINGER</t>
  </si>
  <si>
    <t>Kim</t>
  </si>
  <si>
    <t>1, rue d'Ansembourg</t>
  </si>
  <si>
    <t>L-7512</t>
  </si>
  <si>
    <t>F95</t>
  </si>
  <si>
    <t>PIRSON</t>
  </si>
  <si>
    <t>POULSEN</t>
  </si>
  <si>
    <t>Zita</t>
  </si>
  <si>
    <t>31, Am Batz</t>
  </si>
  <si>
    <t>F34</t>
  </si>
  <si>
    <t>REDAVID</t>
  </si>
  <si>
    <t>2002 01 22 057 75</t>
  </si>
  <si>
    <t>BECKER - REDING</t>
  </si>
  <si>
    <t>Laurence</t>
  </si>
  <si>
    <t>18, rue Michel Stoffel</t>
  </si>
  <si>
    <t>F57</t>
  </si>
  <si>
    <t>Gregory</t>
  </si>
  <si>
    <t>REDING</t>
  </si>
  <si>
    <t>Emma</t>
  </si>
  <si>
    <t>3, rue Beringerberg</t>
  </si>
  <si>
    <t>F28</t>
  </si>
  <si>
    <t>Laura</t>
  </si>
  <si>
    <t>Pol.ostrihon@me.com</t>
  </si>
  <si>
    <t>REDING-WEBER</t>
  </si>
  <si>
    <t>Nicole</t>
  </si>
  <si>
    <t>Mère d'acceuil</t>
  </si>
  <si>
    <t>85 93 74</t>
  </si>
  <si>
    <t>redinglau@hotmail.com</t>
  </si>
  <si>
    <t>REUTER</t>
  </si>
  <si>
    <t>Jacques</t>
  </si>
  <si>
    <t>21, rue de la Vallée</t>
  </si>
  <si>
    <t>L-7337</t>
  </si>
  <si>
    <t>BELLO</t>
  </si>
  <si>
    <t>F44</t>
  </si>
  <si>
    <t>Beyoncé</t>
  </si>
  <si>
    <t>11, rue des Jardins</t>
  </si>
  <si>
    <t>L-7782</t>
  </si>
  <si>
    <t>Nathalie</t>
  </si>
  <si>
    <t>30, rue Beaulieu</t>
  </si>
  <si>
    <t>L-7302</t>
  </si>
  <si>
    <t>Müllendorf</t>
  </si>
  <si>
    <t>F36</t>
  </si>
  <si>
    <t>PERSURIC</t>
  </si>
  <si>
    <t>REUTER - WEYLER</t>
  </si>
  <si>
    <t>Mirko</t>
  </si>
  <si>
    <t>F/ française</t>
  </si>
  <si>
    <t>6, rue de l'Attert</t>
  </si>
  <si>
    <t>L-7760</t>
  </si>
  <si>
    <t>REY JANKOVIC</t>
  </si>
  <si>
    <t>Sanja</t>
  </si>
  <si>
    <t>6, Op Mailander</t>
  </si>
  <si>
    <t>F70</t>
  </si>
  <si>
    <t xml:space="preserve">RISCHETTE </t>
  </si>
  <si>
    <t>Jang</t>
  </si>
  <si>
    <t>3, rue Homecht</t>
  </si>
  <si>
    <t>L-7724</t>
  </si>
  <si>
    <t>F09</t>
  </si>
  <si>
    <t>RODRIGUES</t>
  </si>
  <si>
    <t>Damien</t>
  </si>
  <si>
    <t>RODRIGUEZ</t>
  </si>
  <si>
    <t>Angel</t>
  </si>
  <si>
    <t>2A, route d'Eppeldorf</t>
  </si>
  <si>
    <t>L-9353</t>
  </si>
  <si>
    <t>Bettendorf</t>
  </si>
  <si>
    <t>RUEF</t>
  </si>
  <si>
    <t>SCHEER</t>
  </si>
  <si>
    <t>Pit</t>
  </si>
  <si>
    <t>2, rue du Village</t>
  </si>
  <si>
    <t>L-7473</t>
  </si>
  <si>
    <t>Schoenfels</t>
  </si>
  <si>
    <t>F63</t>
  </si>
  <si>
    <t>568</t>
  </si>
  <si>
    <t>SCHMIT</t>
  </si>
  <si>
    <t>Sophie</t>
  </si>
  <si>
    <t>26 88 02 75</t>
  </si>
  <si>
    <t>661 652 582</t>
  </si>
  <si>
    <t>persuric@gmail.com</t>
  </si>
  <si>
    <t>PRICKAERTS</t>
  </si>
  <si>
    <t>10, A Klatzber</t>
  </si>
  <si>
    <t>48, rue Wenzel</t>
  </si>
  <si>
    <t>F56</t>
  </si>
  <si>
    <t>10 - 680</t>
  </si>
  <si>
    <t>SCHULTé</t>
  </si>
  <si>
    <t>37, rue Lohr</t>
  </si>
  <si>
    <t>L-7545</t>
  </si>
  <si>
    <t>F81</t>
  </si>
  <si>
    <t>Jemp</t>
  </si>
  <si>
    <t>SCHUSTER</t>
  </si>
  <si>
    <t>Elie</t>
  </si>
  <si>
    <t>4, bei de Weieren</t>
  </si>
  <si>
    <t>241</t>
  </si>
  <si>
    <t>L-7346</t>
  </si>
  <si>
    <t>F60</t>
  </si>
  <si>
    <t>26 32 08 96</t>
  </si>
  <si>
    <t>691 320 896</t>
  </si>
  <si>
    <t>co_smile19@hotmail.de</t>
  </si>
  <si>
    <t>RAUCHS</t>
  </si>
  <si>
    <t>SERVAIS</t>
  </si>
  <si>
    <t>32 57 98</t>
  </si>
  <si>
    <t>691 925 410</t>
  </si>
  <si>
    <t>bbmbello@yahoo.com</t>
  </si>
  <si>
    <t xml:space="preserve">BEMTGEN </t>
  </si>
  <si>
    <t>Anne</t>
  </si>
  <si>
    <t>F02</t>
  </si>
  <si>
    <t>nbemtgen@pt.lu</t>
  </si>
  <si>
    <t>BENTZ</t>
  </si>
  <si>
    <t>Ricky</t>
  </si>
  <si>
    <t>27, rue Bouvart</t>
  </si>
  <si>
    <t>L-7519</t>
  </si>
  <si>
    <t>F98</t>
  </si>
  <si>
    <t>9, rue de Mersch</t>
  </si>
  <si>
    <t>SILVA DELGADO</t>
  </si>
  <si>
    <t>L-7470</t>
  </si>
  <si>
    <t xml:space="preserve">Diana </t>
  </si>
  <si>
    <t>16, rue Grand Duc Jean</t>
  </si>
  <si>
    <t>1987 09 13 195 99</t>
  </si>
  <si>
    <t>Saeul</t>
  </si>
  <si>
    <t>ricky1387@hotmail.de</t>
  </si>
  <si>
    <t>L-7547</t>
  </si>
  <si>
    <t>BERCHEM</t>
  </si>
  <si>
    <t>Danielle</t>
  </si>
  <si>
    <t>DAMES</t>
  </si>
  <si>
    <t>Marc</t>
  </si>
  <si>
    <t>13, am Zeep</t>
  </si>
  <si>
    <t>L-7411</t>
  </si>
  <si>
    <t>SPIEWAK</t>
  </si>
  <si>
    <t>Jeff</t>
  </si>
  <si>
    <t>23 63 80 62</t>
  </si>
  <si>
    <t xml:space="preserve">661 200 267 </t>
  </si>
  <si>
    <t>berchem.marc@gmail.com</t>
  </si>
  <si>
    <t>5.2</t>
  </si>
  <si>
    <t>BERNARD</t>
  </si>
  <si>
    <t>2, rue de l'école</t>
  </si>
  <si>
    <t>F96</t>
  </si>
  <si>
    <t>F30</t>
  </si>
  <si>
    <t>STROTZ</t>
  </si>
  <si>
    <t>18B, rue de Schoenfels</t>
  </si>
  <si>
    <t>23 63 01 08</t>
  </si>
  <si>
    <t>F32</t>
  </si>
  <si>
    <t>VAN WISSEN</t>
  </si>
  <si>
    <t>Gil</t>
  </si>
  <si>
    <t>rauchs.lisi@hotmail.com</t>
  </si>
  <si>
    <t>Petrus</t>
  </si>
  <si>
    <t>SCHENTEN</t>
  </si>
  <si>
    <t>9, rue H. Geimer</t>
  </si>
  <si>
    <t>L-7534</t>
  </si>
  <si>
    <t>5, rue de la Libération</t>
  </si>
  <si>
    <t>L-7347</t>
  </si>
  <si>
    <t>2005 09 14 012 16</t>
  </si>
  <si>
    <t>691 222 765 (père)</t>
  </si>
  <si>
    <t>691 655 378 (mère)</t>
  </si>
  <si>
    <t>jeanne.hurt@education.lu</t>
  </si>
  <si>
    <t>32 93 14</t>
  </si>
  <si>
    <t>manon.bodet@kannerduerf.lu</t>
  </si>
  <si>
    <t>SCHWALL</t>
  </si>
  <si>
    <t>Nadia</t>
  </si>
  <si>
    <t>20, rue de Rollingen</t>
  </si>
  <si>
    <t>i1</t>
  </si>
  <si>
    <t>26 32 02 87</t>
  </si>
  <si>
    <t>BERTE</t>
  </si>
  <si>
    <t>Henri</t>
  </si>
  <si>
    <t>schwallnadia@yahoo.de</t>
  </si>
  <si>
    <t>VENANZIO DA CRUZ</t>
  </si>
  <si>
    <t>Joël</t>
  </si>
  <si>
    <t>86, cité Grand Duc Jean</t>
  </si>
  <si>
    <t>L-7233</t>
  </si>
  <si>
    <t>1, rue de Londres</t>
  </si>
  <si>
    <t>L-8223</t>
  </si>
  <si>
    <t>Mamer</t>
  </si>
  <si>
    <t>10 - 043</t>
  </si>
  <si>
    <t>WELLENS</t>
  </si>
  <si>
    <t xml:space="preserve">Jos </t>
  </si>
  <si>
    <t>WELSCH</t>
  </si>
  <si>
    <t>Cheryl</t>
  </si>
  <si>
    <t>219, rue Kirchberg</t>
  </si>
  <si>
    <t>L-1858</t>
  </si>
  <si>
    <t>475</t>
  </si>
  <si>
    <t>WIESEN</t>
  </si>
  <si>
    <t>621 486 307</t>
  </si>
  <si>
    <t>anne.servais@gmx.de</t>
  </si>
  <si>
    <t>TORRES-VIEIRA</t>
  </si>
  <si>
    <t>Miguel</t>
  </si>
  <si>
    <t>112, rue de Mersch</t>
  </si>
  <si>
    <t>ZEIMES</t>
  </si>
  <si>
    <t xml:space="preserve">Fabien </t>
  </si>
  <si>
    <t>3, rue des Prunelles</t>
  </si>
  <si>
    <t>L-7344</t>
  </si>
  <si>
    <t>042</t>
  </si>
  <si>
    <t>7b, rue Principale</t>
  </si>
  <si>
    <t>32 84 31</t>
  </si>
  <si>
    <t>691 866 997</t>
  </si>
  <si>
    <t>WEILER</t>
  </si>
  <si>
    <t>Pol</t>
  </si>
  <si>
    <t>13, rue Hurkes</t>
  </si>
  <si>
    <t>212</t>
  </si>
  <si>
    <t>32 91 39</t>
  </si>
  <si>
    <t>691 965 470</t>
  </si>
  <si>
    <t>weiler.pol@hotmail.com</t>
  </si>
  <si>
    <t>A16</t>
  </si>
  <si>
    <t>BUDAI</t>
  </si>
  <si>
    <t>BIGDOWSKI</t>
  </si>
  <si>
    <t>Louis</t>
  </si>
  <si>
    <t>64, route d'Abweiler</t>
  </si>
  <si>
    <t>L-3211</t>
  </si>
  <si>
    <t>13, rue du Ruisseau</t>
  </si>
  <si>
    <t>S+seul</t>
  </si>
  <si>
    <t>impayé,supp licence garder dans memberlist</t>
  </si>
  <si>
    <t>philbudai@gmail.com</t>
  </si>
  <si>
    <t>DAVEZAC</t>
  </si>
  <si>
    <t>Guilhem</t>
  </si>
  <si>
    <t>10, Allée St. Hubert</t>
  </si>
  <si>
    <t>1995 09 04 057 21</t>
  </si>
  <si>
    <t>52 32 30</t>
  </si>
  <si>
    <t>621 382 841</t>
  </si>
  <si>
    <t>L-8138</t>
  </si>
  <si>
    <t>BigLouis95@gmail.com</t>
  </si>
  <si>
    <t>davezac.guilhem@yahoo.com</t>
  </si>
  <si>
    <t>Mandy</t>
  </si>
  <si>
    <t>4, Hëlzerbierg</t>
  </si>
  <si>
    <t>L-8398</t>
  </si>
  <si>
    <t>Roodt / Eich</t>
  </si>
  <si>
    <t>ETTELDORF</t>
  </si>
  <si>
    <t>Jacqueline</t>
  </si>
  <si>
    <t>13, rue des Vergers</t>
  </si>
  <si>
    <t>L-7457</t>
  </si>
  <si>
    <t>ettel@pt.lu</t>
  </si>
  <si>
    <t>FOGHAM</t>
  </si>
  <si>
    <t>Electa</t>
  </si>
  <si>
    <t>F / cameroun</t>
  </si>
  <si>
    <t>3, rue d'Ettelbruck</t>
  </si>
  <si>
    <t>tom.haas@gmx.lu</t>
  </si>
  <si>
    <t>Michel</t>
  </si>
  <si>
    <t>23c, rue de Luxembourg</t>
  </si>
  <si>
    <t>Berschbach/Mersch</t>
  </si>
  <si>
    <t>691 782 206</t>
  </si>
  <si>
    <t>LAGE GONCALVES (ALVES)</t>
  </si>
  <si>
    <t>Tiago</t>
  </si>
  <si>
    <t>mandytrt87_bill@hotmail.com</t>
  </si>
  <si>
    <t>12, impasse Aloyse Kayser</t>
  </si>
  <si>
    <t>LAHURE</t>
  </si>
  <si>
    <t>Fabienne</t>
  </si>
  <si>
    <t>maison 7A</t>
  </si>
  <si>
    <t>L-9660</t>
  </si>
  <si>
    <t>Insenborn</t>
  </si>
  <si>
    <t>fabiennel78@gmail.com</t>
  </si>
  <si>
    <t>MEYER-FEIEREISEN</t>
  </si>
  <si>
    <t>Ysabelle</t>
  </si>
  <si>
    <t>12, an der Gewaan</t>
  </si>
  <si>
    <t>OFFERMANN</t>
  </si>
  <si>
    <t>14, Redeschheck</t>
  </si>
  <si>
    <t>U 21 Hommes</t>
  </si>
  <si>
    <t>eric96.04@hotmail.com</t>
  </si>
  <si>
    <t>23, am Buurgbierg</t>
  </si>
  <si>
    <t xml:space="preserve">L-9140 </t>
  </si>
  <si>
    <t>1983 08 10 156 92</t>
  </si>
  <si>
    <t>691 839 545</t>
  </si>
  <si>
    <t>Bourscheid</t>
  </si>
  <si>
    <t>Bingenfrank@hotmail.com</t>
  </si>
  <si>
    <t>transféré supp licence+memberslist</t>
  </si>
  <si>
    <t>peter.ostrihon@outlook.com</t>
  </si>
  <si>
    <t>PECH</t>
  </si>
  <si>
    <t>Gianna</t>
  </si>
  <si>
    <t>105, route de Luxembourg</t>
  </si>
  <si>
    <t>RAMOS DOMINGUES</t>
  </si>
  <si>
    <t>Filipe</t>
  </si>
  <si>
    <t>ramfi252@gmail.com</t>
  </si>
  <si>
    <t>SCHWACHTGEN</t>
  </si>
  <si>
    <t>1, rue Hurkes</t>
  </si>
  <si>
    <t>jeff_schwachtgen@hotmail.de</t>
  </si>
  <si>
    <t>TEIXEIRA BORGES DA CRUZ</t>
  </si>
  <si>
    <t>Liliana</t>
  </si>
  <si>
    <t>14, rue Principal</t>
  </si>
  <si>
    <t>L-8561</t>
  </si>
  <si>
    <t>Schwebach</t>
  </si>
  <si>
    <t>1981 09 30 147 52</t>
  </si>
  <si>
    <t>lilianacruz@hotmail.fr</t>
  </si>
  <si>
    <t>geraldine.birscheidt81@gmail.com</t>
  </si>
  <si>
    <t>TORRES VIEIRA</t>
  </si>
  <si>
    <t>WATGEN</t>
  </si>
  <si>
    <t>25, rue de Colmar-Berg</t>
  </si>
  <si>
    <t>lwatgen@gmail.com</t>
  </si>
  <si>
    <t>A17</t>
  </si>
  <si>
    <t>BESSA RODRIGUES</t>
  </si>
  <si>
    <t>Diana</t>
  </si>
  <si>
    <t xml:space="preserve">50, rue de Colmar Berg </t>
  </si>
  <si>
    <t>Apte</t>
  </si>
  <si>
    <t>32 96 24</t>
  </si>
  <si>
    <t>43 63 62 345</t>
  </si>
  <si>
    <t>621 797 328</t>
  </si>
  <si>
    <t>carlo.bisenius@icloud.com</t>
  </si>
  <si>
    <t>arb</t>
  </si>
  <si>
    <t>5c-2</t>
  </si>
  <si>
    <t>26 32 03 14</t>
  </si>
  <si>
    <t>COELHO</t>
  </si>
  <si>
    <t>Leaticia</t>
  </si>
  <si>
    <t>??</t>
  </si>
  <si>
    <t>Niedercorn</t>
  </si>
  <si>
    <t>621 342 850</t>
  </si>
  <si>
    <t>leaticia.coelho@gmail.com</t>
  </si>
  <si>
    <t>621 737 555</t>
  </si>
  <si>
    <t>jeannine.bisenius@me.com</t>
  </si>
  <si>
    <t>ESCOLASTICA</t>
  </si>
  <si>
    <t>Dena</t>
  </si>
  <si>
    <t>6, Warkstrooss</t>
  </si>
  <si>
    <t>L-9191</t>
  </si>
  <si>
    <t>Welscheid</t>
  </si>
  <si>
    <t>F15</t>
  </si>
  <si>
    <t>6, rue Belle Vue</t>
  </si>
  <si>
    <t>26 32 00 75</t>
  </si>
  <si>
    <t>L-7516</t>
  </si>
  <si>
    <t>621 492 284</t>
  </si>
  <si>
    <t>Rollingen</t>
  </si>
  <si>
    <t>F04</t>
  </si>
  <si>
    <t>HADROVIC</t>
  </si>
  <si>
    <t>Ahmed</t>
  </si>
  <si>
    <t>F / Bosniague</t>
  </si>
  <si>
    <t>74A, rue du Cimetière</t>
  </si>
  <si>
    <t>L-7313</t>
  </si>
  <si>
    <t>F18</t>
  </si>
  <si>
    <t>26 43 13 15</t>
  </si>
  <si>
    <t>621 409 051</t>
  </si>
  <si>
    <t>adiemira@yahoo.com</t>
  </si>
  <si>
    <t>MERSCH</t>
  </si>
  <si>
    <t>Thao</t>
  </si>
  <si>
    <t>28, rue de Beringen</t>
  </si>
  <si>
    <t>L-7517</t>
  </si>
  <si>
    <t>691 798 434</t>
  </si>
  <si>
    <t>asffranz@pt.lu</t>
  </si>
  <si>
    <t>ODONNELL</t>
  </si>
  <si>
    <t>Liam</t>
  </si>
  <si>
    <t>8, rue de l'Ernz</t>
  </si>
  <si>
    <t>L-6196</t>
  </si>
  <si>
    <t>Eisenborn</t>
  </si>
  <si>
    <t>F40</t>
  </si>
  <si>
    <t>32 81 72</t>
  </si>
  <si>
    <t>691 151 576</t>
  </si>
  <si>
    <t>lynn_micky1994@hotmail.com</t>
  </si>
  <si>
    <t>51 67 97</t>
  </si>
  <si>
    <t>christianepommerell@hotmail.com</t>
  </si>
  <si>
    <t>F / slovaque</t>
  </si>
  <si>
    <t>PELLE</t>
  </si>
  <si>
    <t>Brigitte</t>
  </si>
  <si>
    <t>Schubertstrasse 22</t>
  </si>
  <si>
    <t>D-54329</t>
  </si>
  <si>
    <t>Konz</t>
  </si>
  <si>
    <t>F75</t>
  </si>
  <si>
    <t>0049 6501 606 733</t>
  </si>
  <si>
    <t>SCHROEDER</t>
  </si>
  <si>
    <t>Teo</t>
  </si>
  <si>
    <t>49, Beschmontsbungert</t>
  </si>
  <si>
    <t>1981 03 26 038 87</t>
  </si>
  <si>
    <t>28 77 48 77</t>
  </si>
  <si>
    <t>bemko.moj@gmail.com</t>
  </si>
  <si>
    <t>26 09 46 76</t>
  </si>
  <si>
    <t>621 724 813</t>
  </si>
  <si>
    <t>SOUSA LOPES</t>
  </si>
  <si>
    <t>Linda</t>
  </si>
  <si>
    <t>F / ital-belge</t>
  </si>
  <si>
    <t>113, Grand-rue</t>
  </si>
  <si>
    <t>L-9051</t>
  </si>
  <si>
    <t>Ettelbruck</t>
  </si>
  <si>
    <t>2004 10 26 015 81</t>
  </si>
  <si>
    <t>26 88 50 62</t>
  </si>
  <si>
    <t>691 633 662</t>
  </si>
  <si>
    <t>r.bonavia69@gmail.com</t>
  </si>
  <si>
    <t>SWIADER</t>
  </si>
  <si>
    <t>Aleksandra</t>
  </si>
  <si>
    <t>28, Beschmontsbongert</t>
  </si>
  <si>
    <t>F33</t>
  </si>
  <si>
    <t>26 89 70 70</t>
  </si>
  <si>
    <t>621 685 697</t>
  </si>
  <si>
    <t>jswiader@poczta.onet.pl</t>
  </si>
  <si>
    <t>2001 07 13 065 65</t>
  </si>
  <si>
    <t>Julia</t>
  </si>
  <si>
    <t>691 243 594</t>
  </si>
  <si>
    <t>2008 07 11 108 91</t>
  </si>
  <si>
    <t>1.1</t>
  </si>
  <si>
    <t>THILL</t>
  </si>
  <si>
    <t>247-82 955</t>
  </si>
  <si>
    <t>carole.christophebonavia@gmail.com</t>
  </si>
  <si>
    <t>ZIRNHELD</t>
  </si>
  <si>
    <t>Emilie</t>
  </si>
  <si>
    <t>8, am Batz</t>
  </si>
  <si>
    <t>F37</t>
  </si>
  <si>
    <t>BONTEMPS</t>
  </si>
  <si>
    <t>Aly</t>
  </si>
  <si>
    <t>2, place de l'église</t>
  </si>
  <si>
    <t>L-7533</t>
  </si>
  <si>
    <t>26 32 08 08</t>
  </si>
  <si>
    <t>621 291 692</t>
  </si>
  <si>
    <t>martine.jauersch@pt.lu</t>
  </si>
  <si>
    <t>Julie</t>
  </si>
  <si>
    <t>ZUNé</t>
  </si>
  <si>
    <t>Chris</t>
  </si>
  <si>
    <t>F51</t>
  </si>
  <si>
    <t>ncomes@hotmail.de</t>
  </si>
  <si>
    <t>BOREIKO</t>
  </si>
  <si>
    <t>Marco</t>
  </si>
  <si>
    <t>26, rue Mies</t>
  </si>
  <si>
    <t>L-7557</t>
  </si>
  <si>
    <t>F47</t>
  </si>
  <si>
    <t xml:space="preserve">CASSAN </t>
  </si>
  <si>
    <t>Alain</t>
  </si>
  <si>
    <t>chrigaul@pt.lu</t>
  </si>
  <si>
    <t>Yann</t>
  </si>
  <si>
    <t>FERREIRA</t>
  </si>
  <si>
    <t>Sandy</t>
  </si>
  <si>
    <t>273, rue de Rollingergrund</t>
  </si>
  <si>
    <t>10 - 683</t>
  </si>
  <si>
    <t>BORMANN</t>
  </si>
  <si>
    <t>retrait mail 7.9.2018</t>
  </si>
  <si>
    <t>81 70 82</t>
  </si>
  <si>
    <t>sabo@tango.lu</t>
  </si>
  <si>
    <t>ALMEIDA SOUSA</t>
  </si>
  <si>
    <t>Jelse</t>
  </si>
  <si>
    <t>12c, route d'Eppeldorf</t>
  </si>
  <si>
    <t>BORMES</t>
  </si>
  <si>
    <t>691 686 090</t>
  </si>
  <si>
    <t>joojen@hotmail.com</t>
  </si>
  <si>
    <t>Fränz</t>
  </si>
  <si>
    <t>26 78 05 80</t>
  </si>
  <si>
    <t>621 348 301</t>
  </si>
  <si>
    <t>jettis@pt.lu</t>
  </si>
  <si>
    <t>Carmen</t>
  </si>
  <si>
    <t>SCHMITZ</t>
  </si>
  <si>
    <t>Leedebach</t>
  </si>
  <si>
    <t>L-7619</t>
  </si>
  <si>
    <t>87 82 25</t>
  </si>
  <si>
    <t>29 29 60 5</t>
  </si>
  <si>
    <t>15, rue de Luxembourg</t>
  </si>
  <si>
    <t>L7540</t>
  </si>
  <si>
    <t>Berschbach</t>
  </si>
  <si>
    <t>?</t>
  </si>
  <si>
    <t>691 208 773</t>
  </si>
  <si>
    <t>26 88 72 99</t>
  </si>
  <si>
    <t>24 59 58 13</t>
  </si>
  <si>
    <t xml:space="preserve">691 664 923   </t>
  </si>
  <si>
    <t>lucabuch@hotmail.fr</t>
  </si>
  <si>
    <t xml:space="preserve">Ana </t>
  </si>
  <si>
    <t>23 63 04 77 22</t>
  </si>
  <si>
    <t>621 184 553</t>
  </si>
  <si>
    <t>bourgj@pt.lu</t>
  </si>
  <si>
    <t>26 25 92 95</t>
  </si>
  <si>
    <t>anamargarida17@hotmail.fr</t>
  </si>
  <si>
    <t>spon</t>
  </si>
  <si>
    <t>d-2</t>
  </si>
  <si>
    <t>Thea</t>
  </si>
  <si>
    <t>691 798 968</t>
  </si>
  <si>
    <t>BRESER</t>
  </si>
  <si>
    <t>Jean-Marie</t>
  </si>
  <si>
    <t>36a, rue de Steinsel</t>
  </si>
  <si>
    <t>supprimer???</t>
  </si>
  <si>
    <t>26 32 04 99 hors service</t>
  </si>
  <si>
    <t>23 63 04 77</t>
  </si>
  <si>
    <t>621 254 923</t>
  </si>
  <si>
    <t>thielengaby@gmail.com</t>
  </si>
  <si>
    <t>5.1</t>
  </si>
  <si>
    <t>691 195 946 pas identifiable</t>
  </si>
  <si>
    <t>BRIMEYER</t>
  </si>
  <si>
    <t>Edy Alphonse</t>
  </si>
  <si>
    <t>12, rue d'Ettelbrück</t>
  </si>
  <si>
    <t>jm-breser@live.co.uk</t>
  </si>
  <si>
    <t>DA CONCEICAO SOARES</t>
  </si>
  <si>
    <t>Eunice</t>
  </si>
  <si>
    <t>changement d'adresse</t>
  </si>
  <si>
    <t>691 336 631</t>
  </si>
  <si>
    <t>DAVTYAN</t>
  </si>
  <si>
    <t>Roman</t>
  </si>
  <si>
    <t>2006 07 31 056 81</t>
  </si>
  <si>
    <t>26 32 17 97</t>
  </si>
  <si>
    <t>621 252 680 (père)</t>
  </si>
  <si>
    <t>621 274 826 (mère)</t>
  </si>
  <si>
    <t>A / Russe</t>
  </si>
  <si>
    <t>36 a, rue de Steinsel</t>
  </si>
  <si>
    <t>pas accès gsm</t>
  </si>
  <si>
    <t>26 33 04 99</t>
  </si>
  <si>
    <t xml:space="preserve">barley@pt.lu </t>
  </si>
  <si>
    <t>Leo</t>
  </si>
  <si>
    <t>F / belge</t>
  </si>
  <si>
    <t>joue basket</t>
  </si>
  <si>
    <t>661 242 120</t>
  </si>
  <si>
    <t>njapotw@gmail.com</t>
  </si>
  <si>
    <t>DOS SANTOS LOPES</t>
  </si>
  <si>
    <t>Ronaldo</t>
  </si>
  <si>
    <t>12, rue du Château</t>
  </si>
  <si>
    <t>L-7463</t>
  </si>
  <si>
    <t>Pettingen/Mersch</t>
  </si>
  <si>
    <t>F41</t>
  </si>
  <si>
    <t>26 32 21 76</t>
  </si>
  <si>
    <t>691 522 176 (mère)</t>
  </si>
  <si>
    <t>691 926 418</t>
  </si>
  <si>
    <t>ESSER</t>
  </si>
  <si>
    <t>Mik</t>
  </si>
  <si>
    <t>14, an Uerbech</t>
  </si>
  <si>
    <t>26 80 44 99</t>
  </si>
  <si>
    <t>621 727 065</t>
  </si>
  <si>
    <t>nouschka23@hotmail.com</t>
  </si>
  <si>
    <t>23 63 97 85</t>
  </si>
  <si>
    <t>661 534 808</t>
  </si>
  <si>
    <t>houtmann@pt.lu</t>
  </si>
  <si>
    <t>f2</t>
  </si>
  <si>
    <t>26 32 09 68</t>
  </si>
  <si>
    <t>621 183 827</t>
  </si>
  <si>
    <t>FERNANDES</t>
  </si>
  <si>
    <t>Jannina</t>
  </si>
  <si>
    <t>36, rue Mies</t>
  </si>
  <si>
    <t>32 54 59</t>
  </si>
  <si>
    <t>691 930 101</t>
  </si>
  <si>
    <t>GOETSCHALCKX</t>
  </si>
  <si>
    <t>Barbara</t>
  </si>
  <si>
    <t>1, rue Bëll</t>
  </si>
  <si>
    <t>621 239 489</t>
  </si>
  <si>
    <t>barbara.goetschalckx@education.lu</t>
  </si>
  <si>
    <t>HUSEJINOVIC</t>
  </si>
  <si>
    <t>Ervin</t>
  </si>
  <si>
    <t>F / Bosniac</t>
  </si>
  <si>
    <t>107, rue de Luxembourg</t>
  </si>
  <si>
    <t>1987 08 14 294 03</t>
  </si>
  <si>
    <t>30 86 27</t>
  </si>
  <si>
    <t>621 721 913</t>
  </si>
  <si>
    <t>joshbrosius@hotmail.com</t>
  </si>
  <si>
    <t>621 888 085</t>
  </si>
  <si>
    <t>Dominique</t>
  </si>
  <si>
    <t>70, route de Luxembourg</t>
  </si>
  <si>
    <t>L-7240</t>
  </si>
  <si>
    <t>C</t>
  </si>
  <si>
    <t>4.2</t>
  </si>
  <si>
    <t>Liz</t>
  </si>
  <si>
    <t>691 508 834 (père)</t>
  </si>
  <si>
    <t>schniggedom88@hotmail.com</t>
  </si>
  <si>
    <t>5,rue de Rollingen</t>
  </si>
  <si>
    <t>KAYL</t>
  </si>
  <si>
    <t>Philipp</t>
  </si>
  <si>
    <t>1, rue Jean Engel</t>
  </si>
  <si>
    <t>85 94 94</t>
  </si>
  <si>
    <t>silvia.kayl@yahoo.de</t>
  </si>
  <si>
    <t>Monique</t>
  </si>
  <si>
    <t>F22</t>
  </si>
  <si>
    <t>Roger</t>
  </si>
  <si>
    <t>691 806 502</t>
  </si>
  <si>
    <t>liz_brosius@hotmail.de</t>
  </si>
  <si>
    <t>Jo-Anne</t>
  </si>
  <si>
    <t>F/</t>
  </si>
  <si>
    <t>F / Française - lux.</t>
  </si>
  <si>
    <t>leisen.j@gmail.com</t>
  </si>
  <si>
    <t>MARNACH</t>
  </si>
  <si>
    <t>9, an Uerbech</t>
  </si>
  <si>
    <t>F25</t>
  </si>
  <si>
    <t>26 53 20 07</t>
  </si>
  <si>
    <t>691 722 592</t>
  </si>
  <si>
    <t>lmarnach@pt.lu</t>
  </si>
  <si>
    <t>2006 05 02 677 81</t>
  </si>
  <si>
    <t>621 832 207 (père)</t>
  </si>
  <si>
    <t>621 548 563 (mère)</t>
  </si>
  <si>
    <t>alexei@tousbois.com</t>
  </si>
  <si>
    <t>Susi</t>
  </si>
  <si>
    <t>NEVES TAVARES</t>
  </si>
  <si>
    <t>Cindy</t>
  </si>
  <si>
    <t>4, rue de l'Ecole</t>
  </si>
  <si>
    <t>26 33 23 71</t>
  </si>
  <si>
    <t>Moranguit-a@hotmail.com</t>
  </si>
  <si>
    <t>F42</t>
  </si>
  <si>
    <t>32 09 27</t>
  </si>
  <si>
    <t>filipefraganunes@gmail.com</t>
  </si>
  <si>
    <t>BUCARI</t>
  </si>
  <si>
    <t>5 Rue de Septfontaines</t>
  </si>
  <si>
    <t>Reckange (Mersch)</t>
  </si>
  <si>
    <t xml:space="preserve">OSTRIHON </t>
  </si>
  <si>
    <t>572</t>
  </si>
  <si>
    <t>F27</t>
  </si>
  <si>
    <t>621 232 052</t>
  </si>
  <si>
    <t>lizjo@pt.lu</t>
  </si>
  <si>
    <t>RECHT</t>
  </si>
  <si>
    <t xml:space="preserve">28, rue des Champs </t>
  </si>
  <si>
    <t>L_7521</t>
  </si>
  <si>
    <t>1999 01 09 152 09</t>
  </si>
  <si>
    <t>32 87 43</t>
  </si>
  <si>
    <t>mr_recht929@hotmail.com</t>
  </si>
  <si>
    <t>RESTO le nouveau cygle</t>
  </si>
  <si>
    <t>52, route de Bastogne</t>
  </si>
  <si>
    <t>L-9176</t>
  </si>
  <si>
    <t>Niederfeulen</t>
  </si>
  <si>
    <t>F / Française / Luxembourgeoise</t>
  </si>
  <si>
    <t>SCHAACK</t>
  </si>
  <si>
    <t>Francine</t>
  </si>
  <si>
    <t>691 706 039</t>
  </si>
  <si>
    <t>SHKODRAN</t>
  </si>
  <si>
    <t>Xhafa</t>
  </si>
  <si>
    <t>F / albanaise</t>
  </si>
  <si>
    <t>8, rue Grand Duc Jean</t>
  </si>
  <si>
    <t>2002 03 13 251 50</t>
  </si>
  <si>
    <t>Bersbach</t>
  </si>
  <si>
    <t>691 209 683</t>
  </si>
  <si>
    <t>BÜCK</t>
  </si>
  <si>
    <t>Tania</t>
  </si>
  <si>
    <t>22, rue Grand-Duc Jean</t>
  </si>
  <si>
    <t>F113</t>
  </si>
  <si>
    <t>dardan.xhafa@hotmail.com</t>
  </si>
  <si>
    <t>661 808 488</t>
  </si>
  <si>
    <t>tabueck@hotmail.com</t>
  </si>
  <si>
    <t>SOLIDADE FORTES</t>
  </si>
  <si>
    <t>29, Cité Morisacker</t>
  </si>
  <si>
    <t>L-7735</t>
  </si>
  <si>
    <t>STAMMET</t>
  </si>
  <si>
    <t>1, rue des Champs</t>
  </si>
  <si>
    <t>L-4432</t>
  </si>
  <si>
    <t>Soleuvre</t>
  </si>
  <si>
    <t>2000 03 16 114 45</t>
  </si>
  <si>
    <t>26 88 91 70</t>
  </si>
  <si>
    <t>661 112 534</t>
  </si>
  <si>
    <t>bughin.hugo2000@gmail.com</t>
  </si>
  <si>
    <t>55 28 94</t>
  </si>
  <si>
    <t>Warken</t>
  </si>
  <si>
    <t>49 90 45 91</t>
  </si>
  <si>
    <t>eds@pt.lu</t>
  </si>
  <si>
    <t>STREITZ</t>
  </si>
  <si>
    <t>8, rue des Champs</t>
  </si>
  <si>
    <t>L-7443</t>
  </si>
  <si>
    <t>F31</t>
  </si>
  <si>
    <t>32 61 79</t>
  </si>
  <si>
    <t>621 759 443</t>
  </si>
  <si>
    <t>yannick.streitz@gmail.com</t>
  </si>
  <si>
    <t xml:space="preserve">CACOBA </t>
  </si>
  <si>
    <t>Francisco Antonio</t>
  </si>
  <si>
    <t>46, rue Baudouin</t>
  </si>
  <si>
    <t>L-1218</t>
  </si>
  <si>
    <t>621 887 647</t>
  </si>
  <si>
    <t>42</t>
  </si>
  <si>
    <t>1984 03 30 014 08</t>
  </si>
  <si>
    <t>franciscocacoba.arch@gmail.com</t>
  </si>
  <si>
    <t>VAN BEEST</t>
  </si>
  <si>
    <t>Monia</t>
  </si>
  <si>
    <t>1, rue du Ruisseau</t>
  </si>
  <si>
    <t>F35</t>
  </si>
  <si>
    <t>CAFI</t>
  </si>
  <si>
    <t>Armela</t>
  </si>
  <si>
    <t>F/ Albanaise</t>
  </si>
  <si>
    <t>10, rue de l'Eglise</t>
  </si>
  <si>
    <t>32 83 33</t>
  </si>
  <si>
    <t>621 768 387 (père)</t>
  </si>
  <si>
    <t>621 754 929 (mère)</t>
  </si>
  <si>
    <t>moniavanbeest@hotmail.de</t>
  </si>
  <si>
    <t>Carine</t>
  </si>
  <si>
    <t>100, um Trenker</t>
  </si>
  <si>
    <t>L-6962</t>
  </si>
  <si>
    <t>Senningen</t>
  </si>
  <si>
    <t>26 09 41 25</t>
  </si>
  <si>
    <t>621 730 459</t>
  </si>
  <si>
    <t>carine.bisenius@ctw-computer.de</t>
  </si>
  <si>
    <t>29a, rue de la Fail</t>
  </si>
  <si>
    <t>691 585 939</t>
  </si>
  <si>
    <t>L-9175</t>
  </si>
  <si>
    <t>CARDOSO GOMES</t>
  </si>
  <si>
    <t>Sara</t>
  </si>
  <si>
    <t>3, rue Millkneppchen</t>
  </si>
  <si>
    <t>L-7558</t>
  </si>
  <si>
    <t>81 98 64</t>
  </si>
  <si>
    <t>691 258 089</t>
  </si>
  <si>
    <t>ciindy.99@hotmail.fr</t>
  </si>
  <si>
    <t>FERREIRA ANDRADE</t>
  </si>
  <si>
    <t>Sabrina</t>
  </si>
  <si>
    <t>4, rue du cimétière</t>
  </si>
  <si>
    <t>L-7444</t>
  </si>
  <si>
    <t>32 69 05</t>
  </si>
  <si>
    <t>691 645 913</t>
  </si>
  <si>
    <t>sabrina91@tango.lu</t>
  </si>
  <si>
    <t>26 33 12 77</t>
  </si>
  <si>
    <t>621 230 216</t>
  </si>
  <si>
    <t>26 32 03 17</t>
  </si>
  <si>
    <t>621 373 395</t>
  </si>
  <si>
    <t>F / espagnole</t>
  </si>
  <si>
    <t>12, rue de la Fontaine</t>
  </si>
  <si>
    <t>L-8386</t>
  </si>
  <si>
    <t>Koerich</t>
  </si>
  <si>
    <t>26 39 30 53</t>
  </si>
  <si>
    <t>621 754 156 (Toni père)</t>
  </si>
  <si>
    <t>A18</t>
  </si>
  <si>
    <t>1972 10 16 423 67</t>
  </si>
  <si>
    <t xml:space="preserve">621 183 037 </t>
  </si>
  <si>
    <t>dianecarolides@yahoo.fr</t>
  </si>
  <si>
    <t>CORTINOVIS</t>
  </si>
  <si>
    <t>Isabella</t>
  </si>
  <si>
    <t>F / italienne</t>
  </si>
  <si>
    <t>14a, rue Pierre Dupont</t>
  </si>
  <si>
    <t>L-8293</t>
  </si>
  <si>
    <t>Keispelt</t>
  </si>
  <si>
    <t>F68</t>
  </si>
  <si>
    <t>CARRILHO</t>
  </si>
  <si>
    <t>F49</t>
  </si>
  <si>
    <t>2004 01 25 000 21</t>
  </si>
  <si>
    <t>26 10 29 20</t>
  </si>
  <si>
    <t>cortinisa@gmail.com</t>
  </si>
  <si>
    <t>GOMES LIMA</t>
  </si>
  <si>
    <t>7, rue Grand Duc Jean</t>
  </si>
  <si>
    <t>F45</t>
  </si>
  <si>
    <t>bela.dasilva@outlook.fr</t>
  </si>
  <si>
    <t>26 32 17 81</t>
  </si>
  <si>
    <t>691 214 325</t>
  </si>
  <si>
    <t>limaant63@gmail.com</t>
  </si>
  <si>
    <t>LOPA</t>
  </si>
  <si>
    <t>Inès</t>
  </si>
  <si>
    <t>29a, Am Duerf</t>
  </si>
  <si>
    <t>L-7651</t>
  </si>
  <si>
    <t>Heffingen</t>
  </si>
  <si>
    <t>F48</t>
  </si>
  <si>
    <t>I</t>
  </si>
  <si>
    <t>L-7391</t>
  </si>
  <si>
    <t>2008 03 18 120 17</t>
  </si>
  <si>
    <t>26 35 03 04</t>
  </si>
  <si>
    <t>aiet@orange.lu</t>
  </si>
  <si>
    <t>Mara</t>
  </si>
  <si>
    <t>2004 02 03 169 09</t>
  </si>
  <si>
    <t>32 03 55</t>
  </si>
  <si>
    <t>691 320 355</t>
  </si>
  <si>
    <t>rnicole@pt.lu</t>
  </si>
  <si>
    <t>Manu</t>
  </si>
  <si>
    <t>A</t>
  </si>
  <si>
    <t>2001 02 22 037 94</t>
  </si>
  <si>
    <t>54 34 94</t>
  </si>
  <si>
    <t>621 314 414 (par)</t>
  </si>
  <si>
    <t>CARVALHO</t>
  </si>
  <si>
    <t>Carla</t>
  </si>
  <si>
    <t>82, rue de Luxembourg</t>
  </si>
  <si>
    <t>manu.strotz@icloud.com</t>
  </si>
  <si>
    <t>THORSEN</t>
  </si>
  <si>
    <t>Rhys</t>
  </si>
  <si>
    <t>16, rue de Reichlange</t>
  </si>
  <si>
    <t>L-8545</t>
  </si>
  <si>
    <t>Niederpallen</t>
  </si>
  <si>
    <t>F59</t>
  </si>
  <si>
    <t>10 - 646</t>
  </si>
  <si>
    <t>carla.carvalho99@hotmail.com</t>
  </si>
  <si>
    <t>2001 10 27 092 95</t>
  </si>
  <si>
    <t>23 62 14 56</t>
  </si>
  <si>
    <t>621257172 (par)</t>
  </si>
  <si>
    <t>621 619 465</t>
  </si>
  <si>
    <t>rhysthor@gmail.com</t>
  </si>
  <si>
    <t>32 95 18</t>
  </si>
  <si>
    <t>691 313 058</t>
  </si>
  <si>
    <t>691 313 057</t>
  </si>
  <si>
    <t>adf-2</t>
  </si>
  <si>
    <t>2000 06 28 019 87</t>
  </si>
  <si>
    <t>chowingo@gmail.com</t>
  </si>
  <si>
    <t>mail par famille</t>
  </si>
  <si>
    <t>CLESSE</t>
  </si>
  <si>
    <t>12, rue de Soleuvre</t>
  </si>
  <si>
    <t>L-4670</t>
  </si>
  <si>
    <t>1997 11 15 117 58</t>
  </si>
  <si>
    <t>621 764 997</t>
  </si>
  <si>
    <t>maxiclesse@gmail.com</t>
  </si>
  <si>
    <t>621 214 538</t>
  </si>
  <si>
    <t>colas-yannick@wanadoo.fr</t>
  </si>
  <si>
    <t>2004 09 21 010 74</t>
  </si>
  <si>
    <t>33 27 81 71</t>
  </si>
  <si>
    <t>621 553 817</t>
  </si>
  <si>
    <t>so.schmit@gmail.com</t>
  </si>
  <si>
    <t>CONTE</t>
  </si>
  <si>
    <t>26, rue des Jardins</t>
  </si>
  <si>
    <t>F87</t>
  </si>
  <si>
    <t>Franclim</t>
  </si>
  <si>
    <t>58a, rue de Steinsel</t>
  </si>
  <si>
    <t>10 - 518</t>
  </si>
  <si>
    <t>691 224 449</t>
  </si>
  <si>
    <t>franqueim@hotmail.com</t>
  </si>
  <si>
    <t>2000 04 18 103 46</t>
  </si>
  <si>
    <t>621 154 842</t>
  </si>
  <si>
    <t>fernandez-samantha@hotmail.com</t>
  </si>
  <si>
    <t>691 469 600</t>
  </si>
  <si>
    <t>loca.sandy@hotmail.com</t>
  </si>
  <si>
    <t>1958 09 07 116 83</t>
  </si>
  <si>
    <t>40 15 43 75</t>
  </si>
  <si>
    <t>661 789 420</t>
  </si>
  <si>
    <t>deisadhb@gmail.com</t>
  </si>
  <si>
    <t>5f-2</t>
  </si>
  <si>
    <t>Eva</t>
  </si>
  <si>
    <t>DEN REIJER</t>
  </si>
  <si>
    <t>25, rue de la Montagne</t>
  </si>
  <si>
    <t>L-7460</t>
  </si>
  <si>
    <t>Prettingen</t>
  </si>
  <si>
    <t>1994 04 27 145 40</t>
  </si>
  <si>
    <t>661 105 959</t>
  </si>
  <si>
    <t>denreijer.linda@yahoo.de</t>
  </si>
  <si>
    <t>2002 09 21 030 75</t>
  </si>
  <si>
    <t>671 212 002</t>
  </si>
  <si>
    <t>maxence.d.2002@gmail.com</t>
  </si>
  <si>
    <t>parents</t>
  </si>
  <si>
    <t>DIAS TAVARES</t>
  </si>
  <si>
    <t>Alan</t>
  </si>
  <si>
    <t>F / luxembourgeoise / portuguaise</t>
  </si>
  <si>
    <t>2010 06 15 135 50</t>
  </si>
  <si>
    <t>2, rue Alheck</t>
  </si>
  <si>
    <t>derosales.m@me.com</t>
  </si>
  <si>
    <t>26 32 19 77</t>
  </si>
  <si>
    <t>661 329 818</t>
  </si>
  <si>
    <t>jorandidelot@gmail.com</t>
  </si>
  <si>
    <t>1982 02 11 130 05</t>
  </si>
  <si>
    <t>691 333 180</t>
  </si>
  <si>
    <t>loic@didelot.org</t>
  </si>
  <si>
    <t>line@didelot.org</t>
  </si>
  <si>
    <t>691 329 851</t>
  </si>
  <si>
    <t>arsene@didelot.org</t>
  </si>
  <si>
    <t>ad-2</t>
  </si>
  <si>
    <t>2002 03 06 018 70</t>
  </si>
  <si>
    <t>32 07 59</t>
  </si>
  <si>
    <t>27 57 4541</t>
  </si>
  <si>
    <t>691 614 802</t>
  </si>
  <si>
    <t>didip@pt.lu</t>
  </si>
  <si>
    <t>1995 11 30 209 32</t>
  </si>
  <si>
    <t>51 97 84</t>
  </si>
  <si>
    <t>nikolina.dilber@gmail.com</t>
  </si>
  <si>
    <t>26 61 00 37</t>
  </si>
  <si>
    <t xml:space="preserve">DOS SANTOS </t>
  </si>
  <si>
    <t>691 522 176</t>
  </si>
  <si>
    <t>DOS SANTOS RIBEIRO</t>
  </si>
  <si>
    <t>Camila</t>
  </si>
  <si>
    <t>2011 08 20 047 26</t>
  </si>
  <si>
    <t>691 883 008 (père)</t>
  </si>
  <si>
    <t>691 883 012 (mère)</t>
  </si>
  <si>
    <t>marlene_alves_6@hotmail.com</t>
  </si>
  <si>
    <t>1992 10 18 064 24</t>
  </si>
  <si>
    <t>23 63 98 07</t>
  </si>
  <si>
    <t>621 306 668</t>
  </si>
  <si>
    <t>dunkel.vanessa@hotmail.com</t>
  </si>
  <si>
    <t>4a-1</t>
  </si>
  <si>
    <t>EL DEIB</t>
  </si>
  <si>
    <t>Sharif</t>
  </si>
  <si>
    <t>53, rue Camille Polfer</t>
  </si>
  <si>
    <t>L-2359</t>
  </si>
  <si>
    <t>1991 01 09 033 05</t>
  </si>
  <si>
    <t>661 911 613</t>
  </si>
  <si>
    <t>sharif.eldeib@gmail.com</t>
  </si>
  <si>
    <t>2000 03 29 011 73</t>
  </si>
  <si>
    <t>Epps9charles@gmail.com</t>
  </si>
  <si>
    <t>661 383 700</t>
  </si>
  <si>
    <t>eppsdan@gmail.com</t>
  </si>
  <si>
    <t>2004 04 28 217 62</t>
  </si>
  <si>
    <t>isabellepirson@pt.lu</t>
  </si>
  <si>
    <t>EYSCHEN</t>
  </si>
  <si>
    <t>Hélène</t>
  </si>
  <si>
    <t>24, rue de Fischbach</t>
  </si>
  <si>
    <t>F84</t>
  </si>
  <si>
    <t>kjustin@pt.lu</t>
  </si>
  <si>
    <t>32 51 55</t>
  </si>
  <si>
    <t>621 489 121</t>
  </si>
  <si>
    <t>Faber-eric@hotmail.com</t>
  </si>
  <si>
    <t>4a-2</t>
  </si>
  <si>
    <t>3, Haaptstrooss</t>
  </si>
  <si>
    <t>L-8529</t>
  </si>
  <si>
    <t>Ehner</t>
  </si>
  <si>
    <t>1994 07 08 144 76</t>
  </si>
  <si>
    <t>39 93 91</t>
  </si>
  <si>
    <t>661 316 191</t>
  </si>
  <si>
    <t>isabelle.faber@hotmail.com</t>
  </si>
  <si>
    <t>FELGEN</t>
  </si>
  <si>
    <t>41 rue Nic Welter</t>
  </si>
  <si>
    <t>L7570</t>
  </si>
  <si>
    <t>1982 05 19 119 27</t>
  </si>
  <si>
    <t>32 96 70</t>
  </si>
  <si>
    <t>621 614 574</t>
  </si>
  <si>
    <t>621 542 158</t>
  </si>
  <si>
    <t>n'a pas de mail</t>
  </si>
  <si>
    <t>4, rue Schandel</t>
  </si>
  <si>
    <t>F117</t>
  </si>
  <si>
    <t>2005 03 23 170 25</t>
  </si>
  <si>
    <t>621 173 229</t>
  </si>
  <si>
    <t>catalinakill2015@hotmail.com</t>
  </si>
  <si>
    <t>FERNANDEZ RAMOS</t>
  </si>
  <si>
    <t>1997 08 28 209 02</t>
  </si>
  <si>
    <t>621 687 933</t>
  </si>
  <si>
    <t>fernandez-jessica@live.fr</t>
  </si>
  <si>
    <t>FLESCH</t>
  </si>
  <si>
    <t>Rebecca</t>
  </si>
  <si>
    <t>4, rue d'Arlon</t>
  </si>
  <si>
    <t>L-8395</t>
  </si>
  <si>
    <t>Septfontaines</t>
  </si>
  <si>
    <t>F118</t>
  </si>
  <si>
    <t>621 239 131</t>
  </si>
  <si>
    <t>rebeccalingen@yahoo.de</t>
  </si>
  <si>
    <t>32 78 42</t>
  </si>
  <si>
    <t>691 190 261</t>
  </si>
  <si>
    <t>78 74 74</t>
  </si>
  <si>
    <t>691 787 474</t>
  </si>
  <si>
    <t>clafri@internet.lu</t>
  </si>
  <si>
    <t>FRISCH</t>
  </si>
  <si>
    <t>26 87 00 50</t>
  </si>
  <si>
    <t>2001 02 12 074 46</t>
  </si>
  <si>
    <t>691 581 282</t>
  </si>
  <si>
    <t>Yasmine</t>
  </si>
  <si>
    <t>GALMICHE</t>
  </si>
  <si>
    <t>56c, rue d'Ettelbruck</t>
  </si>
  <si>
    <t>etudes, stress</t>
  </si>
  <si>
    <t>10 - 081</t>
  </si>
  <si>
    <t>1999 03 23 073 83</t>
  </si>
  <si>
    <t>32 52 85</t>
  </si>
  <si>
    <t>661 708 499</t>
  </si>
  <si>
    <t>galmiche@tango.lu</t>
  </si>
  <si>
    <t>GAUL</t>
  </si>
  <si>
    <t>Christelle</t>
  </si>
  <si>
    <t>Serge</t>
  </si>
  <si>
    <t>genglerserge@pt.lu</t>
  </si>
  <si>
    <t>g-2</t>
  </si>
  <si>
    <t>2003 12 08 255 17</t>
  </si>
  <si>
    <t>691 907 124</t>
  </si>
  <si>
    <t xml:space="preserve">GLODEN </t>
  </si>
  <si>
    <t>Cathy</t>
  </si>
  <si>
    <t>L-7520</t>
  </si>
  <si>
    <t>621 746 699</t>
  </si>
  <si>
    <t>cathy_glo@hotmail.de</t>
  </si>
  <si>
    <t>2002 06 05 139 91</t>
  </si>
  <si>
    <t>charel.goedert@gmail.com</t>
  </si>
  <si>
    <t>78 00 24</t>
  </si>
  <si>
    <t>georges.goedert@oiko.lu</t>
  </si>
  <si>
    <t>1964 11 29 154 16</t>
  </si>
  <si>
    <t>691 666 478</t>
  </si>
  <si>
    <t>constructor1164@gmail.com</t>
  </si>
  <si>
    <t>Tribunal fédéral</t>
  </si>
  <si>
    <t>5a-2</t>
  </si>
  <si>
    <t>691 629 350</t>
  </si>
  <si>
    <t>jokanora@gmail.com</t>
  </si>
  <si>
    <t>1998 12 18 046 14</t>
  </si>
  <si>
    <t>621 241 099</t>
  </si>
  <si>
    <t>karlagoergen@gmail.com</t>
  </si>
  <si>
    <t>Pascale</t>
  </si>
  <si>
    <t>691 629 351</t>
  </si>
  <si>
    <t>gojo@pt.lu</t>
  </si>
  <si>
    <t>GOMES COELHO</t>
  </si>
  <si>
    <t>13, Cité Beringen</t>
  </si>
  <si>
    <t>621 485 564</t>
  </si>
  <si>
    <t>sara04.04.2002@gmail.com</t>
  </si>
  <si>
    <t>GONNER</t>
  </si>
  <si>
    <t>Loris</t>
  </si>
  <si>
    <t>7, rue du coin</t>
  </si>
  <si>
    <t>F17</t>
  </si>
  <si>
    <t>26 32 15 45</t>
  </si>
  <si>
    <t>661 321 545</t>
  </si>
  <si>
    <t>sheilabonifas@yahoo.de</t>
  </si>
  <si>
    <t>Yara</t>
  </si>
  <si>
    <t>vie avec père grevenmacher</t>
  </si>
  <si>
    <t>GROOS</t>
  </si>
  <si>
    <t>Anne-Catherine</t>
  </si>
  <si>
    <t>19, rue Alheck</t>
  </si>
  <si>
    <t>10 - 578</t>
  </si>
  <si>
    <t>32 68 13</t>
  </si>
  <si>
    <t>groosr@pt.lu</t>
  </si>
  <si>
    <t>2007 10 12 094 62</t>
  </si>
  <si>
    <t>26 32 07 76</t>
  </si>
  <si>
    <t>691 563 910 (mère)</t>
  </si>
  <si>
    <t>gg@sommelier.lu</t>
  </si>
  <si>
    <t>Gérard</t>
  </si>
  <si>
    <t>691 144 067</t>
  </si>
  <si>
    <t>1983 05 17 238 15</t>
  </si>
  <si>
    <t>Mirza</t>
  </si>
  <si>
    <t>1997 10 15 090 58</t>
  </si>
  <si>
    <t>HADZOVIC</t>
  </si>
  <si>
    <t>Berina</t>
  </si>
  <si>
    <t>7, Hiel</t>
  </si>
  <si>
    <t>L-8507</t>
  </si>
  <si>
    <t>Redange / Attert</t>
  </si>
  <si>
    <t>2000 04 13 241 75</t>
  </si>
  <si>
    <t>691 835 835</t>
  </si>
  <si>
    <t>berinaa537@icloud.com</t>
  </si>
  <si>
    <t>2006 04 11 051 66</t>
  </si>
  <si>
    <t>33 73 49</t>
  </si>
  <si>
    <t>621 661 551</t>
  </si>
  <si>
    <t>Rik</t>
  </si>
  <si>
    <t>2003 08 05 012 56</t>
  </si>
  <si>
    <t>HAUFFELS</t>
  </si>
  <si>
    <t>Martine</t>
  </si>
  <si>
    <t>HENKEL</t>
  </si>
  <si>
    <t>Albert</t>
  </si>
  <si>
    <t>HIRTZ</t>
  </si>
  <si>
    <t>33 Cité Nock</t>
  </si>
  <si>
    <t>10 - 473</t>
  </si>
  <si>
    <t>43 94 44 714</t>
  </si>
  <si>
    <t>691 581 684</t>
  </si>
  <si>
    <t>661 511 511(mère)</t>
  </si>
  <si>
    <t>hirbe947@school.lu</t>
  </si>
  <si>
    <t>HOPP</t>
  </si>
  <si>
    <t>3, um  Waeschbour</t>
  </si>
  <si>
    <t>2011 12 24 030 85</t>
  </si>
  <si>
    <t>621 378 619 (père)</t>
  </si>
  <si>
    <t>621 614 050 (mère)</t>
  </si>
  <si>
    <t>skief@pt.lu</t>
  </si>
  <si>
    <t>23 63 95 67</t>
  </si>
  <si>
    <t>661 639 567</t>
  </si>
  <si>
    <t>jan321h@gmail.com</t>
  </si>
  <si>
    <t>hubertyc@pt.lu</t>
  </si>
  <si>
    <t>HUSS</t>
  </si>
  <si>
    <t>5, rue des Noyers</t>
  </si>
  <si>
    <t>L-7306</t>
  </si>
  <si>
    <t>F107</t>
  </si>
  <si>
    <t>622 371 551</t>
  </si>
  <si>
    <t>danielle.huss@education.lu</t>
  </si>
  <si>
    <t>ISAAKIDIS</t>
  </si>
  <si>
    <t>Konstantinos</t>
  </si>
  <si>
    <t>F / grecque</t>
  </si>
  <si>
    <t>3, rue de Windhof</t>
  </si>
  <si>
    <t>L-8359</t>
  </si>
  <si>
    <t>Goeblange</t>
  </si>
  <si>
    <t>F67</t>
  </si>
  <si>
    <t>26 31 35 52</t>
  </si>
  <si>
    <t>kos.isaakidis@gmail.com</t>
  </si>
  <si>
    <t>Stergios</t>
  </si>
  <si>
    <t>stergios.isaakidis@gmail.com</t>
  </si>
  <si>
    <t>JANKOVIC</t>
  </si>
  <si>
    <t>Tanja</t>
  </si>
  <si>
    <t>F / serbe</t>
  </si>
  <si>
    <t>26 61 06 99</t>
  </si>
  <si>
    <t>lunacoco2001@hotmail.fr</t>
  </si>
  <si>
    <t>2009 07 15 276 96</t>
  </si>
  <si>
    <t>691 863 872 (père)</t>
  </si>
  <si>
    <t>A / Luxembourgeoise</t>
  </si>
  <si>
    <t>26 30 05 23</t>
  </si>
  <si>
    <t>pwissen@pt.lu</t>
  </si>
  <si>
    <t>JOVANOVIC</t>
  </si>
  <si>
    <t>5, Op der Uecht</t>
  </si>
  <si>
    <t>F89</t>
  </si>
  <si>
    <t>sandra.jovanovic@education.lu</t>
  </si>
  <si>
    <t>KARPEN</t>
  </si>
  <si>
    <t>5, an Elber</t>
  </si>
  <si>
    <t>L-9639</t>
  </si>
  <si>
    <t>Boulaide</t>
  </si>
  <si>
    <t>F103</t>
  </si>
  <si>
    <t>1995 01 21 362 30</t>
  </si>
  <si>
    <t>80 49 83</t>
  </si>
  <si>
    <t>621 736 285</t>
  </si>
  <si>
    <t>karje95@gmail.com</t>
  </si>
  <si>
    <t>KILL</t>
  </si>
  <si>
    <t>Annette</t>
  </si>
  <si>
    <t>KINNEN</t>
  </si>
  <si>
    <t>26 95 00 44</t>
  </si>
  <si>
    <t>Marie</t>
  </si>
  <si>
    <t>2011 05 04 226 59</t>
  </si>
  <si>
    <t>691 476 783 (père)</t>
  </si>
  <si>
    <t>621 325 236 (mère)</t>
  </si>
  <si>
    <t>KINTZLE</t>
  </si>
  <si>
    <t>621 239 113</t>
  </si>
  <si>
    <t>christian.kintzle@gmail.com</t>
  </si>
  <si>
    <t>2014 04 18 030 32</t>
  </si>
  <si>
    <t>621 239 113 (père)</t>
  </si>
  <si>
    <t>621 239 131 (mère)</t>
  </si>
  <si>
    <t>KOLBER</t>
  </si>
  <si>
    <t>Saskia</t>
  </si>
  <si>
    <t>2, rue du berger</t>
  </si>
  <si>
    <t>0033 632 749 023</t>
  </si>
  <si>
    <t>petrovicsuzana@wanadoo.fr</t>
  </si>
  <si>
    <t>KOPS</t>
  </si>
  <si>
    <t>Jim</t>
  </si>
  <si>
    <t>jim.kops@education.lu</t>
  </si>
  <si>
    <t>Lou</t>
  </si>
  <si>
    <t>2006 10 24 094 34</t>
  </si>
  <si>
    <t>661 240 030 (père)</t>
  </si>
  <si>
    <t>661 240 775 (mère)</t>
  </si>
  <si>
    <t>2008 05 14 078 37</t>
  </si>
  <si>
    <t>KRAU</t>
  </si>
  <si>
    <t>Felix</t>
  </si>
  <si>
    <t>2008 10 30 031 53</t>
  </si>
  <si>
    <t>621 413 152</t>
  </si>
  <si>
    <t>arkremer@pt.lu</t>
  </si>
  <si>
    <t>Chayenne</t>
  </si>
  <si>
    <t>2010 02 11 166 81</t>
  </si>
  <si>
    <t>691 835 701 (mère)</t>
  </si>
  <si>
    <t>christian.kremer@armee.etat.lu</t>
  </si>
  <si>
    <t>L-7373</t>
  </si>
  <si>
    <t>Helmdange</t>
  </si>
  <si>
    <t>1983 11 08 293 96</t>
  </si>
  <si>
    <t>26 32 13 41</t>
  </si>
  <si>
    <t>95 92 05 26</t>
  </si>
  <si>
    <t>691 622 099</t>
  </si>
  <si>
    <t>5af-2</t>
  </si>
  <si>
    <t>Justin</t>
  </si>
  <si>
    <t>f / luxembourgeoise</t>
  </si>
  <si>
    <t>2006 08 03 073 66</t>
  </si>
  <si>
    <t>1987 05 07 030 04</t>
  </si>
  <si>
    <t>691 550 385</t>
  </si>
  <si>
    <t>kremerphi@hotmail.com</t>
  </si>
  <si>
    <t>1983 07 20 017 26</t>
  </si>
  <si>
    <t>benoit.krier@icloud.com</t>
  </si>
  <si>
    <t>LATIC</t>
  </si>
  <si>
    <t>Enis</t>
  </si>
  <si>
    <t>A / slovenie</t>
  </si>
  <si>
    <t>10, rue Dr. Klein</t>
  </si>
  <si>
    <t>L-9054</t>
  </si>
  <si>
    <t>10 - 556</t>
  </si>
  <si>
    <t>691 165 748</t>
  </si>
  <si>
    <t>enis.latic@gmail.com</t>
  </si>
  <si>
    <t>LAUER</t>
  </si>
  <si>
    <t>Nancy</t>
  </si>
  <si>
    <t>1, rue de l'Ecole</t>
  </si>
  <si>
    <t>F23</t>
  </si>
  <si>
    <t>jeune, impayé, attendre remotivation, sit 08-2017</t>
  </si>
  <si>
    <t>10 - 613</t>
  </si>
  <si>
    <t>49 02 07</t>
  </si>
  <si>
    <t>691 595 100</t>
  </si>
  <si>
    <t>Wesley</t>
  </si>
  <si>
    <t>621 654 247</t>
  </si>
  <si>
    <t>patricia.lazzari@bil.com</t>
  </si>
  <si>
    <t>1991 10 30 015 93</t>
  </si>
  <si>
    <t>26 32 16 76</t>
  </si>
  <si>
    <t>leches.max@hotmail.com</t>
  </si>
  <si>
    <t>1995 02 11 086 97</t>
  </si>
  <si>
    <t>32 72 54</t>
  </si>
  <si>
    <t>691 943 275</t>
  </si>
  <si>
    <t>33, op der Diert</t>
  </si>
  <si>
    <t>L-6124</t>
  </si>
  <si>
    <t>F112</t>
  </si>
  <si>
    <t>1999 01 27 290 62</t>
  </si>
  <si>
    <t>dylanleite99@gmail.com</t>
  </si>
  <si>
    <t>4c-2</t>
  </si>
  <si>
    <t>status 2017: Accident graves blessures</t>
  </si>
  <si>
    <t>LENTZ</t>
  </si>
  <si>
    <t>LIMA</t>
  </si>
  <si>
    <t>Joséane</t>
  </si>
  <si>
    <t>F / Cap Verdienne</t>
  </si>
  <si>
    <t>621 221 363</t>
  </si>
  <si>
    <t>LIPPERT</t>
  </si>
  <si>
    <t>Nicky</t>
  </si>
  <si>
    <t>nickielippert@hotmail.com</t>
  </si>
  <si>
    <t>LORANG</t>
  </si>
  <si>
    <t>Daniele</t>
  </si>
  <si>
    <t>mère etudiant à l'étranger</t>
  </si>
  <si>
    <t xml:space="preserve">danielelorang@gmail.com   </t>
  </si>
  <si>
    <t>61, rue de la Bergerie</t>
  </si>
  <si>
    <t>1986 03 29 037 20</t>
  </si>
  <si>
    <t>joe.malget@lintgen.lu</t>
  </si>
  <si>
    <t>i2</t>
  </si>
  <si>
    <t>1983 10 18 219 31</t>
  </si>
  <si>
    <t>27 40 34 05</t>
  </si>
  <si>
    <t>661 632 324</t>
  </si>
  <si>
    <t>patrickmalget@gmail.com</t>
  </si>
  <si>
    <t>F / russe</t>
  </si>
  <si>
    <t>2005 08 27 004 47</t>
  </si>
  <si>
    <t>maltova@mail.ru</t>
  </si>
  <si>
    <t>MAQUIL</t>
  </si>
  <si>
    <t>661 653 184 (père)</t>
  </si>
  <si>
    <t>661 808 488 (mère)</t>
  </si>
  <si>
    <t>Xavier</t>
  </si>
  <si>
    <t>661 653 184</t>
  </si>
  <si>
    <t>xavier@maquil.lu</t>
  </si>
  <si>
    <t>MARCK</t>
  </si>
  <si>
    <t>2014 11 12 008 66</t>
  </si>
  <si>
    <t>2013 07 24 214 37</t>
  </si>
  <si>
    <t>petermarck@hotmail.com</t>
  </si>
  <si>
    <t>MARQUES</t>
  </si>
  <si>
    <t xml:space="preserve">Joel  </t>
  </si>
  <si>
    <t>32, rue Emmanuel Servais</t>
  </si>
  <si>
    <t>F91</t>
  </si>
  <si>
    <t>10 - 730</t>
  </si>
  <si>
    <t>1997 02 28 155 15</t>
  </si>
  <si>
    <t>joel.marques.97@icloud.com</t>
  </si>
  <si>
    <t>Rodrigo</t>
  </si>
  <si>
    <t>10 - 728</t>
  </si>
  <si>
    <t>2002 05 24 015 91</t>
  </si>
  <si>
    <t>691 780 690</t>
  </si>
  <si>
    <t>rmmf24@gmail.com</t>
  </si>
  <si>
    <t>MARQUES FREITAS</t>
  </si>
  <si>
    <t>Daniel</t>
  </si>
  <si>
    <t>10 - 729</t>
  </si>
  <si>
    <t>1992 07 07 338 85</t>
  </si>
  <si>
    <t>daniel.freitas92@hotmail.com</t>
  </si>
  <si>
    <t>Manuel</t>
  </si>
  <si>
    <t>MARTIN DE ROSALES DIAZ</t>
  </si>
  <si>
    <t>2008 12 20 418 48</t>
  </si>
  <si>
    <t>Pablo</t>
  </si>
  <si>
    <t>2010 04 10 231 94</t>
  </si>
  <si>
    <t>2011 06 19 023 84</t>
  </si>
  <si>
    <t>621 728 780 (père)</t>
  </si>
  <si>
    <t>621 727 065 (mère)</t>
  </si>
  <si>
    <t>martinscnf@gmail.com</t>
  </si>
  <si>
    <t>1982 05 14 095 98</t>
  </si>
  <si>
    <t>621 728 780</t>
  </si>
  <si>
    <t>MARTINS DA SILVA PEREIRA</t>
  </si>
  <si>
    <t>3, Cité Beringen</t>
  </si>
  <si>
    <t>621 504 643</t>
  </si>
  <si>
    <t>MARTINS PINTO</t>
  </si>
  <si>
    <t>Hugo Miguel</t>
  </si>
  <si>
    <t>1977 09 16 952 20</t>
  </si>
  <si>
    <t>661 585 803</t>
  </si>
  <si>
    <t>hugokretzschmar@gmail.com</t>
  </si>
  <si>
    <t>MASSELTER</t>
  </si>
  <si>
    <t>1, rue du Roost</t>
  </si>
  <si>
    <t>2008 10 23 477 97</t>
  </si>
  <si>
    <t>26 88 02 87</t>
  </si>
  <si>
    <t>691 631 844</t>
  </si>
  <si>
    <t>mireille.thill@men.lu</t>
  </si>
  <si>
    <t>MAYER</t>
  </si>
  <si>
    <t>16, rue E. Servais</t>
  </si>
  <si>
    <t>F105</t>
  </si>
  <si>
    <t>26 51 29 78</t>
  </si>
  <si>
    <t>621 756 720</t>
  </si>
  <si>
    <t>flepp.mayer@gmail.com</t>
  </si>
  <si>
    <t>Théo</t>
  </si>
  <si>
    <t>2012 10 10 195 69</t>
  </si>
  <si>
    <t>621 756 720 (père)</t>
  </si>
  <si>
    <t>621 309 647 (mère)</t>
  </si>
  <si>
    <t>bettyrodesch@hotmail.com</t>
  </si>
  <si>
    <t>1989 12 31 051 53</t>
  </si>
  <si>
    <t>26 88 55 73</t>
  </si>
  <si>
    <t>691 798 646</t>
  </si>
  <si>
    <t>stevenmering31@gmail.com</t>
  </si>
  <si>
    <t xml:space="preserve">101, rte de Luxembourg </t>
  </si>
  <si>
    <t>F115</t>
  </si>
  <si>
    <t>26 32 19 12 28</t>
  </si>
  <si>
    <t>621 274 710</t>
  </si>
  <si>
    <t>diane.mersch@centermed.lu</t>
  </si>
  <si>
    <t>MESQUITA DAMAS DA COSTA</t>
  </si>
  <si>
    <t>Clayton</t>
  </si>
  <si>
    <t>24, rue G.-D. Charlotte</t>
  </si>
  <si>
    <t>10 - 640</t>
  </si>
  <si>
    <t>691 332 432</t>
  </si>
  <si>
    <t>bmetzler@pt.lu</t>
  </si>
  <si>
    <t>1991 02 19 211 98</t>
  </si>
  <si>
    <t>691 824 057</t>
  </si>
  <si>
    <t>lmetzler@pt.lu</t>
  </si>
  <si>
    <t>MIFSUD</t>
  </si>
  <si>
    <t>Philip</t>
  </si>
  <si>
    <t xml:space="preserve">F / maltais </t>
  </si>
  <si>
    <t>69, avenue de la Faïencerie</t>
  </si>
  <si>
    <t>L-1510</t>
  </si>
  <si>
    <t>1987 02 01 014 36</t>
  </si>
  <si>
    <t>Philp.mifsud@gmail.com</t>
  </si>
  <si>
    <t>MIGLIOSI</t>
  </si>
  <si>
    <t>31, Montée Willy Goergen</t>
  </si>
  <si>
    <t>L-7322</t>
  </si>
  <si>
    <t>F110</t>
  </si>
  <si>
    <t>2007 09 30 014 50</t>
  </si>
  <si>
    <t>621 784 580 (père)</t>
  </si>
  <si>
    <t>621 363 328 (mère)</t>
  </si>
  <si>
    <t>yves.migliosi@gmail.com</t>
  </si>
  <si>
    <t>621 784 580</t>
  </si>
  <si>
    <t>1977 10 19 105 17</t>
  </si>
  <si>
    <t>661 211 376</t>
  </si>
  <si>
    <t>simmolitor@yahoo.com</t>
  </si>
  <si>
    <t>MOPIBO</t>
  </si>
  <si>
    <t>21, rue Citée</t>
  </si>
  <si>
    <t>F71</t>
  </si>
  <si>
    <t>Jérémie</t>
  </si>
  <si>
    <t>2005 06 08 078 39</t>
  </si>
  <si>
    <t>ewokomopibo@gmail.com</t>
  </si>
  <si>
    <t>MOUCHIE</t>
  </si>
  <si>
    <t>F / luxembourgeoise / française</t>
  </si>
  <si>
    <t>31a, rue du Nord</t>
  </si>
  <si>
    <t>L-7785</t>
  </si>
  <si>
    <t>26 32 03 57</t>
  </si>
  <si>
    <t>Timothée</t>
  </si>
  <si>
    <t>2008 12 12 253 50</t>
  </si>
  <si>
    <t>661 484 842</t>
  </si>
  <si>
    <t>marielle.wirtgen@eduction.lu</t>
  </si>
  <si>
    <t>MOYEN</t>
  </si>
  <si>
    <t>Kyra</t>
  </si>
  <si>
    <t>10 - 511</t>
  </si>
  <si>
    <t>2003 11 22 040 04</t>
  </si>
  <si>
    <t>52a, route de Luxembourg</t>
  </si>
  <si>
    <t>L-7372</t>
  </si>
  <si>
    <t>10 - 641</t>
  </si>
  <si>
    <t>621 138 803</t>
  </si>
  <si>
    <t>petz67@pt.lu</t>
  </si>
  <si>
    <t>Tim</t>
  </si>
  <si>
    <t>10 - 498</t>
  </si>
  <si>
    <t>2005 04 08 095 95</t>
  </si>
  <si>
    <t>NASCIMENTO</t>
  </si>
  <si>
    <t>Mollie</t>
  </si>
  <si>
    <t>4, rue de la Forêt</t>
  </si>
  <si>
    <t>L-8317</t>
  </si>
  <si>
    <t>Capellen</t>
  </si>
  <si>
    <t>F64</t>
  </si>
  <si>
    <t>10 - 682</t>
  </si>
  <si>
    <t>30 80 96</t>
  </si>
  <si>
    <t>nascimentomollie@gmail.com</t>
  </si>
  <si>
    <t>1981 07 06 191 51</t>
  </si>
  <si>
    <t>h.neydeck@hotmail.de</t>
  </si>
  <si>
    <t>NOTHUM</t>
  </si>
  <si>
    <t>1a, rue Hurkes</t>
  </si>
  <si>
    <t>2006 07 28 217 12</t>
  </si>
  <si>
    <t>32 51 24</t>
  </si>
  <si>
    <t>claukies@hotmail.com</t>
  </si>
  <si>
    <t>2004 08 04 014 14</t>
  </si>
  <si>
    <t>nunesrafaelfraga@gmail.com</t>
  </si>
  <si>
    <t>OIKONOMOPOULOU</t>
  </si>
  <si>
    <t>Maria</t>
  </si>
  <si>
    <t>oikonomopoulou.maria@gmail.com</t>
  </si>
  <si>
    <t>OLIVEIRA MARQUES</t>
  </si>
  <si>
    <t>F / portugaise / luxembourgeoise</t>
  </si>
  <si>
    <t>19, huwerterstrooss</t>
  </si>
  <si>
    <t>L-8521</t>
  </si>
  <si>
    <t>Beckerich</t>
  </si>
  <si>
    <t>F90</t>
  </si>
  <si>
    <t>10 - 725</t>
  </si>
  <si>
    <t>1999 04 05 045 78</t>
  </si>
  <si>
    <t>elisabeth.oliveira99@outlook.com</t>
  </si>
  <si>
    <t>OLIVEIRA REIS</t>
  </si>
  <si>
    <t>Maria de lurdes</t>
  </si>
  <si>
    <t>23 62 97 35</t>
  </si>
  <si>
    <t>lurdes.reis@outlook.com</t>
  </si>
  <si>
    <t>PALAZZI</t>
  </si>
  <si>
    <t>Rudi</t>
  </si>
  <si>
    <t>PAUTZ</t>
  </si>
  <si>
    <t>Marjorie</t>
  </si>
  <si>
    <t>marjoriepautz@yahoo.fr</t>
  </si>
  <si>
    <t>PEIXOTO DA SILVA</t>
  </si>
  <si>
    <t>4a, rue des Fleurs</t>
  </si>
  <si>
    <t>L-8391</t>
  </si>
  <si>
    <t>1997 04 22 091 20</t>
  </si>
  <si>
    <t>671 106 686</t>
  </si>
  <si>
    <t>peixotoalex97@gmail.com</t>
  </si>
  <si>
    <t>Esch/Alzette</t>
  </si>
  <si>
    <t>PEROVIC</t>
  </si>
  <si>
    <t>Sinisa Nino</t>
  </si>
  <si>
    <t>D / luxembourgeoise</t>
  </si>
  <si>
    <t>15, Um Aak</t>
  </si>
  <si>
    <t>L-9454</t>
  </si>
  <si>
    <t>Fouhren</t>
  </si>
  <si>
    <t>1968 08 09 618 07</t>
  </si>
  <si>
    <t>621 755 397</t>
  </si>
  <si>
    <t>nino.perovic@pt.lu</t>
  </si>
  <si>
    <t>PERSIN</t>
  </si>
  <si>
    <t>15,rue Neuve</t>
  </si>
  <si>
    <t>33 07 56</t>
  </si>
  <si>
    <t>661 330 756</t>
  </si>
  <si>
    <t>hervepersin@gmail.com</t>
  </si>
  <si>
    <t>PETERS</t>
  </si>
  <si>
    <t>John</t>
  </si>
  <si>
    <t>26 32 23 12</t>
  </si>
  <si>
    <t>kimpetti@pt.lu</t>
  </si>
  <si>
    <t>Gilles</t>
  </si>
  <si>
    <t>2004 07 16 158 33</t>
  </si>
  <si>
    <t>621 502 043</t>
  </si>
  <si>
    <t>1995 08 19 130 12</t>
  </si>
  <si>
    <t>621 138 041</t>
  </si>
  <si>
    <t>661 509 087</t>
  </si>
  <si>
    <t>petki1995@gmail.com</t>
  </si>
  <si>
    <t>1998 11 03 168 14</t>
  </si>
  <si>
    <t>621 162 315</t>
  </si>
  <si>
    <t>621 290 403</t>
  </si>
  <si>
    <t>PLETSCHETTE</t>
  </si>
  <si>
    <t>8, an der Wollefskaul</t>
  </si>
  <si>
    <t>Mullendorf</t>
  </si>
  <si>
    <t>F72</t>
  </si>
  <si>
    <t>2003 08 22 073 61</t>
  </si>
  <si>
    <t>621 553 810</t>
  </si>
  <si>
    <t>v8pascal@yahoo.com</t>
  </si>
  <si>
    <t>zitagp@hotmail.com</t>
  </si>
  <si>
    <t>RADONCIC</t>
  </si>
  <si>
    <t>Anel</t>
  </si>
  <si>
    <t>F / montenegrin</t>
  </si>
  <si>
    <t>2, Grand Duc Jean</t>
  </si>
  <si>
    <t>Berschbach / Mersch</t>
  </si>
  <si>
    <t>F80</t>
  </si>
  <si>
    <t>10 - 703</t>
  </si>
  <si>
    <t>2003 11 01 051 27</t>
  </si>
  <si>
    <t>26 32 01 24</t>
  </si>
  <si>
    <t>arielaradoncic@hotmail.com</t>
  </si>
  <si>
    <t>RAMCEVIC</t>
  </si>
  <si>
    <t>Amer</t>
  </si>
  <si>
    <t>Nejla</t>
  </si>
  <si>
    <t>2011 04 02 083 37</t>
  </si>
  <si>
    <t>661 330 110 (mère)</t>
  </si>
  <si>
    <t>RASQUE</t>
  </si>
  <si>
    <t>90, rue de Mersch</t>
  </si>
  <si>
    <t>1989 05 25 108 01</t>
  </si>
  <si>
    <t>691 787 557</t>
  </si>
  <si>
    <t>mrasque9@gmail.com</t>
  </si>
  <si>
    <t>RECKINGER</t>
  </si>
  <si>
    <t>J-P</t>
  </si>
  <si>
    <t>621 243 419</t>
  </si>
  <si>
    <t>2007 07 29 181 74</t>
  </si>
  <si>
    <t xml:space="preserve">2000 05 22 105 28 </t>
  </si>
  <si>
    <t>691 650 245</t>
  </si>
  <si>
    <t>laura.2205@hotmail.de</t>
  </si>
  <si>
    <t>80 36 11</t>
  </si>
  <si>
    <t>2006 07 04 113 03</t>
  </si>
  <si>
    <t>isabelle.weyler@gmail.com</t>
  </si>
  <si>
    <t>Jenny</t>
  </si>
  <si>
    <t>10 - 708</t>
  </si>
  <si>
    <t>2000 10 06 224 42</t>
  </si>
  <si>
    <t>jennyreuter38@gmail.com</t>
  </si>
  <si>
    <t>Jules</t>
  </si>
  <si>
    <t>2008 06 02 112 31</t>
  </si>
  <si>
    <t>33 61 80</t>
  </si>
  <si>
    <t>korak@pt.lu</t>
  </si>
  <si>
    <t>Petz</t>
  </si>
  <si>
    <t>REY DE MENA</t>
  </si>
  <si>
    <t xml:space="preserve">José </t>
  </si>
  <si>
    <t>jose.rey@tangoservices.lu</t>
  </si>
  <si>
    <t>F/ espagnole-serbe-luxembourgeoise</t>
  </si>
  <si>
    <t>2007 12 24 040 33</t>
  </si>
  <si>
    <t>RIBEIRO</t>
  </si>
  <si>
    <t>Paulo</t>
  </si>
  <si>
    <t>22, route d'Echternach</t>
  </si>
  <si>
    <t>L-6585</t>
  </si>
  <si>
    <t>Steinheim</t>
  </si>
  <si>
    <t>691 664 928</t>
  </si>
  <si>
    <t>paulo82@tango.lu</t>
  </si>
  <si>
    <t>RIEDER</t>
  </si>
  <si>
    <t>Alexander</t>
  </si>
  <si>
    <t>A / Autichienne</t>
  </si>
  <si>
    <t>110, rue de Luxembourg</t>
  </si>
  <si>
    <t>L-8140</t>
  </si>
  <si>
    <t>F69</t>
  </si>
  <si>
    <t>10 - 686</t>
  </si>
  <si>
    <t>2002 04 29 039 55</t>
  </si>
  <si>
    <t>26 44 18 26</t>
  </si>
  <si>
    <t>alexander2002rieder@gmail.com</t>
  </si>
  <si>
    <t>Anne Elisabeth</t>
  </si>
  <si>
    <t>aerieder@yahoo.com</t>
  </si>
  <si>
    <t>Helmut</t>
  </si>
  <si>
    <t>hrieder@2sales.eu</t>
  </si>
  <si>
    <t>Stanislas</t>
  </si>
  <si>
    <t>10 - 685</t>
  </si>
  <si>
    <t>RIES</t>
  </si>
  <si>
    <t>2a, am Sprangert</t>
  </si>
  <si>
    <t>Yanik</t>
  </si>
  <si>
    <t>2010 03 25 218 02</t>
  </si>
  <si>
    <t>1998 03 13 096 24</t>
  </si>
  <si>
    <t xml:space="preserve">26 78 05 80 </t>
  </si>
  <si>
    <t>fr9.1998@gmail.com</t>
  </si>
  <si>
    <t>1996 07 04 099 51</t>
  </si>
  <si>
    <t>621 348 303</t>
  </si>
  <si>
    <t>jangrischette@gmail.com</t>
  </si>
  <si>
    <t>RIVIERE</t>
  </si>
  <si>
    <t>Jeffrey</t>
  </si>
  <si>
    <t>4, Moserhaff</t>
  </si>
  <si>
    <t>L-9368</t>
  </si>
  <si>
    <t>Folkendange</t>
  </si>
  <si>
    <t>1994 09 07 021 61</t>
  </si>
  <si>
    <t>0033 (0) 665 572 401</t>
  </si>
  <si>
    <t>riviere.jeffrey@gmail.com</t>
  </si>
  <si>
    <t>RODESCH</t>
  </si>
  <si>
    <t>Betty</t>
  </si>
  <si>
    <t xml:space="preserve">621 309 647 </t>
  </si>
  <si>
    <t>2007 01 29 133 45</t>
  </si>
  <si>
    <t>26 800 717</t>
  </si>
  <si>
    <t>691 290 965</t>
  </si>
  <si>
    <t>angelrod@pt.lu</t>
  </si>
  <si>
    <t>F / suisse</t>
  </si>
  <si>
    <t>1990 11 21 039 00</t>
  </si>
  <si>
    <t>23 63 93 82</t>
  </si>
  <si>
    <t>691 680 579</t>
  </si>
  <si>
    <t>markruef@hotmail.com</t>
  </si>
  <si>
    <t>4acf-2</t>
  </si>
  <si>
    <t>SANCHES BORGES</t>
  </si>
  <si>
    <t>Martina</t>
  </si>
  <si>
    <t>17, rue de l'Etoile</t>
  </si>
  <si>
    <t>L-9229</t>
  </si>
  <si>
    <t>Diekirch</t>
  </si>
  <si>
    <t>26 80 44 83</t>
  </si>
  <si>
    <t>martina.borges97@hotmail.com</t>
  </si>
  <si>
    <t>50A</t>
  </si>
  <si>
    <t>SANTOS</t>
  </si>
  <si>
    <t>F29</t>
  </si>
  <si>
    <t>Lara</t>
  </si>
  <si>
    <t>2a, rue de Mersch</t>
  </si>
  <si>
    <t>2005 08 12 112 28</t>
  </si>
  <si>
    <t>621 271 044</t>
  </si>
  <si>
    <t>charelsa@internet.lu</t>
  </si>
  <si>
    <t>2005 08 12 147 82</t>
  </si>
  <si>
    <t>SAUER</t>
  </si>
  <si>
    <t>Fernand</t>
  </si>
  <si>
    <t>SCHAAL</t>
  </si>
  <si>
    <t>René</t>
  </si>
  <si>
    <t>SCHAETZEL</t>
  </si>
  <si>
    <t>L-7305</t>
  </si>
  <si>
    <t xml:space="preserve">622 404 502 </t>
  </si>
  <si>
    <t>serge.schaetzel@education.lu</t>
  </si>
  <si>
    <t>Stella</t>
  </si>
  <si>
    <t>L-7303</t>
  </si>
  <si>
    <t>2007 12 27 244 84</t>
  </si>
  <si>
    <t>621 404 502 (père)</t>
  </si>
  <si>
    <t>621 371 551 (mère)</t>
  </si>
  <si>
    <t>Zoé</t>
  </si>
  <si>
    <t>L-7304</t>
  </si>
  <si>
    <t>2011 08 10 025 04</t>
  </si>
  <si>
    <t>etudiant à l'étranger</t>
  </si>
  <si>
    <t>1998 11 19 056 05</t>
  </si>
  <si>
    <t>621 766 260</t>
  </si>
  <si>
    <t>pitscheer@gmail.com</t>
  </si>
  <si>
    <t>SCHILT</t>
  </si>
  <si>
    <t>Michele</t>
  </si>
  <si>
    <t>michele.schilt@zpb.lu</t>
  </si>
  <si>
    <t xml:space="preserve">mischilt@gmail.com </t>
  </si>
  <si>
    <t>SCHLENTZ</t>
  </si>
  <si>
    <t>Leevi</t>
  </si>
  <si>
    <t>2014 05 27 158 03</t>
  </si>
  <si>
    <t>661 313 107 (père)</t>
  </si>
  <si>
    <t>691 831 618 (mère)</t>
  </si>
  <si>
    <t>bettikett@hotmail.com</t>
  </si>
  <si>
    <t>Roland</t>
  </si>
  <si>
    <t xml:space="preserve">SCHMITT </t>
  </si>
  <si>
    <t>2001 11 28 077 89</t>
  </si>
  <si>
    <t>alexpinselschneider@gmail.com</t>
  </si>
  <si>
    <t>rolandschneider@tango.lu</t>
  </si>
  <si>
    <t>SCHOLLER</t>
  </si>
  <si>
    <t>Daisy</t>
  </si>
  <si>
    <t>22a, rue Lohrbierg</t>
  </si>
  <si>
    <t>1987 03 12 086 72</t>
  </si>
  <si>
    <t>26 32 26 43</t>
  </si>
  <si>
    <t>691 788 078</t>
  </si>
  <si>
    <t>daisy.scholler-87@hotmail.com</t>
  </si>
  <si>
    <t>6, rue Edouard Brézol</t>
  </si>
  <si>
    <t>L-7794</t>
  </si>
  <si>
    <t>F120</t>
  </si>
  <si>
    <t>26 88 56 36</t>
  </si>
  <si>
    <t>thommes@pt.lu</t>
  </si>
  <si>
    <t>Astrid</t>
  </si>
  <si>
    <t>astrid.schroeder@education.lu</t>
  </si>
  <si>
    <t>49, Beschmontsbongert</t>
  </si>
  <si>
    <t>32, am Wangert</t>
  </si>
  <si>
    <t>L-7568</t>
  </si>
  <si>
    <t>32 92 16</t>
  </si>
  <si>
    <t>621 784 052</t>
  </si>
  <si>
    <t>Maya</t>
  </si>
  <si>
    <t>2007 06 24 045 04</t>
  </si>
  <si>
    <t>621 231 725</t>
  </si>
  <si>
    <t>621 297 186</t>
  </si>
  <si>
    <t>claude.schulte@education.lu</t>
  </si>
  <si>
    <t>2010 08 23 110 61</t>
  </si>
  <si>
    <t>691 874 180 (mère)</t>
  </si>
  <si>
    <t>621 297 186 (père)</t>
  </si>
  <si>
    <t>2006 12 07 172 62</t>
  </si>
  <si>
    <t>26 33 29 28</t>
  </si>
  <si>
    <t>621 747 837 (mère)</t>
  </si>
  <si>
    <t>marie-claude.wiltzius@education.lu</t>
  </si>
  <si>
    <t>1976 02 06 116 47</t>
  </si>
  <si>
    <t>jeffster@pt.lu</t>
  </si>
  <si>
    <t>Marie-Claude</t>
  </si>
  <si>
    <t>SERRES</t>
  </si>
  <si>
    <t>Bob</t>
  </si>
  <si>
    <t>L-7324</t>
  </si>
  <si>
    <t>F100</t>
  </si>
  <si>
    <t>2008 06 04 050 31</t>
  </si>
  <si>
    <t>26 33 18 54</t>
  </si>
  <si>
    <t>691 452 475 (père)</t>
  </si>
  <si>
    <t>691 627 125 (mère)</t>
  </si>
  <si>
    <t>Natascha</t>
  </si>
  <si>
    <t>691 627 125</t>
  </si>
  <si>
    <t>2005 08 27 012 71</t>
  </si>
  <si>
    <t>691 879 978</t>
  </si>
  <si>
    <t>691 452 475</t>
  </si>
  <si>
    <t>anne.servais92@gmail.com</t>
  </si>
  <si>
    <t>SETTANNI</t>
  </si>
  <si>
    <t>2002 01 18 181 10</t>
  </si>
  <si>
    <t>SetCa900@school.lu</t>
  </si>
  <si>
    <t>1999 08 17 149 91</t>
  </si>
  <si>
    <t>26 47 10 91</t>
  </si>
  <si>
    <t>d.iana_delgado@hotmail.com</t>
  </si>
  <si>
    <t>SIMOES</t>
  </si>
  <si>
    <t>621 359 187</t>
  </si>
  <si>
    <t xml:space="preserve">SIMOES </t>
  </si>
  <si>
    <t>Gerardo</t>
  </si>
  <si>
    <t>gerardo.simoes@centermed.lu</t>
  </si>
  <si>
    <t>SKRIJELJ</t>
  </si>
  <si>
    <t>Mihada</t>
  </si>
  <si>
    <t>f / montenegrin</t>
  </si>
  <si>
    <t>SOARES</t>
  </si>
  <si>
    <t>Ruben</t>
  </si>
  <si>
    <t>52, rue Principale</t>
  </si>
  <si>
    <t>10 - 699</t>
  </si>
  <si>
    <t>1997 09 09 005 47</t>
  </si>
  <si>
    <t>rubenliberdade14@gmail.com</t>
  </si>
  <si>
    <t>SOUZA RIBEIRO</t>
  </si>
  <si>
    <t>Caio</t>
  </si>
  <si>
    <t>F / Brésilienne</t>
  </si>
  <si>
    <t>691 883 008</t>
  </si>
  <si>
    <t>brazuca07@hotmail.com</t>
  </si>
  <si>
    <t>SPARTZ</t>
  </si>
  <si>
    <t>nicole.spartz@gmail.com</t>
  </si>
  <si>
    <t>1990 09 18 111 69</t>
  </si>
  <si>
    <t>32 54 12</t>
  </si>
  <si>
    <t>621 645 308 (M)</t>
  </si>
  <si>
    <t>32 50 96</t>
  </si>
  <si>
    <t>621 249 519</t>
  </si>
  <si>
    <t>sylviespiewak@pt.lu</t>
  </si>
  <si>
    <t>Eliane</t>
  </si>
  <si>
    <t>24 77 30 72</t>
  </si>
  <si>
    <t>pstreitz@pt.lu</t>
  </si>
  <si>
    <t>1997 04 23 055 61</t>
  </si>
  <si>
    <t>621 784 629</t>
  </si>
  <si>
    <t>streitz.yannick@gmail.com</t>
  </si>
  <si>
    <t>mail 11/7/2018</t>
  </si>
  <si>
    <t>eporsche@pt.lu</t>
  </si>
  <si>
    <t>10 - 648</t>
  </si>
  <si>
    <t>621 314 414</t>
  </si>
  <si>
    <t>jean-marie.strotz@agimlux.lu</t>
  </si>
  <si>
    <t>TEIXEIRA PACHECO GONCALVES</t>
  </si>
  <si>
    <t>Francisco Xavier</t>
  </si>
  <si>
    <t>4, rue J.P. Thill</t>
  </si>
  <si>
    <t>L-9085</t>
  </si>
  <si>
    <t>10 - 058</t>
  </si>
  <si>
    <t>32 83 48</t>
  </si>
  <si>
    <t>621 518 062</t>
  </si>
  <si>
    <t>franciscox@live.fr</t>
  </si>
  <si>
    <t>THEISEN</t>
  </si>
  <si>
    <t>Jaimy</t>
  </si>
  <si>
    <t>2003 04 18 019 90</t>
  </si>
  <si>
    <t>661 974 553</t>
  </si>
  <si>
    <t>jaimytheisen@gmail.com</t>
  </si>
  <si>
    <t>THOLL</t>
  </si>
  <si>
    <t>THOMMES</t>
  </si>
  <si>
    <t>Sascha</t>
  </si>
  <si>
    <t>2002 10 27 031 68</t>
  </si>
  <si>
    <t>621 575 611</t>
  </si>
  <si>
    <t>sascha12th@gmail.com</t>
  </si>
  <si>
    <t>621 292 893</t>
  </si>
  <si>
    <t>TOBLER: arret temp</t>
  </si>
  <si>
    <t>16, rue de la Forêt-Verte</t>
  </si>
  <si>
    <t>marie-jeanne.bock@education.lu</t>
  </si>
  <si>
    <t>TRAILOVIC</t>
  </si>
  <si>
    <t>Olivera</t>
  </si>
  <si>
    <t>11, rue du Petit Clou</t>
  </si>
  <si>
    <t>F-57000</t>
  </si>
  <si>
    <t>Metz</t>
  </si>
  <si>
    <t>10 - 688</t>
  </si>
  <si>
    <t>+ 33698 573 474</t>
  </si>
  <si>
    <t>taciluka@live.fr</t>
  </si>
  <si>
    <t>ULRICH-POULSEN</t>
  </si>
  <si>
    <t>Alberte</t>
  </si>
  <si>
    <t>2001 09 08 249 16</t>
  </si>
  <si>
    <t>661 875 333</t>
  </si>
  <si>
    <t>alberte.poulsen@hotmail.com</t>
  </si>
  <si>
    <t>Filippa</t>
  </si>
  <si>
    <t>1999 06 14 442 34</t>
  </si>
  <si>
    <t>661 875 334</t>
  </si>
  <si>
    <t>filippa.poulsen@live.com</t>
  </si>
  <si>
    <t>Bas</t>
  </si>
  <si>
    <t>10  - 028</t>
  </si>
  <si>
    <t xml:space="preserve">32 83 33 </t>
  </si>
  <si>
    <t>621 478 182</t>
  </si>
  <si>
    <t>bas.vanbeest@hotmail.com</t>
  </si>
  <si>
    <t>VAN DE WINCKEL</t>
  </si>
  <si>
    <t>9, rue du Bois</t>
  </si>
  <si>
    <t>F104</t>
  </si>
  <si>
    <t>26 43 23 46</t>
  </si>
  <si>
    <t>F / belge- italienne</t>
  </si>
  <si>
    <t>2006 09 09 017 62</t>
  </si>
  <si>
    <t>621 540 410 (père)</t>
  </si>
  <si>
    <t>621 618 426 (mère)</t>
  </si>
  <si>
    <t>jacqueline.mondoni@gmail.com</t>
  </si>
  <si>
    <t>1996 08 30 035 67</t>
  </si>
  <si>
    <t>621 785 130</t>
  </si>
  <si>
    <t>661 073 081</t>
  </si>
  <si>
    <t>691 843 257</t>
  </si>
  <si>
    <t>joel.v.c.91@gmail.com</t>
  </si>
  <si>
    <t>VILA VERDE GONCALVES</t>
  </si>
  <si>
    <t>Claudia Manuela</t>
  </si>
  <si>
    <t>20, Bocks Lay</t>
  </si>
  <si>
    <t>L-9635</t>
  </si>
  <si>
    <t>Bavigne</t>
  </si>
  <si>
    <t>1997 05 08 042 25</t>
  </si>
  <si>
    <t>26 91 70 23</t>
  </si>
  <si>
    <t>621 182 619</t>
  </si>
  <si>
    <t>claudia.m.g@hotmail.de</t>
  </si>
  <si>
    <t>WAGNER</t>
  </si>
  <si>
    <t>18a, rue Lohrbierg</t>
  </si>
  <si>
    <t>wagner.olivier84@gmail.com</t>
  </si>
  <si>
    <t>WAMPACH ép. MIGLIOSI</t>
  </si>
  <si>
    <t>Joëlle</t>
  </si>
  <si>
    <t xml:space="preserve">621 363 328 </t>
  </si>
  <si>
    <t>joellewampach@gmail.com</t>
  </si>
  <si>
    <t>WEIRICH</t>
  </si>
  <si>
    <t>Alissa</t>
  </si>
  <si>
    <t>F54</t>
  </si>
  <si>
    <t>622 832 171 (père)</t>
  </si>
  <si>
    <t>622 221 108 (mère)</t>
  </si>
  <si>
    <t>weirich1@pt.lu</t>
  </si>
  <si>
    <t>Angela</t>
  </si>
  <si>
    <t>621 832 171 (père)</t>
  </si>
  <si>
    <t>621 221 108 (mère)</t>
  </si>
  <si>
    <t>Claude Francisco</t>
  </si>
  <si>
    <t>5, Millewee</t>
  </si>
  <si>
    <t>2006 03 01 078 27</t>
  </si>
  <si>
    <t>621 221 108</t>
  </si>
  <si>
    <t>621 832 171</t>
  </si>
  <si>
    <t>2005 06 27 137 48</t>
  </si>
  <si>
    <t>661 138 697</t>
  </si>
  <si>
    <t>2003 10 14 051 84</t>
  </si>
  <si>
    <t>661 707 323</t>
  </si>
  <si>
    <t>1989 08 22 021 54</t>
  </si>
  <si>
    <t>Welchryl@yahoo.de</t>
  </si>
  <si>
    <t>WEYRICH WEILER</t>
  </si>
  <si>
    <t>95 10 73</t>
  </si>
  <si>
    <t xml:space="preserve">661 181 265 </t>
  </si>
  <si>
    <t>chowwing@internet.lu</t>
  </si>
  <si>
    <t>WILTGEN</t>
  </si>
  <si>
    <t>Frank</t>
  </si>
  <si>
    <t>19, rue des Prés</t>
  </si>
  <si>
    <t>L-7333</t>
  </si>
  <si>
    <t>F76</t>
  </si>
  <si>
    <t>33 89 99</t>
  </si>
  <si>
    <t>frank@ecologe.lu</t>
  </si>
  <si>
    <t>2004 04 12 035 00</t>
  </si>
  <si>
    <t>wiltgen.nadine@gmail.com</t>
  </si>
  <si>
    <t>WILTGEN-KREMP</t>
  </si>
  <si>
    <t>Nadine</t>
  </si>
  <si>
    <t>661 606 086</t>
  </si>
  <si>
    <t>2006 04 10 136 60</t>
  </si>
  <si>
    <t>33 33 19</t>
  </si>
  <si>
    <t>691 371 994 (père)</t>
  </si>
  <si>
    <t>661 338 983 (mère)</t>
  </si>
  <si>
    <t>zeimesna@pt.lu</t>
  </si>
  <si>
    <t>A; Coordinateur Jeune Arbitre; Arbitre formateur</t>
  </si>
  <si>
    <t>A19</t>
  </si>
  <si>
    <t>Communicateur</t>
  </si>
  <si>
    <t>621 309 898</t>
  </si>
  <si>
    <t>1977 02 05 185 91</t>
  </si>
  <si>
    <t>STRAINCHAMPS</t>
  </si>
  <si>
    <t>Ralph</t>
  </si>
  <si>
    <t>F121</t>
  </si>
  <si>
    <t>1990 09 19 231 14</t>
  </si>
  <si>
    <t>39 70 26</t>
  </si>
  <si>
    <t>691 795 329</t>
  </si>
  <si>
    <t>ral.strainchamps@gmail.com</t>
  </si>
  <si>
    <t>mandy.woltz@gmail.com</t>
  </si>
  <si>
    <t>691 357 371</t>
  </si>
  <si>
    <t>1990 11 08 024 91</t>
  </si>
  <si>
    <t>WOLTZ</t>
  </si>
  <si>
    <t>21, rue Gustave Wilhelmy</t>
  </si>
  <si>
    <t>F122</t>
  </si>
  <si>
    <t>LEE</t>
  </si>
  <si>
    <t>8, rue Jean</t>
  </si>
  <si>
    <t>L-3242</t>
  </si>
  <si>
    <t>1997 12 18 099 16</t>
  </si>
  <si>
    <t>40 46 44</t>
  </si>
  <si>
    <t>621 698 040</t>
  </si>
  <si>
    <t>henoklee@hotmail.com</t>
  </si>
  <si>
    <t>1973 09 01 219 74</t>
  </si>
  <si>
    <t>1953 07 05 296 78</t>
  </si>
  <si>
    <t>1951 08 07 179 28</t>
  </si>
  <si>
    <t>L-9453</t>
  </si>
  <si>
    <t>Biwels</t>
  </si>
  <si>
    <t>70, rue Principale</t>
  </si>
  <si>
    <t>L-8612</t>
  </si>
  <si>
    <t>Pratz</t>
  </si>
  <si>
    <t>LAGE GONCALVES</t>
  </si>
  <si>
    <t>F / luxembougeoise / portuguaise</t>
  </si>
  <si>
    <t>1, rue de Mersch</t>
  </si>
  <si>
    <t>1990 12 07 138 77</t>
  </si>
  <si>
    <t>691 537 354</t>
  </si>
  <si>
    <t>1988 09 29 219 86</t>
  </si>
  <si>
    <t>1960 06 10 298 87</t>
  </si>
  <si>
    <t>2019,Secrétaire adm.; resp. méd. &amp; lic.</t>
  </si>
  <si>
    <t>Prénom ou les prénoms</t>
  </si>
  <si>
    <t>Lieu et pays de naissance seulement membre comité</t>
  </si>
  <si>
    <t>27,rue de la Gare</t>
  </si>
  <si>
    <t>L-8705</t>
  </si>
  <si>
    <t>Christophe, François, Fernand</t>
  </si>
  <si>
    <t>Luxembourg, Luxembourg</t>
  </si>
  <si>
    <t>Codroipo, Italie</t>
  </si>
  <si>
    <t>Differdange, Luxembourg</t>
  </si>
  <si>
    <t>6, Impasse Aloyse Kayser</t>
  </si>
  <si>
    <t>Eric, Armand, Valeri</t>
  </si>
  <si>
    <t>Niederkorn, Luxembourg</t>
  </si>
  <si>
    <t>Mark, Seth</t>
  </si>
  <si>
    <t>2, rue Hiel</t>
  </si>
  <si>
    <t xml:space="preserve">2019, Secrétaire technique </t>
  </si>
  <si>
    <t>120, route de Fischbach</t>
  </si>
  <si>
    <t>Arsène, Jean Pierre</t>
  </si>
  <si>
    <t>Clervaux, Luxembourg</t>
  </si>
  <si>
    <t>Hénok</t>
  </si>
  <si>
    <t>Philippe, Ruud, Vivian</t>
  </si>
  <si>
    <t>621 385 163</t>
  </si>
  <si>
    <t>1975 12 23 687 22</t>
  </si>
  <si>
    <t>F / Franco-Lux</t>
  </si>
  <si>
    <t xml:space="preserve">ANSAY </t>
  </si>
  <si>
    <t>9, rue du Lac</t>
  </si>
  <si>
    <t>KIEFER</t>
  </si>
  <si>
    <t>Raoul</t>
  </si>
  <si>
    <t>25, rue des Champs</t>
  </si>
  <si>
    <t>661 325 872</t>
  </si>
  <si>
    <t>raoul_kiefer@web.de</t>
  </si>
  <si>
    <t>1983 04 22 237 72</t>
  </si>
  <si>
    <t>6, Poulferwee</t>
  </si>
  <si>
    <t>L-8525</t>
  </si>
  <si>
    <t>Calmus</t>
  </si>
  <si>
    <t>laurent.felten82@gmail.com</t>
  </si>
  <si>
    <t>cat 
cot 
19-20</t>
  </si>
  <si>
    <t>envoi1 cot
 19-20</t>
  </si>
  <si>
    <t>envoi2 cot 
19-20</t>
  </si>
  <si>
    <t>carte membre 19-20</t>
  </si>
  <si>
    <t>pmt cot 19-20</t>
  </si>
  <si>
    <t>rappel impayes 2019-20</t>
  </si>
  <si>
    <t>comment Cot 19-20</t>
  </si>
  <si>
    <t>s</t>
  </si>
  <si>
    <t xml:space="preserve">16 rue Grand-Duc Jean </t>
  </si>
  <si>
    <t>3900</t>
  </si>
  <si>
    <t>3825</t>
  </si>
  <si>
    <t>3581</t>
  </si>
  <si>
    <t>DE OLIVEIRA VARELAS</t>
  </si>
  <si>
    <t>49a, route de Wasserbillig</t>
  </si>
  <si>
    <t>L-6490</t>
  </si>
  <si>
    <t>Echternach</t>
  </si>
  <si>
    <t>01.09.2019</t>
  </si>
  <si>
    <t>1990 01 08 039 97</t>
  </si>
  <si>
    <t>691 970 457</t>
  </si>
  <si>
    <t>varelas.laurent@gmail.com</t>
  </si>
  <si>
    <t>xxx</t>
  </si>
  <si>
    <t>DELGADO-SILVA SANTOS</t>
  </si>
  <si>
    <t>HUBERTY-SALES</t>
  </si>
  <si>
    <t>1955 06 25 132 92</t>
  </si>
  <si>
    <t>SCHUSTER - WILTZIUS</t>
  </si>
  <si>
    <t>621 747 837</t>
  </si>
  <si>
    <t>sr</t>
  </si>
  <si>
    <t>Sr</t>
  </si>
  <si>
    <t>25/09/19</t>
  </si>
  <si>
    <t>monique.felgen@mersch.lu</t>
  </si>
  <si>
    <t>tunwellens33@gmail.com</t>
  </si>
  <si>
    <t>1994 03 13 158 48</t>
  </si>
  <si>
    <t>VREVA</t>
  </si>
  <si>
    <t>Edin</t>
  </si>
  <si>
    <t>46, rue Michel Hack</t>
  </si>
  <si>
    <t>L-3240</t>
  </si>
  <si>
    <t>1996 03 26 256 91</t>
  </si>
  <si>
    <t>691 369 844</t>
  </si>
  <si>
    <t>vrevaedo@gmail.com</t>
  </si>
  <si>
    <t>F123</t>
  </si>
  <si>
    <t>F124</t>
  </si>
  <si>
    <t>Cyril</t>
  </si>
  <si>
    <t>19, rue du château</t>
  </si>
  <si>
    <t>Alexandre</t>
  </si>
  <si>
    <t>F / francaise</t>
  </si>
  <si>
    <t>F / portuguaise / luxembourgeoise</t>
  </si>
  <si>
    <t>PINTO</t>
  </si>
  <si>
    <t>2009 02 11 030 95</t>
  </si>
  <si>
    <t>621 186 950</t>
  </si>
  <si>
    <t>621 512 476</t>
  </si>
  <si>
    <t>pinsalexa@hotmail.com</t>
  </si>
  <si>
    <t>lekza2@gmail.com</t>
  </si>
  <si>
    <t>ZANITZER</t>
  </si>
  <si>
    <t>SCHAEGIS</t>
  </si>
  <si>
    <t>13a, rue Paul Elvinger</t>
  </si>
  <si>
    <t>L-7246</t>
  </si>
  <si>
    <t>2003 03 06 067 38</t>
  </si>
  <si>
    <t>26 33 25 72</t>
  </si>
  <si>
    <t>661 201 517</t>
  </si>
  <si>
    <t>691 888 348</t>
  </si>
  <si>
    <t>621 317 093</t>
  </si>
  <si>
    <t>zanitzer@pt.lu</t>
  </si>
  <si>
    <t>DUFéTEL</t>
  </si>
  <si>
    <t>26 36 14 51</t>
  </si>
  <si>
    <t xml:space="preserve">Claudia </t>
  </si>
  <si>
    <t>2006 07 11 039 81</t>
  </si>
  <si>
    <t>621 784 232</t>
  </si>
  <si>
    <t>621 173 229 (mère)</t>
  </si>
  <si>
    <t>ROEDER</t>
  </si>
  <si>
    <t>F125</t>
  </si>
  <si>
    <t>54, route de Mersch</t>
  </si>
  <si>
    <t>claude_roeder@hotmail.com</t>
  </si>
  <si>
    <t>691 878 372 (père)</t>
  </si>
  <si>
    <t>621 611 734 (mère)</t>
  </si>
  <si>
    <t>400068</t>
  </si>
  <si>
    <t>CZAIKA</t>
  </si>
  <si>
    <t>4, rue Fans Schumacher</t>
  </si>
  <si>
    <t>L-3565</t>
  </si>
  <si>
    <t>2001 06 27 053 70</t>
  </si>
  <si>
    <t>621 411 438</t>
  </si>
  <si>
    <t>bob.czaika@outlouk.com</t>
  </si>
  <si>
    <t>400071</t>
  </si>
  <si>
    <t>BENEKE</t>
  </si>
  <si>
    <t>1, Op Hudelen</t>
  </si>
  <si>
    <t>L-3863</t>
  </si>
  <si>
    <t>Schifflange</t>
  </si>
  <si>
    <t>1992 09 28 032 05</t>
  </si>
  <si>
    <t>661 781 818</t>
  </si>
  <si>
    <t>tombeneke@hotmail.de</t>
  </si>
  <si>
    <t>CASUL</t>
  </si>
  <si>
    <t>Aymeric</t>
  </si>
  <si>
    <t>12, rue Bour</t>
  </si>
  <si>
    <t>L-7216</t>
  </si>
  <si>
    <t>2010 03 15 514 42</t>
  </si>
  <si>
    <t>661 189 048 (mère)</t>
  </si>
  <si>
    <t>0032 496 472 902 (père)</t>
  </si>
  <si>
    <t>natacha.santin@gmail.com</t>
  </si>
  <si>
    <t>400082</t>
  </si>
  <si>
    <t>20675</t>
  </si>
  <si>
    <t>BEIE SECO</t>
  </si>
  <si>
    <t>Logan</t>
  </si>
  <si>
    <t>14a, rue des Jardins</t>
  </si>
  <si>
    <t>2009 12 09 056 68</t>
  </si>
  <si>
    <t>26 88 53 22</t>
  </si>
  <si>
    <t>661 810 826 (père)</t>
  </si>
  <si>
    <t>661 811 205 (mère)</t>
  </si>
  <si>
    <t>400085</t>
  </si>
  <si>
    <t>3969</t>
  </si>
  <si>
    <t>400061</t>
  </si>
  <si>
    <t>400091</t>
  </si>
  <si>
    <t>CATENA</t>
  </si>
  <si>
    <t>Mil</t>
  </si>
  <si>
    <t>6, Lankheck</t>
  </si>
  <si>
    <t>L-7542</t>
  </si>
  <si>
    <t>691 201 201 (père)</t>
  </si>
  <si>
    <t>691 486 830 (mère)</t>
  </si>
  <si>
    <t>heta74@yahoo.de</t>
  </si>
  <si>
    <t>Prêt de coopérations HB Atert Rédange &amp; HBM</t>
  </si>
  <si>
    <t>400132</t>
  </si>
  <si>
    <t>QUINN</t>
  </si>
  <si>
    <t>Ruben William</t>
  </si>
  <si>
    <t>Robert</t>
  </si>
  <si>
    <t>A / anglaise</t>
  </si>
  <si>
    <t>36c, rue des Près</t>
  </si>
  <si>
    <t>2011 05 12 059 02</t>
  </si>
  <si>
    <t>26 33 05 40</t>
  </si>
  <si>
    <t>621 285 601</t>
  </si>
  <si>
    <t>621 285 601 (mère)</t>
  </si>
  <si>
    <t>nicoleandzoe@googlemail.com</t>
  </si>
  <si>
    <t>Lisa</t>
  </si>
  <si>
    <t>F14</t>
  </si>
  <si>
    <t>DA SILVA LEITE</t>
  </si>
  <si>
    <t>100672</t>
  </si>
  <si>
    <t>100710</t>
  </si>
  <si>
    <t>400130</t>
  </si>
  <si>
    <t>400128</t>
  </si>
  <si>
    <t>100738</t>
  </si>
  <si>
    <t>100687</t>
  </si>
  <si>
    <t>100716</t>
  </si>
  <si>
    <t>100761</t>
  </si>
  <si>
    <t>100428</t>
  </si>
  <si>
    <t>100760</t>
  </si>
  <si>
    <t>100684</t>
  </si>
  <si>
    <t>100527</t>
  </si>
  <si>
    <t>140596</t>
  </si>
  <si>
    <t>100305</t>
  </si>
  <si>
    <t>100737</t>
  </si>
  <si>
    <t>100751</t>
  </si>
  <si>
    <t>100068</t>
  </si>
  <si>
    <t>100012</t>
  </si>
  <si>
    <t>100715</t>
  </si>
  <si>
    <t>100266</t>
  </si>
  <si>
    <t>100267</t>
  </si>
  <si>
    <t>100608</t>
  </si>
  <si>
    <t>100061</t>
  </si>
  <si>
    <t>100719</t>
  </si>
  <si>
    <t>100038</t>
  </si>
  <si>
    <t>100351</t>
  </si>
  <si>
    <t>100689</t>
  </si>
  <si>
    <t>100724</t>
  </si>
  <si>
    <t>100704</t>
  </si>
  <si>
    <t>100621</t>
  </si>
  <si>
    <t>100696</t>
  </si>
  <si>
    <t>100611</t>
  </si>
  <si>
    <t>100642</t>
  </si>
  <si>
    <t>100599</t>
  </si>
  <si>
    <t>100755</t>
  </si>
  <si>
    <t>100664</t>
  </si>
  <si>
    <t>100016</t>
  </si>
  <si>
    <t>100018</t>
  </si>
  <si>
    <t>100678</t>
  </si>
  <si>
    <t>100231</t>
  </si>
  <si>
    <t>100774</t>
  </si>
  <si>
    <t>100521</t>
  </si>
  <si>
    <t>100188</t>
  </si>
  <si>
    <t>100698</t>
  </si>
  <si>
    <t>100769</t>
  </si>
  <si>
    <t>100617</t>
  </si>
  <si>
    <t>100750</t>
  </si>
  <si>
    <t>100681</t>
  </si>
  <si>
    <t>100665</t>
  </si>
  <si>
    <t>100168</t>
  </si>
  <si>
    <t>100764</t>
  </si>
  <si>
    <t>100341</t>
  </si>
  <si>
    <t>100415</t>
  </si>
  <si>
    <t>100777</t>
  </si>
  <si>
    <t>100501</t>
  </si>
  <si>
    <t>100744</t>
  </si>
  <si>
    <t>100089</t>
  </si>
  <si>
    <t>100039</t>
  </si>
  <si>
    <t>100660</t>
  </si>
  <si>
    <t>100746</t>
  </si>
  <si>
    <t>100456</t>
  </si>
  <si>
    <t>100727</t>
  </si>
  <si>
    <t>100662</t>
  </si>
  <si>
    <t>100542</t>
  </si>
  <si>
    <t>100539</t>
  </si>
  <si>
    <t>100644</t>
  </si>
  <si>
    <t>100489</t>
  </si>
  <si>
    <t>100545</t>
  </si>
  <si>
    <t>100432</t>
  </si>
  <si>
    <t>100776</t>
  </si>
  <si>
    <t>100121</t>
  </si>
  <si>
    <t>100691</t>
  </si>
  <si>
    <t>100711</t>
  </si>
  <si>
    <t>100754</t>
  </si>
  <si>
    <t>130309</t>
  </si>
  <si>
    <t>100734</t>
  </si>
  <si>
    <t>100781</t>
  </si>
  <si>
    <t>100720</t>
  </si>
  <si>
    <t>100721</t>
  </si>
  <si>
    <t>100740</t>
  </si>
  <si>
    <t>100707</t>
  </si>
  <si>
    <t>100209</t>
  </si>
  <si>
    <t>100706</t>
  </si>
  <si>
    <t>100252</t>
  </si>
  <si>
    <t>160380</t>
  </si>
  <si>
    <t>400034</t>
  </si>
  <si>
    <t>100647</t>
  </si>
  <si>
    <t>100726</t>
  </si>
  <si>
    <t>100215</t>
  </si>
  <si>
    <t>100657</t>
  </si>
  <si>
    <t>100163</t>
  </si>
  <si>
    <t>100732</t>
  </si>
  <si>
    <t>100780</t>
  </si>
  <si>
    <t>100778</t>
  </si>
  <si>
    <t>100779</t>
  </si>
  <si>
    <t>100702</t>
  </si>
  <si>
    <t>100701</t>
  </si>
  <si>
    <t>100718</t>
  </si>
  <si>
    <t>100627</t>
  </si>
  <si>
    <t>100639</t>
  </si>
  <si>
    <t>100596</t>
  </si>
  <si>
    <t>100741</t>
  </si>
  <si>
    <t>100763</t>
  </si>
  <si>
    <t>100405</t>
  </si>
  <si>
    <t>100078</t>
  </si>
  <si>
    <t>100759</t>
  </si>
  <si>
    <t>100772</t>
  </si>
  <si>
    <t>100222</t>
  </si>
  <si>
    <t>100674</t>
  </si>
  <si>
    <t>100752</t>
  </si>
  <si>
    <t>100671</t>
  </si>
  <si>
    <t>100731</t>
  </si>
  <si>
    <t>100666</t>
  </si>
  <si>
    <t>100745</t>
  </si>
  <si>
    <t>100602</t>
  </si>
  <si>
    <t>100733</t>
  </si>
  <si>
    <t>100088</t>
  </si>
  <si>
    <t>100766</t>
  </si>
  <si>
    <t>100605</t>
  </si>
  <si>
    <t>100736</t>
  </si>
  <si>
    <t>100775</t>
  </si>
  <si>
    <t>100077</t>
  </si>
  <si>
    <t>100668</t>
  </si>
  <si>
    <t>100502</t>
  </si>
  <si>
    <t>100667</t>
  </si>
  <si>
    <t>100765</t>
  </si>
  <si>
    <t>100692</t>
  </si>
  <si>
    <t>100615</t>
  </si>
  <si>
    <t>100697</t>
  </si>
  <si>
    <t>100749</t>
  </si>
  <si>
    <t>100073</t>
  </si>
  <si>
    <t>100757</t>
  </si>
  <si>
    <t>100709</t>
  </si>
  <si>
    <t>100032</t>
  </si>
  <si>
    <t>100045</t>
  </si>
  <si>
    <t>100700</t>
  </si>
  <si>
    <t>100540</t>
  </si>
  <si>
    <t>100541</t>
  </si>
  <si>
    <t>100767</t>
  </si>
  <si>
    <t>100768</t>
  </si>
  <si>
    <t>100583</t>
  </si>
  <si>
    <t>100773</t>
  </si>
  <si>
    <t>100756</t>
  </si>
  <si>
    <t>100739</t>
  </si>
  <si>
    <t>100705</t>
  </si>
  <si>
    <t>100677</t>
  </si>
  <si>
    <t>100742</t>
  </si>
  <si>
    <t>100743</t>
  </si>
  <si>
    <t>100722</t>
  </si>
  <si>
    <t>100500</t>
  </si>
  <si>
    <t>100771</t>
  </si>
  <si>
    <t>100027</t>
  </si>
  <si>
    <t>180029</t>
  </si>
  <si>
    <t>100036</t>
  </si>
  <si>
    <t>100130</t>
  </si>
  <si>
    <t>100770</t>
  </si>
  <si>
    <t>100052</t>
  </si>
  <si>
    <t>100551</t>
  </si>
  <si>
    <t>100654</t>
  </si>
  <si>
    <t>100656</t>
  </si>
  <si>
    <t>100028</t>
  </si>
  <si>
    <t>100758</t>
  </si>
  <si>
    <t>100216</t>
  </si>
  <si>
    <t>100753</t>
  </si>
  <si>
    <t>100694</t>
  </si>
  <si>
    <t>100490</t>
  </si>
  <si>
    <t>100637</t>
  </si>
  <si>
    <t>100636</t>
  </si>
  <si>
    <t>100661</t>
  </si>
  <si>
    <t>100695</t>
  </si>
  <si>
    <t>100676</t>
  </si>
  <si>
    <t>3800</t>
  </si>
  <si>
    <t>3368</t>
  </si>
  <si>
    <t>3371</t>
  </si>
  <si>
    <t>3374</t>
  </si>
  <si>
    <t>3784</t>
  </si>
  <si>
    <t>3378</t>
  </si>
  <si>
    <t>3661</t>
  </si>
  <si>
    <t>849</t>
  </si>
  <si>
    <t>1154</t>
  </si>
  <si>
    <t>3443</t>
  </si>
  <si>
    <t>3448</t>
  </si>
  <si>
    <t>3462</t>
  </si>
  <si>
    <t>1353</t>
  </si>
  <si>
    <t>1354</t>
  </si>
  <si>
    <t>1616</t>
  </si>
  <si>
    <t>3476</t>
  </si>
  <si>
    <t>3691</t>
  </si>
  <si>
    <t>3817</t>
  </si>
  <si>
    <t>2424</t>
  </si>
  <si>
    <t>3543</t>
  </si>
  <si>
    <t>3635</t>
  </si>
  <si>
    <t>3680</t>
  </si>
  <si>
    <t>Certificat Docteur nécessaire</t>
  </si>
  <si>
    <t>Licences Off (officiels)</t>
  </si>
  <si>
    <t>Licences SR (arbitre)</t>
  </si>
  <si>
    <t>Licences ZS (secrétaires / chronométreurs)</t>
  </si>
  <si>
    <t>Pass Nummer (Licences Joueurs / Joueuses)</t>
  </si>
  <si>
    <t>400150</t>
  </si>
  <si>
    <t>Levi Johannes</t>
  </si>
  <si>
    <t>32, Am Wangert</t>
  </si>
  <si>
    <t>2008 02 27 192 04</t>
  </si>
  <si>
    <t>26 32 17 31</t>
  </si>
  <si>
    <t>621 765 565 (père)</t>
  </si>
  <si>
    <t>621 746 733 (mère)</t>
  </si>
  <si>
    <t>ferpe335@gmail.com</t>
  </si>
  <si>
    <t>400153</t>
  </si>
  <si>
    <t>F24</t>
  </si>
  <si>
    <t>DE SA CASALEIRO</t>
  </si>
  <si>
    <t>1, rue de Beringen</t>
  </si>
  <si>
    <t>PEREIRA CASALEIRO</t>
  </si>
  <si>
    <t>Sergio Manuel</t>
  </si>
  <si>
    <t>DE SA FERREIRA CASALEIRO</t>
  </si>
  <si>
    <t>Carla Marina</t>
  </si>
  <si>
    <t>2007 05 05 097 51</t>
  </si>
  <si>
    <t>621 935 214</t>
  </si>
  <si>
    <t>661 842 829</t>
  </si>
  <si>
    <t>661 735 214</t>
  </si>
  <si>
    <t>casaleirocarla78@gmail.com</t>
  </si>
  <si>
    <t>Flavia</t>
  </si>
  <si>
    <t>2014 11 06 026 66</t>
  </si>
  <si>
    <t>F16</t>
  </si>
  <si>
    <t>GHEORGHITA</t>
  </si>
  <si>
    <t>Jorges</t>
  </si>
  <si>
    <t>10, rue d'Everlange</t>
  </si>
  <si>
    <t>2005 01 17 058 93</t>
  </si>
  <si>
    <t>26 61 36</t>
  </si>
  <si>
    <t>621 580 500</t>
  </si>
  <si>
    <t>elenaselariu1234@gmail.com</t>
  </si>
  <si>
    <t>100A</t>
  </si>
  <si>
    <t>CHOINIER</t>
  </si>
  <si>
    <t>Jean-Paul</t>
  </si>
  <si>
    <t>3A Romescht</t>
  </si>
  <si>
    <t>L-7364</t>
  </si>
  <si>
    <t>19/11/19</t>
  </si>
  <si>
    <t>NOTARNICOLA</t>
  </si>
  <si>
    <t>Denis</t>
  </si>
  <si>
    <t>KASS</t>
  </si>
  <si>
    <t>145b, rue de Luxembourg</t>
  </si>
  <si>
    <t>2013 07 31 296 11</t>
  </si>
  <si>
    <t>661 280 390 (père)</t>
  </si>
  <si>
    <t>661 280 390</t>
  </si>
  <si>
    <t>621 280 390 (mère)</t>
  </si>
  <si>
    <t>621 280 390</t>
  </si>
  <si>
    <t>kassmartine89@gmail.com</t>
  </si>
  <si>
    <t>a</t>
  </si>
  <si>
    <t>01/12/19</t>
  </si>
  <si>
    <t>va payer 50€ car licence bloqué médico</t>
  </si>
  <si>
    <t xml:space="preserve">Ruben </t>
  </si>
  <si>
    <t>12, Impasse Aloyse Kayser</t>
  </si>
  <si>
    <t>2000 05 06 215 96</t>
  </si>
  <si>
    <t>32 92 72</t>
  </si>
  <si>
    <t>691 243 874</t>
  </si>
  <si>
    <t>rubenlage17@gmail.com</t>
  </si>
  <si>
    <t>GALASSI</t>
  </si>
  <si>
    <t>2016 08 01 002 59</t>
  </si>
  <si>
    <t>691 622 099 (père)</t>
  </si>
  <si>
    <t>621 222 045</t>
  </si>
  <si>
    <t>621 222 045 (mère)</t>
  </si>
  <si>
    <t>christophe.kremer83@gmail.com</t>
  </si>
  <si>
    <t>galassisandra@gmail.com</t>
  </si>
  <si>
    <t>Noé</t>
  </si>
  <si>
    <t xml:space="preserve">Yann </t>
  </si>
  <si>
    <t>2014 09 25 016 85</t>
  </si>
  <si>
    <t>2010 01 17 070 70</t>
  </si>
  <si>
    <t>621 212 646 (mère)</t>
  </si>
  <si>
    <t>621 132 041 (père)</t>
  </si>
  <si>
    <t>ZOLLER</t>
  </si>
  <si>
    <t>11, Belle-Vue</t>
  </si>
  <si>
    <t>11, beim Xald</t>
  </si>
  <si>
    <t>2006 05 03 193 58</t>
  </si>
  <si>
    <t>2006 05 03 215 69</t>
  </si>
  <si>
    <t>23 63 06 41</t>
  </si>
  <si>
    <t>621 739 206</t>
  </si>
  <si>
    <t>621 293 786</t>
  </si>
  <si>
    <t>661 221 166</t>
  </si>
  <si>
    <t>zoller333pol@gmail.com</t>
  </si>
  <si>
    <t>pitzoller2006@gmail.com</t>
  </si>
  <si>
    <t>zolldan67@gmail.com</t>
  </si>
  <si>
    <t xml:space="preserve"> /// </t>
  </si>
  <si>
    <t xml:space="preserve">691 290 109 </t>
  </si>
  <si>
    <t>RESSEL</t>
  </si>
  <si>
    <t>GILLET</t>
  </si>
  <si>
    <t>Chloé</t>
  </si>
  <si>
    <t>Odile</t>
  </si>
  <si>
    <t>29, rue Kreuzert</t>
  </si>
  <si>
    <t>L-7453</t>
  </si>
  <si>
    <t>nouvelle licence sera faite plus tard</t>
  </si>
  <si>
    <t>2013 10 03 103 87</t>
  </si>
  <si>
    <t>2016 01 14 008 41</t>
  </si>
  <si>
    <t>26 32 10 06</t>
  </si>
  <si>
    <t>691 563 634 (père)</t>
  </si>
  <si>
    <t>odgil@hotmail.com</t>
  </si>
  <si>
    <t>621 326 319 (mère)</t>
  </si>
  <si>
    <t>621 326 319</t>
  </si>
  <si>
    <t>691 563 634</t>
  </si>
  <si>
    <t>merschjoelle66@gmail.com</t>
  </si>
  <si>
    <t>bcorinne84@yahoo.com</t>
  </si>
  <si>
    <t>119, rue J.F. Kennedy</t>
  </si>
  <si>
    <t>2000 04 26 076 22</t>
  </si>
  <si>
    <t>51 40 47</t>
  </si>
  <si>
    <t>621 523 602</t>
  </si>
  <si>
    <t>400198</t>
  </si>
  <si>
    <t>400197</t>
  </si>
  <si>
    <t>400201</t>
  </si>
  <si>
    <t>400202</t>
  </si>
  <si>
    <t>400210</t>
  </si>
  <si>
    <t>400209</t>
  </si>
  <si>
    <t>400211</t>
  </si>
  <si>
    <t>621 252 669</t>
  </si>
  <si>
    <t>georges.krier@yahoo.de</t>
  </si>
  <si>
    <t>400214</t>
  </si>
  <si>
    <t>LUDWIG</t>
  </si>
  <si>
    <t>Dean</t>
  </si>
  <si>
    <t>Jamie</t>
  </si>
  <si>
    <t>Jill Lindsay</t>
  </si>
  <si>
    <t>3, Kiirchepad</t>
  </si>
  <si>
    <t>L-9170</t>
  </si>
  <si>
    <t>2013 01 10 011 53</t>
  </si>
  <si>
    <t>2015 08 24 007 87</t>
  </si>
  <si>
    <t>26 88 02 39</t>
  </si>
  <si>
    <t>694 546 306</t>
  </si>
  <si>
    <t>691 546 306 (mère)</t>
  </si>
  <si>
    <t>691 308 870</t>
  </si>
  <si>
    <t>691 308 870 (père)</t>
  </si>
  <si>
    <t>j-lindsay@hotmail.de</t>
  </si>
  <si>
    <t>TURPEL</t>
  </si>
  <si>
    <t>Angélique Gabriela</t>
  </si>
  <si>
    <t>25, rue du Baumbusch</t>
  </si>
  <si>
    <t>L-8213</t>
  </si>
  <si>
    <t>1997 01 09 024 39</t>
  </si>
  <si>
    <t>621 408 778</t>
  </si>
  <si>
    <t>turpel82@gmail.com</t>
  </si>
  <si>
    <t>SCHILTZ</t>
  </si>
  <si>
    <t>8, rue de Contern</t>
  </si>
  <si>
    <t>L-5339</t>
  </si>
  <si>
    <t>Moutfort</t>
  </si>
  <si>
    <t>1994 01 04 060 58</t>
  </si>
  <si>
    <t>691 597 722</t>
  </si>
  <si>
    <t>lisaschi@hotmail.com</t>
  </si>
  <si>
    <t>F / francaise / luxembourgeoise</t>
  </si>
  <si>
    <t>29, rue Wenzel</t>
  </si>
  <si>
    <t>1991 07 20 115 48</t>
  </si>
  <si>
    <t>32 94 88</t>
  </si>
  <si>
    <t>1979 03 30 202 88</t>
  </si>
  <si>
    <t>1989 11 21 124 30</t>
  </si>
  <si>
    <t>621 682 714</t>
  </si>
  <si>
    <t>cynthialingen1989@hotmail.com</t>
  </si>
  <si>
    <t>HERR</t>
  </si>
  <si>
    <t>Jasmine</t>
  </si>
  <si>
    <t>10, an der Huuscht</t>
  </si>
  <si>
    <t>2001 06 14 202 56</t>
  </si>
  <si>
    <t>621 625 316</t>
  </si>
  <si>
    <t>jasmine.herr@yahoo.com</t>
  </si>
  <si>
    <t>400239</t>
  </si>
  <si>
    <t>PIRES QUINTAS</t>
  </si>
  <si>
    <t>Mauro</t>
  </si>
  <si>
    <t>20, Am Stronck</t>
  </si>
  <si>
    <t>L-6915</t>
  </si>
  <si>
    <t>Roodt / Syre</t>
  </si>
  <si>
    <t>2002 07 24 197 34</t>
  </si>
  <si>
    <t>26 78 71 39</t>
  </si>
  <si>
    <t>621 671 564</t>
  </si>
  <si>
    <t>mpq2002@gmail.com</t>
  </si>
  <si>
    <t>SCHURER</t>
  </si>
  <si>
    <t>D / allemande</t>
  </si>
  <si>
    <t>58, Wiesenstrasse</t>
  </si>
  <si>
    <t>D-54453</t>
  </si>
  <si>
    <t>Nittel</t>
  </si>
  <si>
    <t>1991 06 16 017 91</t>
  </si>
  <si>
    <t>0049 179 241 1523</t>
  </si>
  <si>
    <t>schurerf@web.de</t>
  </si>
  <si>
    <t>37a, rue des Romains</t>
  </si>
  <si>
    <t>L-5433</t>
  </si>
  <si>
    <t>Niederdonven</t>
  </si>
  <si>
    <t>1991 02 06 039 96</t>
  </si>
  <si>
    <t>621 510 484</t>
  </si>
  <si>
    <t>breser.claude@hotmail.com</t>
  </si>
  <si>
    <t>WEISGERBER</t>
  </si>
  <si>
    <t>4, Grand-rue</t>
  </si>
  <si>
    <t>L-6730</t>
  </si>
  <si>
    <t>1994 10 12 011 78</t>
  </si>
  <si>
    <t>691 147 997</t>
  </si>
  <si>
    <t>weisgerber.christophe@gmail.com</t>
  </si>
  <si>
    <t>2013 04 10 031 06</t>
  </si>
  <si>
    <t>691 128 521</t>
  </si>
  <si>
    <t>090002</t>
  </si>
  <si>
    <t>PONTON</t>
  </si>
  <si>
    <t>Keven</t>
  </si>
  <si>
    <t>49,rue Camille Polfer</t>
  </si>
  <si>
    <t>090514</t>
  </si>
  <si>
    <t>1990 07 25 151 54</t>
  </si>
  <si>
    <t>090609</t>
  </si>
  <si>
    <t>400020</t>
  </si>
  <si>
    <t>090650</t>
  </si>
  <si>
    <t>HERTZ</t>
  </si>
  <si>
    <t>Matthias</t>
  </si>
  <si>
    <t>12, Froschweg</t>
  </si>
  <si>
    <t>D-54338</t>
  </si>
  <si>
    <t>Schweich</t>
  </si>
  <si>
    <t>1998 06 18 210 10</t>
  </si>
  <si>
    <t>621 615 404</t>
  </si>
  <si>
    <t xml:space="preserve">1993 11 16 025 35 </t>
  </si>
  <si>
    <t xml:space="preserve">0049 152 344 145 854 </t>
  </si>
  <si>
    <t>matthiashertz@web.de</t>
  </si>
  <si>
    <t>621 139 942</t>
  </si>
  <si>
    <t>kevenp1990@gmail.com</t>
  </si>
  <si>
    <t>karineansay@yahoo.com</t>
  </si>
  <si>
    <t>marthemeis@yahoo.de</t>
  </si>
  <si>
    <t>400253</t>
  </si>
  <si>
    <t>400106</t>
  </si>
  <si>
    <t>400247</t>
  </si>
  <si>
    <t>400248</t>
  </si>
  <si>
    <t>Tiago.l.g.7@gmail.com</t>
  </si>
  <si>
    <t>MAJERUS</t>
  </si>
  <si>
    <t>Samu</t>
  </si>
  <si>
    <t>22, rue Gustave Wilhelmy</t>
  </si>
  <si>
    <t>2015 08 17 017 67</t>
  </si>
  <si>
    <t>laurence.majerus@education.lu</t>
  </si>
  <si>
    <t>621 743 892 (père)</t>
  </si>
  <si>
    <t>691 852 981 (mère)</t>
  </si>
  <si>
    <t>400269</t>
  </si>
  <si>
    <t>11, rue Hermann Gmeiner</t>
  </si>
  <si>
    <t>400281</t>
  </si>
  <si>
    <t>1989 02 08 021 93</t>
  </si>
  <si>
    <t>ANDRE</t>
  </si>
  <si>
    <t>Sacha</t>
  </si>
  <si>
    <t>13, rue Langenfeld</t>
  </si>
  <si>
    <t>L-7731</t>
  </si>
  <si>
    <t>1983 03 10 072 34</t>
  </si>
  <si>
    <t>26 17 53 40</t>
  </si>
  <si>
    <t>621 745 534</t>
  </si>
  <si>
    <t>sachaandre@gmx.de</t>
  </si>
  <si>
    <t>400282</t>
  </si>
  <si>
    <t>400283</t>
  </si>
  <si>
    <t>400284</t>
  </si>
  <si>
    <t>400162</t>
  </si>
  <si>
    <t>400287</t>
  </si>
  <si>
    <t>A20</t>
  </si>
  <si>
    <t>Arrêt</t>
  </si>
  <si>
    <t>Arrêt personne de contact  (arrêt jeunes)</t>
  </si>
  <si>
    <t>Catégorie Listing 
FLH 2020-2021</t>
  </si>
  <si>
    <t>Catégorie Listing 
FLH saison en cours</t>
  </si>
  <si>
    <t>Catégorie Listing 
FLH saison suivante</t>
  </si>
  <si>
    <t>code activé saison suivante</t>
  </si>
  <si>
    <t>commentaire respectif</t>
  </si>
  <si>
    <t>code sélection</t>
  </si>
  <si>
    <t>text pour expliquer des cas spéciaux</t>
  </si>
  <si>
    <t xml:space="preserve">AC = Actif = présent S1 ou S2 jusqu’au 10/03 avant arrêt Coronna;BL = Blessé au 01/03/2020 en convalescence mais joueur potentiel ;AR =Arrêt : mais à remotivation possible soit comme joueur ou autre fonction : </t>
  </si>
  <si>
    <t>SH = licenciés senior hommes+veterans+U19; DA= licenciées Dames, veterans, U18; JE= licenciés jeunes triés par catégorie</t>
  </si>
  <si>
    <t>Licences CL (Carte de Légitimation)</t>
  </si>
  <si>
    <t>georges.frieden.flh@gmx.com</t>
  </si>
  <si>
    <t>Commentaires 2020/21</t>
  </si>
  <si>
    <t>U11M</t>
  </si>
  <si>
    <t>U7M</t>
  </si>
  <si>
    <t>Prêt de Grevenmacher 2019 / 2020</t>
  </si>
  <si>
    <t>2, rue Bell</t>
  </si>
  <si>
    <t>1984 05 30 151 83</t>
  </si>
  <si>
    <t>621 488 559</t>
  </si>
  <si>
    <t>benbisenius@gmail.com</t>
  </si>
  <si>
    <t>ROLLINGER</t>
  </si>
  <si>
    <t>70, rue des Près</t>
  </si>
  <si>
    <t>2020, Caissier</t>
  </si>
  <si>
    <t>2019, Vice-Président</t>
  </si>
  <si>
    <t>2020, Président</t>
  </si>
  <si>
    <t>1983 12 04 136 33</t>
  </si>
  <si>
    <t>691 550 500</t>
  </si>
  <si>
    <t>rollinger@houseconcept.lu</t>
  </si>
  <si>
    <t>KRATOVIC</t>
  </si>
  <si>
    <t>Senjin</t>
  </si>
  <si>
    <t>F / bosnienne</t>
  </si>
  <si>
    <t>KARAMEHMEDOVIC</t>
  </si>
  <si>
    <t>AMER</t>
  </si>
  <si>
    <t>1983 06 13 013 16</t>
  </si>
  <si>
    <t>691 505 286</t>
  </si>
  <si>
    <t>kratovics@gmail.com</t>
  </si>
  <si>
    <t>Veli</t>
  </si>
  <si>
    <t>691 729 297</t>
  </si>
  <si>
    <t>kurtisi96@hotmail.fr</t>
  </si>
  <si>
    <t>691 180 697</t>
  </si>
  <si>
    <t>STARCEVIC</t>
  </si>
  <si>
    <t>Kenan</t>
  </si>
  <si>
    <t>691 951 733</t>
  </si>
  <si>
    <t>starken008@gmail.com</t>
  </si>
  <si>
    <t>MAGALHAES CERQUEIRA</t>
  </si>
  <si>
    <t>Paulo Filipe</t>
  </si>
  <si>
    <t>L-4582</t>
  </si>
  <si>
    <t>10, rue ST. Hubert</t>
  </si>
  <si>
    <t>1997 06 18 298 73</t>
  </si>
  <si>
    <t>paulo.magalhaes19971806@gmail.com</t>
  </si>
  <si>
    <t>114, rue de Luxembourg</t>
  </si>
  <si>
    <t>RAUSCH</t>
  </si>
  <si>
    <t>10a, rue du Lavoir</t>
  </si>
  <si>
    <t>L-9189</t>
  </si>
  <si>
    <t>1991 03 16 020 61</t>
  </si>
  <si>
    <t>691 160 391</t>
  </si>
  <si>
    <t>ranouk@gmail.com</t>
  </si>
  <si>
    <t>KURTISI</t>
  </si>
  <si>
    <t>1996 03 01 156 05</t>
  </si>
  <si>
    <t>96, rue Bamertal</t>
  </si>
  <si>
    <t>L-9209</t>
  </si>
  <si>
    <t>120, rue Prinzenberg</t>
  </si>
  <si>
    <t>L-4650</t>
  </si>
  <si>
    <t>1993 07 27 159 33</t>
  </si>
  <si>
    <t>32 76 64</t>
  </si>
  <si>
    <t>691 819 206</t>
  </si>
  <si>
    <t>1997 10 15 031 93</t>
  </si>
  <si>
    <t>26 58 15 73</t>
  </si>
  <si>
    <t>2000 01 21 267 58</t>
  </si>
  <si>
    <t>621 342 628</t>
  </si>
  <si>
    <t>drouet.dana@yahoo.com</t>
  </si>
  <si>
    <t>1997 10 15 025 12</t>
  </si>
  <si>
    <t>amer_karameha@outlook.com</t>
  </si>
  <si>
    <t>691 214 334</t>
  </si>
  <si>
    <t>400339</t>
  </si>
  <si>
    <t>400329</t>
  </si>
  <si>
    <t>140385</t>
  </si>
  <si>
    <t>040578</t>
  </si>
  <si>
    <t>400335</t>
  </si>
  <si>
    <t>4210</t>
  </si>
  <si>
    <t>040174</t>
  </si>
  <si>
    <t>140008</t>
  </si>
  <si>
    <t>140593</t>
  </si>
  <si>
    <t>400327</t>
  </si>
  <si>
    <t>2010 01 21 078 46</t>
  </si>
  <si>
    <t>DOHM</t>
  </si>
  <si>
    <t>1992 06 29 043 95</t>
  </si>
  <si>
    <t>rebecca.dohm@icloud.com</t>
  </si>
  <si>
    <t>SCHARES</t>
  </si>
  <si>
    <t>Svenja</t>
  </si>
  <si>
    <t>56a, rue Principale</t>
  </si>
  <si>
    <t>L-9375</t>
  </si>
  <si>
    <t>Gralingen</t>
  </si>
  <si>
    <t>1997 08 14 186 63</t>
  </si>
  <si>
    <t>621 428 428</t>
  </si>
  <si>
    <t>svenja-schares@hotmail.com</t>
  </si>
  <si>
    <t>040452</t>
  </si>
  <si>
    <t>tascha0427@gmail.com</t>
  </si>
  <si>
    <t>U13</t>
  </si>
  <si>
    <t>U15</t>
  </si>
  <si>
    <t>2a, rue Hiel</t>
  </si>
  <si>
    <t>billy.kremer@secours.etat.lu</t>
  </si>
  <si>
    <t>pmt cot 20-21</t>
  </si>
  <si>
    <t>rappel impayes 2020-21</t>
  </si>
  <si>
    <t>comment Cot 20-21</t>
  </si>
  <si>
    <t>serresyves47@gmail.com</t>
  </si>
  <si>
    <t>040479</t>
  </si>
  <si>
    <t>Joshua Marc</t>
  </si>
  <si>
    <t>2014 06 06 031 37</t>
  </si>
  <si>
    <t>PAUWELS</t>
  </si>
  <si>
    <t>Jennifer</t>
  </si>
  <si>
    <t>L-7732</t>
  </si>
  <si>
    <t>621 745 534 (père)</t>
  </si>
  <si>
    <t>621 650 812 (mère)</t>
  </si>
  <si>
    <t xml:space="preserve">621 650 812 </t>
  </si>
  <si>
    <t>jenni.pauwels@gmail.com</t>
  </si>
  <si>
    <t>4, rue du Fossé</t>
  </si>
  <si>
    <t>2005 09 25 073 09</t>
  </si>
  <si>
    <t>26 62 11 09</t>
  </si>
  <si>
    <t>621 318 790</t>
  </si>
  <si>
    <t>lorisr@pt.lu</t>
  </si>
  <si>
    <t>400385</t>
  </si>
  <si>
    <t>400388</t>
  </si>
  <si>
    <t>BLAISE</t>
  </si>
  <si>
    <t>Bo</t>
  </si>
  <si>
    <t>Nils</t>
  </si>
  <si>
    <t xml:space="preserve">Joël </t>
  </si>
  <si>
    <t>50, rue des Prés</t>
  </si>
  <si>
    <t>2016 01 14 015 90</t>
  </si>
  <si>
    <t>2012 07 08 199 75</t>
  </si>
  <si>
    <t>691 550 600 (père)</t>
  </si>
  <si>
    <t>691 550 600</t>
  </si>
  <si>
    <t>621 777 527 (mère)</t>
  </si>
  <si>
    <t>621 777 527</t>
  </si>
  <si>
    <t>joelrollinger@yahoo.de</t>
  </si>
  <si>
    <t>lindablaise@gmail.com</t>
  </si>
  <si>
    <t>LOUTSCH</t>
  </si>
  <si>
    <t>64, rue de Hunsdorf</t>
  </si>
  <si>
    <t>661 391 929</t>
  </si>
  <si>
    <t>691 723 804</t>
  </si>
  <si>
    <t>621 133 365</t>
  </si>
  <si>
    <t>691 803 611</t>
  </si>
  <si>
    <t>621 793 741</t>
  </si>
  <si>
    <t>691 205 190</t>
  </si>
  <si>
    <t>691 874 180</t>
  </si>
  <si>
    <t>621 756 356</t>
  </si>
  <si>
    <t>691 451 974</t>
  </si>
  <si>
    <t>691 691 507</t>
  </si>
  <si>
    <t>661 114 281</t>
  </si>
  <si>
    <t>621 791 631</t>
  </si>
  <si>
    <t>621 377 699</t>
  </si>
  <si>
    <t>621 223 334</t>
  </si>
  <si>
    <t>621 238 939</t>
  </si>
  <si>
    <t>671 040 505</t>
  </si>
  <si>
    <t>691 030 808</t>
  </si>
  <si>
    <t>KASEL</t>
  </si>
  <si>
    <t xml:space="preserve">PETER </t>
  </si>
  <si>
    <t>Murielle</t>
  </si>
  <si>
    <t>Katharina</t>
  </si>
  <si>
    <t>Khloé</t>
  </si>
  <si>
    <t>13, rue des Forges</t>
  </si>
  <si>
    <t>L-7771</t>
  </si>
  <si>
    <t>2015 12 22 022 34</t>
  </si>
  <si>
    <t>2017 06 30 078 69</t>
  </si>
  <si>
    <t>621 698 969</t>
  </si>
  <si>
    <t>621 698 969 (mère)</t>
  </si>
  <si>
    <t>petermurielle05@gmail.com</t>
  </si>
  <si>
    <t>U 4 Mixte</t>
  </si>
  <si>
    <t>2625</t>
  </si>
  <si>
    <t>130392</t>
  </si>
  <si>
    <t>20 33 33 20 02</t>
  </si>
  <si>
    <t>GOEDERT DA COSTA</t>
  </si>
  <si>
    <t>Eleonor</t>
  </si>
  <si>
    <t xml:space="preserve">GOEDERT </t>
  </si>
  <si>
    <t>DA COSTA</t>
  </si>
  <si>
    <t>Catarina</t>
  </si>
  <si>
    <t>1, rue de la Paix</t>
  </si>
  <si>
    <t>L-8020</t>
  </si>
  <si>
    <t>Strassen</t>
  </si>
  <si>
    <t>2018 01 15 008 14</t>
  </si>
  <si>
    <t>691 130 013</t>
  </si>
  <si>
    <t>691 132 848</t>
  </si>
  <si>
    <t>691 132 848 (mère)</t>
  </si>
  <si>
    <t>691 130 013 (père)</t>
  </si>
  <si>
    <t>dacosta.catarina@hotmail.com</t>
  </si>
  <si>
    <t>ERNSTER</t>
  </si>
  <si>
    <t>20, route de Mersch</t>
  </si>
  <si>
    <t>2016 08 30 023 61</t>
  </si>
  <si>
    <t>661 198 318</t>
  </si>
  <si>
    <t>621 768 176</t>
  </si>
  <si>
    <t>621 768 176 (mère)</t>
  </si>
  <si>
    <t>661 198 318 (père)</t>
  </si>
  <si>
    <t>marc.ernster@gmail.com</t>
  </si>
  <si>
    <t>KRECKé</t>
  </si>
  <si>
    <t xml:space="preserve">Transfert à faire en fin de saison </t>
  </si>
  <si>
    <t>18, beim Kinnebësch</t>
  </si>
  <si>
    <t>L-8615</t>
  </si>
  <si>
    <t>Platen</t>
  </si>
  <si>
    <t>2005 12 20 111 84</t>
  </si>
  <si>
    <t>621 136 322</t>
  </si>
  <si>
    <t>eyschen.malou@chl.lu</t>
  </si>
  <si>
    <t>VASILAKIS</t>
  </si>
  <si>
    <t>Alexandros</t>
  </si>
  <si>
    <t>F / grèque</t>
  </si>
  <si>
    <t>3, rue Charles de Gaulle</t>
  </si>
  <si>
    <t>1979 08 08 005 88</t>
  </si>
  <si>
    <t>691 300 519</t>
  </si>
  <si>
    <t>2000 07 08 101 73</t>
  </si>
  <si>
    <t>691 741 786</t>
  </si>
  <si>
    <t>10a, rue des Champs</t>
  </si>
  <si>
    <t>L-7312</t>
  </si>
  <si>
    <t>2016 04 04 003 42</t>
  </si>
  <si>
    <t>2018 02 10 001 05</t>
  </si>
  <si>
    <t>26 33 44 69</t>
  </si>
  <si>
    <t>621 352 630 (père)</t>
  </si>
  <si>
    <t>661 566 805 (mère)</t>
  </si>
  <si>
    <t>jetti.rossy@education.lu</t>
  </si>
  <si>
    <t>210672</t>
  </si>
  <si>
    <t>621 785 596</t>
  </si>
  <si>
    <t>130408</t>
  </si>
  <si>
    <t>JUNGELS</t>
  </si>
  <si>
    <t>PATZ</t>
  </si>
  <si>
    <t>Laurie</t>
  </si>
  <si>
    <t>Noémie</t>
  </si>
  <si>
    <t>18, rue Belle-Vue</t>
  </si>
  <si>
    <t>L-7350</t>
  </si>
  <si>
    <t>2018 09 05 015 03</t>
  </si>
  <si>
    <t>621 503 093</t>
  </si>
  <si>
    <t>621 503 093 (père)</t>
  </si>
  <si>
    <t>621 179 284</t>
  </si>
  <si>
    <t>621 179 284 (mère)</t>
  </si>
  <si>
    <t>nopatz@hotmail.com</t>
  </si>
  <si>
    <t>Certicat Docteur ok</t>
  </si>
  <si>
    <t>A21</t>
  </si>
  <si>
    <t>23, rte Principale</t>
  </si>
  <si>
    <t>2016 03 28 007 84</t>
  </si>
  <si>
    <t>621 756 305 (mère)</t>
  </si>
  <si>
    <t>nathalie_berchem@hotmail.com</t>
  </si>
  <si>
    <t>400422</t>
  </si>
  <si>
    <t>400463</t>
  </si>
  <si>
    <t>400462</t>
  </si>
  <si>
    <t>400464</t>
  </si>
  <si>
    <t>100682</t>
  </si>
  <si>
    <t>400461</t>
  </si>
  <si>
    <t>MASSARO</t>
  </si>
  <si>
    <t>33,Cité Breechen</t>
  </si>
  <si>
    <t>L-9028</t>
  </si>
  <si>
    <t>2001 09 19 275 30</t>
  </si>
  <si>
    <t>661 923 105</t>
  </si>
  <si>
    <t>massarovincent54@gmail.com</t>
  </si>
  <si>
    <t>DELON</t>
  </si>
  <si>
    <t>Lucas</t>
  </si>
  <si>
    <t>lucasdelon.54400@yahoo.fr</t>
  </si>
  <si>
    <t>48, avenue de la Paix</t>
  </si>
  <si>
    <t>F-54400</t>
  </si>
  <si>
    <t>Longwy</t>
  </si>
  <si>
    <t>2000 08 12 011 10</t>
  </si>
  <si>
    <t>HOLLARD</t>
  </si>
  <si>
    <t>Timour</t>
  </si>
  <si>
    <t>Aurélien</t>
  </si>
  <si>
    <t>21a, rue Krepel</t>
  </si>
  <si>
    <t>L-7451</t>
  </si>
  <si>
    <t>2017 03 03 011 89</t>
  </si>
  <si>
    <t>661 140 507 (père)</t>
  </si>
  <si>
    <t>691 860 502</t>
  </si>
  <si>
    <t>691 860 502 (mère)</t>
  </si>
  <si>
    <t xml:space="preserve">661 140 507 </t>
  </si>
  <si>
    <t xml:space="preserve"> t.saniye@gmail.com</t>
  </si>
  <si>
    <t>aurelien.hollard@gmail.com</t>
  </si>
  <si>
    <t>400492</t>
  </si>
  <si>
    <t>400491</t>
  </si>
  <si>
    <t>400496</t>
  </si>
  <si>
    <t>400397</t>
  </si>
  <si>
    <t>400399</t>
  </si>
  <si>
    <t>16a, Fraeschegaass</t>
  </si>
  <si>
    <t>1990 07 28 150 44</t>
  </si>
  <si>
    <t>691 485 184</t>
  </si>
  <si>
    <t>faber_hcb@yahoo.de</t>
  </si>
  <si>
    <t>kenan.99@live.com</t>
  </si>
  <si>
    <t>Joe</t>
  </si>
  <si>
    <t>tommy.frising@gmail.lu</t>
  </si>
  <si>
    <t>140575</t>
  </si>
  <si>
    <t xml:space="preserve">621 782 870 </t>
  </si>
  <si>
    <t>2000 06 20 073 41</t>
  </si>
  <si>
    <t>1999 03 15 046 47</t>
  </si>
  <si>
    <t>dana.albergo@icloud.com</t>
  </si>
  <si>
    <t>661 150 399</t>
  </si>
  <si>
    <t>210665</t>
  </si>
  <si>
    <t>SHABANAJ</t>
  </si>
  <si>
    <t>Riad</t>
  </si>
  <si>
    <t>A / Kosovar</t>
  </si>
  <si>
    <t>riad.shabanaj@gmail.com</t>
  </si>
  <si>
    <t>33, Rangwee</t>
  </si>
  <si>
    <t>L-2415</t>
  </si>
  <si>
    <t>1991 02 17 041 28</t>
  </si>
  <si>
    <t>OLINGER</t>
  </si>
  <si>
    <t>Caroline</t>
  </si>
  <si>
    <t>17, rue de Rollingen</t>
  </si>
  <si>
    <t>1992 03 14 085 03</t>
  </si>
  <si>
    <t>621 343 204</t>
  </si>
  <si>
    <t>caroline19921403@gmail.com</t>
  </si>
  <si>
    <t>030620</t>
  </si>
  <si>
    <t>400526</t>
  </si>
  <si>
    <t>gregory.redavid@tutanota.com</t>
  </si>
  <si>
    <t>Arrêt (supprimer Licence)</t>
  </si>
  <si>
    <t>Etudiant</t>
  </si>
  <si>
    <t>x</t>
  </si>
  <si>
    <t>2017 02 26 012 04</t>
  </si>
  <si>
    <t>621 708 113 (père)</t>
  </si>
  <si>
    <t>621 708 113</t>
  </si>
  <si>
    <t>661 220 483</t>
  </si>
  <si>
    <t>661 220 483 (mère)</t>
  </si>
  <si>
    <t>veigacindy@gmail.com</t>
  </si>
  <si>
    <t>12, rue des Champs</t>
  </si>
  <si>
    <t>L-7713</t>
  </si>
  <si>
    <t>Welsdorf</t>
  </si>
  <si>
    <t>L-7714</t>
  </si>
  <si>
    <t>VEIGA</t>
  </si>
  <si>
    <t>Christine</t>
  </si>
  <si>
    <t>5, rue Marie-Curie</t>
  </si>
  <si>
    <t>L-8231</t>
  </si>
  <si>
    <t>2006 11 03 121 89</t>
  </si>
  <si>
    <t>661 117 212</t>
  </si>
  <si>
    <t>MajZo449@school.lu</t>
  </si>
  <si>
    <t>2007 08 27 027 33</t>
  </si>
  <si>
    <t>661 381 757</t>
  </si>
  <si>
    <t>PleJu416@school.com</t>
  </si>
  <si>
    <t>400398</t>
  </si>
  <si>
    <t>cynthialehnen@gmail.com</t>
  </si>
  <si>
    <t>1-3, rue des Acacias</t>
  </si>
  <si>
    <t>18, rue Alheck</t>
  </si>
  <si>
    <t>661 178 178</t>
  </si>
  <si>
    <t>HECK</t>
  </si>
  <si>
    <t>Sally</t>
  </si>
  <si>
    <t>19, Am Kundel</t>
  </si>
  <si>
    <t>L-6669</t>
  </si>
  <si>
    <t>Mertert</t>
  </si>
  <si>
    <t>1984 05 29 145 37</t>
  </si>
  <si>
    <t>621 183 615</t>
  </si>
  <si>
    <t>hecksally@yahoo.de</t>
  </si>
  <si>
    <t>NAU</t>
  </si>
  <si>
    <t>Christina Marie</t>
  </si>
  <si>
    <t>21, Talstrasse</t>
  </si>
  <si>
    <t>D-54666</t>
  </si>
  <si>
    <t>Irrel</t>
  </si>
  <si>
    <t>1997 07 28 028 59</t>
  </si>
  <si>
    <t>0049 6525-7430</t>
  </si>
  <si>
    <t>marie.nau@web.de</t>
  </si>
  <si>
    <t>621 183 973 (père)</t>
  </si>
  <si>
    <t>MIRANDA</t>
  </si>
  <si>
    <t>F / luxembourgeoise - potugaise</t>
  </si>
  <si>
    <t>3, An der Blei</t>
  </si>
  <si>
    <t>L-7796</t>
  </si>
  <si>
    <t>1995 09 20 028 20</t>
  </si>
  <si>
    <t>621 647 236</t>
  </si>
  <si>
    <t>miran028@hotmail.com</t>
  </si>
  <si>
    <t>400538</t>
  </si>
  <si>
    <t>400539</t>
  </si>
  <si>
    <t>400540</t>
  </si>
  <si>
    <t>6A, rue des Près</t>
  </si>
  <si>
    <t>21, rue de Diekirch</t>
  </si>
  <si>
    <t>L-7440</t>
  </si>
  <si>
    <t>BIORDI</t>
  </si>
  <si>
    <t>Léo</t>
  </si>
  <si>
    <t>13a, rue de la Varoise</t>
  </si>
  <si>
    <t>Cosnes et Romain</t>
  </si>
  <si>
    <t>1999 05 22 001 82</t>
  </si>
  <si>
    <t>Nastasja</t>
  </si>
  <si>
    <t>124, route de Mersch</t>
  </si>
  <si>
    <t>2017 04 01 001 02</t>
  </si>
  <si>
    <t>671 523 925 (mère)</t>
  </si>
  <si>
    <t>fabernastasja@hotmail.com</t>
  </si>
  <si>
    <t>Mike</t>
  </si>
  <si>
    <t>8, Op Waasserkiirten</t>
  </si>
  <si>
    <t>L-5713</t>
  </si>
  <si>
    <t>Aspelt</t>
  </si>
  <si>
    <t>1990 11 19 050 14</t>
  </si>
  <si>
    <t>mikewelsch90@gmail.com</t>
  </si>
  <si>
    <t>040520</t>
  </si>
  <si>
    <t>040620</t>
  </si>
  <si>
    <t>400556</t>
  </si>
  <si>
    <t>400557</t>
  </si>
  <si>
    <t>180037</t>
  </si>
  <si>
    <t>400558</t>
  </si>
  <si>
    <t>CHEROUVEIM</t>
  </si>
  <si>
    <t>Spyridon</t>
  </si>
  <si>
    <t>1994 10 06 010 73</t>
  </si>
  <si>
    <t>5, Chemin de Essingen</t>
  </si>
  <si>
    <t>MENDES CORREIA</t>
  </si>
  <si>
    <t>Gilson Patrik</t>
  </si>
  <si>
    <t>gil_07_@hotmail.com</t>
  </si>
  <si>
    <t>2012 05 22 249 41</t>
  </si>
  <si>
    <t>spyrosx99@gmail.com</t>
  </si>
  <si>
    <t>leobiordi54@gmail.com</t>
  </si>
  <si>
    <t>n1c0t@outlook.de</t>
  </si>
  <si>
    <t>1995 04 23 029 33</t>
  </si>
  <si>
    <t>210661</t>
  </si>
  <si>
    <t>400563</t>
  </si>
  <si>
    <t>DAL BORGO</t>
  </si>
  <si>
    <t>Bruce Scott</t>
  </si>
  <si>
    <t>2003 05 06 … ..</t>
  </si>
  <si>
    <t>BJERG</t>
  </si>
  <si>
    <t>Philip Parsberg</t>
  </si>
  <si>
    <t>76, rue de l'avenir</t>
  </si>
  <si>
    <t>L-1147</t>
  </si>
  <si>
    <t>2001 08 03 015 29</t>
  </si>
  <si>
    <t>philipbjerg0308@gmail.com</t>
  </si>
  <si>
    <t>400583</t>
  </si>
  <si>
    <t>Rollingen / Mersch</t>
  </si>
  <si>
    <t>HEINZ</t>
  </si>
  <si>
    <t>Nolan</t>
  </si>
  <si>
    <t>Delphine</t>
  </si>
  <si>
    <t>23, Im Batz</t>
  </si>
  <si>
    <t>2011 02 02 173 48</t>
  </si>
  <si>
    <t>heinztom@pt.lu</t>
  </si>
  <si>
    <t>L-7058</t>
  </si>
  <si>
    <t>Annick</t>
  </si>
  <si>
    <t>2017 01 07 011 67</t>
  </si>
  <si>
    <t>2, rue August Lumière</t>
  </si>
  <si>
    <t>L-3516</t>
  </si>
  <si>
    <t>bruzzel12@gmail.com</t>
  </si>
  <si>
    <t>400605</t>
  </si>
  <si>
    <t>GUERDER</t>
  </si>
  <si>
    <t>Jeremy</t>
  </si>
  <si>
    <t>F / franco-luxembourgeoise</t>
  </si>
  <si>
    <t>1, rue du Sirocco</t>
  </si>
  <si>
    <t>F-57700</t>
  </si>
  <si>
    <t>Hayange</t>
  </si>
  <si>
    <t>nouvelle licence / Prêt</t>
  </si>
  <si>
    <t>1986 07 07 694 28</t>
  </si>
  <si>
    <t>tuchkin@hotmail.fr</t>
  </si>
  <si>
    <t>400370</t>
  </si>
  <si>
    <t>1983 11 16 318 49</t>
  </si>
  <si>
    <t>050872</t>
  </si>
  <si>
    <t>400616</t>
  </si>
  <si>
    <t>HERMES</t>
  </si>
  <si>
    <t>HERMES-LINK</t>
  </si>
  <si>
    <t>Tessy</t>
  </si>
  <si>
    <t>3, rue Irbicht</t>
  </si>
  <si>
    <t>2011 04 08 065 40</t>
  </si>
  <si>
    <t>2014 01 27 087 57</t>
  </si>
  <si>
    <t>26 32 08 68</t>
  </si>
  <si>
    <t>linktess@pt.lu</t>
  </si>
  <si>
    <t>Esther Holm</t>
  </si>
  <si>
    <t>Amelie Holm</t>
  </si>
  <si>
    <t>Samson Holm</t>
  </si>
  <si>
    <t>Anne Holm</t>
  </si>
  <si>
    <t>D / luxembourgeoise / danoise</t>
  </si>
  <si>
    <t>D / danoise</t>
  </si>
  <si>
    <t>2016 03 23 059 46</t>
  </si>
  <si>
    <t>2016 03 23 060 25</t>
  </si>
  <si>
    <t>2013 06 26 379 35</t>
  </si>
  <si>
    <t>621 488 559 (père)</t>
  </si>
  <si>
    <t>621 665 197 (mère)</t>
  </si>
  <si>
    <t>annehj@yahoo.com</t>
  </si>
  <si>
    <r>
      <t xml:space="preserve">Prêt, </t>
    </r>
    <r>
      <rPr>
        <b/>
        <sz val="10"/>
        <rFont val="Arial"/>
        <family val="2"/>
      </rPr>
      <t>sortie</t>
    </r>
    <r>
      <rPr>
        <sz val="10"/>
        <rFont val="Arial"/>
        <family val="2"/>
      </rPr>
      <t xml:space="preserve"> Mersch75</t>
    </r>
  </si>
  <si>
    <r>
      <t xml:space="preserve">Prêt, </t>
    </r>
    <r>
      <rPr>
        <b/>
        <sz val="10"/>
        <rFont val="Arial"/>
        <family val="2"/>
      </rPr>
      <t>entrée</t>
    </r>
    <r>
      <rPr>
        <sz val="10"/>
        <rFont val="Arial"/>
        <family val="2"/>
      </rPr>
      <t xml:space="preserve"> Mersch75</t>
    </r>
  </si>
  <si>
    <t>Transfert entrant en discution</t>
  </si>
  <si>
    <t>Prêt gratuit pas équipe club origine</t>
  </si>
  <si>
    <t>PAPADOPOULOU STRORUP</t>
  </si>
  <si>
    <t>STRORUP</t>
  </si>
  <si>
    <t xml:space="preserve">PAPADOPOULOU </t>
  </si>
  <si>
    <t>Liva</t>
  </si>
  <si>
    <t>Mikkel</t>
  </si>
  <si>
    <t>Anatoli</t>
  </si>
  <si>
    <t>F / luxembourgeoise / Danoise / Grèque</t>
  </si>
  <si>
    <t xml:space="preserve">F / Danoise </t>
  </si>
  <si>
    <t>F / Grèque</t>
  </si>
  <si>
    <t>26, rue Belle-Vue</t>
  </si>
  <si>
    <t>2018 09 09 011 54</t>
  </si>
  <si>
    <t>691 614 744 (père)</t>
  </si>
  <si>
    <t>691 661 744 (mère)</t>
  </si>
  <si>
    <t>mstroerup@hotmail.com</t>
  </si>
  <si>
    <t>anipapado@hotmail.com</t>
  </si>
  <si>
    <t>BOUVY</t>
  </si>
  <si>
    <t>Jérôme</t>
  </si>
  <si>
    <t>Séverine</t>
  </si>
  <si>
    <t>8, Op Petschert</t>
  </si>
  <si>
    <t>L-7362</t>
  </si>
  <si>
    <t>661 503 206 (père)</t>
  </si>
  <si>
    <t>621 546 945 (mère)</t>
  </si>
  <si>
    <t>roederj@me.com</t>
  </si>
  <si>
    <t>2018 04 26 005 10</t>
  </si>
  <si>
    <t>1997 05 11 167 28</t>
  </si>
  <si>
    <t xml:space="preserve"> +351 910 708 939</t>
  </si>
  <si>
    <t xml:space="preserve"> +33 674 360 476</t>
  </si>
  <si>
    <t xml:space="preserve"> +30 69 47 48 50 70</t>
  </si>
  <si>
    <t xml:space="preserve"> +33 601 190 563</t>
  </si>
  <si>
    <t xml:space="preserve"> +33 06 23 95 41 53</t>
  </si>
  <si>
    <t>CARELLA</t>
  </si>
  <si>
    <t>Grazia</t>
  </si>
  <si>
    <t>111, Grand-rue</t>
  </si>
  <si>
    <t>1994 06 02 006 52</t>
  </si>
  <si>
    <t>gra.carella@hotmail.com</t>
  </si>
  <si>
    <t>EYDT</t>
  </si>
  <si>
    <t xml:space="preserve">Jill  </t>
  </si>
  <si>
    <t>45, rue du Château</t>
  </si>
  <si>
    <t>2011 02 18 053 01</t>
  </si>
  <si>
    <t>jilleydt@pt.lu</t>
  </si>
  <si>
    <t>32 85 67</t>
  </si>
  <si>
    <t>Matheo</t>
  </si>
  <si>
    <t>2017 08 05 006 12</t>
  </si>
  <si>
    <t>400648</t>
  </si>
  <si>
    <t>400649</t>
  </si>
  <si>
    <t>BOUVIER</t>
  </si>
  <si>
    <t>Manon</t>
  </si>
  <si>
    <t>2017 11 09 007 03</t>
  </si>
  <si>
    <t>621 243 419 (père)</t>
  </si>
  <si>
    <t>manon.bouvier@tutanota.com</t>
  </si>
  <si>
    <t>DELGADO CARDOSO</t>
  </si>
  <si>
    <t>Gabriel</t>
  </si>
  <si>
    <t>DELGADO CARE</t>
  </si>
  <si>
    <t>Monika</t>
  </si>
  <si>
    <t>43, rue de Hunsdorf</t>
  </si>
  <si>
    <t>2012 08 19 071 48</t>
  </si>
  <si>
    <t>45 00 45 80 02</t>
  </si>
  <si>
    <t>delgadocaremonika@gmail.com</t>
  </si>
  <si>
    <t>A22</t>
  </si>
  <si>
    <t>1984 11 14 283 12</t>
  </si>
  <si>
    <t>Hana</t>
  </si>
  <si>
    <t>2020 05 02 019 54</t>
  </si>
  <si>
    <t>400286</t>
  </si>
  <si>
    <t>11,11,21</t>
  </si>
  <si>
    <t>L-3249</t>
  </si>
  <si>
    <t>DEUTSCH</t>
  </si>
  <si>
    <t>HASLBAUER</t>
  </si>
  <si>
    <t>Lévi</t>
  </si>
  <si>
    <t>Thierry</t>
  </si>
  <si>
    <t>17, rue de Schandel</t>
  </si>
  <si>
    <t>2019 05 03 022 10</t>
  </si>
  <si>
    <t>691 525 137 (père)</t>
  </si>
  <si>
    <t>661 277 627 (mère)</t>
  </si>
  <si>
    <t>julia.haslbauer@gmx.at</t>
  </si>
  <si>
    <t>deutschthierry@yahoo.co.uk</t>
  </si>
  <si>
    <t>LAMHèNE</t>
  </si>
  <si>
    <t>Aki</t>
  </si>
  <si>
    <t>Rae Lyn</t>
  </si>
  <si>
    <t>7, Place Roschten</t>
  </si>
  <si>
    <t>L-7456</t>
  </si>
  <si>
    <t>2017 06 07 012 98</t>
  </si>
  <si>
    <t>691 528 563 (père)</t>
  </si>
  <si>
    <t>661 875 908 (mère)</t>
  </si>
  <si>
    <t>ericlamhene@gmail.com</t>
  </si>
  <si>
    <t>400675</t>
  </si>
  <si>
    <t>400676</t>
  </si>
  <si>
    <t>400674</t>
  </si>
  <si>
    <t>400704</t>
  </si>
  <si>
    <t>400703</t>
  </si>
  <si>
    <t>400729</t>
  </si>
  <si>
    <t>06.12,21</t>
  </si>
  <si>
    <t>400705</t>
  </si>
  <si>
    <t>621 466 686 (père)</t>
  </si>
  <si>
    <t>cat   cot   20-21</t>
  </si>
  <si>
    <t>Go      2 Sports</t>
  </si>
  <si>
    <t>pmt   cot   21-22</t>
  </si>
  <si>
    <t>rappel impayes 2021-22</t>
  </si>
  <si>
    <t>comment Cot 21-22</t>
  </si>
  <si>
    <t>Subside Etat 2020</t>
  </si>
  <si>
    <t>Commentaires 2021/22</t>
  </si>
  <si>
    <t>400747</t>
  </si>
  <si>
    <t>400735</t>
  </si>
  <si>
    <t>Lena</t>
  </si>
  <si>
    <t>100236</t>
  </si>
  <si>
    <t>2017 08 09 007 52</t>
  </si>
  <si>
    <t>ELSEN</t>
  </si>
  <si>
    <t>Emily</t>
  </si>
  <si>
    <t>16, rue Zechel</t>
  </si>
  <si>
    <t>2018 06 08 011 98</t>
  </si>
  <si>
    <t>621 624 521 (père)</t>
  </si>
  <si>
    <t>691 626 937 (mère)</t>
  </si>
  <si>
    <t>sarah.lanners@education.lu</t>
  </si>
  <si>
    <t>georges.elsen@education.lu</t>
  </si>
  <si>
    <t>400752</t>
  </si>
  <si>
    <t>400772</t>
  </si>
  <si>
    <t>Augustine</t>
  </si>
  <si>
    <t>2007 09 26 084 46</t>
  </si>
  <si>
    <t>F74</t>
  </si>
  <si>
    <t>DEMANT</t>
  </si>
  <si>
    <t>PEDERSEN</t>
  </si>
  <si>
    <t xml:space="preserve">Anna  </t>
  </si>
  <si>
    <t>Matias</t>
  </si>
  <si>
    <t>DK / Danoise, française, anglaise &amp; luxembourgeoise</t>
  </si>
  <si>
    <t>13, rue du Château</t>
  </si>
  <si>
    <t>L-6961</t>
  </si>
  <si>
    <t>2018 07 20 014 63</t>
  </si>
  <si>
    <t>691 281 557 (père)</t>
  </si>
  <si>
    <t>matiasdemant@gmail.com</t>
  </si>
  <si>
    <t>BERLIN</t>
  </si>
  <si>
    <t>Maximilian</t>
  </si>
  <si>
    <t>Andreas</t>
  </si>
  <si>
    <t>8, Op der Diert</t>
  </si>
  <si>
    <t>2013 07 29 097 79</t>
  </si>
  <si>
    <t>621 488 080 (père)</t>
  </si>
  <si>
    <t>661 810 220 (mère)</t>
  </si>
  <si>
    <t>molitort@pt.lu</t>
  </si>
  <si>
    <t>27 69 63 211 (Bureau)</t>
  </si>
  <si>
    <t>400787</t>
  </si>
  <si>
    <t>Thais</t>
  </si>
  <si>
    <t>2015 11 18 009 78</t>
  </si>
  <si>
    <t>BRÜCK</t>
  </si>
  <si>
    <t>Oscar</t>
  </si>
  <si>
    <t>TOISUL</t>
  </si>
  <si>
    <t>78, rte de Mersch</t>
  </si>
  <si>
    <t>2015 07 02 006 79</t>
  </si>
  <si>
    <t>26 32 12 37</t>
  </si>
  <si>
    <t>621 753 140 (père)</t>
  </si>
  <si>
    <t>621 724 416 (mère)</t>
  </si>
  <si>
    <t>jtoisul@pt.lu</t>
  </si>
  <si>
    <t>bruckt@pt.lu</t>
  </si>
  <si>
    <t>2015 03 13 017 54</t>
  </si>
  <si>
    <t>2013 08 13 071 95</t>
  </si>
  <si>
    <t>400791</t>
  </si>
  <si>
    <t>X</t>
  </si>
  <si>
    <t>U11</t>
  </si>
  <si>
    <t>U7</t>
  </si>
  <si>
    <t>U4</t>
  </si>
  <si>
    <t>Membres commission des jeunes</t>
  </si>
  <si>
    <t>Prêt de coopérations HBD &amp; HBM =&gt; Fin / e-mail adresse erroné</t>
  </si>
  <si>
    <t>400808</t>
  </si>
  <si>
    <t>400807</t>
  </si>
  <si>
    <t>400802</t>
  </si>
  <si>
    <t>3,rue Louis Meyer</t>
  </si>
  <si>
    <t>L-4653</t>
  </si>
  <si>
    <t>1985 05 13 069 23</t>
  </si>
  <si>
    <t>400820</t>
  </si>
  <si>
    <t>661 290 692</t>
  </si>
  <si>
    <t>F83</t>
  </si>
  <si>
    <t>WILK</t>
  </si>
  <si>
    <t>Dimitri</t>
  </si>
  <si>
    <t>Reynald</t>
  </si>
  <si>
    <t>Ekaterina</t>
  </si>
  <si>
    <t>6, rue de la Forêt</t>
  </si>
  <si>
    <t>2008 12 05 008 20</t>
  </si>
  <si>
    <t>dimitriwilklux@gmail.com</t>
  </si>
  <si>
    <t>wilkrey@yahoo.fr</t>
  </si>
  <si>
    <t>ekaterinawilk@yahoo.fr</t>
  </si>
  <si>
    <t>400828</t>
  </si>
  <si>
    <t>LALLEMENT</t>
  </si>
  <si>
    <t>1a, Bei de Feschweieren</t>
  </si>
  <si>
    <t>2012 09 29 071 18</t>
  </si>
  <si>
    <t>audreymangon@gmail.com</t>
  </si>
  <si>
    <t>alex1379vas@gmail.com</t>
  </si>
  <si>
    <t>400841</t>
  </si>
  <si>
    <t>400844</t>
  </si>
  <si>
    <t>400843</t>
  </si>
  <si>
    <t>400842</t>
  </si>
  <si>
    <t xml:space="preserve">Transfert vers autre club </t>
  </si>
  <si>
    <t>HERR-RIBEIRO</t>
  </si>
  <si>
    <t>Noel</t>
  </si>
  <si>
    <t>Ana</t>
  </si>
  <si>
    <t>24, rue des Verges</t>
  </si>
  <si>
    <t>2014 05 16 075 94</t>
  </si>
  <si>
    <t>661840908 (père)</t>
  </si>
  <si>
    <t>400860</t>
  </si>
  <si>
    <t>400859</t>
  </si>
  <si>
    <t>400858</t>
  </si>
  <si>
    <t>205,route de Luxembourg</t>
  </si>
  <si>
    <t>L-7374</t>
  </si>
  <si>
    <t>3, rue Bneuve</t>
  </si>
  <si>
    <t>L-7420</t>
  </si>
  <si>
    <t>Cruchten</t>
  </si>
  <si>
    <t>prêt de coopétation =&gt; Fin 09.12.2021</t>
  </si>
  <si>
    <t>2022, Membre</t>
  </si>
  <si>
    <t>MULLER</t>
  </si>
  <si>
    <t>11, rue de Cologne</t>
  </si>
  <si>
    <t>L-4066</t>
  </si>
  <si>
    <t>2000 03 13 093 34</t>
  </si>
  <si>
    <t>lucamuller888@icloud.com</t>
  </si>
  <si>
    <t>PIERRE</t>
  </si>
  <si>
    <t>Wohanne</t>
  </si>
  <si>
    <t>7, rue Michel Rodange</t>
  </si>
  <si>
    <t>L-8085</t>
  </si>
  <si>
    <t>Bertrange</t>
  </si>
  <si>
    <t>1996 02 05 337 52</t>
  </si>
  <si>
    <t>wohanne05@gmail.com</t>
  </si>
  <si>
    <t>Tomislav</t>
  </si>
  <si>
    <t>1, Place Lieutenant Callemeyn</t>
  </si>
  <si>
    <t>B-67000</t>
  </si>
  <si>
    <t>Arlon</t>
  </si>
  <si>
    <t>2003 07 30 292 38</t>
  </si>
  <si>
    <t>dilbertomi03@gmail.com</t>
  </si>
  <si>
    <t>EWALD</t>
  </si>
  <si>
    <t>Benny</t>
  </si>
  <si>
    <t>109, avenue de la Libération</t>
  </si>
  <si>
    <t>L-3850</t>
  </si>
  <si>
    <t>2000 10 20 278 21</t>
  </si>
  <si>
    <t>b.ewald@hotmail.de</t>
  </si>
  <si>
    <t>Céline</t>
  </si>
  <si>
    <t>27, Um Schéckelt</t>
  </si>
  <si>
    <t>L-8610</t>
  </si>
  <si>
    <t>Buschrold</t>
  </si>
  <si>
    <t>1991 12 08 027 02</t>
  </si>
  <si>
    <t>schneider.cee@outlook.de</t>
  </si>
  <si>
    <t>WIRTH</t>
  </si>
  <si>
    <t>tom.wirth99@gmail.com</t>
  </si>
  <si>
    <t>13, rue de la Forêt</t>
  </si>
  <si>
    <t>L-3354</t>
  </si>
  <si>
    <t>Leudelange</t>
  </si>
  <si>
    <t>1999 05 31 059 53</t>
  </si>
  <si>
    <t>400886</t>
  </si>
  <si>
    <t>120862</t>
  </si>
  <si>
    <t>210109</t>
  </si>
  <si>
    <t>020637</t>
  </si>
  <si>
    <t>010681</t>
  </si>
  <si>
    <t>1985 07 21 028 69</t>
  </si>
  <si>
    <t>210132</t>
  </si>
  <si>
    <t>ALMEIDA</t>
  </si>
  <si>
    <t>LEUCHT</t>
  </si>
  <si>
    <t>ALMEIDA LEUCHT</t>
  </si>
  <si>
    <t>Holger</t>
  </si>
  <si>
    <t>15c, rue de Saeul</t>
  </si>
  <si>
    <t>L-8189</t>
  </si>
  <si>
    <t>Kopstal</t>
  </si>
  <si>
    <t>2009 02 23 098 29</t>
  </si>
  <si>
    <t>27 99 80 46</t>
  </si>
  <si>
    <t>0049 15 150 049 528</t>
  </si>
  <si>
    <t>manuleucht@outlook.de</t>
  </si>
  <si>
    <t>hleucht@gmail.com</t>
  </si>
  <si>
    <t>claudiabalsinha@gmail.com</t>
  </si>
  <si>
    <t>13, Karl Fischer Strasse</t>
  </si>
  <si>
    <t>D-74918</t>
  </si>
  <si>
    <t>Angelbachtal</t>
  </si>
  <si>
    <t>DEDU</t>
  </si>
  <si>
    <t>TEUNISSEN VAN MANEN</t>
  </si>
  <si>
    <t>Sofia Elena</t>
  </si>
  <si>
    <t>Cristian</t>
  </si>
  <si>
    <t>Birgitte</t>
  </si>
  <si>
    <t>F / néerlandaise</t>
  </si>
  <si>
    <t>F / roumaine</t>
  </si>
  <si>
    <t>1, Um Birkelt</t>
  </si>
  <si>
    <t>L-7633</t>
  </si>
  <si>
    <t>2009 08 05 017 85</t>
  </si>
  <si>
    <t>sofia0509elena@gmail.com</t>
  </si>
  <si>
    <t>spiewak.jeff@outlook.com</t>
  </si>
  <si>
    <t>1985 01 30 070 30</t>
  </si>
  <si>
    <t>400911</t>
  </si>
  <si>
    <t>400918</t>
  </si>
  <si>
    <t>292</t>
  </si>
  <si>
    <t xml:space="preserve">DENEUMOUSTIER </t>
  </si>
  <si>
    <t>L-7521</t>
  </si>
  <si>
    <t>19,09.22</t>
  </si>
  <si>
    <t>1994 03 22 114 61</t>
  </si>
  <si>
    <t>olivier.deneumoustier@gmail.com</t>
  </si>
  <si>
    <t>2a, rue Hurkes</t>
  </si>
  <si>
    <t>1984 06 27 244 57</t>
  </si>
  <si>
    <t>400951</t>
  </si>
  <si>
    <t>DIMOLA</t>
  </si>
  <si>
    <t>Gina</t>
  </si>
  <si>
    <t>99, route de Fischbach</t>
  </si>
  <si>
    <t>1996 08 17 063 59</t>
  </si>
  <si>
    <t>ginad@pt.lu</t>
  </si>
  <si>
    <t>BARTSCH</t>
  </si>
  <si>
    <t>Cherryl</t>
  </si>
  <si>
    <t>CORMEN</t>
  </si>
  <si>
    <t>RIPPINGER</t>
  </si>
  <si>
    <t>Nastasia</t>
  </si>
  <si>
    <t>2009 06 26 141 36</t>
  </si>
  <si>
    <t>32 85 96</t>
  </si>
  <si>
    <t>nastasia.rippinger@kannerduerf.lu</t>
  </si>
  <si>
    <t>cormen.christophe@kannerduerf.lu</t>
  </si>
  <si>
    <t>400966</t>
  </si>
  <si>
    <t>400993</t>
  </si>
  <si>
    <t>040497</t>
  </si>
  <si>
    <t>Roby</t>
  </si>
  <si>
    <t>2015 08 20 016 32</t>
  </si>
  <si>
    <t>GREIS</t>
  </si>
  <si>
    <t>VIEILLEVOYE</t>
  </si>
  <si>
    <t>Stéphanie</t>
  </si>
  <si>
    <t>6, rue de Prettange</t>
  </si>
  <si>
    <t>Hunsdorf</t>
  </si>
  <si>
    <t>L-7397</t>
  </si>
  <si>
    <t>L-7398</t>
  </si>
  <si>
    <t>2019 07 03 004 71</t>
  </si>
  <si>
    <t>691 672 159 (père)</t>
  </si>
  <si>
    <t>philippe.greis@gmail.com</t>
  </si>
  <si>
    <t>401008</t>
  </si>
  <si>
    <t>MAZLOUM</t>
  </si>
  <si>
    <t>Hassan</t>
  </si>
  <si>
    <t>Youssef</t>
  </si>
  <si>
    <t>F / américaine</t>
  </si>
  <si>
    <t>34, rue de Merschgrund</t>
  </si>
  <si>
    <t>L-8373</t>
  </si>
  <si>
    <t>Hobscheid</t>
  </si>
  <si>
    <t>2013 05 09 004 51</t>
  </si>
  <si>
    <t>2014 09 14 040 14</t>
  </si>
  <si>
    <t>691 998 691 (père)</t>
  </si>
  <si>
    <t>691 331 334 (mère)</t>
  </si>
  <si>
    <t>ahmedmazloum@hotmail.com</t>
  </si>
  <si>
    <t>692 998 691 (père)</t>
  </si>
  <si>
    <t>692 331 334 (mère)</t>
  </si>
  <si>
    <t>691 200 422</t>
  </si>
  <si>
    <t>temporairement inapte</t>
  </si>
  <si>
    <t>Stop procedure demande de licence</t>
  </si>
  <si>
    <t>691 697 889 (mère)</t>
  </si>
  <si>
    <t>621 824 729 (Resp.)</t>
  </si>
  <si>
    <t>621 552 060 (Pers. Contact)</t>
  </si>
  <si>
    <t>621 322 578 (mère)</t>
  </si>
  <si>
    <t>691 926 153 (mère)</t>
  </si>
  <si>
    <t>621 466 175 (mère)</t>
  </si>
  <si>
    <t>0049 15 125 496 485</t>
  </si>
  <si>
    <t>0038 344 653 666</t>
  </si>
  <si>
    <t>0033 608 065 932</t>
  </si>
  <si>
    <t>0033 601 070 732</t>
  </si>
  <si>
    <t>691 474 110 (mère)</t>
  </si>
  <si>
    <t>0049 176 321 496 39</t>
  </si>
  <si>
    <t>nadine.breser@hotmail.com</t>
  </si>
  <si>
    <t>20, Neie Wee</t>
  </si>
  <si>
    <t>L-6841</t>
  </si>
  <si>
    <t>Machtum</t>
  </si>
  <si>
    <t>1993 02 13 147 98</t>
  </si>
  <si>
    <t>DOBERDOLANI</t>
  </si>
  <si>
    <t>Luan</t>
  </si>
  <si>
    <t>Ilan</t>
  </si>
  <si>
    <t>Arlind</t>
  </si>
  <si>
    <t>F / allemande - française</t>
  </si>
  <si>
    <t>32, rue Gustave Wilhelmy</t>
  </si>
  <si>
    <t>adoberdolani@gmail.com</t>
  </si>
  <si>
    <t>401040</t>
  </si>
  <si>
    <t>401031</t>
  </si>
  <si>
    <t>401043</t>
  </si>
  <si>
    <t>1980 09 16 103 73</t>
  </si>
  <si>
    <t>HESSER</t>
  </si>
  <si>
    <t>Marius</t>
  </si>
  <si>
    <t>Jeanette</t>
  </si>
  <si>
    <t>1, rue Saint Laurent</t>
  </si>
  <si>
    <t>2019 11 26 017 63</t>
  </si>
  <si>
    <t>Jeanette.Hesser@hines.com</t>
  </si>
  <si>
    <t>jeannettehesser@yahoo.com</t>
  </si>
  <si>
    <t>BAULER</t>
  </si>
  <si>
    <t>17, rue Gustave Wilhelmy</t>
  </si>
  <si>
    <t>2015 12 04 003 59</t>
  </si>
  <si>
    <t>621 661 292 (père)</t>
  </si>
  <si>
    <t>691 798 219 (mère)</t>
  </si>
  <si>
    <t>baulerlaurent@gmail.com</t>
  </si>
  <si>
    <t>Jordan</t>
  </si>
  <si>
    <t>31. rue des Champs</t>
  </si>
  <si>
    <t>2002 02 21 039 57</t>
  </si>
  <si>
    <t>pirjo2102@hotmail.com</t>
  </si>
  <si>
    <t>PIRES MARTINS</t>
  </si>
  <si>
    <t>5001</t>
  </si>
  <si>
    <t>ROCHA MAJERUS</t>
  </si>
  <si>
    <t>Darius</t>
  </si>
  <si>
    <t>DE PINA ROCHA</t>
  </si>
  <si>
    <t>Tamara</t>
  </si>
  <si>
    <t>L-7560</t>
  </si>
  <si>
    <t>2018 08 26 003 25</t>
  </si>
  <si>
    <t>691207199 (mère)</t>
  </si>
  <si>
    <t>depinatamara@gmail.com</t>
  </si>
  <si>
    <t xml:space="preserve">
 courrier ???</t>
  </si>
  <si>
    <t>PILASKI</t>
  </si>
  <si>
    <t>Alina</t>
  </si>
  <si>
    <t>AKIKAWA</t>
  </si>
  <si>
    <t>Kotaro</t>
  </si>
  <si>
    <t>Minao</t>
  </si>
  <si>
    <t>E / japonaise</t>
  </si>
  <si>
    <t>32, rue de Diekirch</t>
  </si>
  <si>
    <t>L-7442</t>
  </si>
  <si>
    <t>2018 05 19 044 82</t>
  </si>
  <si>
    <t>621 218 818 (père)</t>
  </si>
  <si>
    <t>621 174 806 (mère)</t>
  </si>
  <si>
    <t>minao310@gmail.com</t>
  </si>
  <si>
    <t>ka8084a@gmail.com</t>
  </si>
  <si>
    <t>Eléa</t>
  </si>
  <si>
    <t>Nathanaël</t>
  </si>
  <si>
    <t>Sebastien</t>
  </si>
  <si>
    <t>FLAMENT</t>
  </si>
  <si>
    <t>8, rue Albert Lentz</t>
  </si>
  <si>
    <t>2017 01 07 002 57</t>
  </si>
  <si>
    <t>2019 12 05 012 15</t>
  </si>
  <si>
    <t>flament.ma@gmail.com</t>
  </si>
  <si>
    <t>schmitz.sebastien@gmail.com</t>
  </si>
  <si>
    <t>2017 12 13 018 06</t>
  </si>
  <si>
    <t>CHOURIS</t>
  </si>
  <si>
    <t>Hector</t>
  </si>
  <si>
    <t>Marios</t>
  </si>
  <si>
    <t>BINICHAKI</t>
  </si>
  <si>
    <t>Ionna</t>
  </si>
  <si>
    <t>G / anglaise</t>
  </si>
  <si>
    <t>29c, rue de Luxembourg</t>
  </si>
  <si>
    <t>2a, rue Lohrbierg</t>
  </si>
  <si>
    <t>2014 07 06 001 57</t>
  </si>
  <si>
    <t>1981 01 27 913 36</t>
  </si>
  <si>
    <t xml:space="preserve">1987 02 28 689 16 </t>
  </si>
  <si>
    <t>661 664 066 (père)</t>
  </si>
  <si>
    <t>661 664 266 (mère)</t>
  </si>
  <si>
    <t>binixaki@gmail.com</t>
  </si>
  <si>
    <t>mchour@hotmail.com</t>
  </si>
  <si>
    <t>PINTO CARVALHO</t>
  </si>
  <si>
    <t>Eva Maria</t>
  </si>
  <si>
    <t>RIBEIRO CARVALHO</t>
  </si>
  <si>
    <t xml:space="preserve">Sofia  </t>
  </si>
  <si>
    <t>34, Op der Strooss</t>
  </si>
  <si>
    <t>L-7650</t>
  </si>
  <si>
    <t>2018 08 02 002 20</t>
  </si>
  <si>
    <t>691 130 785 (père)</t>
  </si>
  <si>
    <t>621 318 311 (mère)</t>
  </si>
  <si>
    <t>pocahontas9021@hotmail.com</t>
  </si>
  <si>
    <t>pintomarco_7@msn.com</t>
  </si>
  <si>
    <t>401083</t>
  </si>
  <si>
    <t>401086</t>
  </si>
  <si>
    <t>401084</t>
  </si>
  <si>
    <t>401085</t>
  </si>
  <si>
    <t>401101</t>
  </si>
  <si>
    <t>401103</t>
  </si>
  <si>
    <t>401102</t>
  </si>
  <si>
    <t>401105</t>
  </si>
  <si>
    <t>26, An der Gewan</t>
  </si>
  <si>
    <t>L-9177</t>
  </si>
  <si>
    <t>A23</t>
  </si>
  <si>
    <t>1, Bloc E appart. 12 Centre Marisca</t>
  </si>
  <si>
    <t>Lio</t>
  </si>
  <si>
    <t>L-9171</t>
  </si>
  <si>
    <t>2020 07 28 011 02</t>
  </si>
  <si>
    <t>621624521 (père)</t>
  </si>
  <si>
    <t>401110</t>
  </si>
  <si>
    <t>401109</t>
  </si>
  <si>
    <t>401111</t>
  </si>
  <si>
    <t>JACOBSEN</t>
  </si>
  <si>
    <t xml:space="preserve">Joel </t>
  </si>
  <si>
    <t>22, Haaptstrooss</t>
  </si>
  <si>
    <t>1991 08 06 230 85</t>
  </si>
  <si>
    <t>joel.jacobsen@outlook.com</t>
  </si>
  <si>
    <t>7, Hauptstrooss</t>
  </si>
  <si>
    <t>L-9972</t>
  </si>
  <si>
    <t>Lieler</t>
  </si>
  <si>
    <t>6B, rue Knaeppchen</t>
  </si>
  <si>
    <t>L-7663</t>
  </si>
  <si>
    <t>F20</t>
  </si>
  <si>
    <t>STEINBACH</t>
  </si>
  <si>
    <t>Nick</t>
  </si>
  <si>
    <t>32B, rue de Steinsel</t>
  </si>
  <si>
    <t>2020 02 08 001 00</t>
  </si>
  <si>
    <t>691 930 390 (père)</t>
  </si>
  <si>
    <t>691 629 882 (mère)</t>
  </si>
  <si>
    <t>corinne_steinbach@yahoo.de</t>
  </si>
  <si>
    <t>Léonie</t>
  </si>
  <si>
    <t>F / autrichiene</t>
  </si>
  <si>
    <t>2016 06 17 013 69</t>
  </si>
  <si>
    <t>401117</t>
  </si>
  <si>
    <t>BUSCH</t>
  </si>
  <si>
    <t>AAMODT</t>
  </si>
  <si>
    <t>Eliott</t>
  </si>
  <si>
    <t>F / franco - luxembourgeoise</t>
  </si>
  <si>
    <t xml:space="preserve">29, rue Paul Eyschen </t>
  </si>
  <si>
    <t>L-7317</t>
  </si>
  <si>
    <t>46, rue Basse</t>
  </si>
  <si>
    <t>L-7307</t>
  </si>
  <si>
    <t>2009 04 11 072 91</t>
  </si>
  <si>
    <t>eliott@busch.lu</t>
  </si>
  <si>
    <t>eric@busch.lu</t>
  </si>
  <si>
    <t>aamodtastrid@gmail.com</t>
  </si>
  <si>
    <t>401125</t>
  </si>
  <si>
    <t>F129</t>
  </si>
  <si>
    <t>EFE</t>
  </si>
  <si>
    <t>YAGDI</t>
  </si>
  <si>
    <t>Meva</t>
  </si>
  <si>
    <t>Haci Arif</t>
  </si>
  <si>
    <t>Esma</t>
  </si>
  <si>
    <t>13A, route de Mersch</t>
  </si>
  <si>
    <t>2019 08 27 015 48</t>
  </si>
  <si>
    <t>661 451 382 (père)</t>
  </si>
  <si>
    <t>661 890 301 (mère)</t>
  </si>
  <si>
    <t>efeharif@gmail.com</t>
  </si>
  <si>
    <t>esma.yagdi01@gmail.com</t>
  </si>
  <si>
    <t>401136</t>
  </si>
  <si>
    <t>401135</t>
  </si>
  <si>
    <t>401134</t>
  </si>
  <si>
    <t>401140</t>
  </si>
  <si>
    <t>401141</t>
  </si>
  <si>
    <t>F130</t>
  </si>
  <si>
    <t>CONCONI</t>
  </si>
  <si>
    <t>KALMAN</t>
  </si>
  <si>
    <t>Filippo</t>
  </si>
  <si>
    <t>Paolo</t>
  </si>
  <si>
    <t>Anna Eszter</t>
  </si>
  <si>
    <t>I-H / luxembourgeoise</t>
  </si>
  <si>
    <t>I / française, anglaise</t>
  </si>
  <si>
    <t>H / française, anglaise</t>
  </si>
  <si>
    <t>22, rue des Vergers</t>
  </si>
  <si>
    <t>2018 05 12 002 33</t>
  </si>
  <si>
    <t>2021 01 10 010 79</t>
  </si>
  <si>
    <t>691 673 898 (père)</t>
  </si>
  <si>
    <t>691 673 899 (mère)</t>
  </si>
  <si>
    <t>anna.eszter.kalman@gmail.com</t>
  </si>
  <si>
    <t>conconipaol@gmail.com</t>
  </si>
  <si>
    <t>401157</t>
  </si>
  <si>
    <t>401166</t>
  </si>
  <si>
    <t>401167</t>
  </si>
  <si>
    <t>F131</t>
  </si>
  <si>
    <t>LIBRIZZI</t>
  </si>
  <si>
    <t>Francesco</t>
  </si>
  <si>
    <t>DOGARI</t>
  </si>
  <si>
    <t>Nineta</t>
  </si>
  <si>
    <t>50,route de Fischbach</t>
  </si>
  <si>
    <t>2018 07 11 010 54</t>
  </si>
  <si>
    <t>691 435 025 (père)</t>
  </si>
  <si>
    <t>691 243 337 (mère)</t>
  </si>
  <si>
    <t>librizzi.fra@gmail.com</t>
  </si>
  <si>
    <t>nineta.dogari@gmail.com</t>
  </si>
  <si>
    <t>15a, rue d'Ettelbruck</t>
  </si>
  <si>
    <t>1984 07 04 257 31</t>
  </si>
  <si>
    <t>GREISCHER</t>
  </si>
  <si>
    <t>Jean-Luc</t>
  </si>
  <si>
    <t>13, rue du Knapp</t>
  </si>
  <si>
    <t>1997 07 05 034 02</t>
  </si>
  <si>
    <t>greischer.jeanluc@gmail.com</t>
  </si>
  <si>
    <t>401190</t>
  </si>
  <si>
    <t>401192</t>
  </si>
  <si>
    <t>U 17 Dames</t>
  </si>
  <si>
    <t>U17F</t>
  </si>
  <si>
    <t>F132</t>
  </si>
  <si>
    <t>HOFFMANN</t>
  </si>
  <si>
    <t>FONCK</t>
  </si>
  <si>
    <t>Franky</t>
  </si>
  <si>
    <t>19b, rue de Buschdorf</t>
  </si>
  <si>
    <t>L-7417</t>
  </si>
  <si>
    <t>L-7419</t>
  </si>
  <si>
    <t>2018 02 27 007 86</t>
  </si>
  <si>
    <t>frank_ods@hotmail.com</t>
  </si>
  <si>
    <t>AJ-GL</t>
  </si>
  <si>
    <t>ana.ribeiro@education.lu</t>
  </si>
  <si>
    <t>Dani</t>
  </si>
  <si>
    <t>Camille</t>
  </si>
  <si>
    <t>2017 05 14 001 49</t>
  </si>
  <si>
    <t>401204</t>
  </si>
  <si>
    <t>A24</t>
  </si>
  <si>
    <t>MEDINGER WEBER</t>
  </si>
  <si>
    <t>Colyn Philip</t>
  </si>
  <si>
    <t xml:space="preserve">MEDINGER </t>
  </si>
  <si>
    <t>WEBER</t>
  </si>
  <si>
    <t>2, rue de la Gare</t>
  </si>
  <si>
    <t>2018 03 27 004 43</t>
  </si>
  <si>
    <t>621 239 604 (père)</t>
  </si>
  <si>
    <t>621 754 388 (mère)</t>
  </si>
  <si>
    <t>jeamed@pt.lu</t>
  </si>
  <si>
    <t>F5</t>
  </si>
  <si>
    <t>LE ROY MARECHAL</t>
  </si>
  <si>
    <t xml:space="preserve">LE ROY  </t>
  </si>
  <si>
    <t>MARECHAL</t>
  </si>
  <si>
    <t>5, Grondwee</t>
  </si>
  <si>
    <t>L-9045</t>
  </si>
  <si>
    <t>Ettelbrück</t>
  </si>
  <si>
    <t>2017 12 20 027 29</t>
  </si>
  <si>
    <t>1977 09 29 957 66</t>
  </si>
  <si>
    <t>1978 01 31 113 91</t>
  </si>
  <si>
    <t>esslerr@hotmail.com</t>
  </si>
  <si>
    <t>AYARI</t>
  </si>
  <si>
    <t>Wassim</t>
  </si>
  <si>
    <t>1997 04 14 011 09</t>
  </si>
  <si>
    <t>wassimayari16@gmail.com</t>
  </si>
  <si>
    <t>SYLVESTER</t>
  </si>
  <si>
    <t>Destiny Emmanuel</t>
  </si>
  <si>
    <t>65, rue Principal</t>
  </si>
  <si>
    <t>L-5367</t>
  </si>
  <si>
    <t>Schuttrange</t>
  </si>
  <si>
    <t>destinysylvester121@gmail.com</t>
  </si>
  <si>
    <t>2023, Membre</t>
  </si>
  <si>
    <t>227, rue Waassertrap</t>
  </si>
  <si>
    <t>L-4408</t>
  </si>
  <si>
    <t>Belvaux</t>
  </si>
  <si>
    <t>401206</t>
  </si>
  <si>
    <t>7, Helperterwee</t>
  </si>
  <si>
    <t>2001 06 16 396 37</t>
  </si>
  <si>
    <t>ASSEL</t>
  </si>
  <si>
    <t>1, rue Albert Lentz</t>
  </si>
  <si>
    <t>2016 03 14 002 57</t>
  </si>
  <si>
    <t>661 756 759 (père)</t>
  </si>
  <si>
    <t>paul.assel@education.lu</t>
  </si>
  <si>
    <t>JACQUELIN</t>
  </si>
  <si>
    <t>Rose</t>
  </si>
  <si>
    <t>F / luxembourgeoise/française</t>
  </si>
  <si>
    <t>16, rue Hurkes</t>
  </si>
  <si>
    <t>2019 04 18 002 79</t>
  </si>
  <si>
    <t>1989 01 26 020 00</t>
  </si>
  <si>
    <t>1987 10 16 545 92</t>
  </si>
  <si>
    <t>2020 07 16 023 91</t>
  </si>
  <si>
    <t>691 997 460 (père)</t>
  </si>
  <si>
    <t>691 800 206 (mère)</t>
  </si>
  <si>
    <t>692 997 460 (père)</t>
  </si>
  <si>
    <t>692 800 206 (mère)</t>
  </si>
  <si>
    <t>adrienjacquelin@gmail.com</t>
  </si>
  <si>
    <t>laura.brisard@icloud.com</t>
  </si>
  <si>
    <t>BARBIER VILA</t>
  </si>
  <si>
    <t xml:space="preserve">Alex </t>
  </si>
  <si>
    <t>F / Française-Espagnole</t>
  </si>
  <si>
    <t>F / Espagnole</t>
  </si>
  <si>
    <t xml:space="preserve">BARBIER </t>
  </si>
  <si>
    <t>Mickaël</t>
  </si>
  <si>
    <t>FLORIDO VILA</t>
  </si>
  <si>
    <t>12, rue de l'Eglise</t>
  </si>
  <si>
    <t>L-7446</t>
  </si>
  <si>
    <t>L-7448</t>
  </si>
  <si>
    <t>2020 12 16 004 23</t>
  </si>
  <si>
    <t>1988 11 08 731 38</t>
  </si>
  <si>
    <t>1987 07 06 904 55</t>
  </si>
  <si>
    <t>691 577 634 (père)</t>
  </si>
  <si>
    <t>691 843 599 (mère)</t>
  </si>
  <si>
    <t>sara.floridovila@gmail.com</t>
  </si>
  <si>
    <t>BAURAIN</t>
  </si>
  <si>
    <t>Auguste</t>
  </si>
  <si>
    <t xml:space="preserve">F / francaise </t>
  </si>
  <si>
    <t>45, rue de l'Ecole</t>
  </si>
  <si>
    <t>L-7445</t>
  </si>
  <si>
    <t>2020 04 12 011 14</t>
  </si>
  <si>
    <t>1986 01 27 779 33</t>
  </si>
  <si>
    <t>1989 02 21 567 48</t>
  </si>
  <si>
    <t>621 730 690 (père)</t>
  </si>
  <si>
    <t>691 992 270 (mère)</t>
  </si>
  <si>
    <t>maxime.baurain@outlook.com</t>
  </si>
  <si>
    <t>camille.fumery@gmail.com</t>
  </si>
  <si>
    <t>1976 05 30 215 16</t>
  </si>
  <si>
    <t>26-30, avenue JF Kennedy</t>
  </si>
  <si>
    <t>L-9053</t>
  </si>
  <si>
    <t>SANTOS PARIS</t>
  </si>
  <si>
    <t>Jorge Alberto</t>
  </si>
  <si>
    <t>00351 930 628 725</t>
  </si>
  <si>
    <t>jorgeparis22@gmail.com</t>
  </si>
  <si>
    <t>010746</t>
  </si>
  <si>
    <t>140401</t>
  </si>
  <si>
    <t>1986 03 25 244 80</t>
  </si>
  <si>
    <t>1994 01 11 045 71</t>
  </si>
  <si>
    <t>WEISSGERBER</t>
  </si>
  <si>
    <t>Tunn</t>
  </si>
  <si>
    <t>Pierre</t>
  </si>
  <si>
    <t>19,rue Gustave Wilhelmy</t>
  </si>
  <si>
    <t>10, Waldstrasse</t>
  </si>
  <si>
    <t>D-54310</t>
  </si>
  <si>
    <t>Ralingen</t>
  </si>
  <si>
    <t>2013 04 29 131 76</t>
  </si>
  <si>
    <t>621 325 219 (père)</t>
  </si>
  <si>
    <t>christine.Weisgerber@gmail.com</t>
  </si>
  <si>
    <t>661 260 183 (mère)</t>
  </si>
  <si>
    <t>1976 12 12 337 69</t>
  </si>
  <si>
    <t>1980 06 12 155 43</t>
  </si>
  <si>
    <t>FORTES FLOR</t>
  </si>
  <si>
    <t>36, rue um Boeschel</t>
  </si>
  <si>
    <t>L-9017</t>
  </si>
  <si>
    <t>5307</t>
  </si>
  <si>
    <t>401324</t>
  </si>
  <si>
    <t>2002 12 18 090 12</t>
  </si>
  <si>
    <t>lukasfortesflor@gmail.</t>
  </si>
  <si>
    <t>5319</t>
  </si>
  <si>
    <t>401333</t>
  </si>
  <si>
    <t>401332</t>
  </si>
  <si>
    <t>401331</t>
  </si>
  <si>
    <t>5327</t>
  </si>
  <si>
    <t>401338</t>
  </si>
  <si>
    <t>F46</t>
  </si>
  <si>
    <t>TEUSCH</t>
  </si>
  <si>
    <t>34, rue Principale</t>
  </si>
  <si>
    <t>L-9184</t>
  </si>
  <si>
    <t>Schrondweiler</t>
  </si>
  <si>
    <t>2013 02 16 057 19</t>
  </si>
  <si>
    <t>621 734 508 (père)</t>
  </si>
  <si>
    <t>fcmarisca@gmail.com</t>
  </si>
  <si>
    <t>PIERRET</t>
  </si>
  <si>
    <t>THOMSEN</t>
  </si>
  <si>
    <t>Mia</t>
  </si>
  <si>
    <t>Arnaud</t>
  </si>
  <si>
    <t>F / Belge/Danoise</t>
  </si>
  <si>
    <t>F / Danoise</t>
  </si>
  <si>
    <t>27, rue Mameranus</t>
  </si>
  <si>
    <t>L-8249</t>
  </si>
  <si>
    <t>2012 05 04 062 30</t>
  </si>
  <si>
    <t>661 822 408 (mère)</t>
  </si>
  <si>
    <t>lajne.thomsen@gmail.com</t>
  </si>
  <si>
    <t>FALL</t>
  </si>
  <si>
    <t>Marieme</t>
  </si>
  <si>
    <t>F / Sénégalaise</t>
  </si>
  <si>
    <t>58, Duerfstrooss</t>
  </si>
  <si>
    <t>L-9740</t>
  </si>
  <si>
    <t>Boevange/Clervaux</t>
  </si>
  <si>
    <t>1999 02 01 047 92</t>
  </si>
  <si>
    <t>marialfall@icloud.com</t>
  </si>
  <si>
    <t>401375</t>
  </si>
  <si>
    <t>401374</t>
  </si>
  <si>
    <t>5370</t>
  </si>
  <si>
    <t>F52</t>
  </si>
  <si>
    <t>ARENO</t>
  </si>
  <si>
    <t>Matis</t>
  </si>
  <si>
    <t>5, rue Père Bettendorff</t>
  </si>
  <si>
    <t>L-7458</t>
  </si>
  <si>
    <t>yschroeder@hotmail.com</t>
  </si>
  <si>
    <t>BATLEY</t>
  </si>
  <si>
    <t>Storm</t>
  </si>
  <si>
    <t>Christina</t>
  </si>
  <si>
    <t>14, rue des Roses</t>
  </si>
  <si>
    <t>L-8263</t>
  </si>
  <si>
    <t>661 810 607 (mère)</t>
  </si>
  <si>
    <t>christinabatley@hotmail.com</t>
  </si>
  <si>
    <t>2015 10 05 022 66</t>
  </si>
  <si>
    <t>2017 04 26 002 90</t>
  </si>
  <si>
    <t>2013 01 11 352 29</t>
  </si>
  <si>
    <t>PETOUO</t>
  </si>
  <si>
    <t>Berthold</t>
  </si>
  <si>
    <t>F / cameroonaise</t>
  </si>
  <si>
    <t>55, rue de Beggen</t>
  </si>
  <si>
    <t>L-1221</t>
  </si>
  <si>
    <t>1992 10 28 032 79</t>
  </si>
  <si>
    <t>petouoberthold@yahoo.com</t>
  </si>
  <si>
    <t>401390</t>
  </si>
  <si>
    <t>401397</t>
  </si>
  <si>
    <t>401396</t>
  </si>
  <si>
    <t>401402</t>
  </si>
  <si>
    <t>marcjungels@msn.com</t>
  </si>
  <si>
    <t>Emilia</t>
  </si>
  <si>
    <t>2021 08 15 005 52</t>
  </si>
  <si>
    <t>1984 06 20 134 57</t>
  </si>
  <si>
    <t>1984 01 08 123 98</t>
  </si>
  <si>
    <t>2020 09 03 015 85</t>
  </si>
  <si>
    <t>2017 12 17 009 59</t>
  </si>
  <si>
    <t>BÜCHLER</t>
  </si>
  <si>
    <t>KLYUCHKO</t>
  </si>
  <si>
    <t>Olha</t>
  </si>
  <si>
    <t>5, Enner den Thermen</t>
  </si>
  <si>
    <t>L-9137</t>
  </si>
  <si>
    <t>Schieren</t>
  </si>
  <si>
    <t>2018 07 05 016 02</t>
  </si>
  <si>
    <t>621 683 434 (père)</t>
  </si>
  <si>
    <t>621 639 458 (mère)</t>
  </si>
  <si>
    <t>marc.buchler@yahoo.de</t>
  </si>
  <si>
    <t>mickael.barbier.ieseg@gmail.com</t>
  </si>
  <si>
    <t>raelyn@rll.sg</t>
  </si>
  <si>
    <t>brigitteteunissen@gmail.com</t>
  </si>
  <si>
    <t>661 977 929 (père)</t>
  </si>
  <si>
    <t>691 408 000 (mère)</t>
  </si>
  <si>
    <t>180841</t>
  </si>
  <si>
    <t>401424</t>
  </si>
  <si>
    <t>Elyas</t>
  </si>
  <si>
    <t>2019 07 03 022 91</t>
  </si>
  <si>
    <t>saniye_tipirdamaz@yahoo.fr</t>
  </si>
  <si>
    <t>Saniyé</t>
  </si>
  <si>
    <t>HOLLARD TIPIRDAMAZ</t>
  </si>
  <si>
    <t>401426</t>
  </si>
  <si>
    <t>401428</t>
  </si>
  <si>
    <t>401427</t>
  </si>
  <si>
    <t>F55</t>
  </si>
  <si>
    <t>DELHALT</t>
  </si>
  <si>
    <t>Cléo</t>
  </si>
  <si>
    <t>Frédéric</t>
  </si>
  <si>
    <t>2020 04 15 002 77</t>
  </si>
  <si>
    <t>691 464 348 (père)</t>
  </si>
  <si>
    <t>schiltz.frederic@gmail.com</t>
  </si>
  <si>
    <t>401434</t>
  </si>
  <si>
    <t>RATHS</t>
  </si>
  <si>
    <t>Frederik</t>
  </si>
  <si>
    <t>16b, rue Hurkes</t>
  </si>
  <si>
    <t>2021 10 15 001 08</t>
  </si>
  <si>
    <t>benoit.krier@education.lu</t>
  </si>
  <si>
    <t>621 791 631 (père)</t>
  </si>
  <si>
    <t>691 714 662 (mère)</t>
  </si>
  <si>
    <t>annick.raths@education.lu</t>
  </si>
  <si>
    <t>RIUTTANEN-UIL</t>
  </si>
  <si>
    <t>Piia</t>
  </si>
  <si>
    <t>13, rue de Diekirch</t>
  </si>
  <si>
    <t>2017 12 25 007 99</t>
  </si>
  <si>
    <t>2019 12 11 017 23</t>
  </si>
  <si>
    <t xml:space="preserve">JUNG </t>
  </si>
  <si>
    <t>Nora</t>
  </si>
  <si>
    <t>14, rue Hiel</t>
  </si>
  <si>
    <t xml:space="preserve">L-7597 </t>
  </si>
  <si>
    <t>2020 11 07 005 16</t>
  </si>
  <si>
    <t>661911537 (père)</t>
  </si>
  <si>
    <t>alain.rauchs@hotmail.com</t>
  </si>
  <si>
    <t>401438</t>
  </si>
  <si>
    <t>401444</t>
  </si>
  <si>
    <t>2021 04 08 006 68</t>
  </si>
  <si>
    <t>Timo</t>
  </si>
  <si>
    <t>Antonio Manuel</t>
  </si>
  <si>
    <t>7, A Romescht</t>
  </si>
  <si>
    <t>DOS SANTOS</t>
  </si>
  <si>
    <t>1971 11 15 297 53</t>
  </si>
  <si>
    <t>401465</t>
  </si>
  <si>
    <t>5485</t>
  </si>
  <si>
    <t>16.111.23</t>
  </si>
  <si>
    <t>F88</t>
  </si>
  <si>
    <t>BONFILS</t>
  </si>
  <si>
    <t>Elena</t>
  </si>
  <si>
    <t>27, rue de l'Eglise</t>
  </si>
  <si>
    <t>L-6186</t>
  </si>
  <si>
    <t>Gonderange</t>
  </si>
  <si>
    <t>2021 03 04 037 60</t>
  </si>
  <si>
    <t>621 794 842 (mère)</t>
  </si>
  <si>
    <t>schmit.elena@gmail.com</t>
  </si>
  <si>
    <t>621 738 039</t>
  </si>
  <si>
    <t>691 240 152</t>
  </si>
  <si>
    <t>Flora</t>
  </si>
  <si>
    <t>2021 05 29 016 92</t>
  </si>
  <si>
    <t>F78</t>
  </si>
  <si>
    <t>WURTH</t>
  </si>
  <si>
    <t>MOECHER</t>
  </si>
  <si>
    <t>42, rue des Vergers</t>
  </si>
  <si>
    <t>2018 09 07 014 14</t>
  </si>
  <si>
    <t>691 329 129 (père)</t>
  </si>
  <si>
    <t>691 951 984 (mère)</t>
  </si>
  <si>
    <t>pipapongo@gmail.com</t>
  </si>
  <si>
    <t>mosli55@hotmail.com</t>
  </si>
  <si>
    <t>XIAN</t>
  </si>
  <si>
    <t>ZHOU</t>
  </si>
  <si>
    <t>Changfeng</t>
  </si>
  <si>
    <t>Yongxing</t>
  </si>
  <si>
    <t>Jian</t>
  </si>
  <si>
    <t>A / Chinoise</t>
  </si>
  <si>
    <t>13, rue J-P Glaesener</t>
  </si>
  <si>
    <t>L-7358</t>
  </si>
  <si>
    <t>2014 04 15 027 28</t>
  </si>
  <si>
    <t>621 424 881 (père)</t>
  </si>
  <si>
    <t>621 381 229 (mère)</t>
  </si>
  <si>
    <t>polymer_2005@sohu.com</t>
  </si>
  <si>
    <t>right2julie@gmail.com</t>
  </si>
  <si>
    <t>VAN DER WEKEN</t>
  </si>
  <si>
    <t>2001 12 04 172 40</t>
  </si>
  <si>
    <t>2022 02 09 017 34</t>
  </si>
  <si>
    <t>401508</t>
  </si>
  <si>
    <t>déménagé</t>
  </si>
  <si>
    <t>401511</t>
  </si>
  <si>
    <t>401512</t>
  </si>
  <si>
    <t>401513</t>
  </si>
  <si>
    <t>401514</t>
  </si>
  <si>
    <t>401515</t>
  </si>
  <si>
    <t>13, Geiferwee</t>
  </si>
  <si>
    <t>L-7481</t>
  </si>
  <si>
    <t>28, rue de Verdun</t>
  </si>
  <si>
    <t>1981 06 08 335 79</t>
  </si>
  <si>
    <t>WEZENBERG</t>
  </si>
  <si>
    <t>Dirk</t>
  </si>
  <si>
    <t>7, Wieweschgaessel</t>
  </si>
  <si>
    <t>L-5899</t>
  </si>
  <si>
    <t>Syren</t>
  </si>
  <si>
    <t>1981 05 27 237 37</t>
  </si>
  <si>
    <t>dirkwezenberg@yahoo.de</t>
  </si>
  <si>
    <t>ZWANK</t>
  </si>
  <si>
    <t>Theo</t>
  </si>
  <si>
    <t>MAURER</t>
  </si>
  <si>
    <t>35, rue Knepel</t>
  </si>
  <si>
    <t>2021 12 01 001 40</t>
  </si>
  <si>
    <t>1975 01 02 231 71</t>
  </si>
  <si>
    <t>1975 12 08 165 88</t>
  </si>
  <si>
    <t>26 20 07 67</t>
  </si>
  <si>
    <t>27 20 07 67</t>
  </si>
  <si>
    <t>28 20 07 67</t>
  </si>
  <si>
    <t>691 654 785 (père)</t>
  </si>
  <si>
    <t>691 456 576 (mère)</t>
  </si>
  <si>
    <t>luc.zwank@gtx.net</t>
  </si>
  <si>
    <t>semaurer@yahoo.co.uk</t>
  </si>
  <si>
    <t>FIHL HÖLZMER</t>
  </si>
  <si>
    <t xml:space="preserve">FIHL   </t>
  </si>
  <si>
    <t>Soren</t>
  </si>
  <si>
    <t>HÖLZMER</t>
  </si>
  <si>
    <t>Sibylle</t>
  </si>
  <si>
    <t>F97</t>
  </si>
  <si>
    <t>8, rue Jean Engling</t>
  </si>
  <si>
    <t>L-1466</t>
  </si>
  <si>
    <t>2018 08 13 008 66</t>
  </si>
  <si>
    <t>2020 11 17 009 12</t>
  </si>
  <si>
    <t>fihl@pt.lu</t>
  </si>
  <si>
    <t>H / hollande-Luxembourgeois</t>
  </si>
  <si>
    <t>401526</t>
  </si>
  <si>
    <t>401525</t>
  </si>
  <si>
    <t>franclimsougeroute@gmail.com</t>
  </si>
  <si>
    <t>0035 19 60 01 82 05</t>
  </si>
  <si>
    <t>401534</t>
  </si>
  <si>
    <t>F99</t>
  </si>
  <si>
    <t>BRANDT EIRO</t>
  </si>
  <si>
    <t>Bernardo</t>
  </si>
  <si>
    <t>EIRO</t>
  </si>
  <si>
    <t>Tomàs</t>
  </si>
  <si>
    <t>BRANDT</t>
  </si>
  <si>
    <t>F / brésiliene</t>
  </si>
  <si>
    <t>4, rue Théodore Pescatore</t>
  </si>
  <si>
    <t>L-7378</t>
  </si>
  <si>
    <t>L-7379</t>
  </si>
  <si>
    <t>L-7380</t>
  </si>
  <si>
    <t>2022 01 08 012 61</t>
  </si>
  <si>
    <t>1985 03 08 018 81</t>
  </si>
  <si>
    <t>1985 01 20 008 51</t>
  </si>
  <si>
    <t>621 523 369 (père)</t>
  </si>
  <si>
    <t>621 488 144 (mère)</t>
  </si>
  <si>
    <t>tomas.eiro@gmail.com</t>
  </si>
  <si>
    <t>sabrinabrandt1@gmail.com</t>
  </si>
  <si>
    <t>F102</t>
  </si>
  <si>
    <t>BOENIGK DAMIAN</t>
  </si>
  <si>
    <t xml:space="preserve">Amelie  </t>
  </si>
  <si>
    <t>DAMIAN</t>
  </si>
  <si>
    <t xml:space="preserve">BOENIGK </t>
  </si>
  <si>
    <t>Fabio</t>
  </si>
  <si>
    <t>F / Allemande</t>
  </si>
  <si>
    <t>A / Roumaine</t>
  </si>
  <si>
    <t>L7447</t>
  </si>
  <si>
    <t>671 156 198 (mère)</t>
  </si>
  <si>
    <t>fabio.boenigk@outlook.com</t>
  </si>
  <si>
    <t>GIL DE ALMEIDA MOREIRA</t>
  </si>
  <si>
    <t>Bruno Miguel</t>
  </si>
  <si>
    <t>F / Portuguaise</t>
  </si>
  <si>
    <t>77, route de Fischbach</t>
  </si>
  <si>
    <t>2021 12 08 007 40</t>
  </si>
  <si>
    <t>HALLDORSSON</t>
  </si>
  <si>
    <t>GUILLAUME</t>
  </si>
  <si>
    <t>Mireille</t>
  </si>
  <si>
    <t>Halldor</t>
  </si>
  <si>
    <t>Jonas</t>
  </si>
  <si>
    <t>9, rue Marthe Prim Welter</t>
  </si>
  <si>
    <t>L-6138</t>
  </si>
  <si>
    <t>2012 09 28 172 83</t>
  </si>
  <si>
    <t>621 274 171 (père)</t>
  </si>
  <si>
    <t>halldor.halldorsson@pt.lu</t>
  </si>
  <si>
    <t>8, rue des Haies</t>
  </si>
  <si>
    <t>B-6700</t>
  </si>
  <si>
    <t>HOCHSTRASSER</t>
  </si>
  <si>
    <t>Janika</t>
  </si>
  <si>
    <t>26, Chemin J-A Zinnen</t>
  </si>
  <si>
    <t>L-7626</t>
  </si>
  <si>
    <t>1995 01 24 066 75</t>
  </si>
  <si>
    <t>0049 174 625 605</t>
  </si>
  <si>
    <t>janika.hochstrasser@t-online.de</t>
  </si>
  <si>
    <t>moreira208@gmail.com</t>
  </si>
  <si>
    <t>401565</t>
  </si>
  <si>
    <t>401566</t>
  </si>
  <si>
    <t>100518</t>
  </si>
  <si>
    <t>401553</t>
  </si>
  <si>
    <t>401554</t>
  </si>
  <si>
    <t>Fivi</t>
  </si>
  <si>
    <t>2021 01 21 023 76</t>
  </si>
  <si>
    <t>1984 08 20 048 52</t>
  </si>
  <si>
    <t>401574</t>
  </si>
  <si>
    <t>621 700 553 (mère)</t>
  </si>
  <si>
    <t>691 828 756 (père)</t>
  </si>
  <si>
    <t>00351 965 210 668</t>
  </si>
  <si>
    <t>nouvelle licence / Arrêt reste Saison</t>
  </si>
  <si>
    <t>401583</t>
  </si>
  <si>
    <t>401587</t>
  </si>
  <si>
    <t>A / Néerlandaise</t>
  </si>
  <si>
    <t>lmimarantonio@gmail.com</t>
  </si>
  <si>
    <t>401569</t>
  </si>
  <si>
    <t>401594</t>
  </si>
  <si>
    <t>401603</t>
  </si>
  <si>
    <t>MATOS</t>
  </si>
  <si>
    <t>Joao</t>
  </si>
  <si>
    <t>21, rue du Moulin</t>
  </si>
  <si>
    <t>L-7621</t>
  </si>
  <si>
    <t>2003 08 12 531 50</t>
  </si>
  <si>
    <t>joaomatosgraca2003@gmail.com</t>
  </si>
  <si>
    <t>401611</t>
  </si>
  <si>
    <t>HUSSEIN</t>
  </si>
  <si>
    <t>Mohamed Gamal Demrdash</t>
  </si>
  <si>
    <t>A / égyptienne</t>
  </si>
  <si>
    <t>96, rue de Luxembourg</t>
  </si>
  <si>
    <t>1995 08 07 071 13</t>
  </si>
  <si>
    <t>mohamedgamaldi22@gmail.com</t>
  </si>
  <si>
    <t>401889</t>
  </si>
  <si>
    <t>U9M</t>
  </si>
  <si>
    <t>U 9 Dames</t>
  </si>
  <si>
    <t xml:space="preserve">U 9 Hommes </t>
  </si>
  <si>
    <t>401878</t>
  </si>
  <si>
    <t>401879</t>
  </si>
  <si>
    <t>MORENO</t>
  </si>
  <si>
    <t>MORENO ZALDIVAR</t>
  </si>
  <si>
    <t>CLOOS</t>
  </si>
  <si>
    <t>Lea</t>
  </si>
  <si>
    <t>2, rue Gustave Wilhelmy</t>
  </si>
  <si>
    <t>2016 02 16 004 04</t>
  </si>
  <si>
    <t>661 166 999 (père)</t>
  </si>
  <si>
    <t>661 723 316 (mère)</t>
  </si>
  <si>
    <t>anne.cloos@yahoo.de</t>
  </si>
  <si>
    <t>mirko-moreno@web.de</t>
  </si>
  <si>
    <t>EECKHAUT</t>
  </si>
  <si>
    <t>RADOGNA</t>
  </si>
  <si>
    <t>Antonia</t>
  </si>
  <si>
    <t>8, rue Jaansmillen</t>
  </si>
  <si>
    <t xml:space="preserve">L-7539 </t>
  </si>
  <si>
    <t>691 903 263 (père)</t>
  </si>
  <si>
    <t>eeckhaut.radogna@gmail.com</t>
  </si>
  <si>
    <t>2013 03 05 211 65</t>
  </si>
  <si>
    <t>DERNEDEN</t>
  </si>
  <si>
    <t>8, rue Hobsteltgen</t>
  </si>
  <si>
    <t>Redange/Attert</t>
  </si>
  <si>
    <t>2006 12 03 096 12</t>
  </si>
  <si>
    <t>dernedenm@gmail.com</t>
  </si>
  <si>
    <t>KOVAL</t>
  </si>
  <si>
    <t>Valentin</t>
  </si>
  <si>
    <t>8, rue Septfontaines</t>
  </si>
  <si>
    <t>1985 01 01 009 66</t>
  </si>
  <si>
    <t>valentin_koval@hotmail.com</t>
  </si>
  <si>
    <t>MANNES</t>
  </si>
  <si>
    <t>16B, rue Schaarfeneck</t>
  </si>
  <si>
    <t>L-8283</t>
  </si>
  <si>
    <t>2014 11 04 010 28</t>
  </si>
  <si>
    <t>621 241 541 (père)</t>
  </si>
  <si>
    <t>621 388 550 (mère)</t>
  </si>
  <si>
    <t>gaby.altenhoven@gmail.com</t>
  </si>
  <si>
    <t>130450</t>
  </si>
  <si>
    <t>3, rue Neuve</t>
  </si>
  <si>
    <t>401898</t>
  </si>
  <si>
    <t>BAUER</t>
  </si>
  <si>
    <t>Vicky</t>
  </si>
  <si>
    <t>6, Schéissbierg</t>
  </si>
  <si>
    <t>2020 02 24 002 84</t>
  </si>
  <si>
    <t>2022 06 15 009 81</t>
  </si>
  <si>
    <t>691 568 600 (père)</t>
  </si>
  <si>
    <t>621 783 377 (mère)</t>
  </si>
  <si>
    <t>cameleon.engage@yahoo.de</t>
  </si>
  <si>
    <t>MIGUELEZ LED</t>
  </si>
  <si>
    <t>MIGUELEZ LOPEZ</t>
  </si>
  <si>
    <t>LED TRIAS</t>
  </si>
  <si>
    <t>Miguel Angel</t>
  </si>
  <si>
    <t>Natalia</t>
  </si>
  <si>
    <t>19, rue Principale</t>
  </si>
  <si>
    <t>2017 03 10 003 64</t>
  </si>
  <si>
    <t>661 118 095 (père)</t>
  </si>
  <si>
    <t>661 118 094 (mère)</t>
  </si>
  <si>
    <t>natalialed@hotmail.com</t>
  </si>
  <si>
    <t>m_miguelez@hotmail.com</t>
  </si>
  <si>
    <t>401915</t>
  </si>
  <si>
    <t>24, Bd. G.-D. Charlotte</t>
  </si>
  <si>
    <t>L-9024</t>
  </si>
  <si>
    <t>1938</t>
  </si>
  <si>
    <t>1976 02 22 421 86</t>
  </si>
  <si>
    <t>kacha267@icloud.com</t>
  </si>
  <si>
    <t>401930</t>
  </si>
  <si>
    <t>401929</t>
  </si>
  <si>
    <t xml:space="preserve">SILVA  </t>
  </si>
  <si>
    <t>Marcos Antonio</t>
  </si>
  <si>
    <t>4, rue Jean Origer</t>
  </si>
  <si>
    <t>L-2269</t>
  </si>
  <si>
    <t>1990 05 16 053 62</t>
  </si>
  <si>
    <t>marc90s.silva@gmail.com</t>
  </si>
  <si>
    <t>nouvelle licence 24/26</t>
  </si>
  <si>
    <t>1959 06 04 111 40</t>
  </si>
  <si>
    <t>jm.breser@gmail.com</t>
  </si>
  <si>
    <t xml:space="preserve">Médico inapte temporairement </t>
  </si>
  <si>
    <t>F61</t>
  </si>
  <si>
    <t>MIGNOT</t>
  </si>
  <si>
    <t>Clement</t>
  </si>
  <si>
    <t>27, rue Dr.Jean-Pierre Glaesener</t>
  </si>
  <si>
    <t>L-9235</t>
  </si>
  <si>
    <t>2007 12 22 099 10</t>
  </si>
  <si>
    <t>661 874 186 (père)</t>
  </si>
  <si>
    <t>691 150 969 (mère)</t>
  </si>
  <si>
    <t>jmignot2212@gmail.com</t>
  </si>
  <si>
    <t>mignotlexy@gmail.com</t>
  </si>
  <si>
    <t>EBERHARDT</t>
  </si>
  <si>
    <t>Alexise</t>
  </si>
  <si>
    <t>401952</t>
  </si>
  <si>
    <t>F79</t>
  </si>
  <si>
    <t>SKOVGAARD</t>
  </si>
  <si>
    <t>Liam Greve</t>
  </si>
  <si>
    <t>Michael</t>
  </si>
  <si>
    <t>Wendi Greve</t>
  </si>
  <si>
    <t>16, rue Jean Baptiste Schwartz</t>
  </si>
  <si>
    <t>L-7342</t>
  </si>
  <si>
    <t>2014 06 11 213 01</t>
  </si>
  <si>
    <t>691 515 871 (père)</t>
  </si>
  <si>
    <t>691 458 246 (mère)</t>
  </si>
  <si>
    <t>wendi@skovgaard.lu</t>
  </si>
  <si>
    <t>michael@skovgaard.lu</t>
  </si>
  <si>
    <t>1974 11 26 691 35</t>
  </si>
  <si>
    <t>1978 03 10 408 62</t>
  </si>
  <si>
    <t>WEIS</t>
  </si>
  <si>
    <t>JOST</t>
  </si>
  <si>
    <t>Marcel</t>
  </si>
  <si>
    <t>Charles</t>
  </si>
  <si>
    <t>Catherine</t>
  </si>
  <si>
    <t>8, rue des Carrefours</t>
  </si>
  <si>
    <t>L-8124</t>
  </si>
  <si>
    <t>jostcat@gmail.com</t>
  </si>
  <si>
    <t>402004</t>
  </si>
  <si>
    <t>402005</t>
  </si>
  <si>
    <t>vanderwekenlouis01@gmail.com</t>
  </si>
  <si>
    <t>nadia.6.petersen@gmail.com</t>
  </si>
  <si>
    <t>FERRANTI MAYER</t>
  </si>
  <si>
    <t>FERRANTI</t>
  </si>
  <si>
    <t>Juna</t>
  </si>
  <si>
    <t xml:space="preserve">Eva  </t>
  </si>
  <si>
    <t>61, route de Mersch</t>
  </si>
  <si>
    <t>2019 02 15 002 24</t>
  </si>
  <si>
    <t>2019 02 15 003 00</t>
  </si>
  <si>
    <t>2015 09 12 000 61</t>
  </si>
  <si>
    <t>1977 05 23 195 33</t>
  </si>
  <si>
    <t>1984 11 29 108 35</t>
  </si>
  <si>
    <t>621 193 180 (père)</t>
  </si>
  <si>
    <t>621 730 324 (mère)</t>
  </si>
  <si>
    <t>catherinemayer84@gmail.com</t>
  </si>
  <si>
    <t>ferranti104@gmail.com</t>
  </si>
  <si>
    <t>BERTHEZENE</t>
  </si>
  <si>
    <t>113, route de Luxembourg</t>
  </si>
  <si>
    <t>L-7241</t>
  </si>
  <si>
    <t xml:space="preserve">Walferdange </t>
  </si>
  <si>
    <t>2000 02 23 022 12</t>
  </si>
  <si>
    <t>0679 576 916</t>
  </si>
  <si>
    <t>SCHANCK</t>
  </si>
  <si>
    <t>Dayne</t>
  </si>
  <si>
    <t xml:space="preserve">Paul </t>
  </si>
  <si>
    <t>ODEM</t>
  </si>
  <si>
    <t>23, Urtelbach</t>
  </si>
  <si>
    <t>2011 04 14 057 33</t>
  </si>
  <si>
    <t>661 790 810 (père)</t>
  </si>
  <si>
    <t>661 620 125 (mère)</t>
  </si>
  <si>
    <t>caroline.odem@education.lu</t>
  </si>
  <si>
    <t>pschanck@pt.lu</t>
  </si>
  <si>
    <t>620 290 403 (Mère)</t>
  </si>
  <si>
    <t>621 764 210</t>
  </si>
  <si>
    <t>E-Mail Mère:isabellepirson@pt.lu</t>
  </si>
  <si>
    <t>thomas8epps@gmail.com</t>
  </si>
  <si>
    <t>U15 Dames</t>
  </si>
  <si>
    <t>Fabio Daniel</t>
  </si>
  <si>
    <t xml:space="preserve">AMADOR FORTES  </t>
  </si>
  <si>
    <t>4, rue du Kockelberg</t>
  </si>
  <si>
    <t>L-9252</t>
  </si>
  <si>
    <t>2001 10 04 044 79</t>
  </si>
  <si>
    <t>fabioamador2001@gmail.com</t>
  </si>
  <si>
    <t>ANTUNES CLOOS</t>
  </si>
  <si>
    <t>Keo</t>
  </si>
  <si>
    <t>BRANCKAERT</t>
  </si>
  <si>
    <t>ANTUNES BERNARDINO</t>
  </si>
  <si>
    <t>2014 08 12 001 68</t>
  </si>
  <si>
    <t>621 430 204 (père)</t>
  </si>
  <si>
    <t>661 699 000 (mère)</t>
  </si>
  <si>
    <t>branckaert.vanessa@hotmail.fr</t>
  </si>
  <si>
    <t>antunesmarco@outlook.com</t>
  </si>
  <si>
    <t>402064</t>
  </si>
  <si>
    <t>402063</t>
  </si>
  <si>
    <t>402062</t>
  </si>
  <si>
    <t>402088</t>
  </si>
  <si>
    <t>402087</t>
  </si>
  <si>
    <t>402086</t>
  </si>
  <si>
    <t>F111</t>
  </si>
  <si>
    <t>10, rue des Noyers</t>
  </si>
  <si>
    <t>L-7384</t>
  </si>
  <si>
    <t>2020 12 20 010 38</t>
  </si>
  <si>
    <t>622 287 291 (père)</t>
  </si>
  <si>
    <t>greis.christophe@gmail.com</t>
  </si>
  <si>
    <t>HORNICK</t>
  </si>
  <si>
    <t>DE LORENZI</t>
  </si>
  <si>
    <t>DEMUTH</t>
  </si>
  <si>
    <t>27, Tommesknapp</t>
  </si>
  <si>
    <t>2017 08 18 008 21</t>
  </si>
  <si>
    <t>691 311 820 (mère)</t>
  </si>
  <si>
    <t>monia.demuth@gmail.com</t>
  </si>
  <si>
    <t>Licence à supprimer?</t>
  </si>
  <si>
    <t>2024, Membre</t>
  </si>
  <si>
    <t>LUXQF4 &amp; LUXQF3</t>
  </si>
  <si>
    <t>LUXQF2</t>
  </si>
  <si>
    <t>LUXQF1</t>
  </si>
  <si>
    <t>Entraîneur Diplôme</t>
  </si>
  <si>
    <t>LUXQF3 ?</t>
  </si>
  <si>
    <t>LUXQF2 Bis</t>
  </si>
  <si>
    <t>Tribunal fédéral d'appel</t>
  </si>
  <si>
    <t>NO</t>
  </si>
  <si>
    <t>402135</t>
  </si>
  <si>
    <t>Cert. Med. ok</t>
  </si>
  <si>
    <t>402162</t>
  </si>
  <si>
    <t>17,12,24</t>
  </si>
  <si>
    <t>402161</t>
  </si>
  <si>
    <t>ZEBROWSKY</t>
  </si>
  <si>
    <t>Amélia</t>
  </si>
  <si>
    <t>402163</t>
  </si>
  <si>
    <t>2022 01 14 025 02</t>
  </si>
  <si>
    <t>sjzebrowsky@gmail.com</t>
  </si>
  <si>
    <t>621 765 406 (père)</t>
  </si>
  <si>
    <t>691 118 239 (mère)</t>
  </si>
  <si>
    <t>Julien</t>
  </si>
  <si>
    <t>4, rue Roger Leiner</t>
  </si>
  <si>
    <t>L-7527</t>
  </si>
  <si>
    <t>1987 02 26 228 01</t>
  </si>
  <si>
    <t>F114</t>
  </si>
  <si>
    <t>Lily</t>
  </si>
  <si>
    <t>Ania</t>
  </si>
  <si>
    <t>2020 12 05 016 95</t>
  </si>
  <si>
    <t>671 170 583 (père)</t>
  </si>
  <si>
    <t>F116</t>
  </si>
  <si>
    <t>SEBERT</t>
  </si>
  <si>
    <t>Henrik</t>
  </si>
  <si>
    <t>Grégory</t>
  </si>
  <si>
    <t>KRAEWINKELS</t>
  </si>
  <si>
    <t>Kirsten</t>
  </si>
  <si>
    <t>1, Beiewee</t>
  </si>
  <si>
    <t>2020 12 23 007 63</t>
  </si>
  <si>
    <t>621 615 316 (père)</t>
  </si>
  <si>
    <t>gregory.sebert@gmail.com</t>
  </si>
  <si>
    <t>RIBEIRO DE MEDEIROS</t>
  </si>
  <si>
    <t>Stefhanee</t>
  </si>
  <si>
    <t>F / brésilienne</t>
  </si>
  <si>
    <t>L-8814</t>
  </si>
  <si>
    <t>Bigonville</t>
  </si>
  <si>
    <t>1996 11 27 055 44</t>
  </si>
  <si>
    <t>stefhanee@gmail.com</t>
  </si>
  <si>
    <t>FROIDEVAUX</t>
  </si>
  <si>
    <t>Mayla</t>
  </si>
  <si>
    <t>12b, Fielserstrooss</t>
  </si>
  <si>
    <t>L-7640</t>
  </si>
  <si>
    <t>Chrisnach</t>
  </si>
  <si>
    <t>2021 04 15 010 90</t>
  </si>
  <si>
    <t>692 855 676 (père)</t>
  </si>
  <si>
    <t>afroide@hotmail.fr</t>
  </si>
  <si>
    <t>marc.buchler@education.lu</t>
  </si>
  <si>
    <t>7E, rue de Brouch</t>
  </si>
  <si>
    <t>402185</t>
  </si>
  <si>
    <t>402200</t>
  </si>
  <si>
    <t>402203</t>
  </si>
  <si>
    <t>402204</t>
  </si>
  <si>
    <t>402205</t>
  </si>
  <si>
    <t>40552</t>
  </si>
  <si>
    <t>5, Op der Strooss</t>
  </si>
  <si>
    <t>1995 09 10 197 83</t>
  </si>
  <si>
    <t>frian197@hotmail.com</t>
  </si>
  <si>
    <t>ANDRIEN</t>
  </si>
  <si>
    <t>Morgane</t>
  </si>
  <si>
    <t>VASARI</t>
  </si>
  <si>
    <t>Mendy</t>
  </si>
  <si>
    <t>F119</t>
  </si>
  <si>
    <t>68, rue d'Arlon</t>
  </si>
  <si>
    <t>L-7415</t>
  </si>
  <si>
    <t>2020 09 04 005 85</t>
  </si>
  <si>
    <t>691 539 588 (mère)</t>
  </si>
  <si>
    <t>vasari.mendy@hotmail.com</t>
  </si>
  <si>
    <t>402216</t>
  </si>
  <si>
    <t>F126</t>
  </si>
  <si>
    <t>MARTINEZ DOSSOW</t>
  </si>
  <si>
    <t>MARTINEZ SOLANO</t>
  </si>
  <si>
    <t>Jose Domingo</t>
  </si>
  <si>
    <t>DOSSOW</t>
  </si>
  <si>
    <t>Annemarie</t>
  </si>
  <si>
    <t>3, rue de la Vallée</t>
  </si>
  <si>
    <t>691 982 030 (père)</t>
  </si>
  <si>
    <t>691 394 449 (mère)</t>
  </si>
  <si>
    <t>domingogomartinez@gmail.com</t>
  </si>
  <si>
    <t>402226</t>
  </si>
  <si>
    <t>402227</t>
  </si>
  <si>
    <t>24, an der Uecht</t>
  </si>
  <si>
    <t xml:space="preserve">Max </t>
  </si>
  <si>
    <t>2014 11 07 001 86</t>
  </si>
  <si>
    <t>paulo.ribeiro1982@outlook.com</t>
  </si>
  <si>
    <t>DEVELDER</t>
  </si>
  <si>
    <t>Elise</t>
  </si>
  <si>
    <t>43,rue de Blaschette</t>
  </si>
  <si>
    <t>L-7353</t>
  </si>
  <si>
    <t>Stefaan</t>
  </si>
  <si>
    <t>KRATOCHVILOVA</t>
  </si>
  <si>
    <t>Kristina</t>
  </si>
  <si>
    <t>2021 01 17 008 40</t>
  </si>
  <si>
    <t>621 599 686 (père)</t>
  </si>
  <si>
    <t>661 846 521 (mère)</t>
  </si>
  <si>
    <t>steffan_develder@hotmail.com</t>
  </si>
  <si>
    <t>kristinakratochvilova@hotmail.com</t>
  </si>
  <si>
    <t>ansay.p.a.mathis@gmail.com</t>
  </si>
  <si>
    <t>VALENTE ESTEVES</t>
  </si>
  <si>
    <t>Ilda</t>
  </si>
  <si>
    <t>37,Bd. Pierre Dupont</t>
  </si>
  <si>
    <t>L-4086</t>
  </si>
  <si>
    <t>2003 09 17 147 42</t>
  </si>
  <si>
    <t>ildavalenteesteves@gmail.com</t>
  </si>
  <si>
    <t>BERTEMES</t>
  </si>
  <si>
    <t>Milo</t>
  </si>
  <si>
    <t>HÖHN</t>
  </si>
  <si>
    <t>Kirstin</t>
  </si>
  <si>
    <t>47a,rue de Kehlen</t>
  </si>
  <si>
    <t>L-8295</t>
  </si>
  <si>
    <t>F127</t>
  </si>
  <si>
    <t>2015 08 13 009 70</t>
  </si>
  <si>
    <t>691 687 347 (père)</t>
  </si>
  <si>
    <t>691 238 288 (mère)</t>
  </si>
  <si>
    <t>jhempb@yahoo.com</t>
  </si>
  <si>
    <t>1985 02 13 014 16</t>
  </si>
  <si>
    <t>402518</t>
  </si>
  <si>
    <t>402519</t>
  </si>
  <si>
    <t>402522</t>
  </si>
  <si>
    <t>402524</t>
  </si>
  <si>
    <t>F77</t>
  </si>
  <si>
    <t>HAMRO-DROTZ</t>
  </si>
  <si>
    <t>KAHROBAEL</t>
  </si>
  <si>
    <t>Ava Freya</t>
  </si>
  <si>
    <t>Avid Nicole</t>
  </si>
  <si>
    <t>Robin</t>
  </si>
  <si>
    <t>Nazli</t>
  </si>
  <si>
    <t>F / luxembourgeoise / finlandaise</t>
  </si>
  <si>
    <t>22, Am Wangert</t>
  </si>
  <si>
    <t>2014 05 04 003 53</t>
  </si>
  <si>
    <t>2016 05 12 018 12</t>
  </si>
  <si>
    <t>661 444 151 (père)</t>
  </si>
  <si>
    <t>661 444 158 (mère)</t>
  </si>
  <si>
    <t>nazli.hamrodrotz@gmail.com</t>
  </si>
  <si>
    <t>robin.hamrodrotz@gmail.com</t>
  </si>
  <si>
    <t>402529</t>
  </si>
  <si>
    <t>BLANC</t>
  </si>
  <si>
    <t>29B, rue d'Ettelbrück</t>
  </si>
  <si>
    <t>01,06,25</t>
  </si>
  <si>
    <t>0049 151 105 733 79</t>
  </si>
  <si>
    <t>blanc.max18@gmail.com</t>
  </si>
  <si>
    <t>1989 02 13 055 01</t>
  </si>
  <si>
    <t>castellano.virginio@gmail.com</t>
  </si>
  <si>
    <t>clem.berthezene@gmail.com</t>
  </si>
  <si>
    <t>6846</t>
  </si>
  <si>
    <t>402777</t>
  </si>
  <si>
    <t>402779</t>
  </si>
  <si>
    <r>
      <t xml:space="preserve">Catégorie Listing 
</t>
    </r>
    <r>
      <rPr>
        <b/>
        <sz val="10"/>
        <color rgb="FFFF0000"/>
        <rFont val="Arial"/>
        <family val="2"/>
      </rPr>
      <t>FLH 2025-2026</t>
    </r>
  </si>
  <si>
    <t>U7 Mixte</t>
  </si>
  <si>
    <t>2025 - 2026</t>
  </si>
  <si>
    <t>91-04</t>
  </si>
  <si>
    <t>05-08</t>
  </si>
  <si>
    <t>09-10</t>
  </si>
  <si>
    <t>11-12</t>
  </si>
  <si>
    <t>&lt; 90</t>
  </si>
  <si>
    <t>13-14</t>
  </si>
  <si>
    <t>15-16</t>
  </si>
  <si>
    <t>17-18</t>
  </si>
  <si>
    <t>91-08</t>
  </si>
  <si>
    <t>&gt; 21</t>
  </si>
  <si>
    <t>&gt; 19</t>
  </si>
  <si>
    <t>A25</t>
  </si>
  <si>
    <t>F128</t>
  </si>
  <si>
    <t>BEGIC</t>
  </si>
  <si>
    <t>Taira</t>
  </si>
  <si>
    <t>Sanel</t>
  </si>
  <si>
    <t>Belma</t>
  </si>
  <si>
    <t>10,rue Fernand Schwachtgen</t>
  </si>
  <si>
    <t>L-7538</t>
  </si>
  <si>
    <t>nouvelle licence 25/26</t>
  </si>
  <si>
    <t>2017 05 29 025 67</t>
  </si>
  <si>
    <t>661 798 179 (père)</t>
  </si>
  <si>
    <t>621 367 930 (mère)</t>
  </si>
  <si>
    <t>begicbelma@hotmail.com</t>
  </si>
  <si>
    <t>ARSENIJEVIC</t>
  </si>
  <si>
    <t>Srecko</t>
  </si>
  <si>
    <t>Katarina</t>
  </si>
  <si>
    <t>2, rue de Gosseldange</t>
  </si>
  <si>
    <t>L-7536</t>
  </si>
  <si>
    <t>2014 07 28 007 67</t>
  </si>
  <si>
    <t>srecko83z@gmail.com</t>
  </si>
  <si>
    <t>CROITORU</t>
  </si>
  <si>
    <t>7, rue Père Bettendorff</t>
  </si>
  <si>
    <t>L-4785</t>
  </si>
  <si>
    <t>2014 04 21 163 72</t>
  </si>
  <si>
    <t>olegcroitoru@gmail.com</t>
  </si>
  <si>
    <t>licence supprimée</t>
  </si>
  <si>
    <t>Médico apte temporairement jusqu'au 12.10.2024</t>
  </si>
  <si>
    <t>Médico inapte temporairement</t>
  </si>
  <si>
    <t xml:space="preserve"> F133</t>
  </si>
  <si>
    <t>GENNARI</t>
  </si>
  <si>
    <t>Iris Johanna</t>
  </si>
  <si>
    <t>SCHULTZ</t>
  </si>
  <si>
    <t>Margret</t>
  </si>
  <si>
    <t>8, Impass Aloise Kayser</t>
  </si>
  <si>
    <t>Schiltzbierg</t>
  </si>
  <si>
    <t>L-6175</t>
  </si>
  <si>
    <t>Maison 5</t>
  </si>
  <si>
    <t>2014 08 11 031 48</t>
  </si>
  <si>
    <t>28 77 61 94</t>
  </si>
  <si>
    <t>661 139 088 (père)</t>
  </si>
  <si>
    <t>691 102 616 (mère)</t>
  </si>
  <si>
    <t>alexandergennari@yahoo.fr</t>
  </si>
  <si>
    <t>margretschulz@orange.fr</t>
  </si>
  <si>
    <t>F134</t>
  </si>
  <si>
    <t>3392</t>
  </si>
  <si>
    <t>FERRING</t>
  </si>
  <si>
    <t>GAMOT</t>
  </si>
  <si>
    <t>12A, rue des Soeurs Franciscaines</t>
  </si>
  <si>
    <t>201 06 22 008 27</t>
  </si>
  <si>
    <t>celine.gamot02@gmail.com</t>
  </si>
  <si>
    <t>F135</t>
  </si>
  <si>
    <t>F136</t>
  </si>
  <si>
    <t>BOSSERS</t>
  </si>
  <si>
    <t>Leonie</t>
  </si>
  <si>
    <t>23, rue du Château</t>
  </si>
  <si>
    <t>2018 08 23 014 27</t>
  </si>
  <si>
    <t>661 618 531 (père)</t>
  </si>
  <si>
    <t>621 571 149 (mère)</t>
  </si>
  <si>
    <t>vickybinck@hotmail.com</t>
  </si>
  <si>
    <t>bossergilles@hotmail.com</t>
  </si>
  <si>
    <t>POIREL</t>
  </si>
  <si>
    <t>Amara</t>
  </si>
  <si>
    <t>Maureen</t>
  </si>
  <si>
    <t>57a, rue d'Arlon</t>
  </si>
  <si>
    <t>2015 01 10 030 39</t>
  </si>
  <si>
    <t>cheroreen@yahoo.com</t>
  </si>
  <si>
    <t>thopo57@hotmail.com</t>
  </si>
  <si>
    <t>401 412 833 (père)</t>
  </si>
  <si>
    <t>661 792 917 (mère)</t>
  </si>
  <si>
    <t>MAY</t>
  </si>
  <si>
    <t>ENSCH</t>
  </si>
  <si>
    <t>Valérie</t>
  </si>
  <si>
    <t>19, Allée St Hubert</t>
  </si>
  <si>
    <t>L-8139</t>
  </si>
  <si>
    <t>4, rue Lucien Wercollier</t>
  </si>
  <si>
    <t>L-8156</t>
  </si>
  <si>
    <t>2014 09 29 006 55</t>
  </si>
  <si>
    <t>691 237 686 (père)</t>
  </si>
  <si>
    <t>691 901 172 (mère)</t>
  </si>
  <si>
    <t>vensch@pt.lu</t>
  </si>
  <si>
    <t>ericmay@pt.lu</t>
  </si>
  <si>
    <t>F137</t>
  </si>
  <si>
    <t>SCHILTZ-LOSCH</t>
  </si>
  <si>
    <t>18, rue des Noyers</t>
  </si>
  <si>
    <t>L-7594</t>
  </si>
  <si>
    <t>2015 11 15 004 14</t>
  </si>
  <si>
    <t>621 277 037 (père)</t>
  </si>
  <si>
    <t>691 477 316 (mère)</t>
  </si>
  <si>
    <t>elisabeth.losch@education.lu</t>
  </si>
  <si>
    <t>claude.schiltz@education.lu</t>
  </si>
  <si>
    <t>Licence reactivée 25/26</t>
  </si>
  <si>
    <t>F138</t>
  </si>
  <si>
    <t>F139</t>
  </si>
  <si>
    <t>EICH</t>
  </si>
  <si>
    <t>EICH-LANG</t>
  </si>
  <si>
    <t>4, an der Kéier</t>
  </si>
  <si>
    <t>L-8363</t>
  </si>
  <si>
    <t>Greisch</t>
  </si>
  <si>
    <t>621 255 430 (père)</t>
  </si>
  <si>
    <t>621 785 490 (mère)</t>
  </si>
  <si>
    <t>kim88.lang@yahoo.de</t>
  </si>
  <si>
    <t>2017 11 07 005 62</t>
  </si>
  <si>
    <t>1992 04 07 024 79</t>
  </si>
  <si>
    <t>Matti</t>
  </si>
  <si>
    <t>2019 09 27 012 04</t>
  </si>
  <si>
    <t xml:space="preserve">nouvelle licence 25/26 </t>
  </si>
  <si>
    <t>37,rue Knepel</t>
  </si>
  <si>
    <t>2022 07 08 021 11</t>
  </si>
  <si>
    <t>RIOUAL</t>
  </si>
  <si>
    <t>Estelle</t>
  </si>
  <si>
    <t>23, rue Georges Schwartz</t>
  </si>
  <si>
    <t>1194 15 05 055 85</t>
  </si>
  <si>
    <t>0033 673 052 172</t>
  </si>
  <si>
    <t>rioual.estelle@gmail.com</t>
  </si>
  <si>
    <t>402844</t>
  </si>
  <si>
    <t>402845</t>
  </si>
  <si>
    <t>402846</t>
  </si>
  <si>
    <t>402850</t>
  </si>
  <si>
    <t>402861</t>
  </si>
  <si>
    <t>402857</t>
  </si>
  <si>
    <t>402835</t>
  </si>
  <si>
    <t>402852</t>
  </si>
  <si>
    <t>402877</t>
  </si>
  <si>
    <t>2015 15 21 017 64</t>
  </si>
  <si>
    <t>2013 03 12 137 45</t>
  </si>
  <si>
    <t>WALKER</t>
  </si>
  <si>
    <t>Amelie</t>
  </si>
  <si>
    <t>Simon</t>
  </si>
  <si>
    <t>Amy</t>
  </si>
  <si>
    <t>22, rue de Septfontaines</t>
  </si>
  <si>
    <t>2016 05 30 003 19</t>
  </si>
  <si>
    <t>691 162 398 (père)</t>
  </si>
  <si>
    <t>691 162 668 (mère)</t>
  </si>
  <si>
    <t>simon120414@gmail.com</t>
  </si>
  <si>
    <t>Jean-Baptiste</t>
  </si>
  <si>
    <t>2016 07 16 031 87</t>
  </si>
  <si>
    <t>402917</t>
  </si>
  <si>
    <t>402908</t>
  </si>
  <si>
    <t>F140</t>
  </si>
  <si>
    <t>ROBERT RAYNAUD</t>
  </si>
  <si>
    <t>F141</t>
  </si>
  <si>
    <t>F142</t>
  </si>
  <si>
    <t>2022 09 13 031 13</t>
  </si>
  <si>
    <t>raynaud.camille90@gmail.com</t>
  </si>
  <si>
    <t>Myriam</t>
  </si>
  <si>
    <t>AGREBI</t>
  </si>
  <si>
    <t>7, rue Gruenewald</t>
  </si>
  <si>
    <t>L-7392</t>
  </si>
  <si>
    <t>F143</t>
  </si>
  <si>
    <t>2022 03 14 004 37</t>
  </si>
  <si>
    <t>agrebimyriam@hotmail.com</t>
  </si>
  <si>
    <t>STEEN</t>
  </si>
  <si>
    <t>Juliette</t>
  </si>
  <si>
    <t>Austin</t>
  </si>
  <si>
    <t>MC INERNEY</t>
  </si>
  <si>
    <t>Aisling</t>
  </si>
  <si>
    <t>IRL / anglaise</t>
  </si>
  <si>
    <t>8, rue de Schoos</t>
  </si>
  <si>
    <t xml:space="preserve">L-7410 </t>
  </si>
  <si>
    <t>L-7412</t>
  </si>
  <si>
    <t>L-7413</t>
  </si>
  <si>
    <t>2021 08 31 026 15</t>
  </si>
  <si>
    <t>2023 02 06 007 66</t>
  </si>
  <si>
    <t>691 237 513 (père)</t>
  </si>
  <si>
    <t>691 202 532 (mère)</t>
  </si>
  <si>
    <t>steenfamily1@outlook.com</t>
  </si>
  <si>
    <t>Cammille</t>
  </si>
  <si>
    <t>MC KEON</t>
  </si>
  <si>
    <t>Sonny</t>
  </si>
  <si>
    <t>RAMCILOVIC</t>
  </si>
  <si>
    <t>Dina</t>
  </si>
  <si>
    <t>24, rue de l'Avenir</t>
  </si>
  <si>
    <t>L-7211</t>
  </si>
  <si>
    <t>2022 01 21 023 65</t>
  </si>
  <si>
    <t>691 842 609 (père)</t>
  </si>
  <si>
    <t>691 286 840 (mère)</t>
  </si>
  <si>
    <t>dinaramcilovic@yahoo.com</t>
  </si>
  <si>
    <t>2021 09 17 008 62</t>
  </si>
  <si>
    <t>7037</t>
  </si>
  <si>
    <t>402932</t>
  </si>
  <si>
    <t>F144</t>
  </si>
  <si>
    <t>Finn</t>
  </si>
  <si>
    <t>41d, rue de Mamer</t>
  </si>
  <si>
    <t>L-8280</t>
  </si>
  <si>
    <t>2012 03 13 038 45</t>
  </si>
  <si>
    <t>benetim@pt.lu</t>
  </si>
  <si>
    <t>KUGELER</t>
  </si>
  <si>
    <t>402913</t>
  </si>
  <si>
    <t>7057</t>
  </si>
  <si>
    <t>402942</t>
  </si>
  <si>
    <t>POULLES</t>
  </si>
  <si>
    <t>GROSSE-STRANGMANN</t>
  </si>
  <si>
    <t>Chiara</t>
  </si>
  <si>
    <t>15a Lohrbierg</t>
  </si>
  <si>
    <t>F145</t>
  </si>
  <si>
    <t>402929</t>
  </si>
  <si>
    <t>2016 07 22 000 54</t>
  </si>
  <si>
    <t>661 737 558 (pére)</t>
  </si>
  <si>
    <t>691 988 571 (mère)</t>
  </si>
  <si>
    <t>gpoulles@gmail.com</t>
  </si>
  <si>
    <t>Krisshelle</t>
  </si>
  <si>
    <t>2, rue Emile Laux</t>
  </si>
  <si>
    <t>L-7544</t>
  </si>
  <si>
    <t>F146</t>
  </si>
  <si>
    <t>Hailey</t>
  </si>
  <si>
    <t>2021 03 13 007 88</t>
  </si>
  <si>
    <t>691 714 035 (père)</t>
  </si>
  <si>
    <t>691 543 921 (mère)</t>
  </si>
  <si>
    <t>lucweber09@hotmail.com</t>
  </si>
  <si>
    <t>krishelle@hotmail.com</t>
  </si>
  <si>
    <t>L-7537</t>
  </si>
  <si>
    <t>nouvelle licence 25/27</t>
  </si>
  <si>
    <t>2016 11 18 001 30</t>
  </si>
  <si>
    <t>F147</t>
  </si>
  <si>
    <t>Elio</t>
  </si>
  <si>
    <t>Anouchka</t>
  </si>
  <si>
    <t>38, rue de la Bergerie</t>
  </si>
  <si>
    <t>2023 01 22 004 43</t>
  </si>
  <si>
    <t>vic.weiler@icloud.com</t>
  </si>
  <si>
    <t>14.09.16+AD175:AL175</t>
  </si>
  <si>
    <t>7074</t>
  </si>
  <si>
    <t>MCKEON</t>
  </si>
  <si>
    <t>Fionn</t>
  </si>
  <si>
    <t>2019 10 07 014 74</t>
  </si>
  <si>
    <t xml:space="preserve">Vic </t>
  </si>
  <si>
    <t>402949</t>
  </si>
  <si>
    <t>402978</t>
  </si>
  <si>
    <t>OGUINE</t>
  </si>
  <si>
    <t>Olaedo Chinomso</t>
  </si>
  <si>
    <t xml:space="preserve">Henri </t>
  </si>
  <si>
    <t>16, rue des Près</t>
  </si>
  <si>
    <t>L-7561</t>
  </si>
  <si>
    <t>2014 04 03 084 76</t>
  </si>
  <si>
    <t>henry.oguine@gmail.com</t>
  </si>
  <si>
    <t>403008</t>
  </si>
  <si>
    <t>REIFER</t>
  </si>
  <si>
    <t>Leonard</t>
  </si>
  <si>
    <t>Marija</t>
  </si>
  <si>
    <t>24, rue Knepel</t>
  </si>
  <si>
    <t>2018 05 03 011 58</t>
  </si>
  <si>
    <t>marijapetereifer@gmail.com</t>
  </si>
  <si>
    <t>REIFER PETE</t>
  </si>
  <si>
    <t xml:space="preserve">       </t>
  </si>
  <si>
    <t>Sofija</t>
  </si>
  <si>
    <t>403011</t>
  </si>
  <si>
    <t>403024</t>
  </si>
  <si>
    <t>2c, rue de la Chapelle</t>
  </si>
  <si>
    <t>L-9188</t>
  </si>
  <si>
    <t>1992 02 25 317 52</t>
  </si>
  <si>
    <t>dossantosrenato07@gmail.com</t>
  </si>
  <si>
    <t>Renato Daniel</t>
  </si>
  <si>
    <t>F148</t>
  </si>
  <si>
    <t>PASCU</t>
  </si>
  <si>
    <t>Theodor</t>
  </si>
  <si>
    <t>Georgian</t>
  </si>
  <si>
    <t>56, Mnt. Willy Goergen</t>
  </si>
  <si>
    <t>2015 02 18 060 12</t>
  </si>
  <si>
    <t>george_pascu@ymail.com</t>
  </si>
  <si>
    <t>0031 6 15288577</t>
  </si>
  <si>
    <t>ROSCA</t>
  </si>
  <si>
    <t>Andrei</t>
  </si>
  <si>
    <t>Adrian</t>
  </si>
  <si>
    <t>Irina</t>
  </si>
  <si>
    <t>1, rue Jean-Pierre Sauvage</t>
  </si>
  <si>
    <t>F149</t>
  </si>
  <si>
    <t>2015 11 05 012 68</t>
  </si>
  <si>
    <t>rosca.adi@gmail.com</t>
  </si>
  <si>
    <t>rosca.ionela.irina@gmail.com</t>
  </si>
  <si>
    <t>400134</t>
  </si>
  <si>
    <t>403178</t>
  </si>
  <si>
    <t>F150</t>
  </si>
  <si>
    <t>LACKNER</t>
  </si>
  <si>
    <t>Mahuwènan</t>
  </si>
  <si>
    <t>Manfred</t>
  </si>
  <si>
    <t>LACKNER HOUNWANOU</t>
  </si>
  <si>
    <t>Rosaline</t>
  </si>
  <si>
    <t>A / autrichienne</t>
  </si>
  <si>
    <t>1 Bloc C, Centre Marisca</t>
  </si>
  <si>
    <t xml:space="preserve">  </t>
  </si>
  <si>
    <t>2017 05 30 002 26</t>
  </si>
  <si>
    <t>rosalinelackner@gmail.com</t>
  </si>
  <si>
    <t>F151</t>
  </si>
  <si>
    <t>MANGIOSI FODOR</t>
  </si>
  <si>
    <t>Sofia Alexandra</t>
  </si>
  <si>
    <t>FODOR</t>
  </si>
  <si>
    <t>F / greque</t>
  </si>
  <si>
    <t>22,rue de Colmar-Berg</t>
  </si>
  <si>
    <t>1975 11 01 009 67</t>
  </si>
  <si>
    <t>2017 03 20 014 13</t>
  </si>
  <si>
    <t>crisfodor@gmail.com</t>
  </si>
  <si>
    <t>F152</t>
  </si>
  <si>
    <t>Amélie</t>
  </si>
  <si>
    <t>Björn</t>
  </si>
  <si>
    <t>Minna</t>
  </si>
  <si>
    <t>F / finlandaise</t>
  </si>
  <si>
    <t>31,Cité JF Kennedy</t>
  </si>
  <si>
    <t>L-7234</t>
  </si>
  <si>
    <t>2016 04 08 005 59</t>
  </si>
  <si>
    <t>bjornevholmberg@gmail.com</t>
  </si>
  <si>
    <t>kovanen.minna@gmail.com</t>
  </si>
  <si>
    <t>HOLMBERG</t>
  </si>
  <si>
    <t>403194</t>
  </si>
  <si>
    <t>L-2514</t>
  </si>
  <si>
    <t>403188</t>
  </si>
  <si>
    <t>403192</t>
  </si>
  <si>
    <t>403195</t>
  </si>
  <si>
    <t>MICA</t>
  </si>
  <si>
    <t>Olivia</t>
  </si>
  <si>
    <t>MICA VALENTIN</t>
  </si>
  <si>
    <t>Catalin</t>
  </si>
  <si>
    <t>Oana</t>
  </si>
  <si>
    <t>F / luxembourgeoise roumaine</t>
  </si>
  <si>
    <t xml:space="preserve">F / luxembourgeoise </t>
  </si>
  <si>
    <t>16, rue Camille Kleber</t>
  </si>
  <si>
    <t>2019 06 06 008 67</t>
  </si>
  <si>
    <t>catalin_mica@yahoo.com</t>
  </si>
  <si>
    <t>KIEFFER</t>
  </si>
  <si>
    <t>21, rue de Luxembourg</t>
  </si>
  <si>
    <t>L-7330</t>
  </si>
  <si>
    <t>1999 02 12 166 47</t>
  </si>
  <si>
    <t>liz.k1999@outlook.com</t>
  </si>
  <si>
    <r>
      <t xml:space="preserve">nouvelle licence 25/26 / </t>
    </r>
    <r>
      <rPr>
        <b/>
        <sz val="10"/>
        <color rgb="FFFF0000"/>
        <rFont val="Arial"/>
        <family val="2"/>
      </rPr>
      <t xml:space="preserve">Inapte temporairement </t>
    </r>
  </si>
  <si>
    <t>403225</t>
  </si>
  <si>
    <t>403230</t>
  </si>
  <si>
    <t>No</t>
  </si>
  <si>
    <t>???</t>
  </si>
  <si>
    <t xml:space="preserve"> apte temporairement jusqu'au 07.04.2026</t>
  </si>
  <si>
    <t xml:space="preserve">Inapte temporairement </t>
  </si>
  <si>
    <t>LENGLET</t>
  </si>
  <si>
    <t>Benjamin</t>
  </si>
  <si>
    <t>Cedric</t>
  </si>
  <si>
    <t>IMPEY</t>
  </si>
  <si>
    <t>Joanna</t>
  </si>
  <si>
    <t>F / Belge Britanique</t>
  </si>
  <si>
    <t>12, um Knapp</t>
  </si>
  <si>
    <t>L-7779</t>
  </si>
  <si>
    <t>2020 03 18 017 32</t>
  </si>
  <si>
    <t>c.lenglet@mf.me</t>
  </si>
  <si>
    <t>!!!</t>
  </si>
  <si>
    <t>403546</t>
  </si>
  <si>
    <t>REINERT</t>
  </si>
  <si>
    <t>JUNCK</t>
  </si>
  <si>
    <t>42, rue Belle-vue</t>
  </si>
  <si>
    <t>2021 06 02 009 49</t>
  </si>
  <si>
    <t>621 708 686 (père)</t>
  </si>
  <si>
    <t>621 502 977 (mère)</t>
  </si>
  <si>
    <t>junckisa@hotmail.com</t>
  </si>
  <si>
    <t>403587</t>
  </si>
  <si>
    <t>Apte temporairement jusqu'au 05.08.26</t>
  </si>
  <si>
    <t>F53</t>
  </si>
  <si>
    <t>TOISUL LINSTER</t>
  </si>
  <si>
    <t xml:space="preserve">TOISUL </t>
  </si>
  <si>
    <t>LINSTER</t>
  </si>
  <si>
    <t>37, rue Joseph Hackin</t>
  </si>
  <si>
    <t>2015 07 23 003 90</t>
  </si>
  <si>
    <t>691 457 054 (père)</t>
  </si>
  <si>
    <t>691 567 058 (mère)</t>
  </si>
  <si>
    <t>steve_toisul@hotmail.com</t>
  </si>
  <si>
    <t>FODOR MANGIOSI</t>
  </si>
  <si>
    <t>Sofia-Alexandra</t>
  </si>
  <si>
    <t xml:space="preserve">FODOR </t>
  </si>
  <si>
    <t>MANGIOSIS</t>
  </si>
  <si>
    <t>Georgios</t>
  </si>
  <si>
    <t>22, rue de Colmar-Berg</t>
  </si>
  <si>
    <t>661 115 657 (père)</t>
  </si>
  <si>
    <t>661 115 656 (mère)</t>
  </si>
  <si>
    <t>F153</t>
  </si>
  <si>
    <t>LUCAS DE ALMEIDA</t>
  </si>
  <si>
    <t>Vicente</t>
  </si>
  <si>
    <t xml:space="preserve">LUCAS </t>
  </si>
  <si>
    <t>Eugenia</t>
  </si>
  <si>
    <t>Frederico</t>
  </si>
  <si>
    <t>56, rue Scheerbach</t>
  </si>
  <si>
    <t>L-7625</t>
  </si>
  <si>
    <t>2014 09 13 027 95</t>
  </si>
  <si>
    <t>661 113 163 (mère)</t>
  </si>
  <si>
    <t>661 813 163 (père)</t>
  </si>
  <si>
    <t>eugeniamdlucas@gmail.com</t>
  </si>
  <si>
    <t>403610</t>
  </si>
  <si>
    <t>403812</t>
  </si>
  <si>
    <t>F154</t>
  </si>
  <si>
    <t>STARK POLINSKI</t>
  </si>
  <si>
    <t>Rafael</t>
  </si>
  <si>
    <t xml:space="preserve">STARK  </t>
  </si>
  <si>
    <t>Guillaume</t>
  </si>
  <si>
    <t>POLINSKA</t>
  </si>
  <si>
    <t>Patrycja</t>
  </si>
  <si>
    <t>85, rue de Diekirch</t>
  </si>
  <si>
    <t>2022 10 12 014 58</t>
  </si>
  <si>
    <t>661 364 016 (père)</t>
  </si>
  <si>
    <t>691 114 419 (mère)</t>
  </si>
  <si>
    <t>guillaume.patrycja@gmail.com</t>
  </si>
  <si>
    <t>nouvelle licence 25/26 / apte temporairement jusqu'au 26.08.2026)</t>
  </si>
  <si>
    <t>403834</t>
  </si>
  <si>
    <t>F93</t>
  </si>
  <si>
    <t>LANGE</t>
  </si>
  <si>
    <t>Amalia</t>
  </si>
  <si>
    <t>MURAT</t>
  </si>
  <si>
    <t>1, rue Alsbich</t>
  </si>
  <si>
    <t>2014 02 21 067 28</t>
  </si>
  <si>
    <t>691 419 128 (père)</t>
  </si>
  <si>
    <t>691 233 822 (mère)</t>
  </si>
  <si>
    <t>chloe.murat@education.lu</t>
  </si>
  <si>
    <t>FLAMMANG</t>
  </si>
  <si>
    <t>003408</t>
  </si>
  <si>
    <t>Transfert IN</t>
  </si>
  <si>
    <t>1954 08 13 … ..</t>
  </si>
  <si>
    <t>403840</t>
  </si>
  <si>
    <r>
      <t xml:space="preserve">pour contacter voir contact famille / </t>
    </r>
    <r>
      <rPr>
        <b/>
        <sz val="10"/>
        <color rgb="FFFF0000"/>
        <rFont val="Arial"/>
        <family val="2"/>
      </rPr>
      <t>Médico apte temporairement jusqu'au 02.07.2026</t>
    </r>
  </si>
  <si>
    <t>F155</t>
  </si>
  <si>
    <t>MARTINY</t>
  </si>
  <si>
    <t>SEBENICO</t>
  </si>
  <si>
    <t xml:space="preserve">9a, rue Lucien Wercollier </t>
  </si>
  <si>
    <t>nouvelle licence 26/27</t>
  </si>
  <si>
    <t>2013 11 08 134 79</t>
  </si>
  <si>
    <t>621 198 606 (père)</t>
  </si>
  <si>
    <t>661 771 662 (mère)</t>
  </si>
  <si>
    <t>line.sebenico@yahoo.com</t>
  </si>
  <si>
    <r>
      <t xml:space="preserve">Catégorie Listing 
</t>
    </r>
    <r>
      <rPr>
        <b/>
        <sz val="11"/>
        <color rgb="FFFF0000"/>
        <rFont val="Arial"/>
        <family val="2"/>
      </rPr>
      <t>FLH 2026-2027</t>
    </r>
  </si>
  <si>
    <t>F156</t>
  </si>
  <si>
    <t>ANTHONSEN</t>
  </si>
  <si>
    <t>GRÜNER</t>
  </si>
  <si>
    <t>Rasmus Meier</t>
  </si>
  <si>
    <t>Mie Celine</t>
  </si>
  <si>
    <t>6, rue Basse</t>
  </si>
  <si>
    <t>L-8313</t>
  </si>
  <si>
    <t>2016 04 22 063 60</t>
  </si>
  <si>
    <t>691 348 144 (père)</t>
  </si>
  <si>
    <t>691 151 731 (mère)</t>
  </si>
  <si>
    <t>celgrun@gmail.com</t>
  </si>
  <si>
    <t>403860</t>
  </si>
  <si>
    <t>2026 - 2027</t>
  </si>
  <si>
    <t>92-05</t>
  </si>
  <si>
    <t>06-09</t>
  </si>
  <si>
    <t>10-11</t>
  </si>
  <si>
    <t>12-13</t>
  </si>
  <si>
    <t>&lt; 91</t>
  </si>
  <si>
    <t>14-15</t>
  </si>
  <si>
    <t>16-17</t>
  </si>
  <si>
    <t>18-19</t>
  </si>
  <si>
    <t>92-09</t>
  </si>
  <si>
    <t>&gt; 22</t>
  </si>
  <si>
    <t>&gt; 20</t>
  </si>
  <si>
    <t>403861</t>
  </si>
  <si>
    <r>
      <t xml:space="preserve">Catégorie interne Mersch75 </t>
    </r>
    <r>
      <rPr>
        <b/>
        <sz val="10"/>
        <color rgb="FFFF0000"/>
        <rFont val="Arial"/>
        <family val="2"/>
      </rPr>
      <t>2026-2027</t>
    </r>
  </si>
  <si>
    <t>A26</t>
  </si>
  <si>
    <t>F8</t>
  </si>
  <si>
    <t>GONCALVES SOARES</t>
  </si>
  <si>
    <t>PEREIRA GONCALVES</t>
  </si>
  <si>
    <t>Lucilia</t>
  </si>
  <si>
    <t>44, rue Principale</t>
  </si>
  <si>
    <t>nouvelle licence 16/27</t>
  </si>
  <si>
    <t>2016 12 15 009 81</t>
  </si>
  <si>
    <t>xilaflash80@gmail.com</t>
  </si>
  <si>
    <t>MARZADORI</t>
  </si>
  <si>
    <t>140729</t>
  </si>
  <si>
    <t>1990 11 03 073 14</t>
  </si>
  <si>
    <t>marzadorisascha@hotmail.de</t>
  </si>
  <si>
    <t>rue Wantergaass</t>
  </si>
  <si>
    <t>KNOPS</t>
  </si>
  <si>
    <t xml:space="preserve">Michel </t>
  </si>
  <si>
    <t>Véronique</t>
  </si>
  <si>
    <t>53, Zanerknupp</t>
  </si>
  <si>
    <t>2015 09 22 024 44</t>
  </si>
  <si>
    <t>691 475 433 (père)</t>
  </si>
  <si>
    <t>661 660 966 (mère)</t>
  </si>
  <si>
    <t>veromoien@hotmail.com</t>
  </si>
  <si>
    <t>5, rue Félicie Schlesser</t>
  </si>
  <si>
    <t>L-9072</t>
  </si>
  <si>
    <t>F157</t>
  </si>
  <si>
    <t>F158</t>
  </si>
  <si>
    <t>F159</t>
  </si>
  <si>
    <t>F160</t>
  </si>
  <si>
    <t>2026, Membre</t>
  </si>
  <si>
    <t>2020, Membre</t>
  </si>
  <si>
    <t>2022, Président</t>
  </si>
  <si>
    <t>1984 08 11 177 32</t>
  </si>
  <si>
    <t>KUSABA</t>
  </si>
  <si>
    <t>f / Uganda</t>
  </si>
  <si>
    <t>77, rue d'Arlon</t>
  </si>
  <si>
    <t>2003 05 22 039 09</t>
  </si>
  <si>
    <t>kevinkusaba@gmail.com</t>
  </si>
  <si>
    <t>Oleg</t>
  </si>
  <si>
    <t>Secrétaire adjoint</t>
  </si>
  <si>
    <t>2026, Membre / SBO Jugend</t>
  </si>
  <si>
    <t>BEADER</t>
  </si>
  <si>
    <t>Ella</t>
  </si>
  <si>
    <t>Veljko</t>
  </si>
  <si>
    <t>LOKIN-BEADER</t>
  </si>
  <si>
    <t>Renata</t>
  </si>
  <si>
    <t>69, rue de Colmar-Berg</t>
  </si>
  <si>
    <t>2019 06 14 022 79</t>
  </si>
  <si>
    <t>691 286 621 (père)</t>
  </si>
  <si>
    <t>691 258 502 (mère)</t>
  </si>
  <si>
    <t>r.lokin-beader@eif.org</t>
  </si>
  <si>
    <t>Sexe</t>
  </si>
  <si>
    <t>Langue</t>
  </si>
  <si>
    <t>Nationalité</t>
  </si>
  <si>
    <t>Nei Cat</t>
  </si>
  <si>
    <t>Card-ID</t>
  </si>
  <si>
    <t>AL Cat</t>
  </si>
  <si>
    <t>Nei CAT</t>
  </si>
  <si>
    <t>Al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</si>
</sst>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"/>
    <numFmt numFmtId="165" formatCode="d/mm/yyyy"/>
    <numFmt numFmtId="166" formatCode="dd\.mm\.yy"/>
    <numFmt numFmtId="167" formatCode="&quot;$&quot;#,##0.00"/>
  </numFmts>
  <fonts count="45" x14ac:knownFonts="1">
    <font>
      <sz val="10"/>
      <color rgb="FF000000"/>
      <name val="Arial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FF0000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rgb="FFFF000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5" tint="-0.499984740745262"/>
      <name val="Arial"/>
      <family val="2"/>
    </font>
    <font>
      <sz val="10"/>
      <color theme="5" tint="-0.499984740745262"/>
      <name val="Arial"/>
      <family val="2"/>
    </font>
    <font>
      <b/>
      <sz val="10"/>
      <name val="Arial"/>
      <family val="2"/>
    </font>
    <font>
      <sz val="11"/>
      <color rgb="FFFF0000"/>
      <name val="Times New Roman"/>
      <family val="1"/>
    </font>
    <font>
      <sz val="10"/>
      <color rgb="FFFF0000"/>
      <name val="Verdana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u/>
      <sz val="9"/>
      <color rgb="FFFF0000"/>
      <name val="Arial"/>
      <family val="2"/>
    </font>
    <font>
      <sz val="9"/>
      <color rgb="FFFF000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rgb="FF222222"/>
      <name val="Arial"/>
      <family val="2"/>
    </font>
    <font>
      <u/>
      <sz val="10"/>
      <color rgb="FF0563C1"/>
      <name val="Arial"/>
      <family val="2"/>
    </font>
    <font>
      <b/>
      <sz val="10"/>
      <color rgb="FF0563C1"/>
      <name val="Arial"/>
      <family val="2"/>
    </font>
    <font>
      <sz val="10"/>
      <color rgb="FF474747"/>
      <name val="Arial"/>
      <family val="2"/>
    </font>
    <font>
      <u/>
      <sz val="10"/>
      <color rgb="FF0000CC"/>
      <name val="Arial"/>
      <family val="2"/>
    </font>
    <font>
      <b/>
      <u/>
      <sz val="10"/>
      <color rgb="FF0000FF"/>
      <name val="Arial"/>
      <family val="2"/>
    </font>
    <font>
      <u/>
      <sz val="10"/>
      <name val="Arial"/>
      <family val="2"/>
    </font>
    <font>
      <sz val="11"/>
      <name val="Calibri"/>
      <family val="2"/>
    </font>
    <font>
      <b/>
      <sz val="10"/>
      <color rgb="FFFF0505"/>
      <name val="Arial"/>
      <family val="2"/>
    </font>
    <font>
      <sz val="10"/>
      <color rgb="FFFF0505"/>
      <name val="Arial"/>
      <family val="2"/>
    </font>
    <font>
      <u/>
      <sz val="10"/>
      <color rgb="FFFF0505"/>
      <name val="Arial"/>
      <family val="2"/>
    </font>
    <font>
      <sz val="10"/>
      <color rgb="FF0563C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92D050"/>
        <bgColor rgb="FF92D050"/>
      </patternFill>
    </fill>
    <fill>
      <patternFill patternType="solid">
        <fgColor rgb="FFFF99FF"/>
        <bgColor rgb="FFFF99FF"/>
      </patternFill>
    </fill>
    <fill>
      <patternFill patternType="solid">
        <fgColor rgb="FFE5DFEC"/>
        <bgColor rgb="FFE5DFEC"/>
      </patternFill>
    </fill>
    <fill>
      <patternFill patternType="solid">
        <fgColor rgb="FFFFCCFF"/>
        <bgColor rgb="FFFFCCFF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E5DFEC"/>
      </patternFill>
    </fill>
    <fill>
      <patternFill patternType="solid">
        <fgColor theme="8" tint="0.59999389629810485"/>
        <bgColor rgb="FF92D05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rgb="FFFFFF00"/>
      </patternFill>
    </fill>
    <fill>
      <patternFill patternType="solid">
        <fgColor theme="7" tint="0.79998168889431442"/>
        <bgColor rgb="FF92D05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5DFEC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rgb="FFB8CCE4"/>
      </patternFill>
    </fill>
    <fill>
      <patternFill patternType="solid">
        <fgColor rgb="FFCCFFFF"/>
        <bgColor indexed="64"/>
      </patternFill>
    </fill>
    <fill>
      <patternFill patternType="solid">
        <fgColor theme="7" tint="0.59999389629810485"/>
        <bgColor rgb="FF92D05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E5DFEC"/>
      </patternFill>
    </fill>
    <fill>
      <patternFill patternType="solid">
        <fgColor rgb="FFFFF5D5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rgb="FFFFEBFA"/>
        <bgColor indexed="64"/>
      </patternFill>
    </fill>
    <fill>
      <patternFill patternType="solid">
        <fgColor rgb="FFCCFFCC"/>
        <bgColor rgb="FFB8CCE4"/>
      </patternFill>
    </fill>
    <fill>
      <patternFill patternType="solid">
        <fgColor rgb="FFCCFF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rgb="FFFFFF00"/>
      </patternFill>
    </fill>
    <fill>
      <patternFill patternType="solid">
        <fgColor rgb="FFFFFF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BFA"/>
        <bgColor rgb="FFFFFF00"/>
      </patternFill>
    </fill>
    <fill>
      <patternFill patternType="solid">
        <fgColor rgb="FF00FFFF"/>
        <bgColor indexed="64"/>
      </patternFill>
    </fill>
  </fills>
  <borders count="65"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hair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hair">
        <color indexed="64"/>
      </right>
      <top style="hair">
        <color indexed="64"/>
      </top>
      <bottom style="hair">
        <color rgb="FF000000"/>
      </bottom>
      <diagonal/>
    </border>
    <border>
      <left/>
      <right style="hair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indexed="64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/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rgb="FF00000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rgb="FF000000"/>
      </top>
      <bottom/>
      <diagonal/>
    </border>
    <border>
      <left/>
      <right style="hair">
        <color indexed="64"/>
      </right>
      <top style="hair">
        <color rgb="FF000000"/>
      </top>
      <bottom/>
      <diagonal/>
    </border>
    <border>
      <left style="hair">
        <color indexed="64"/>
      </left>
      <right style="hair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871">
    <xf numFmtId="0" fontId="0" fillId="0" borderId="0" xfId="0" applyAlignment="1">
      <alignment vertic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14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0" fillId="4" borderId="4" xfId="0" applyFill="1" applyBorder="1" applyAlignment="1">
      <alignment vertical="center"/>
    </xf>
    <xf numFmtId="49" fontId="0" fillId="0" borderId="4" xfId="0" applyNumberFormat="1" applyBorder="1" applyAlignment="1">
      <alignment horizontal="right" vertical="center"/>
    </xf>
    <xf numFmtId="0" fontId="0" fillId="0" borderId="4" xfId="0" applyBorder="1"/>
    <xf numFmtId="0" fontId="4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49" fontId="0" fillId="0" borderId="4" xfId="0" applyNumberForma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49" fontId="9" fillId="0" borderId="4" xfId="0" applyNumberFormat="1" applyFont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49" fontId="4" fillId="7" borderId="4" xfId="0" applyNumberFormat="1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1" fontId="2" fillId="0" borderId="4" xfId="0" applyNumberFormat="1" applyFont="1" applyBorder="1" applyAlignment="1">
      <alignment horizontal="center"/>
    </xf>
    <xf numFmtId="49" fontId="0" fillId="0" borderId="4" xfId="0" applyNumberFormat="1" applyBorder="1" applyAlignment="1">
      <alignment horizontal="left"/>
    </xf>
    <xf numFmtId="0" fontId="3" fillId="0" borderId="4" xfId="0" applyFont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left"/>
    </xf>
    <xf numFmtId="49" fontId="14" fillId="8" borderId="4" xfId="0" applyNumberFormat="1" applyFont="1" applyFill="1" applyBorder="1" applyAlignment="1">
      <alignment horizontal="left" vertical="center"/>
    </xf>
    <xf numFmtId="1" fontId="12" fillId="2" borderId="4" xfId="0" applyNumberFormat="1" applyFont="1" applyFill="1" applyBorder="1" applyAlignment="1">
      <alignment horizontal="left" vertical="center"/>
    </xf>
    <xf numFmtId="1" fontId="12" fillId="2" borderId="4" xfId="0" applyNumberFormat="1" applyFont="1" applyFill="1" applyBorder="1" applyAlignment="1">
      <alignment horizontal="left" vertical="top"/>
    </xf>
    <xf numFmtId="14" fontId="11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0" fontId="15" fillId="0" borderId="4" xfId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/>
    <xf numFmtId="0" fontId="2" fillId="0" borderId="4" xfId="0" applyFont="1" applyBorder="1"/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49" fontId="15" fillId="0" borderId="4" xfId="1" applyNumberForma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/>
    </xf>
    <xf numFmtId="49" fontId="0" fillId="0" borderId="0" xfId="0" applyNumberFormat="1" applyAlignment="1">
      <alignment vertical="center"/>
    </xf>
    <xf numFmtId="49" fontId="2" fillId="9" borderId="2" xfId="0" applyNumberFormat="1" applyFont="1" applyFill="1" applyBorder="1" applyAlignment="1">
      <alignment horizontal="center" vertical="center" wrapText="1"/>
    </xf>
    <xf numFmtId="1" fontId="2" fillId="9" borderId="2" xfId="0" applyNumberFormat="1" applyFont="1" applyFill="1" applyBorder="1" applyAlignment="1">
      <alignment horizontal="center" vertical="center" wrapText="1"/>
    </xf>
    <xf numFmtId="0" fontId="0" fillId="9" borderId="4" xfId="0" applyFill="1" applyBorder="1" applyAlignment="1">
      <alignment vertical="center"/>
    </xf>
    <xf numFmtId="0" fontId="0" fillId="9" borderId="0" xfId="0" applyFill="1" applyAlignment="1">
      <alignment vertical="center"/>
    </xf>
    <xf numFmtId="49" fontId="14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3" fontId="11" fillId="0" borderId="4" xfId="0" applyNumberFormat="1" applyFont="1" applyBorder="1" applyAlignment="1">
      <alignment horizontal="left" vertical="center"/>
    </xf>
    <xf numFmtId="49" fontId="11" fillId="0" borderId="4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1" fillId="9" borderId="4" xfId="0" applyFont="1" applyFill="1" applyBorder="1" applyAlignment="1">
      <alignment vertical="center"/>
    </xf>
    <xf numFmtId="0" fontId="15" fillId="0" borderId="4" xfId="1" applyBorder="1" applyAlignment="1">
      <alignment vertical="center"/>
    </xf>
    <xf numFmtId="49" fontId="11" fillId="9" borderId="4" xfId="0" applyNumberFormat="1" applyFont="1" applyFill="1" applyBorder="1" applyAlignment="1">
      <alignment vertical="center"/>
    </xf>
    <xf numFmtId="0" fontId="16" fillId="0" borderId="4" xfId="0" applyFont="1" applyBorder="1" applyAlignment="1">
      <alignment horizontal="left" vertical="center"/>
    </xf>
    <xf numFmtId="1" fontId="14" fillId="0" borderId="4" xfId="0" applyNumberFormat="1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20" xfId="0" applyFont="1" applyBorder="1" applyAlignment="1">
      <alignment horizontal="right"/>
    </xf>
    <xf numFmtId="0" fontId="1" fillId="0" borderId="20" xfId="0" applyFont="1" applyBorder="1"/>
    <xf numFmtId="0" fontId="1" fillId="2" borderId="20" xfId="0" applyFont="1" applyFill="1" applyBorder="1"/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8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2" fillId="0" borderId="32" xfId="0" applyFont="1" applyBorder="1" applyAlignment="1">
      <alignment horizontal="center"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49" fontId="0" fillId="0" borderId="33" xfId="0" applyNumberForma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1" fontId="0" fillId="0" borderId="33" xfId="0" applyNumberFormat="1" applyBorder="1" applyAlignment="1">
      <alignment horizontal="left" vertical="center" wrapText="1"/>
    </xf>
    <xf numFmtId="14" fontId="0" fillId="0" borderId="33" xfId="0" applyNumberFormat="1" applyBorder="1" applyAlignment="1">
      <alignment horizontal="left" vertical="center" wrapText="1"/>
    </xf>
    <xf numFmtId="14" fontId="0" fillId="5" borderId="33" xfId="0" applyNumberFormat="1" applyFill="1" applyBorder="1" applyAlignment="1">
      <alignment horizontal="left" vertical="center" wrapText="1"/>
    </xf>
    <xf numFmtId="0" fontId="0" fillId="5" borderId="33" xfId="0" applyFill="1" applyBorder="1" applyAlignment="1">
      <alignment horizontal="left" vertical="center" wrapText="1"/>
    </xf>
    <xf numFmtId="14" fontId="6" fillId="2" borderId="33" xfId="0" applyNumberFormat="1" applyFont="1" applyFill="1" applyBorder="1" applyAlignment="1">
      <alignment horizontal="left" vertical="center" wrapText="1"/>
    </xf>
    <xf numFmtId="0" fontId="11" fillId="8" borderId="0" xfId="0" applyFont="1" applyFill="1" applyAlignment="1">
      <alignment vertical="center" wrapText="1"/>
    </xf>
    <xf numFmtId="0" fontId="11" fillId="8" borderId="0" xfId="0" applyFont="1" applyFill="1" applyAlignment="1">
      <alignment vertical="center"/>
    </xf>
    <xf numFmtId="14" fontId="3" fillId="2" borderId="2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5" xfId="0" applyFont="1" applyBorder="1"/>
    <xf numFmtId="0" fontId="14" fillId="0" borderId="4" xfId="0" applyFont="1" applyBorder="1"/>
    <xf numFmtId="0" fontId="18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4" xfId="0" applyFont="1" applyBorder="1" applyAlignment="1">
      <alignment horizontal="left" vertical="center"/>
    </xf>
    <xf numFmtId="0" fontId="18" fillId="0" borderId="4" xfId="0" applyFont="1" applyBorder="1" applyAlignment="1">
      <alignment horizontal="center" vertical="center"/>
    </xf>
    <xf numFmtId="14" fontId="18" fillId="0" borderId="4" xfId="0" applyNumberFormat="1" applyFont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/>
    </xf>
    <xf numFmtId="49" fontId="18" fillId="0" borderId="4" xfId="0" applyNumberFormat="1" applyFont="1" applyBorder="1" applyAlignment="1">
      <alignment horizontal="left" vertical="center"/>
    </xf>
    <xf numFmtId="3" fontId="18" fillId="0" borderId="4" xfId="0" applyNumberFormat="1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49" fontId="19" fillId="0" borderId="4" xfId="0" applyNumberFormat="1" applyFont="1" applyBorder="1" applyAlignment="1">
      <alignment horizontal="left" vertical="center"/>
    </xf>
    <xf numFmtId="0" fontId="18" fillId="0" borderId="4" xfId="0" applyFont="1" applyBorder="1" applyAlignment="1">
      <alignment horizontal="left"/>
    </xf>
    <xf numFmtId="0" fontId="18" fillId="0" borderId="4" xfId="0" applyFont="1" applyBorder="1"/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/>
    </xf>
    <xf numFmtId="0" fontId="6" fillId="0" borderId="4" xfId="0" applyFont="1" applyBorder="1"/>
    <xf numFmtId="0" fontId="3" fillId="9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vertical="center"/>
    </xf>
    <xf numFmtId="0" fontId="14" fillId="14" borderId="2" xfId="0" applyFont="1" applyFill="1" applyBorder="1" applyAlignment="1">
      <alignment horizontal="center" vertical="center" wrapText="1"/>
    </xf>
    <xf numFmtId="0" fontId="18" fillId="14" borderId="4" xfId="0" applyFont="1" applyFill="1" applyBorder="1" applyAlignment="1">
      <alignment vertical="center"/>
    </xf>
    <xf numFmtId="0" fontId="18" fillId="9" borderId="0" xfId="0" applyFont="1" applyFill="1" applyAlignment="1">
      <alignment vertical="center"/>
    </xf>
    <xf numFmtId="0" fontId="14" fillId="14" borderId="2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left" vertical="center"/>
    </xf>
    <xf numFmtId="1" fontId="2" fillId="15" borderId="2" xfId="0" applyNumberFormat="1" applyFont="1" applyFill="1" applyBorder="1" applyAlignment="1">
      <alignment horizontal="center" vertical="center" wrapText="1"/>
    </xf>
    <xf numFmtId="1" fontId="2" fillId="16" borderId="2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/>
    </xf>
    <xf numFmtId="0" fontId="11" fillId="16" borderId="4" xfId="0" applyFont="1" applyFill="1" applyBorder="1" applyAlignment="1">
      <alignment vertical="center"/>
    </xf>
    <xf numFmtId="0" fontId="0" fillId="16" borderId="0" xfId="0" applyFill="1" applyAlignment="1">
      <alignment vertical="center"/>
    </xf>
    <xf numFmtId="1" fontId="2" fillId="2" borderId="4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left" vertical="center"/>
    </xf>
    <xf numFmtId="49" fontId="16" fillId="0" borderId="4" xfId="0" applyNumberFormat="1" applyFont="1" applyBorder="1" applyAlignment="1">
      <alignment horizontal="left" vertical="center"/>
    </xf>
    <xf numFmtId="0" fontId="6" fillId="16" borderId="4" xfId="0" applyFont="1" applyFill="1" applyBorder="1" applyAlignment="1">
      <alignment vertical="center"/>
    </xf>
    <xf numFmtId="49" fontId="6" fillId="0" borderId="4" xfId="0" applyNumberFormat="1" applyFont="1" applyBorder="1" applyAlignment="1">
      <alignment horizontal="right" vertical="center"/>
    </xf>
    <xf numFmtId="1" fontId="3" fillId="2" borderId="4" xfId="0" applyNumberFormat="1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1" fontId="6" fillId="0" borderId="4" xfId="0" applyNumberFormat="1" applyFont="1" applyBorder="1" applyAlignment="1">
      <alignment horizontal="left" vertical="center"/>
    </xf>
    <xf numFmtId="0" fontId="16" fillId="0" borderId="4" xfId="1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left" vertical="center"/>
    </xf>
    <xf numFmtId="0" fontId="18" fillId="9" borderId="4" xfId="0" applyFont="1" applyFill="1" applyBorder="1" applyAlignment="1">
      <alignment vertical="center"/>
    </xf>
    <xf numFmtId="49" fontId="0" fillId="0" borderId="4" xfId="0" applyNumberFormat="1" applyBorder="1" applyAlignment="1">
      <alignment vertical="center"/>
    </xf>
    <xf numFmtId="0" fontId="20" fillId="9" borderId="4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1" fontId="20" fillId="8" borderId="4" xfId="0" applyNumberFormat="1" applyFont="1" applyFill="1" applyBorder="1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21" fillId="18" borderId="4" xfId="0" applyFont="1" applyFill="1" applyBorder="1" applyAlignment="1">
      <alignment vertical="center"/>
    </xf>
    <xf numFmtId="0" fontId="0" fillId="18" borderId="0" xfId="0" applyFill="1" applyAlignment="1">
      <alignment vertical="center"/>
    </xf>
    <xf numFmtId="14" fontId="2" fillId="19" borderId="2" xfId="0" applyNumberFormat="1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14" fontId="20" fillId="13" borderId="4" xfId="0" applyNumberFormat="1" applyFont="1" applyFill="1" applyBorder="1" applyAlignment="1">
      <alignment horizontal="center" vertical="center"/>
    </xf>
    <xf numFmtId="0" fontId="20" fillId="13" borderId="4" xfId="0" applyFont="1" applyFill="1" applyBorder="1" applyAlignment="1">
      <alignment vertical="center"/>
    </xf>
    <xf numFmtId="0" fontId="20" fillId="13" borderId="4" xfId="0" applyFont="1" applyFill="1" applyBorder="1" applyAlignment="1">
      <alignment horizontal="center" vertical="center"/>
    </xf>
    <xf numFmtId="0" fontId="20" fillId="13" borderId="4" xfId="0" applyFont="1" applyFill="1" applyBorder="1" applyAlignment="1">
      <alignment horizontal="left" vertical="center"/>
    </xf>
    <xf numFmtId="14" fontId="2" fillId="19" borderId="4" xfId="0" applyNumberFormat="1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left" vertical="center"/>
    </xf>
    <xf numFmtId="0" fontId="2" fillId="19" borderId="4" xfId="0" applyFont="1" applyFill="1" applyBorder="1" applyAlignment="1">
      <alignment horizontal="center" vertical="center"/>
    </xf>
    <xf numFmtId="0" fontId="0" fillId="13" borderId="0" xfId="0" applyFill="1" applyAlignment="1">
      <alignment vertical="center"/>
    </xf>
    <xf numFmtId="0" fontId="0" fillId="13" borderId="0" xfId="0" applyFill="1" applyAlignment="1">
      <alignment horizontal="center" vertical="center"/>
    </xf>
    <xf numFmtId="49" fontId="20" fillId="0" borderId="4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/>
    </xf>
    <xf numFmtId="0" fontId="14" fillId="0" borderId="0" xfId="0" applyFont="1" applyAlignment="1">
      <alignment vertical="center"/>
    </xf>
    <xf numFmtId="0" fontId="14" fillId="9" borderId="4" xfId="0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/>
    </xf>
    <xf numFmtId="14" fontId="21" fillId="0" borderId="4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1" fontId="14" fillId="0" borderId="2" xfId="0" applyNumberFormat="1" applyFont="1" applyBorder="1" applyAlignment="1">
      <alignment horizontal="center" vertical="center" wrapText="1"/>
    </xf>
    <xf numFmtId="0" fontId="19" fillId="0" borderId="4" xfId="0" applyFont="1" applyBorder="1" applyAlignment="1">
      <alignment horizontal="left" vertical="center" wrapText="1"/>
    </xf>
    <xf numFmtId="49" fontId="18" fillId="0" borderId="4" xfId="0" applyNumberFormat="1" applyFont="1" applyBorder="1" applyAlignment="1">
      <alignment horizontal="left"/>
    </xf>
    <xf numFmtId="1" fontId="18" fillId="0" borderId="4" xfId="0" applyNumberFormat="1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49" fontId="14" fillId="9" borderId="2" xfId="0" applyNumberFormat="1" applyFont="1" applyFill="1" applyBorder="1" applyAlignment="1">
      <alignment horizontal="center" vertical="center" wrapText="1"/>
    </xf>
    <xf numFmtId="1" fontId="14" fillId="9" borderId="2" xfId="0" applyNumberFormat="1" applyFont="1" applyFill="1" applyBorder="1" applyAlignment="1">
      <alignment horizontal="center" vertical="center" wrapText="1"/>
    </xf>
    <xf numFmtId="1" fontId="14" fillId="11" borderId="2" xfId="0" applyNumberFormat="1" applyFont="1" applyFill="1" applyBorder="1" applyAlignment="1">
      <alignment horizontal="center" vertical="center" wrapText="1"/>
    </xf>
    <xf numFmtId="0" fontId="18" fillId="12" borderId="4" xfId="0" applyFont="1" applyFill="1" applyBorder="1" applyAlignment="1">
      <alignment vertical="center"/>
    </xf>
    <xf numFmtId="0" fontId="18" fillId="12" borderId="0" xfId="0" applyFont="1" applyFill="1" applyAlignment="1">
      <alignment vertical="center"/>
    </xf>
    <xf numFmtId="49" fontId="18" fillId="0" borderId="4" xfId="0" applyNumberFormat="1" applyFont="1" applyBorder="1" applyAlignment="1">
      <alignment horizontal="right" vertical="center"/>
    </xf>
    <xf numFmtId="1" fontId="18" fillId="0" borderId="4" xfId="0" applyNumberFormat="1" applyFont="1" applyBorder="1" applyAlignment="1">
      <alignment vertical="top"/>
    </xf>
    <xf numFmtId="49" fontId="5" fillId="0" borderId="4" xfId="0" applyNumberFormat="1" applyFont="1" applyBorder="1" applyAlignment="1">
      <alignment horizontal="left" vertical="center"/>
    </xf>
    <xf numFmtId="49" fontId="5" fillId="0" borderId="4" xfId="1" applyNumberFormat="1" applyFont="1" applyFill="1" applyBorder="1" applyAlignment="1">
      <alignment horizontal="left" vertical="center"/>
    </xf>
    <xf numFmtId="0" fontId="5" fillId="0" borderId="4" xfId="1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1" fillId="0" borderId="36" xfId="0" applyFont="1" applyBorder="1" applyAlignment="1">
      <alignment horizontal="center"/>
    </xf>
    <xf numFmtId="0" fontId="1" fillId="0" borderId="36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3" fillId="0" borderId="10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16" fillId="0" borderId="4" xfId="1" applyFont="1" applyFill="1" applyBorder="1" applyAlignment="1">
      <alignment horizontal="left" vertical="center"/>
    </xf>
    <xf numFmtId="167" fontId="6" fillId="0" borderId="4" xfId="0" applyNumberFormat="1" applyFont="1" applyBorder="1" applyAlignment="1">
      <alignment horizontal="center" vertical="center"/>
    </xf>
    <xf numFmtId="0" fontId="16" fillId="0" borderId="4" xfId="1" applyFont="1" applyFill="1" applyBorder="1" applyAlignment="1">
      <alignment vertical="center"/>
    </xf>
    <xf numFmtId="14" fontId="0" fillId="8" borderId="4" xfId="0" applyNumberForma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vertical="center"/>
    </xf>
    <xf numFmtId="0" fontId="2" fillId="20" borderId="4" xfId="0" applyFont="1" applyFill="1" applyBorder="1" applyAlignment="1">
      <alignment horizontal="center" vertical="center"/>
    </xf>
    <xf numFmtId="0" fontId="0" fillId="20" borderId="4" xfId="0" applyFill="1" applyBorder="1" applyAlignment="1">
      <alignment vertical="center"/>
    </xf>
    <xf numFmtId="0" fontId="3" fillId="20" borderId="4" xfId="0" applyFont="1" applyFill="1" applyBorder="1" applyAlignment="1">
      <alignment vertical="center"/>
    </xf>
    <xf numFmtId="0" fontId="0" fillId="20" borderId="0" xfId="0" applyFill="1" applyAlignment="1">
      <alignment vertical="center"/>
    </xf>
    <xf numFmtId="1" fontId="0" fillId="8" borderId="4" xfId="0" applyNumberFormat="1" applyFill="1" applyBorder="1" applyAlignment="1">
      <alignment horizontal="center" vertical="center"/>
    </xf>
    <xf numFmtId="0" fontId="0" fillId="8" borderId="4" xfId="0" applyFill="1" applyBorder="1" applyAlignment="1">
      <alignment horizontal="left" vertical="center"/>
    </xf>
    <xf numFmtId="1" fontId="2" fillId="21" borderId="2" xfId="0" applyNumberFormat="1" applyFont="1" applyFill="1" applyBorder="1" applyAlignment="1">
      <alignment horizontal="center" vertical="center" wrapText="1"/>
    </xf>
    <xf numFmtId="1" fontId="2" fillId="22" borderId="2" xfId="0" applyNumberFormat="1" applyFont="1" applyFill="1" applyBorder="1" applyAlignment="1">
      <alignment horizontal="center" vertical="center" wrapText="1"/>
    </xf>
    <xf numFmtId="0" fontId="6" fillId="22" borderId="4" xfId="0" applyFont="1" applyFill="1" applyBorder="1" applyAlignment="1">
      <alignment vertical="center"/>
    </xf>
    <xf numFmtId="0" fontId="6" fillId="22" borderId="4" xfId="0" applyFont="1" applyFill="1" applyBorder="1" applyAlignment="1">
      <alignment horizontal="center" vertical="center"/>
    </xf>
    <xf numFmtId="0" fontId="0" fillId="22" borderId="4" xfId="0" applyFill="1" applyBorder="1" applyAlignment="1">
      <alignment vertical="center"/>
    </xf>
    <xf numFmtId="0" fontId="0" fillId="22" borderId="4" xfId="0" applyFill="1" applyBorder="1" applyAlignment="1">
      <alignment horizontal="center" vertical="center"/>
    </xf>
    <xf numFmtId="0" fontId="0" fillId="22" borderId="0" xfId="0" applyFill="1" applyAlignment="1">
      <alignment vertical="center"/>
    </xf>
    <xf numFmtId="0" fontId="0" fillId="22" borderId="0" xfId="0" applyFill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left" vertical="center"/>
    </xf>
    <xf numFmtId="0" fontId="16" fillId="0" borderId="4" xfId="1" applyFont="1" applyBorder="1" applyAlignment="1">
      <alignment vertical="center"/>
    </xf>
    <xf numFmtId="0" fontId="2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1" fontId="3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right" vertical="center"/>
    </xf>
    <xf numFmtId="14" fontId="6" fillId="0" borderId="3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left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wrapText="1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wrapText="1"/>
    </xf>
    <xf numFmtId="14" fontId="6" fillId="0" borderId="3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49" fontId="6" fillId="0" borderId="3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164" fontId="6" fillId="0" borderId="3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/>
    </xf>
    <xf numFmtId="49" fontId="16" fillId="0" borderId="3" xfId="0" applyNumberFormat="1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3" fontId="6" fillId="0" borderId="3" xfId="0" applyNumberFormat="1" applyFont="1" applyBorder="1" applyAlignment="1">
      <alignment horizontal="left" wrapText="1"/>
    </xf>
    <xf numFmtId="0" fontId="16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6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5" fillId="0" borderId="3" xfId="0" applyFont="1" applyBorder="1" applyAlignment="1">
      <alignment horizontal="center" vertical="center"/>
    </xf>
    <xf numFmtId="14" fontId="26" fillId="0" borderId="3" xfId="0" applyNumberFormat="1" applyFont="1" applyBorder="1" applyAlignment="1">
      <alignment horizontal="center" vertical="center"/>
    </xf>
    <xf numFmtId="49" fontId="27" fillId="0" borderId="3" xfId="0" applyNumberFormat="1" applyFont="1" applyBorder="1" applyAlignment="1">
      <alignment horizontal="left" vertical="center"/>
    </xf>
    <xf numFmtId="0" fontId="26" fillId="0" borderId="3" xfId="0" applyFont="1" applyBorder="1" applyAlignment="1">
      <alignment horizontal="left"/>
    </xf>
    <xf numFmtId="0" fontId="26" fillId="0" borderId="3" xfId="0" applyFont="1" applyBorder="1"/>
    <xf numFmtId="1" fontId="25" fillId="0" borderId="3" xfId="0" applyNumberFormat="1" applyFont="1" applyBorder="1" applyAlignment="1">
      <alignment horizontal="center" vertical="center"/>
    </xf>
    <xf numFmtId="0" fontId="27" fillId="0" borderId="3" xfId="0" applyFont="1" applyBorder="1" applyAlignment="1">
      <alignment horizontal="left" vertical="center"/>
    </xf>
    <xf numFmtId="49" fontId="26" fillId="0" borderId="3" xfId="0" applyNumberFormat="1" applyFont="1" applyBorder="1" applyAlignment="1">
      <alignment horizontal="left" vertical="center"/>
    </xf>
    <xf numFmtId="0" fontId="25" fillId="0" borderId="3" xfId="0" applyFont="1" applyBorder="1"/>
    <xf numFmtId="0" fontId="26" fillId="0" borderId="3" xfId="0" applyFont="1" applyBorder="1" applyAlignment="1">
      <alignment horizontal="center"/>
    </xf>
    <xf numFmtId="1" fontId="25" fillId="0" borderId="3" xfId="0" applyNumberFormat="1" applyFont="1" applyBorder="1" applyAlignment="1">
      <alignment horizontal="center"/>
    </xf>
    <xf numFmtId="0" fontId="28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14" fontId="26" fillId="0" borderId="3" xfId="0" applyNumberFormat="1" applyFont="1" applyBorder="1" applyAlignment="1">
      <alignment horizontal="center"/>
    </xf>
    <xf numFmtId="49" fontId="25" fillId="0" borderId="3" xfId="0" applyNumberFormat="1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/>
    </xf>
    <xf numFmtId="1" fontId="6" fillId="0" borderId="3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6" fillId="0" borderId="3" xfId="0" applyFont="1" applyBorder="1"/>
    <xf numFmtId="165" fontId="6" fillId="0" borderId="3" xfId="0" applyNumberFormat="1" applyFont="1" applyBorder="1" applyAlignment="1">
      <alignment horizontal="left" vertical="center"/>
    </xf>
    <xf numFmtId="165" fontId="3" fillId="0" borderId="3" xfId="0" applyNumberFormat="1" applyFont="1" applyBorder="1" applyAlignment="1">
      <alignment horizontal="center" vertical="center"/>
    </xf>
    <xf numFmtId="166" fontId="6" fillId="0" borderId="3" xfId="0" applyNumberFormat="1" applyFont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1" xfId="0" applyFont="1" applyBorder="1" applyAlignment="1">
      <alignment vertical="center"/>
    </xf>
    <xf numFmtId="0" fontId="6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3" fontId="6" fillId="0" borderId="11" xfId="0" applyNumberFormat="1" applyFont="1" applyBorder="1" applyAlignment="1">
      <alignment horizontal="left" vertical="center"/>
    </xf>
    <xf numFmtId="49" fontId="6" fillId="0" borderId="11" xfId="0" applyNumberFormat="1" applyFont="1" applyBorder="1" applyAlignment="1">
      <alignment horizontal="left" vertical="center"/>
    </xf>
    <xf numFmtId="49" fontId="16" fillId="0" borderId="11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6" fillId="0" borderId="10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49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left" vertical="center"/>
    </xf>
    <xf numFmtId="49" fontId="16" fillId="0" borderId="10" xfId="0" applyNumberFormat="1" applyFont="1" applyBorder="1" applyAlignment="1">
      <alignment horizontal="left" vertical="center"/>
    </xf>
    <xf numFmtId="3" fontId="6" fillId="0" borderId="10" xfId="0" applyNumberFormat="1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49" fontId="6" fillId="0" borderId="10" xfId="0" applyNumberFormat="1" applyFont="1" applyBorder="1" applyAlignment="1">
      <alignment vertical="center"/>
    </xf>
    <xf numFmtId="0" fontId="3" fillId="0" borderId="10" xfId="0" applyFont="1" applyBorder="1"/>
    <xf numFmtId="0" fontId="3" fillId="0" borderId="5" xfId="0" applyFont="1" applyBorder="1"/>
    <xf numFmtId="0" fontId="3" fillId="0" borderId="4" xfId="0" applyFont="1" applyBorder="1"/>
    <xf numFmtId="49" fontId="3" fillId="0" borderId="4" xfId="0" applyNumberFormat="1" applyFont="1" applyBorder="1" applyAlignment="1">
      <alignment horizontal="center"/>
    </xf>
    <xf numFmtId="0" fontId="6" fillId="0" borderId="14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3" fillId="0" borderId="0" xfId="0" applyFont="1" applyAlignment="1">
      <alignment horizontal="center"/>
    </xf>
    <xf numFmtId="49" fontId="5" fillId="0" borderId="4" xfId="0" applyNumberFormat="1" applyFont="1" applyBorder="1" applyAlignment="1">
      <alignment horizontal="left" vertical="center" wrapText="1"/>
    </xf>
    <xf numFmtId="49" fontId="16" fillId="0" borderId="4" xfId="1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15" fillId="0" borderId="0" xfId="1" applyBorder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3" fillId="24" borderId="2" xfId="0" applyFont="1" applyFill="1" applyBorder="1" applyAlignment="1">
      <alignment horizontal="center" vertical="center" wrapText="1"/>
    </xf>
    <xf numFmtId="0" fontId="3" fillId="24" borderId="4" xfId="0" applyFont="1" applyFill="1" applyBorder="1" applyAlignment="1">
      <alignment horizontal="center" vertical="center"/>
    </xf>
    <xf numFmtId="0" fontId="2" fillId="24" borderId="4" xfId="0" applyFont="1" applyFill="1" applyBorder="1" applyAlignment="1">
      <alignment horizontal="center" vertical="center"/>
    </xf>
    <xf numFmtId="49" fontId="2" fillId="25" borderId="2" xfId="0" applyNumberFormat="1" applyFont="1" applyFill="1" applyBorder="1" applyAlignment="1">
      <alignment horizontal="center" vertical="center" wrapText="1"/>
    </xf>
    <xf numFmtId="49" fontId="3" fillId="25" borderId="4" xfId="0" applyNumberFormat="1" applyFont="1" applyFill="1" applyBorder="1" applyAlignment="1">
      <alignment horizontal="center" vertical="center"/>
    </xf>
    <xf numFmtId="49" fontId="2" fillId="25" borderId="4" xfId="0" applyNumberFormat="1" applyFont="1" applyFill="1" applyBorder="1" applyAlignment="1">
      <alignment horizontal="center" vertical="center"/>
    </xf>
    <xf numFmtId="0" fontId="2" fillId="25" borderId="0" xfId="0" applyFont="1" applyFill="1" applyAlignment="1">
      <alignment vertical="center"/>
    </xf>
    <xf numFmtId="0" fontId="1" fillId="0" borderId="20" xfId="0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49" fontId="0" fillId="0" borderId="29" xfId="0" applyNumberFormat="1" applyBorder="1" applyAlignment="1">
      <alignment vertic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27" borderId="2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left" vertical="center"/>
    </xf>
    <xf numFmtId="0" fontId="2" fillId="27" borderId="4" xfId="0" applyFont="1" applyFill="1" applyBorder="1" applyAlignment="1">
      <alignment horizontal="center" vertical="center"/>
    </xf>
    <xf numFmtId="0" fontId="3" fillId="27" borderId="4" xfId="0" applyFont="1" applyFill="1" applyBorder="1" applyAlignment="1">
      <alignment vertical="center"/>
    </xf>
    <xf numFmtId="0" fontId="3" fillId="27" borderId="4" xfId="0" applyFont="1" applyFill="1" applyBorder="1" applyAlignment="1">
      <alignment horizontal="center" vertical="center"/>
    </xf>
    <xf numFmtId="0" fontId="3" fillId="27" borderId="4" xfId="0" applyFont="1" applyFill="1" applyBorder="1" applyAlignment="1">
      <alignment horizontal="left" vertical="center"/>
    </xf>
    <xf numFmtId="0" fontId="14" fillId="27" borderId="4" xfId="0" applyFont="1" applyFill="1" applyBorder="1" applyAlignment="1">
      <alignment horizontal="left" vertical="center"/>
    </xf>
    <xf numFmtId="0" fontId="14" fillId="27" borderId="4" xfId="0" applyFont="1" applyFill="1" applyBorder="1" applyAlignment="1">
      <alignment horizontal="center" vertical="center"/>
    </xf>
    <xf numFmtId="0" fontId="2" fillId="27" borderId="4" xfId="0" applyFont="1" applyFill="1" applyBorder="1" applyAlignment="1">
      <alignment vertical="center"/>
    </xf>
    <xf numFmtId="0" fontId="0" fillId="28" borderId="0" xfId="0" applyFill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15" fillId="0" borderId="4" xfId="1" applyFill="1" applyBorder="1" applyAlignment="1">
      <alignment horizontal="left" vertical="center"/>
    </xf>
    <xf numFmtId="0" fontId="15" fillId="0" borderId="14" xfId="1" applyBorder="1" applyAlignment="1">
      <alignment horizontal="left" vertical="center"/>
    </xf>
    <xf numFmtId="49" fontId="16" fillId="0" borderId="4" xfId="1" applyNumberFormat="1" applyFont="1" applyBorder="1" applyAlignment="1">
      <alignment horizontal="left" vertical="center"/>
    </xf>
    <xf numFmtId="0" fontId="14" fillId="20" borderId="4" xfId="0" applyFont="1" applyFill="1" applyBorder="1" applyAlignment="1">
      <alignment horizontal="center" vertical="center"/>
    </xf>
    <xf numFmtId="0" fontId="18" fillId="20" borderId="4" xfId="0" applyFont="1" applyFill="1" applyBorder="1" applyAlignment="1">
      <alignment vertical="center"/>
    </xf>
    <xf numFmtId="0" fontId="26" fillId="0" borderId="4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28" borderId="4" xfId="0" applyFont="1" applyFill="1" applyBorder="1" applyAlignment="1">
      <alignment vertical="center"/>
    </xf>
    <xf numFmtId="0" fontId="2" fillId="29" borderId="5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3" fillId="27" borderId="4" xfId="0" applyFont="1" applyFill="1" applyBorder="1" applyAlignment="1">
      <alignment horizontal="left" vertical="center"/>
    </xf>
    <xf numFmtId="0" fontId="3" fillId="24" borderId="0" xfId="0" applyFont="1" applyFill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0" fillId="28" borderId="4" xfId="0" applyFill="1" applyBorder="1" applyAlignment="1">
      <alignment horizontal="center" vertical="center"/>
    </xf>
    <xf numFmtId="14" fontId="34" fillId="0" borderId="4" xfId="0" applyNumberFormat="1" applyFont="1" applyBorder="1" applyAlignment="1">
      <alignment horizontal="center" vertical="center"/>
    </xf>
    <xf numFmtId="0" fontId="12" fillId="8" borderId="4" xfId="0" applyFont="1" applyFill="1" applyBorder="1" applyAlignment="1">
      <alignment horizontal="left" vertical="center"/>
    </xf>
    <xf numFmtId="0" fontId="35" fillId="0" borderId="4" xfId="0" applyFont="1" applyBorder="1" applyAlignment="1">
      <alignment horizontal="left" vertical="center"/>
    </xf>
    <xf numFmtId="49" fontId="35" fillId="0" borderId="4" xfId="0" applyNumberFormat="1" applyFont="1" applyBorder="1" applyAlignment="1">
      <alignment horizontal="left" vertical="center"/>
    </xf>
    <xf numFmtId="0" fontId="0" fillId="0" borderId="40" xfId="0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2" fillId="0" borderId="40" xfId="0" applyFont="1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22" borderId="43" xfId="0" applyFill="1" applyBorder="1" applyAlignment="1">
      <alignment horizontal="center" vertical="center"/>
    </xf>
    <xf numFmtId="0" fontId="0" fillId="22" borderId="43" xfId="0" applyFill="1" applyBorder="1" applyAlignment="1">
      <alignment vertical="center"/>
    </xf>
    <xf numFmtId="0" fontId="0" fillId="16" borderId="43" xfId="0" applyFill="1" applyBorder="1" applyAlignment="1">
      <alignment vertical="center"/>
    </xf>
    <xf numFmtId="0" fontId="0" fillId="9" borderId="43" xfId="0" applyFill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0" fillId="0" borderId="45" xfId="0" applyBorder="1" applyAlignment="1">
      <alignment vertical="center"/>
    </xf>
    <xf numFmtId="49" fontId="2" fillId="25" borderId="14" xfId="0" applyNumberFormat="1" applyFont="1" applyFill="1" applyBorder="1" applyAlignment="1">
      <alignment horizontal="center" vertical="center"/>
    </xf>
    <xf numFmtId="0" fontId="3" fillId="24" borderId="14" xfId="0" applyFont="1" applyFill="1" applyBorder="1" applyAlignment="1">
      <alignment horizontal="center" vertical="center"/>
    </xf>
    <xf numFmtId="0" fontId="2" fillId="20" borderId="14" xfId="0" applyFont="1" applyFill="1" applyBorder="1" applyAlignment="1">
      <alignment horizontal="center" vertical="center"/>
    </xf>
    <xf numFmtId="0" fontId="0" fillId="20" borderId="14" xfId="0" applyFill="1" applyBorder="1" applyAlignment="1">
      <alignment vertical="center"/>
    </xf>
    <xf numFmtId="0" fontId="12" fillId="8" borderId="43" xfId="0" applyFont="1" applyFill="1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14" fillId="0" borderId="43" xfId="0" applyFont="1" applyBorder="1" applyAlignment="1">
      <alignment horizontal="center" vertical="center"/>
    </xf>
    <xf numFmtId="0" fontId="11" fillId="0" borderId="17" xfId="0" applyFont="1" applyBorder="1" applyAlignment="1">
      <alignment vertical="center"/>
    </xf>
    <xf numFmtId="0" fontId="0" fillId="0" borderId="4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8" borderId="43" xfId="0" applyFill="1" applyBorder="1" applyAlignment="1">
      <alignment horizontal="center" vertical="center"/>
    </xf>
    <xf numFmtId="49" fontId="0" fillId="0" borderId="46" xfId="0" applyNumberForma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8" xfId="0" applyBorder="1" applyAlignment="1">
      <alignment vertical="center"/>
    </xf>
    <xf numFmtId="49" fontId="2" fillId="0" borderId="43" xfId="0" applyNumberFormat="1" applyFont="1" applyBorder="1" applyAlignment="1">
      <alignment horizontal="center" vertical="center"/>
    </xf>
    <xf numFmtId="49" fontId="2" fillId="0" borderId="46" xfId="0" applyNumberFormat="1" applyFont="1" applyBorder="1" applyAlignment="1">
      <alignment horizontal="center" vertical="center"/>
    </xf>
    <xf numFmtId="49" fontId="36" fillId="28" borderId="4" xfId="0" applyNumberFormat="1" applyFont="1" applyFill="1" applyBorder="1" applyAlignment="1">
      <alignment horizontal="left" vertical="center"/>
    </xf>
    <xf numFmtId="0" fontId="2" fillId="28" borderId="43" xfId="0" applyFont="1" applyFill="1" applyBorder="1" applyAlignment="1">
      <alignment vertical="center"/>
    </xf>
    <xf numFmtId="0" fontId="2" fillId="28" borderId="0" xfId="0" applyFont="1" applyFill="1" applyAlignment="1">
      <alignment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14" fontId="0" fillId="0" borderId="43" xfId="0" applyNumberFormat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2" fillId="27" borderId="43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43" xfId="0" applyNumberForma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5" fillId="0" borderId="43" xfId="1" applyBorder="1" applyAlignment="1">
      <alignment horizontal="left" vertical="center"/>
    </xf>
    <xf numFmtId="1" fontId="0" fillId="0" borderId="43" xfId="0" applyNumberFormat="1" applyBorder="1" applyAlignment="1">
      <alignment horizontal="center" vertical="center"/>
    </xf>
    <xf numFmtId="49" fontId="0" fillId="0" borderId="43" xfId="0" applyNumberFormat="1" applyBorder="1" applyAlignment="1">
      <alignment horizontal="right" vertical="center"/>
    </xf>
    <xf numFmtId="14" fontId="0" fillId="0" borderId="4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48" xfId="0" applyBorder="1" applyAlignment="1">
      <alignment horizontal="center" vertical="center"/>
    </xf>
    <xf numFmtId="0" fontId="11" fillId="9" borderId="43" xfId="0" applyFont="1" applyFill="1" applyBorder="1" applyAlignment="1">
      <alignment vertical="center"/>
    </xf>
    <xf numFmtId="49" fontId="0" fillId="0" borderId="17" xfId="0" applyNumberFormat="1" applyBorder="1" applyAlignment="1">
      <alignment horizontal="right" vertical="center"/>
    </xf>
    <xf numFmtId="1" fontId="12" fillId="2" borderId="43" xfId="0" applyNumberFormat="1" applyFont="1" applyFill="1" applyBorder="1" applyAlignment="1">
      <alignment horizontal="left" vertical="center"/>
    </xf>
    <xf numFmtId="1" fontId="2" fillId="2" borderId="43" xfId="0" applyNumberFormat="1" applyFont="1" applyFill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2" fillId="27" borderId="43" xfId="0" applyFont="1" applyFill="1" applyBorder="1" applyAlignment="1">
      <alignment horizontal="left" vertical="center"/>
    </xf>
    <xf numFmtId="1" fontId="11" fillId="0" borderId="17" xfId="0" applyNumberFormat="1" applyFont="1" applyBorder="1" applyAlignment="1">
      <alignment horizontal="center" vertical="center"/>
    </xf>
    <xf numFmtId="0" fontId="7" fillId="0" borderId="43" xfId="0" applyFont="1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22" fillId="0" borderId="5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14" fontId="1" fillId="0" borderId="4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22" fillId="25" borderId="4" xfId="0" applyNumberFormat="1" applyFont="1" applyFill="1" applyBorder="1" applyAlignment="1">
      <alignment horizontal="center" vertical="center"/>
    </xf>
    <xf numFmtId="0" fontId="1" fillId="20" borderId="4" xfId="0" applyFont="1" applyFill="1" applyBorder="1" applyAlignment="1">
      <alignment vertical="center"/>
    </xf>
    <xf numFmtId="0" fontId="22" fillId="27" borderId="4" xfId="0" applyFont="1" applyFill="1" applyBorder="1" applyAlignment="1">
      <alignment horizontal="left" vertical="center"/>
    </xf>
    <xf numFmtId="0" fontId="1" fillId="9" borderId="4" xfId="0" applyFont="1" applyFill="1" applyBorder="1" applyAlignment="1">
      <alignment vertical="center"/>
    </xf>
    <xf numFmtId="0" fontId="1" fillId="16" borderId="4" xfId="0" applyFont="1" applyFill="1" applyBorder="1" applyAlignment="1">
      <alignment vertical="center"/>
    </xf>
    <xf numFmtId="0" fontId="1" fillId="22" borderId="4" xfId="0" applyFont="1" applyFill="1" applyBorder="1" applyAlignment="1">
      <alignment vertical="center"/>
    </xf>
    <xf numFmtId="0" fontId="1" fillId="22" borderId="4" xfId="0" applyFont="1" applyFill="1" applyBorder="1" applyAlignment="1">
      <alignment horizontal="center" vertical="center"/>
    </xf>
    <xf numFmtId="0" fontId="22" fillId="8" borderId="4" xfId="0" applyFont="1" applyFill="1" applyBorder="1" applyAlignment="1">
      <alignment horizontal="left" vertical="center"/>
    </xf>
    <xf numFmtId="1" fontId="3" fillId="0" borderId="4" xfId="0" applyNumberFormat="1" applyFont="1" applyBorder="1" applyAlignment="1">
      <alignment horizontal="center"/>
    </xf>
    <xf numFmtId="0" fontId="3" fillId="29" borderId="4" xfId="0" applyFont="1" applyFill="1" applyBorder="1" applyAlignment="1">
      <alignment horizontal="center" vertical="center"/>
    </xf>
    <xf numFmtId="49" fontId="11" fillId="9" borderId="43" xfId="0" applyNumberFormat="1" applyFont="1" applyFill="1" applyBorder="1" applyAlignment="1">
      <alignment vertical="center"/>
    </xf>
    <xf numFmtId="0" fontId="3" fillId="27" borderId="43" xfId="0" applyFont="1" applyFill="1" applyBorder="1" applyAlignment="1">
      <alignment horizontal="left" vertical="center"/>
    </xf>
    <xf numFmtId="14" fontId="2" fillId="0" borderId="43" xfId="0" applyNumberFormat="1" applyFont="1" applyBorder="1" applyAlignment="1">
      <alignment horizontal="center" vertical="center"/>
    </xf>
    <xf numFmtId="1" fontId="22" fillId="0" borderId="4" xfId="0" applyNumberFormat="1" applyFont="1" applyBorder="1" applyAlignment="1">
      <alignment horizontal="center"/>
    </xf>
    <xf numFmtId="0" fontId="22" fillId="24" borderId="4" xfId="0" applyFont="1" applyFill="1" applyBorder="1" applyAlignment="1">
      <alignment horizontal="center" vertical="center"/>
    </xf>
    <xf numFmtId="0" fontId="22" fillId="20" borderId="4" xfId="0" applyFont="1" applyFill="1" applyBorder="1" applyAlignment="1">
      <alignment horizontal="center"/>
    </xf>
    <xf numFmtId="49" fontId="22" fillId="0" borderId="4" xfId="0" applyNumberFormat="1" applyFont="1" applyBorder="1" applyAlignment="1">
      <alignment horizontal="center" vertical="center"/>
    </xf>
    <xf numFmtId="0" fontId="22" fillId="27" borderId="4" xfId="0" applyFont="1" applyFill="1" applyBorder="1" applyAlignment="1">
      <alignment horizontal="center" vertical="center"/>
    </xf>
    <xf numFmtId="1" fontId="22" fillId="0" borderId="4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left" vertical="center"/>
    </xf>
    <xf numFmtId="3" fontId="1" fillId="0" borderId="4" xfId="0" applyNumberFormat="1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/>
    </xf>
    <xf numFmtId="0" fontId="37" fillId="0" borderId="4" xfId="0" applyFont="1" applyBorder="1" applyAlignment="1">
      <alignment horizontal="left" vertical="center"/>
    </xf>
    <xf numFmtId="0" fontId="1" fillId="0" borderId="4" xfId="0" applyFont="1" applyBorder="1"/>
    <xf numFmtId="49" fontId="1" fillId="0" borderId="4" xfId="0" applyNumberFormat="1" applyFont="1" applyBorder="1" applyAlignment="1">
      <alignment horizontal="right" vertical="center"/>
    </xf>
    <xf numFmtId="1" fontId="22" fillId="2" borderId="4" xfId="0" applyNumberFormat="1" applyFont="1" applyFill="1" applyBorder="1" applyAlignment="1">
      <alignment horizontal="left" vertical="center"/>
    </xf>
    <xf numFmtId="0" fontId="2" fillId="30" borderId="2" xfId="0" applyFont="1" applyFill="1" applyBorder="1" applyAlignment="1">
      <alignment horizontal="center" vertical="center" wrapText="1"/>
    </xf>
    <xf numFmtId="0" fontId="2" fillId="30" borderId="4" xfId="0" applyFont="1" applyFill="1" applyBorder="1" applyAlignment="1">
      <alignment horizontal="center" vertical="center" wrapText="1"/>
    </xf>
    <xf numFmtId="0" fontId="0" fillId="30" borderId="4" xfId="0" applyFill="1" applyBorder="1" applyAlignment="1">
      <alignment vertical="center"/>
    </xf>
    <xf numFmtId="0" fontId="14" fillId="31" borderId="4" xfId="0" applyFont="1" applyFill="1" applyBorder="1" applyAlignment="1">
      <alignment horizontal="center" vertical="center" wrapText="1"/>
    </xf>
    <xf numFmtId="0" fontId="18" fillId="31" borderId="4" xfId="0" applyFont="1" applyFill="1" applyBorder="1" applyAlignment="1">
      <alignment vertical="center"/>
    </xf>
    <xf numFmtId="0" fontId="22" fillId="31" borderId="4" xfId="0" applyFont="1" applyFill="1" applyBorder="1" applyAlignment="1">
      <alignment horizontal="center" vertical="center"/>
    </xf>
    <xf numFmtId="0" fontId="1" fillId="31" borderId="4" xfId="0" applyFont="1" applyFill="1" applyBorder="1" applyAlignment="1">
      <alignment vertical="center"/>
    </xf>
    <xf numFmtId="0" fontId="0" fillId="30" borderId="26" xfId="0" applyFill="1" applyBorder="1" applyAlignment="1">
      <alignment vertical="center"/>
    </xf>
    <xf numFmtId="0" fontId="2" fillId="30" borderId="14" xfId="0" applyFont="1" applyFill="1" applyBorder="1" applyAlignment="1">
      <alignment horizontal="center" vertical="center" wrapText="1"/>
    </xf>
    <xf numFmtId="0" fontId="0" fillId="30" borderId="14" xfId="0" applyFill="1" applyBorder="1" applyAlignment="1">
      <alignment vertical="center"/>
    </xf>
    <xf numFmtId="0" fontId="2" fillId="31" borderId="0" xfId="0" applyFont="1" applyFill="1" applyAlignment="1">
      <alignment horizontal="center" vertical="center" wrapText="1"/>
    </xf>
    <xf numFmtId="0" fontId="0" fillId="31" borderId="0" xfId="0" applyFill="1" applyAlignment="1">
      <alignment vertical="center"/>
    </xf>
    <xf numFmtId="0" fontId="2" fillId="8" borderId="4" xfId="0" applyFont="1" applyFill="1" applyBorder="1" applyAlignment="1">
      <alignment vertical="center"/>
    </xf>
    <xf numFmtId="49" fontId="14" fillId="25" borderId="4" xfId="0" applyNumberFormat="1" applyFont="1" applyFill="1" applyBorder="1" applyAlignment="1">
      <alignment horizontal="center" vertical="center"/>
    </xf>
    <xf numFmtId="0" fontId="14" fillId="24" borderId="4" xfId="0" applyFont="1" applyFill="1" applyBorder="1" applyAlignment="1">
      <alignment horizontal="center" vertical="center"/>
    </xf>
    <xf numFmtId="0" fontId="14" fillId="30" borderId="4" xfId="0" applyFont="1" applyFill="1" applyBorder="1" applyAlignment="1">
      <alignment horizontal="center" vertical="center" wrapText="1"/>
    </xf>
    <xf numFmtId="0" fontId="18" fillId="30" borderId="4" xfId="0" applyFont="1" applyFill="1" applyBorder="1" applyAlignment="1">
      <alignment vertical="center"/>
    </xf>
    <xf numFmtId="0" fontId="14" fillId="27" borderId="4" xfId="0" applyFont="1" applyFill="1" applyBorder="1" applyAlignment="1">
      <alignment vertical="center"/>
    </xf>
    <xf numFmtId="0" fontId="18" fillId="6" borderId="4" xfId="0" applyFont="1" applyFill="1" applyBorder="1" applyAlignment="1">
      <alignment vertical="center"/>
    </xf>
    <xf numFmtId="0" fontId="18" fillId="10" borderId="4" xfId="0" applyFont="1" applyFill="1" applyBorder="1" applyAlignment="1">
      <alignment vertical="center"/>
    </xf>
    <xf numFmtId="0" fontId="18" fillId="17" borderId="4" xfId="0" applyFont="1" applyFill="1" applyBorder="1" applyAlignment="1">
      <alignment vertical="center"/>
    </xf>
    <xf numFmtId="0" fontId="18" fillId="23" borderId="4" xfId="0" applyFont="1" applyFill="1" applyBorder="1" applyAlignment="1">
      <alignment vertical="center"/>
    </xf>
    <xf numFmtId="0" fontId="18" fillId="23" borderId="4" xfId="0" applyFont="1" applyFill="1" applyBorder="1" applyAlignment="1">
      <alignment horizontal="center" vertical="center"/>
    </xf>
    <xf numFmtId="1" fontId="14" fillId="2" borderId="4" xfId="0" applyNumberFormat="1" applyFont="1" applyFill="1" applyBorder="1" applyAlignment="1">
      <alignment horizontal="left" vertical="center"/>
    </xf>
    <xf numFmtId="0" fontId="18" fillId="16" borderId="4" xfId="0" applyFont="1" applyFill="1" applyBorder="1" applyAlignment="1">
      <alignment vertical="center"/>
    </xf>
    <xf numFmtId="0" fontId="18" fillId="22" borderId="4" xfId="0" applyFont="1" applyFill="1" applyBorder="1" applyAlignment="1">
      <alignment vertical="center"/>
    </xf>
    <xf numFmtId="0" fontId="18" fillId="22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9" fillId="0" borderId="5" xfId="0" applyFont="1" applyBorder="1" applyAlignment="1">
      <alignment vertical="center"/>
    </xf>
    <xf numFmtId="0" fontId="39" fillId="0" borderId="4" xfId="0" applyFont="1" applyBorder="1" applyAlignment="1">
      <alignment vertical="center"/>
    </xf>
    <xf numFmtId="0" fontId="40" fillId="0" borderId="4" xfId="0" applyFont="1" applyBorder="1" applyAlignment="1">
      <alignment horizontal="left" vertical="center"/>
    </xf>
    <xf numFmtId="0" fontId="40" fillId="0" borderId="4" xfId="0" applyFont="1" applyBorder="1" applyAlignment="1">
      <alignment horizontal="center" vertical="center"/>
    </xf>
    <xf numFmtId="0" fontId="40" fillId="0" borderId="4" xfId="0" applyFont="1" applyBorder="1" applyAlignment="1">
      <alignment vertical="center"/>
    </xf>
    <xf numFmtId="49" fontId="39" fillId="0" borderId="4" xfId="0" applyNumberFormat="1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 wrapText="1"/>
    </xf>
    <xf numFmtId="49" fontId="39" fillId="0" borderId="46" xfId="0" applyNumberFormat="1" applyFont="1" applyBorder="1" applyAlignment="1">
      <alignment horizontal="center" vertical="center"/>
    </xf>
    <xf numFmtId="14" fontId="40" fillId="0" borderId="4" xfId="0" applyNumberFormat="1" applyFont="1" applyBorder="1" applyAlignment="1">
      <alignment horizontal="center" vertical="center"/>
    </xf>
    <xf numFmtId="1" fontId="39" fillId="0" borderId="4" xfId="0" applyNumberFormat="1" applyFont="1" applyBorder="1" applyAlignment="1">
      <alignment horizontal="center" vertical="center"/>
    </xf>
    <xf numFmtId="1" fontId="40" fillId="0" borderId="4" xfId="0" applyNumberFormat="1" applyFont="1" applyBorder="1" applyAlignment="1">
      <alignment horizontal="center" vertical="center"/>
    </xf>
    <xf numFmtId="3" fontId="40" fillId="0" borderId="17" xfId="0" applyNumberFormat="1" applyFont="1" applyBorder="1" applyAlignment="1">
      <alignment horizontal="left" vertical="center"/>
    </xf>
    <xf numFmtId="0" fontId="41" fillId="0" borderId="43" xfId="0" applyFont="1" applyBorder="1" applyAlignment="1">
      <alignment horizontal="left" vertical="center"/>
    </xf>
    <xf numFmtId="0" fontId="41" fillId="0" borderId="4" xfId="1" applyFont="1" applyFill="1" applyBorder="1" applyAlignment="1">
      <alignment horizontal="left" vertical="center"/>
    </xf>
    <xf numFmtId="49" fontId="40" fillId="0" borderId="4" xfId="0" applyNumberFormat="1" applyFont="1" applyBorder="1" applyAlignment="1">
      <alignment horizontal="left" vertical="center"/>
    </xf>
    <xf numFmtId="3" fontId="11" fillId="0" borderId="17" xfId="0" applyNumberFormat="1" applyFont="1" applyBorder="1" applyAlignment="1">
      <alignment horizontal="left" vertical="center"/>
    </xf>
    <xf numFmtId="0" fontId="42" fillId="0" borderId="4" xfId="0" applyFont="1" applyBorder="1" applyAlignment="1">
      <alignment vertical="center"/>
    </xf>
    <xf numFmtId="0" fontId="0" fillId="16" borderId="8" xfId="0" applyFill="1" applyBorder="1" applyAlignment="1">
      <alignment vertical="center"/>
    </xf>
    <xf numFmtId="0" fontId="18" fillId="0" borderId="43" xfId="0" applyFont="1" applyBorder="1" applyAlignment="1">
      <alignment horizontal="left" vertical="center"/>
    </xf>
    <xf numFmtId="0" fontId="15" fillId="0" borderId="43" xfId="1" applyBorder="1" applyAlignment="1">
      <alignment vertical="center"/>
    </xf>
    <xf numFmtId="49" fontId="2" fillId="0" borderId="46" xfId="0" applyNumberFormat="1" applyFont="1" applyBorder="1" applyAlignment="1">
      <alignment horizontal="center" vertical="top"/>
    </xf>
    <xf numFmtId="49" fontId="2" fillId="0" borderId="43" xfId="0" applyNumberFormat="1" applyFont="1" applyBorder="1" applyAlignment="1">
      <alignment horizontal="center" vertical="top"/>
    </xf>
    <xf numFmtId="1" fontId="2" fillId="0" borderId="43" xfId="0" applyNumberFormat="1" applyFont="1" applyBorder="1" applyAlignment="1">
      <alignment horizontal="center" vertical="center"/>
    </xf>
    <xf numFmtId="49" fontId="0" fillId="0" borderId="17" xfId="0" applyNumberFormat="1" applyBorder="1" applyAlignment="1">
      <alignment horizontal="left" vertical="center"/>
    </xf>
    <xf numFmtId="49" fontId="9" fillId="0" borderId="43" xfId="0" applyNumberFormat="1" applyFont="1" applyBorder="1" applyAlignment="1">
      <alignment horizontal="left" vertical="center"/>
    </xf>
    <xf numFmtId="49" fontId="14" fillId="0" borderId="43" xfId="0" applyNumberFormat="1" applyFont="1" applyBorder="1" applyAlignment="1">
      <alignment horizontal="center" vertical="center"/>
    </xf>
    <xf numFmtId="0" fontId="0" fillId="0" borderId="43" xfId="0" applyBorder="1"/>
    <xf numFmtId="0" fontId="11" fillId="0" borderId="43" xfId="0" applyFont="1" applyBorder="1" applyAlignment="1">
      <alignment horizontal="left" vertical="center"/>
    </xf>
    <xf numFmtId="0" fontId="11" fillId="0" borderId="40" xfId="0" applyFont="1" applyBorder="1" applyAlignment="1">
      <alignment vertical="center"/>
    </xf>
    <xf numFmtId="49" fontId="0" fillId="0" borderId="8" xfId="0" applyNumberFormat="1" applyBorder="1" applyAlignment="1">
      <alignment horizontal="right" vertical="center"/>
    </xf>
    <xf numFmtId="49" fontId="18" fillId="0" borderId="46" xfId="0" applyNumberFormat="1" applyFont="1" applyBorder="1" applyAlignment="1">
      <alignment vertical="center"/>
    </xf>
    <xf numFmtId="0" fontId="18" fillId="28" borderId="43" xfId="0" applyFont="1" applyFill="1" applyBorder="1" applyAlignment="1">
      <alignment horizontal="center" vertical="center"/>
    </xf>
    <xf numFmtId="49" fontId="14" fillId="0" borderId="46" xfId="0" applyNumberFormat="1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8" fillId="0" borderId="17" xfId="0" applyFont="1" applyBorder="1" applyAlignment="1">
      <alignment vertical="center"/>
    </xf>
    <xf numFmtId="0" fontId="18" fillId="0" borderId="40" xfId="0" applyFont="1" applyBorder="1" applyAlignment="1">
      <alignment vertical="center"/>
    </xf>
    <xf numFmtId="0" fontId="18" fillId="0" borderId="43" xfId="0" applyFont="1" applyBorder="1" applyAlignment="1">
      <alignment vertical="center"/>
    </xf>
    <xf numFmtId="0" fontId="18" fillId="9" borderId="43" xfId="0" applyFont="1" applyFill="1" applyBorder="1" applyAlignment="1">
      <alignment vertical="center"/>
    </xf>
    <xf numFmtId="0" fontId="18" fillId="16" borderId="43" xfId="0" applyFont="1" applyFill="1" applyBorder="1" applyAlignment="1">
      <alignment vertical="center"/>
    </xf>
    <xf numFmtId="0" fontId="18" fillId="22" borderId="43" xfId="0" applyFont="1" applyFill="1" applyBorder="1" applyAlignment="1">
      <alignment vertical="center"/>
    </xf>
    <xf numFmtId="0" fontId="18" fillId="22" borderId="43" xfId="0" applyFont="1" applyFill="1" applyBorder="1" applyAlignment="1">
      <alignment horizontal="center" vertical="center"/>
    </xf>
    <xf numFmtId="0" fontId="14" fillId="8" borderId="43" xfId="0" applyFont="1" applyFill="1" applyBorder="1" applyAlignment="1">
      <alignment horizontal="left" vertical="center"/>
    </xf>
    <xf numFmtId="0" fontId="14" fillId="0" borderId="46" xfId="0" applyFont="1" applyBorder="1" applyAlignment="1">
      <alignment vertical="center"/>
    </xf>
    <xf numFmtId="0" fontId="14" fillId="0" borderId="45" xfId="0" applyFont="1" applyBorder="1" applyAlignment="1">
      <alignment vertical="center"/>
    </xf>
    <xf numFmtId="0" fontId="18" fillId="0" borderId="48" xfId="0" applyFont="1" applyBorder="1" applyAlignment="1">
      <alignment horizontal="left" vertical="center"/>
    </xf>
    <xf numFmtId="0" fontId="18" fillId="0" borderId="48" xfId="0" applyFont="1" applyBorder="1" applyAlignment="1">
      <alignment horizontal="center" vertical="center"/>
    </xf>
    <xf numFmtId="0" fontId="18" fillId="0" borderId="45" xfId="0" applyFont="1" applyBorder="1" applyAlignment="1">
      <alignment vertical="center"/>
    </xf>
    <xf numFmtId="49" fontId="14" fillId="25" borderId="14" xfId="0" applyNumberFormat="1" applyFont="1" applyFill="1" applyBorder="1" applyAlignment="1">
      <alignment horizontal="center" vertical="center"/>
    </xf>
    <xf numFmtId="0" fontId="14" fillId="24" borderId="14" xfId="0" applyFont="1" applyFill="1" applyBorder="1" applyAlignment="1">
      <alignment vertical="center"/>
    </xf>
    <xf numFmtId="0" fontId="14" fillId="20" borderId="14" xfId="0" applyFont="1" applyFill="1" applyBorder="1" applyAlignment="1">
      <alignment horizontal="center" vertical="center"/>
    </xf>
    <xf numFmtId="0" fontId="18" fillId="20" borderId="14" xfId="0" applyFont="1" applyFill="1" applyBorder="1" applyAlignment="1">
      <alignment vertical="center"/>
    </xf>
    <xf numFmtId="1" fontId="14" fillId="0" borderId="43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left" vertical="center"/>
    </xf>
    <xf numFmtId="49" fontId="15" fillId="0" borderId="43" xfId="1" applyNumberFormat="1" applyBorder="1" applyAlignment="1">
      <alignment horizontal="left" vertical="center"/>
    </xf>
    <xf numFmtId="0" fontId="3" fillId="27" borderId="43" xfId="0" applyFont="1" applyFill="1" applyBorder="1" applyAlignment="1">
      <alignment horizontal="center" vertical="center"/>
    </xf>
    <xf numFmtId="49" fontId="2" fillId="8" borderId="46" xfId="0" applyNumberFormat="1" applyFont="1" applyFill="1" applyBorder="1" applyAlignment="1">
      <alignment horizontal="center" vertical="center"/>
    </xf>
    <xf numFmtId="0" fontId="0" fillId="8" borderId="43" xfId="0" applyFill="1" applyBorder="1" applyAlignment="1">
      <alignment horizontal="center" vertical="center"/>
    </xf>
    <xf numFmtId="0" fontId="2" fillId="8" borderId="45" xfId="0" applyFont="1" applyFill="1" applyBorder="1" applyAlignment="1">
      <alignment vertical="center"/>
    </xf>
    <xf numFmtId="0" fontId="2" fillId="27" borderId="43" xfId="0" applyFont="1" applyFill="1" applyBorder="1" applyAlignment="1">
      <alignment vertical="center"/>
    </xf>
    <xf numFmtId="0" fontId="14" fillId="28" borderId="4" xfId="0" applyFont="1" applyFill="1" applyBorder="1" applyAlignment="1">
      <alignment vertical="center"/>
    </xf>
    <xf numFmtId="0" fontId="11" fillId="8" borderId="4" xfId="0" applyFont="1" applyFill="1" applyBorder="1" applyAlignment="1">
      <alignment vertical="center"/>
    </xf>
    <xf numFmtId="0" fontId="15" fillId="0" borderId="4" xfId="1" applyBorder="1"/>
    <xf numFmtId="0" fontId="0" fillId="0" borderId="58" xfId="0" applyBorder="1" applyAlignment="1">
      <alignment horizontal="left" vertical="center"/>
    </xf>
    <xf numFmtId="49" fontId="2" fillId="0" borderId="57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0" fontId="32" fillId="0" borderId="43" xfId="1" applyFont="1" applyBorder="1" applyAlignment="1">
      <alignment horizontal="left" vertical="center"/>
    </xf>
    <xf numFmtId="14" fontId="0" fillId="0" borderId="43" xfId="0" applyNumberFormat="1" applyBorder="1" applyAlignment="1">
      <alignment horizontal="left" vertical="center"/>
    </xf>
    <xf numFmtId="0" fontId="14" fillId="28" borderId="43" xfId="0" applyFont="1" applyFill="1" applyBorder="1" applyAlignment="1">
      <alignment vertical="center"/>
    </xf>
    <xf numFmtId="0" fontId="14" fillId="0" borderId="7" xfId="0" applyFont="1" applyBorder="1" applyAlignment="1">
      <alignment horizontal="center" vertical="center"/>
    </xf>
    <xf numFmtId="49" fontId="18" fillId="0" borderId="17" xfId="0" applyNumberFormat="1" applyFont="1" applyBorder="1" applyAlignment="1">
      <alignment horizontal="left" vertical="center"/>
    </xf>
    <xf numFmtId="0" fontId="15" fillId="0" borderId="0" xfId="1" applyBorder="1" applyAlignment="1">
      <alignment vertical="center"/>
    </xf>
    <xf numFmtId="0" fontId="11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6" fillId="27" borderId="4" xfId="0" applyFont="1" applyFill="1" applyBorder="1" applyAlignment="1">
      <alignment vertical="center"/>
    </xf>
    <xf numFmtId="0" fontId="6" fillId="0" borderId="43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43" xfId="0" applyFont="1" applyBorder="1" applyAlignment="1">
      <alignment vertical="center"/>
    </xf>
    <xf numFmtId="49" fontId="3" fillId="0" borderId="43" xfId="0" applyNumberFormat="1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1" fontId="6" fillId="0" borderId="43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6" fillId="0" borderId="40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9" borderId="43" xfId="0" applyFont="1" applyFill="1" applyBorder="1" applyAlignment="1">
      <alignment vertical="center"/>
    </xf>
    <xf numFmtId="0" fontId="6" fillId="16" borderId="43" xfId="0" applyFont="1" applyFill="1" applyBorder="1" applyAlignment="1">
      <alignment vertical="center"/>
    </xf>
    <xf numFmtId="0" fontId="6" fillId="22" borderId="43" xfId="0" applyFont="1" applyFill="1" applyBorder="1" applyAlignment="1">
      <alignment vertical="center"/>
    </xf>
    <xf numFmtId="0" fontId="6" fillId="22" borderId="43" xfId="0" applyFont="1" applyFill="1" applyBorder="1" applyAlignment="1">
      <alignment horizontal="center" vertical="center"/>
    </xf>
    <xf numFmtId="49" fontId="6" fillId="0" borderId="43" xfId="0" applyNumberFormat="1" applyFont="1" applyBorder="1" applyAlignment="1">
      <alignment horizontal="right" vertical="center"/>
    </xf>
    <xf numFmtId="0" fontId="3" fillId="0" borderId="46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6" fillId="0" borderId="48" xfId="0" applyFont="1" applyBorder="1" applyAlignment="1">
      <alignment horizontal="left" vertical="center"/>
    </xf>
    <xf numFmtId="0" fontId="6" fillId="0" borderId="48" xfId="0" applyFont="1" applyBorder="1" applyAlignment="1">
      <alignment horizontal="center" vertical="center"/>
    </xf>
    <xf numFmtId="0" fontId="6" fillId="0" borderId="45" xfId="0" applyFont="1" applyBorder="1" applyAlignment="1">
      <alignment vertical="center"/>
    </xf>
    <xf numFmtId="49" fontId="3" fillId="25" borderId="14" xfId="0" applyNumberFormat="1" applyFont="1" applyFill="1" applyBorder="1" applyAlignment="1">
      <alignment horizontal="center" vertical="center"/>
    </xf>
    <xf numFmtId="0" fontId="3" fillId="20" borderId="14" xfId="0" applyFont="1" applyFill="1" applyBorder="1" applyAlignment="1">
      <alignment horizontal="center" vertical="center"/>
    </xf>
    <xf numFmtId="0" fontId="3" fillId="20" borderId="14" xfId="0" applyFont="1" applyFill="1" applyBorder="1" applyAlignment="1">
      <alignment vertical="center"/>
    </xf>
    <xf numFmtId="49" fontId="3" fillId="0" borderId="46" xfId="0" applyNumberFormat="1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right" vertical="center"/>
    </xf>
    <xf numFmtId="1" fontId="3" fillId="2" borderId="43" xfId="0" applyNumberFormat="1" applyFont="1" applyFill="1" applyBorder="1" applyAlignment="1">
      <alignment horizontal="left" vertical="center"/>
    </xf>
    <xf numFmtId="0" fontId="3" fillId="32" borderId="4" xfId="0" applyFont="1" applyFill="1" applyBorder="1" applyAlignment="1">
      <alignment horizontal="center" vertical="center"/>
    </xf>
    <xf numFmtId="0" fontId="3" fillId="32" borderId="43" xfId="0" applyFont="1" applyFill="1" applyBorder="1" applyAlignment="1">
      <alignment horizontal="center" vertical="center"/>
    </xf>
    <xf numFmtId="1" fontId="3" fillId="32" borderId="4" xfId="0" applyNumberFormat="1" applyFont="1" applyFill="1" applyBorder="1" applyAlignment="1">
      <alignment horizontal="center" vertical="center"/>
    </xf>
    <xf numFmtId="0" fontId="3" fillId="31" borderId="4" xfId="0" applyFont="1" applyFill="1" applyBorder="1" applyAlignment="1">
      <alignment horizontal="center" vertical="center"/>
    </xf>
    <xf numFmtId="1" fontId="3" fillId="31" borderId="4" xfId="0" applyNumberFormat="1" applyFont="1" applyFill="1" applyBorder="1" applyAlignment="1">
      <alignment horizontal="center" vertical="center"/>
    </xf>
    <xf numFmtId="0" fontId="3" fillId="31" borderId="43" xfId="0" applyFont="1" applyFill="1" applyBorder="1" applyAlignment="1">
      <alignment horizontal="center" vertical="center"/>
    </xf>
    <xf numFmtId="0" fontId="6" fillId="0" borderId="46" xfId="0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center" vertical="center"/>
    </xf>
    <xf numFmtId="0" fontId="3" fillId="27" borderId="43" xfId="0" applyFont="1" applyFill="1" applyBorder="1" applyAlignment="1">
      <alignment vertical="center"/>
    </xf>
    <xf numFmtId="14" fontId="18" fillId="0" borderId="43" xfId="0" applyNumberFormat="1" applyFont="1" applyBorder="1" applyAlignment="1">
      <alignment horizontal="center" vertical="center"/>
    </xf>
    <xf numFmtId="14" fontId="18" fillId="0" borderId="40" xfId="0" applyNumberFormat="1" applyFont="1" applyBorder="1" applyAlignment="1">
      <alignment horizontal="center" vertical="center"/>
    </xf>
    <xf numFmtId="0" fontId="0" fillId="0" borderId="44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9" borderId="7" xfId="0" applyFill="1" applyBorder="1" applyAlignment="1">
      <alignment vertical="center"/>
    </xf>
    <xf numFmtId="0" fontId="0" fillId="9" borderId="13" xfId="0" applyFill="1" applyBorder="1" applyAlignment="1">
      <alignment vertical="center"/>
    </xf>
    <xf numFmtId="0" fontId="0" fillId="16" borderId="13" xfId="0" applyFill="1" applyBorder="1" applyAlignment="1">
      <alignment vertical="center"/>
    </xf>
    <xf numFmtId="0" fontId="0" fillId="16" borderId="7" xfId="0" applyFill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1" fillId="0" borderId="43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43" xfId="0" applyFont="1" applyBorder="1" applyAlignment="1">
      <alignment vertical="center"/>
    </xf>
    <xf numFmtId="49" fontId="22" fillId="0" borderId="43" xfId="0" applyNumberFormat="1" applyFont="1" applyBorder="1" applyAlignment="1">
      <alignment horizontal="center" vertical="center"/>
    </xf>
    <xf numFmtId="0" fontId="22" fillId="27" borderId="43" xfId="0" applyFont="1" applyFill="1" applyBorder="1" applyAlignment="1">
      <alignment horizontal="center" vertical="center"/>
    </xf>
    <xf numFmtId="14" fontId="0" fillId="0" borderId="52" xfId="0" applyNumberForma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1" fontId="1" fillId="0" borderId="43" xfId="0" applyNumberFormat="1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0" fillId="0" borderId="52" xfId="0" applyBorder="1" applyAlignment="1">
      <alignment vertical="center"/>
    </xf>
    <xf numFmtId="0" fontId="0" fillId="0" borderId="52" xfId="0" applyBorder="1" applyAlignment="1">
      <alignment horizontal="left" vertical="center"/>
    </xf>
    <xf numFmtId="0" fontId="22" fillId="0" borderId="40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0" fillId="0" borderId="47" xfId="0" applyBorder="1" applyAlignment="1">
      <alignment vertical="center"/>
    </xf>
    <xf numFmtId="0" fontId="1" fillId="0" borderId="40" xfId="0" applyFont="1" applyBorder="1" applyAlignment="1">
      <alignment vertical="center"/>
    </xf>
    <xf numFmtId="0" fontId="0" fillId="0" borderId="49" xfId="0" applyBorder="1" applyAlignment="1">
      <alignment vertical="center"/>
    </xf>
    <xf numFmtId="0" fontId="1" fillId="9" borderId="43" xfId="0" applyFont="1" applyFill="1" applyBorder="1" applyAlignment="1">
      <alignment vertical="center"/>
    </xf>
    <xf numFmtId="0" fontId="0" fillId="9" borderId="52" xfId="0" applyFill="1" applyBorder="1" applyAlignment="1">
      <alignment vertical="center"/>
    </xf>
    <xf numFmtId="0" fontId="1" fillId="16" borderId="43" xfId="0" applyFont="1" applyFill="1" applyBorder="1" applyAlignment="1">
      <alignment vertical="center"/>
    </xf>
    <xf numFmtId="0" fontId="0" fillId="16" borderId="49" xfId="0" applyFill="1" applyBorder="1" applyAlignment="1">
      <alignment vertical="center"/>
    </xf>
    <xf numFmtId="0" fontId="0" fillId="16" borderId="52" xfId="0" applyFill="1" applyBorder="1" applyAlignment="1">
      <alignment vertical="center"/>
    </xf>
    <xf numFmtId="0" fontId="1" fillId="22" borderId="43" xfId="0" applyFont="1" applyFill="1" applyBorder="1" applyAlignment="1">
      <alignment vertical="center"/>
    </xf>
    <xf numFmtId="0" fontId="0" fillId="22" borderId="52" xfId="0" applyFill="1" applyBorder="1" applyAlignment="1">
      <alignment vertical="center"/>
    </xf>
    <xf numFmtId="0" fontId="1" fillId="22" borderId="43" xfId="0" applyFont="1" applyFill="1" applyBorder="1" applyAlignment="1">
      <alignment horizontal="center" vertical="center"/>
    </xf>
    <xf numFmtId="0" fontId="0" fillId="22" borderId="52" xfId="0" applyFill="1" applyBorder="1" applyAlignment="1">
      <alignment horizontal="center" vertical="center"/>
    </xf>
    <xf numFmtId="49" fontId="1" fillId="0" borderId="43" xfId="0" applyNumberFormat="1" applyFont="1" applyBorder="1" applyAlignment="1">
      <alignment horizontal="right" vertical="center"/>
    </xf>
    <xf numFmtId="0" fontId="22" fillId="0" borderId="4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2" fillId="0" borderId="45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1" fillId="0" borderId="46" xfId="0" applyFont="1" applyBorder="1" applyAlignment="1">
      <alignment horizontal="left" vertical="center"/>
    </xf>
    <xf numFmtId="0" fontId="0" fillId="0" borderId="45" xfId="0" applyBorder="1" applyAlignment="1">
      <alignment vertical="top"/>
    </xf>
    <xf numFmtId="49" fontId="2" fillId="25" borderId="14" xfId="0" applyNumberFormat="1" applyFont="1" applyFill="1" applyBorder="1" applyAlignment="1">
      <alignment horizontal="center" vertical="top"/>
    </xf>
    <xf numFmtId="49" fontId="22" fillId="25" borderId="14" xfId="0" applyNumberFormat="1" applyFont="1" applyFill="1" applyBorder="1" applyAlignment="1">
      <alignment horizontal="center" vertical="center"/>
    </xf>
    <xf numFmtId="49" fontId="2" fillId="25" borderId="7" xfId="0" applyNumberFormat="1" applyFont="1" applyFill="1" applyBorder="1" applyAlignment="1">
      <alignment horizontal="center" vertical="center"/>
    </xf>
    <xf numFmtId="0" fontId="3" fillId="24" borderId="14" xfId="0" applyFont="1" applyFill="1" applyBorder="1" applyAlignment="1">
      <alignment horizontal="center" vertical="top"/>
    </xf>
    <xf numFmtId="0" fontId="22" fillId="20" borderId="14" xfId="0" applyFont="1" applyFill="1" applyBorder="1" applyAlignment="1">
      <alignment horizontal="center" vertical="center"/>
    </xf>
    <xf numFmtId="0" fontId="1" fillId="20" borderId="14" xfId="0" applyFont="1" applyFill="1" applyBorder="1" applyAlignment="1">
      <alignment vertical="center"/>
    </xf>
    <xf numFmtId="49" fontId="22" fillId="0" borderId="46" xfId="0" applyNumberFormat="1" applyFont="1" applyBorder="1" applyAlignment="1">
      <alignment horizontal="center" vertical="center"/>
    </xf>
    <xf numFmtId="14" fontId="0" fillId="8" borderId="43" xfId="0" applyNumberFormat="1" applyFill="1" applyBorder="1" applyAlignment="1">
      <alignment horizontal="center" vertical="center"/>
    </xf>
    <xf numFmtId="14" fontId="0" fillId="0" borderId="40" xfId="0" applyNumberFormat="1" applyBorder="1" applyAlignment="1">
      <alignment horizontal="center" vertical="top"/>
    </xf>
    <xf numFmtId="0" fontId="11" fillId="8" borderId="17" xfId="0" applyFont="1" applyFill="1" applyBorder="1" applyAlignment="1">
      <alignment vertical="center"/>
    </xf>
    <xf numFmtId="0" fontId="11" fillId="0" borderId="17" xfId="0" applyFont="1" applyBorder="1" applyAlignment="1">
      <alignment horizontal="left"/>
    </xf>
    <xf numFmtId="0" fontId="0" fillId="8" borderId="17" xfId="0" applyFill="1" applyBorder="1" applyAlignment="1">
      <alignment horizontal="left" vertical="center"/>
    </xf>
    <xf numFmtId="49" fontId="1" fillId="0" borderId="17" xfId="0" applyNumberFormat="1" applyFont="1" applyBorder="1" applyAlignment="1">
      <alignment horizontal="right" vertical="center"/>
    </xf>
    <xf numFmtId="1" fontId="22" fillId="2" borderId="43" xfId="0" applyNumberFormat="1" applyFont="1" applyFill="1" applyBorder="1" applyAlignment="1">
      <alignment horizontal="left" vertical="center"/>
    </xf>
    <xf numFmtId="14" fontId="6" fillId="0" borderId="43" xfId="0" applyNumberFormat="1" applyFont="1" applyBorder="1" applyAlignment="1">
      <alignment horizontal="center" vertical="center"/>
    </xf>
    <xf numFmtId="14" fontId="6" fillId="0" borderId="40" xfId="0" applyNumberFormat="1" applyFont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0" fontId="5" fillId="0" borderId="43" xfId="1" applyFont="1" applyBorder="1" applyAlignment="1">
      <alignment horizontal="left" vertical="center"/>
    </xf>
    <xf numFmtId="0" fontId="2" fillId="28" borderId="49" xfId="0" applyFont="1" applyFill="1" applyBorder="1" applyAlignment="1">
      <alignment vertical="center"/>
    </xf>
    <xf numFmtId="0" fontId="0" fillId="0" borderId="43" xfId="0" applyBorder="1" applyAlignment="1">
      <alignment horizontal="left"/>
    </xf>
    <xf numFmtId="0" fontId="2" fillId="0" borderId="45" xfId="0" applyFont="1" applyBorder="1" applyAlignment="1">
      <alignment vertical="top"/>
    </xf>
    <xf numFmtId="0" fontId="2" fillId="0" borderId="56" xfId="0" applyFont="1" applyBorder="1" applyAlignment="1">
      <alignment vertical="center"/>
    </xf>
    <xf numFmtId="0" fontId="2" fillId="27" borderId="49" xfId="0" applyFont="1" applyFill="1" applyBorder="1" applyAlignment="1">
      <alignment horizontal="left" vertical="center"/>
    </xf>
    <xf numFmtId="0" fontId="2" fillId="27" borderId="16" xfId="0" applyFont="1" applyFill="1" applyBorder="1" applyAlignment="1">
      <alignment horizontal="left" vertical="center"/>
    </xf>
    <xf numFmtId="49" fontId="0" fillId="0" borderId="13" xfId="0" applyNumberFormat="1" applyBorder="1" applyAlignment="1">
      <alignment horizontal="right" vertical="center"/>
    </xf>
    <xf numFmtId="1" fontId="12" fillId="2" borderId="7" xfId="0" applyNumberFormat="1" applyFont="1" applyFill="1" applyBorder="1" applyAlignment="1">
      <alignment horizontal="left" vertical="center"/>
    </xf>
    <xf numFmtId="0" fontId="2" fillId="0" borderId="46" xfId="0" applyFont="1" applyBorder="1" applyAlignment="1">
      <alignment vertical="top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5" fillId="0" borderId="8" xfId="1" applyBorder="1" applyAlignment="1">
      <alignment horizontal="left" vertical="center"/>
    </xf>
    <xf numFmtId="1" fontId="12" fillId="2" borderId="17" xfId="0" applyNumberFormat="1" applyFont="1" applyFill="1" applyBorder="1" applyAlignment="1">
      <alignment horizontal="left" vertical="center"/>
    </xf>
    <xf numFmtId="0" fontId="3" fillId="29" borderId="43" xfId="0" applyFont="1" applyFill="1" applyBorder="1" applyAlignment="1">
      <alignment horizontal="center" vertical="center"/>
    </xf>
    <xf numFmtId="0" fontId="3" fillId="31" borderId="0" xfId="0" applyFont="1" applyFill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0" fillId="8" borderId="0" xfId="0" applyFill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33" borderId="0" xfId="0" applyFont="1" applyFill="1" applyAlignment="1">
      <alignment horizontal="center" vertical="center"/>
    </xf>
    <xf numFmtId="0" fontId="3" fillId="34" borderId="0" xfId="0" applyFont="1" applyFill="1" applyAlignment="1">
      <alignment horizontal="center" vertical="center"/>
    </xf>
    <xf numFmtId="0" fontId="3" fillId="33" borderId="0" xfId="0" applyFont="1" applyFill="1" applyAlignment="1">
      <alignment horizontal="center" vertical="center"/>
    </xf>
    <xf numFmtId="0" fontId="3" fillId="35" borderId="0" xfId="0" applyFont="1" applyFill="1" applyAlignment="1">
      <alignment horizontal="center" vertical="center"/>
    </xf>
    <xf numFmtId="0" fontId="2" fillId="35" borderId="0" xfId="0" applyFont="1" applyFill="1" applyAlignment="1">
      <alignment horizontal="center" vertical="center"/>
    </xf>
    <xf numFmtId="0" fontId="3" fillId="28" borderId="4" xfId="0" applyFont="1" applyFill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49" fontId="11" fillId="0" borderId="17" xfId="0" applyNumberFormat="1" applyFont="1" applyBorder="1" applyAlignment="1">
      <alignment horizontal="left" vertical="center"/>
    </xf>
    <xf numFmtId="0" fontId="14" fillId="33" borderId="0" xfId="0" applyFont="1" applyFill="1" applyAlignment="1">
      <alignment horizontal="center" vertical="center"/>
    </xf>
    <xf numFmtId="0" fontId="3" fillId="32" borderId="0" xfId="0" applyFont="1" applyFill="1" applyAlignment="1">
      <alignment horizontal="center" vertical="center"/>
    </xf>
    <xf numFmtId="0" fontId="0" fillId="8" borderId="46" xfId="0" applyFill="1" applyBorder="1" applyAlignment="1">
      <alignment vertical="center"/>
    </xf>
    <xf numFmtId="0" fontId="0" fillId="8" borderId="48" xfId="0" applyFill="1" applyBorder="1" applyAlignment="1">
      <alignment vertical="center"/>
    </xf>
    <xf numFmtId="0" fontId="0" fillId="8" borderId="48" xfId="0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8" borderId="45" xfId="0" applyFill="1" applyBorder="1" applyAlignment="1">
      <alignment vertical="center"/>
    </xf>
    <xf numFmtId="49" fontId="2" fillId="0" borderId="49" xfId="0" applyNumberFormat="1" applyFont="1" applyBorder="1" applyAlignment="1">
      <alignment horizontal="center" vertical="center"/>
    </xf>
    <xf numFmtId="0" fontId="15" fillId="0" borderId="43" xfId="1" applyBorder="1"/>
    <xf numFmtId="3" fontId="0" fillId="0" borderId="17" xfId="0" applyNumberFormat="1" applyBorder="1" applyAlignment="1">
      <alignment horizontal="left"/>
    </xf>
    <xf numFmtId="0" fontId="0" fillId="0" borderId="53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1" fontId="18" fillId="0" borderId="17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0" fillId="9" borderId="49" xfId="0" applyFill="1" applyBorder="1" applyAlignment="1">
      <alignment vertical="center"/>
    </xf>
    <xf numFmtId="0" fontId="0" fillId="8" borderId="4" xfId="0" applyFill="1" applyBorder="1" applyAlignment="1">
      <alignment vertical="center"/>
    </xf>
    <xf numFmtId="0" fontId="15" fillId="0" borderId="3" xfId="1" applyBorder="1" applyAlignment="1">
      <alignment horizontal="left" vertical="center"/>
    </xf>
    <xf numFmtId="3" fontId="6" fillId="0" borderId="17" xfId="0" applyNumberFormat="1" applyFont="1" applyBorder="1" applyAlignment="1">
      <alignment horizontal="left" vertical="center"/>
    </xf>
    <xf numFmtId="0" fontId="42" fillId="0" borderId="43" xfId="0" applyFont="1" applyBorder="1" applyAlignment="1">
      <alignment vertical="center"/>
    </xf>
    <xf numFmtId="0" fontId="2" fillId="36" borderId="2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/>
    </xf>
    <xf numFmtId="0" fontId="2" fillId="36" borderId="4" xfId="0" applyFont="1" applyFill="1" applyBorder="1" applyAlignment="1">
      <alignment horizontal="center" vertical="center" wrapText="1"/>
    </xf>
    <xf numFmtId="0" fontId="0" fillId="36" borderId="4" xfId="0" applyFill="1" applyBorder="1" applyAlignment="1">
      <alignment vertical="center"/>
    </xf>
    <xf numFmtId="0" fontId="18" fillId="36" borderId="4" xfId="0" applyFont="1" applyFill="1" applyBorder="1" applyAlignment="1">
      <alignment horizontal="center" vertical="center"/>
    </xf>
    <xf numFmtId="0" fontId="18" fillId="26" borderId="4" xfId="0" applyFont="1" applyFill="1" applyBorder="1" applyAlignment="1">
      <alignment horizontal="center" vertical="center"/>
    </xf>
    <xf numFmtId="0" fontId="3" fillId="36" borderId="4" xfId="0" applyFont="1" applyFill="1" applyBorder="1" applyAlignment="1">
      <alignment horizontal="center" vertical="center" wrapText="1"/>
    </xf>
    <xf numFmtId="0" fontId="6" fillId="36" borderId="4" xfId="0" applyFont="1" applyFill="1" applyBorder="1" applyAlignment="1">
      <alignment horizontal="center" vertical="center"/>
    </xf>
    <xf numFmtId="0" fontId="14" fillId="26" borderId="4" xfId="0" applyFont="1" applyFill="1" applyBorder="1" applyAlignment="1">
      <alignment horizontal="center" vertical="center" wrapText="1"/>
    </xf>
    <xf numFmtId="0" fontId="22" fillId="36" borderId="4" xfId="0" applyFont="1" applyFill="1" applyBorder="1" applyAlignment="1">
      <alignment horizontal="center" wrapText="1"/>
    </xf>
    <xf numFmtId="0" fontId="1" fillId="36" borderId="4" xfId="0" applyFont="1" applyFill="1" applyBorder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2" fillId="36" borderId="14" xfId="0" applyFont="1" applyFill="1" applyBorder="1" applyAlignment="1">
      <alignment horizontal="center" vertical="center" wrapText="1"/>
    </xf>
    <xf numFmtId="0" fontId="18" fillId="26" borderId="46" xfId="0" applyFont="1" applyFill="1" applyBorder="1" applyAlignment="1">
      <alignment horizontal="center" vertical="center"/>
    </xf>
    <xf numFmtId="0" fontId="18" fillId="36" borderId="46" xfId="0" applyFont="1" applyFill="1" applyBorder="1" applyAlignment="1">
      <alignment horizontal="center" vertical="center"/>
    </xf>
    <xf numFmtId="0" fontId="3" fillId="36" borderId="14" xfId="0" applyFont="1" applyFill="1" applyBorder="1" applyAlignment="1">
      <alignment horizontal="center" vertical="center" wrapText="1"/>
    </xf>
    <xf numFmtId="0" fontId="6" fillId="36" borderId="46" xfId="0" applyFont="1" applyFill="1" applyBorder="1" applyAlignment="1">
      <alignment horizontal="center" vertical="center"/>
    </xf>
    <xf numFmtId="0" fontId="22" fillId="36" borderId="14" xfId="0" applyFont="1" applyFill="1" applyBorder="1" applyAlignment="1">
      <alignment horizontal="center" vertical="center" wrapText="1"/>
    </xf>
    <xf numFmtId="0" fontId="1" fillId="36" borderId="46" xfId="0" applyFont="1" applyFill="1" applyBorder="1" applyAlignment="1">
      <alignment horizontal="center" vertical="center"/>
    </xf>
    <xf numFmtId="0" fontId="18" fillId="36" borderId="8" xfId="0" applyFont="1" applyFill="1" applyBorder="1" applyAlignment="1">
      <alignment horizontal="center" vertical="center"/>
    </xf>
    <xf numFmtId="0" fontId="2" fillId="26" borderId="0" xfId="0" applyFont="1" applyFill="1" applyAlignment="1">
      <alignment horizontal="center" vertical="center" wrapText="1"/>
    </xf>
    <xf numFmtId="0" fontId="0" fillId="26" borderId="0" xfId="0" applyFill="1" applyAlignment="1">
      <alignment vertical="center"/>
    </xf>
    <xf numFmtId="0" fontId="18" fillId="26" borderId="0" xfId="0" applyFont="1" applyFill="1" applyAlignment="1">
      <alignment horizontal="center" vertical="center"/>
    </xf>
    <xf numFmtId="3" fontId="0" fillId="0" borderId="3" xfId="0" applyNumberFormat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0" fillId="0" borderId="60" xfId="0" applyBorder="1" applyAlignment="1">
      <alignment horizontal="center" vertical="center"/>
    </xf>
    <xf numFmtId="0" fontId="11" fillId="0" borderId="60" xfId="0" applyFont="1" applyBorder="1" applyAlignment="1">
      <alignment horizontal="center" vertical="center"/>
    </xf>
    <xf numFmtId="49" fontId="1" fillId="0" borderId="60" xfId="0" applyNumberFormat="1" applyFont="1" applyBorder="1" applyAlignment="1">
      <alignment horizontal="center" vertical="center"/>
    </xf>
    <xf numFmtId="49" fontId="0" fillId="0" borderId="60" xfId="0" applyNumberFormat="1" applyBorder="1" applyAlignment="1">
      <alignment horizontal="center" vertical="center"/>
    </xf>
    <xf numFmtId="0" fontId="6" fillId="36" borderId="4" xfId="0" applyFont="1" applyFill="1" applyBorder="1" applyAlignment="1">
      <alignment vertical="center"/>
    </xf>
    <xf numFmtId="49" fontId="1" fillId="0" borderId="39" xfId="0" applyNumberFormat="1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49" fontId="1" fillId="0" borderId="29" xfId="0" applyNumberFormat="1" applyFont="1" applyBorder="1" applyAlignment="1">
      <alignment vertical="center"/>
    </xf>
    <xf numFmtId="0" fontId="11" fillId="0" borderId="29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64" xfId="0" applyFont="1" applyBorder="1" applyAlignment="1">
      <alignment vertical="center"/>
    </xf>
    <xf numFmtId="0" fontId="2" fillId="0" borderId="27" xfId="0" applyFont="1" applyBorder="1" applyAlignment="1">
      <alignment vertical="center" wrapText="1"/>
    </xf>
    <xf numFmtId="49" fontId="0" fillId="0" borderId="7" xfId="0" applyNumberForma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1" fontId="0" fillId="0" borderId="7" xfId="0" applyNumberFormat="1" applyBorder="1" applyAlignment="1">
      <alignment vertical="center" wrapText="1"/>
    </xf>
    <xf numFmtId="14" fontId="0" fillId="0" borderId="7" xfId="0" applyNumberFormat="1" applyBorder="1" applyAlignment="1">
      <alignment vertical="center" wrapText="1"/>
    </xf>
    <xf numFmtId="14" fontId="6" fillId="2" borderId="7" xfId="0" applyNumberFormat="1" applyFont="1" applyFill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49" fontId="1" fillId="0" borderId="41" xfId="0" applyNumberFormat="1" applyFont="1" applyBorder="1" applyAlignment="1">
      <alignment horizontal="center" vertical="center"/>
    </xf>
    <xf numFmtId="49" fontId="1" fillId="0" borderId="42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8" borderId="61" xfId="0" applyFont="1" applyFill="1" applyBorder="1" applyAlignment="1">
      <alignment horizontal="center" vertical="center"/>
    </xf>
    <xf numFmtId="0" fontId="3" fillId="37" borderId="59" xfId="0" applyFont="1" applyFill="1" applyBorder="1" applyAlignment="1">
      <alignment horizontal="center" vertical="center"/>
    </xf>
    <xf numFmtId="0" fontId="18" fillId="36" borderId="4" xfId="0" applyFont="1" applyFill="1" applyBorder="1" applyAlignment="1">
      <alignment vertical="center"/>
    </xf>
    <xf numFmtId="0" fontId="19" fillId="0" borderId="4" xfId="1" applyFont="1" applyBorder="1" applyAlignment="1">
      <alignment horizontal="left" vertical="center"/>
    </xf>
    <xf numFmtId="0" fontId="14" fillId="24" borderId="14" xfId="0" applyFont="1" applyFill="1" applyBorder="1" applyAlignment="1">
      <alignment horizontal="center" vertical="center"/>
    </xf>
    <xf numFmtId="0" fontId="14" fillId="36" borderId="14" xfId="0" applyFont="1" applyFill="1" applyBorder="1" applyAlignment="1">
      <alignment horizontal="center" vertical="center" wrapText="1"/>
    </xf>
    <xf numFmtId="0" fontId="14" fillId="27" borderId="43" xfId="0" applyFont="1" applyFill="1" applyBorder="1" applyAlignment="1">
      <alignment horizontal="left" vertical="center"/>
    </xf>
    <xf numFmtId="0" fontId="14" fillId="27" borderId="43" xfId="0" applyFont="1" applyFill="1" applyBorder="1" applyAlignment="1">
      <alignment horizontal="center" vertical="center"/>
    </xf>
    <xf numFmtId="1" fontId="18" fillId="0" borderId="43" xfId="0" applyNumberFormat="1" applyFont="1" applyBorder="1" applyAlignment="1">
      <alignment horizontal="center" vertical="center"/>
    </xf>
    <xf numFmtId="0" fontId="19" fillId="0" borderId="43" xfId="1" applyFont="1" applyBorder="1" applyAlignment="1">
      <alignment horizontal="left" vertical="center"/>
    </xf>
    <xf numFmtId="49" fontId="18" fillId="0" borderId="43" xfId="0" applyNumberFormat="1" applyFont="1" applyBorder="1" applyAlignment="1">
      <alignment horizontal="right" vertical="center"/>
    </xf>
    <xf numFmtId="49" fontId="18" fillId="0" borderId="17" xfId="0" applyNumberFormat="1" applyFont="1" applyBorder="1" applyAlignment="1">
      <alignment horizontal="right" vertical="center"/>
    </xf>
    <xf numFmtId="1" fontId="14" fillId="2" borderId="43" xfId="0" applyNumberFormat="1" applyFont="1" applyFill="1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18" fillId="36" borderId="43" xfId="0" applyFont="1" applyFill="1" applyBorder="1" applyAlignment="1">
      <alignment horizontal="center" vertical="center"/>
    </xf>
    <xf numFmtId="0" fontId="6" fillId="0" borderId="57" xfId="0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3" fillId="0" borderId="14" xfId="0" applyFont="1" applyBorder="1" applyAlignment="1">
      <alignment horizontal="center" vertical="center" wrapText="1"/>
    </xf>
    <xf numFmtId="14" fontId="6" fillId="0" borderId="52" xfId="0" applyNumberFormat="1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1" fontId="6" fillId="0" borderId="51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40" xfId="0" applyFont="1" applyBorder="1" applyAlignment="1">
      <alignment horizontal="center" vertical="center"/>
    </xf>
    <xf numFmtId="0" fontId="16" fillId="0" borderId="0" xfId="1" applyFont="1" applyFill="1" applyBorder="1" applyAlignment="1">
      <alignment horizontal="left" vertical="center"/>
    </xf>
    <xf numFmtId="0" fontId="16" fillId="0" borderId="43" xfId="1" applyFont="1" applyFill="1" applyBorder="1" applyAlignment="1">
      <alignment horizontal="left" vertical="center"/>
    </xf>
    <xf numFmtId="1" fontId="3" fillId="0" borderId="43" xfId="0" applyNumberFormat="1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left" vertical="center"/>
    </xf>
    <xf numFmtId="49" fontId="16" fillId="0" borderId="4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4" fontId="2" fillId="0" borderId="43" xfId="0" applyNumberFormat="1" applyFont="1" applyBorder="1" applyAlignment="1">
      <alignment horizontal="left" vertical="center"/>
    </xf>
    <xf numFmtId="0" fontId="2" fillId="0" borderId="43" xfId="0" applyFont="1" applyBorder="1" applyAlignment="1">
      <alignment horizontal="left" vertical="center"/>
    </xf>
    <xf numFmtId="0" fontId="2" fillId="20" borderId="4" xfId="0" applyFont="1" applyFill="1" applyBorder="1" applyAlignment="1">
      <alignment vertical="center"/>
    </xf>
    <xf numFmtId="0" fontId="2" fillId="20" borderId="14" xfId="0" applyFont="1" applyFill="1" applyBorder="1" applyAlignment="1">
      <alignment vertical="center"/>
    </xf>
    <xf numFmtId="0" fontId="11" fillId="0" borderId="58" xfId="0" applyFont="1" applyBorder="1" applyAlignment="1">
      <alignment vertical="center"/>
    </xf>
    <xf numFmtId="0" fontId="1" fillId="0" borderId="48" xfId="0" applyFont="1" applyBorder="1" applyAlignment="1">
      <alignment horizontal="left" vertical="center"/>
    </xf>
    <xf numFmtId="0" fontId="1" fillId="0" borderId="48" xfId="0" applyFont="1" applyBorder="1" applyAlignment="1">
      <alignment horizontal="center" vertical="center"/>
    </xf>
    <xf numFmtId="0" fontId="1" fillId="0" borderId="45" xfId="0" applyFont="1" applyBorder="1" applyAlignment="1">
      <alignment vertical="center"/>
    </xf>
    <xf numFmtId="0" fontId="22" fillId="24" borderId="14" xfId="0" applyFont="1" applyFill="1" applyBorder="1" applyAlignment="1">
      <alignment horizontal="center" vertical="center"/>
    </xf>
    <xf numFmtId="14" fontId="1" fillId="0" borderId="43" xfId="0" applyNumberFormat="1" applyFont="1" applyBorder="1" applyAlignment="1">
      <alignment horizontal="center" vertical="center"/>
    </xf>
    <xf numFmtId="14" fontId="1" fillId="0" borderId="40" xfId="0" applyNumberFormat="1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37" fillId="0" borderId="17" xfId="0" applyFont="1" applyBorder="1" applyAlignment="1">
      <alignment horizontal="left" vertical="center"/>
    </xf>
    <xf numFmtId="0" fontId="18" fillId="0" borderId="49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4" xfId="0" applyBorder="1" applyAlignment="1">
      <alignment vertical="center"/>
    </xf>
    <xf numFmtId="0" fontId="0" fillId="0" borderId="53" xfId="0" applyBorder="1" applyAlignment="1">
      <alignment vertical="center"/>
    </xf>
    <xf numFmtId="0" fontId="11" fillId="0" borderId="14" xfId="0" applyFont="1" applyBorder="1" applyAlignment="1">
      <alignment vertical="center"/>
    </xf>
    <xf numFmtId="49" fontId="0" fillId="0" borderId="49" xfId="0" applyNumberFormat="1" applyBorder="1" applyAlignment="1">
      <alignment vertical="center"/>
    </xf>
    <xf numFmtId="49" fontId="0" fillId="0" borderId="16" xfId="0" applyNumberFormat="1" applyBorder="1" applyAlignment="1">
      <alignment vertical="center"/>
    </xf>
    <xf numFmtId="49" fontId="0" fillId="0" borderId="52" xfId="0" applyNumberFormat="1" applyBorder="1" applyAlignment="1">
      <alignment vertical="center"/>
    </xf>
    <xf numFmtId="49" fontId="0" fillId="0" borderId="7" xfId="0" applyNumberFormat="1" applyBorder="1" applyAlignment="1">
      <alignment vertical="center"/>
    </xf>
    <xf numFmtId="0" fontId="22" fillId="27" borderId="4" xfId="0" applyFont="1" applyFill="1" applyBorder="1" applyAlignment="1">
      <alignment vertical="center"/>
    </xf>
    <xf numFmtId="0" fontId="2" fillId="27" borderId="49" xfId="0" applyFont="1" applyFill="1" applyBorder="1" applyAlignment="1">
      <alignment vertical="center"/>
    </xf>
    <xf numFmtId="0" fontId="2" fillId="28" borderId="16" xfId="0" applyFont="1" applyFill="1" applyBorder="1" applyAlignment="1">
      <alignment vertical="center"/>
    </xf>
    <xf numFmtId="0" fontId="0" fillId="28" borderId="52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3" fontId="31" fillId="0" borderId="17" xfId="0" applyNumberFormat="1" applyFont="1" applyBorder="1" applyAlignment="1">
      <alignment horizontal="center" vertical="center"/>
    </xf>
    <xf numFmtId="0" fontId="0" fillId="0" borderId="51" xfId="0" applyBorder="1" applyAlignment="1">
      <alignment vertical="center"/>
    </xf>
    <xf numFmtId="0" fontId="11" fillId="0" borderId="51" xfId="0" applyFont="1" applyBorder="1" applyAlignment="1">
      <alignment vertical="center"/>
    </xf>
    <xf numFmtId="0" fontId="11" fillId="0" borderId="55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5" fillId="0" borderId="0" xfId="1" applyFill="1" applyBorder="1" applyAlignment="1">
      <alignment horizontal="left" vertical="center"/>
    </xf>
    <xf numFmtId="0" fontId="32" fillId="0" borderId="4" xfId="1" applyFont="1" applyBorder="1" applyAlignment="1">
      <alignment vertical="center"/>
    </xf>
    <xf numFmtId="0" fontId="15" fillId="0" borderId="8" xfId="1" applyBorder="1" applyAlignment="1">
      <alignment vertical="center"/>
    </xf>
    <xf numFmtId="0" fontId="12" fillId="8" borderId="51" xfId="0" applyFont="1" applyFill="1" applyBorder="1" applyAlignment="1">
      <alignment horizontal="left" vertical="center"/>
    </xf>
    <xf numFmtId="0" fontId="12" fillId="8" borderId="7" xfId="0" applyFont="1" applyFill="1" applyBorder="1" applyAlignment="1">
      <alignment horizontal="left" vertical="center"/>
    </xf>
    <xf numFmtId="0" fontId="3" fillId="24" borderId="0" xfId="0" applyFont="1" applyFill="1" applyAlignment="1">
      <alignment horizontal="center" vertical="center"/>
    </xf>
    <xf numFmtId="0" fontId="3" fillId="27" borderId="0" xfId="0" applyFont="1" applyFill="1" applyAlignment="1">
      <alignment horizontal="left" vertical="center"/>
    </xf>
    <xf numFmtId="1" fontId="11" fillId="0" borderId="0" xfId="0" applyNumberFormat="1" applyFont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20" borderId="57" xfId="0" applyFont="1" applyFill="1" applyBorder="1" applyAlignment="1">
      <alignment horizontal="center" vertical="center"/>
    </xf>
    <xf numFmtId="0" fontId="2" fillId="20" borderId="8" xfId="0" applyFont="1" applyFill="1" applyBorder="1" applyAlignment="1">
      <alignment horizontal="center" vertical="center"/>
    </xf>
    <xf numFmtId="0" fontId="2" fillId="36" borderId="44" xfId="0" applyFont="1" applyFill="1" applyBorder="1" applyAlignment="1">
      <alignment horizontal="center" vertical="center" wrapText="1"/>
    </xf>
    <xf numFmtId="0" fontId="3" fillId="36" borderId="44" xfId="0" applyFont="1" applyFill="1" applyBorder="1" applyAlignment="1">
      <alignment horizontal="center" vertical="center" wrapText="1"/>
    </xf>
    <xf numFmtId="0" fontId="22" fillId="36" borderId="44" xfId="0" applyFont="1" applyFill="1" applyBorder="1" applyAlignment="1">
      <alignment horizontal="center" vertical="center" wrapText="1"/>
    </xf>
    <xf numFmtId="0" fontId="14" fillId="36" borderId="44" xfId="0" applyFont="1" applyFill="1" applyBorder="1" applyAlignment="1">
      <alignment horizontal="center" vertical="center" wrapText="1"/>
    </xf>
    <xf numFmtId="0" fontId="2" fillId="27" borderId="0" xfId="0" applyFont="1" applyFill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3" fillId="0" borderId="38" xfId="0" applyFont="1" applyBorder="1" applyAlignment="1">
      <alignment horizontal="center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0505"/>
      <color rgb="FF00FFFF"/>
      <color rgb="FFCCFFFF"/>
      <color rgb="FFFFF9E7"/>
      <color rgb="FFFFEBFA"/>
      <color rgb="FFFF99FF"/>
      <color rgb="FFFFE697"/>
      <color rgb="FFFFFF99"/>
      <color rgb="FF0000FF"/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linktess@pt.lu" TargetMode="External"/><Relationship Id="rId299" Type="http://schemas.openxmlformats.org/officeDocument/2006/relationships/hyperlink" Target="mailto:afroide@hotmail.fr" TargetMode="External"/><Relationship Id="rId21" Type="http://schemas.openxmlformats.org/officeDocument/2006/relationships/hyperlink" Target="mailto:rebeccalingen@yahoo.de" TargetMode="External"/><Relationship Id="rId63" Type="http://schemas.openxmlformats.org/officeDocument/2006/relationships/hyperlink" Target="mailto:lekza2@gmail.com" TargetMode="External"/><Relationship Id="rId159" Type="http://schemas.openxmlformats.org/officeDocument/2006/relationships/hyperlink" Target="mailto:bettyrodesch@hotmail.com" TargetMode="External"/><Relationship Id="rId324" Type="http://schemas.openxmlformats.org/officeDocument/2006/relationships/hyperlink" Target="mailto:celine.gamot02@gmail.com" TargetMode="External"/><Relationship Id="rId366" Type="http://schemas.openxmlformats.org/officeDocument/2006/relationships/hyperlink" Target="mailto:rosalinelackner@gmail.com" TargetMode="External"/><Relationship Id="rId170" Type="http://schemas.openxmlformats.org/officeDocument/2006/relationships/hyperlink" Target="mailto:ka8084a@gmail.com" TargetMode="External"/><Relationship Id="rId226" Type="http://schemas.openxmlformats.org/officeDocument/2006/relationships/hyperlink" Target="mailto:marc.buchler@yahoo.de" TargetMode="External"/><Relationship Id="rId268" Type="http://schemas.openxmlformats.org/officeDocument/2006/relationships/hyperlink" Target="mailto:cameleon.engage@yahoo.de" TargetMode="External"/><Relationship Id="rId32" Type="http://schemas.openxmlformats.org/officeDocument/2006/relationships/hyperlink" Target="mailto:bettyrodesch@hotmail.com" TargetMode="External"/><Relationship Id="rId74" Type="http://schemas.openxmlformats.org/officeDocument/2006/relationships/hyperlink" Target="mailto:odgil@hotmail.com" TargetMode="External"/><Relationship Id="rId128" Type="http://schemas.openxmlformats.org/officeDocument/2006/relationships/hyperlink" Target="mailto:manon.bouvier@tutanota.com" TargetMode="External"/><Relationship Id="rId335" Type="http://schemas.openxmlformats.org/officeDocument/2006/relationships/hyperlink" Target="mailto:kim88.lang@yahoo.de" TargetMode="External"/><Relationship Id="rId377" Type="http://schemas.openxmlformats.org/officeDocument/2006/relationships/hyperlink" Target="mailto:steve_toisul@hotmail.com" TargetMode="External"/><Relationship Id="rId5" Type="http://schemas.openxmlformats.org/officeDocument/2006/relationships/hyperlink" Target="mailto:Bingenfrank@hotmail.com" TargetMode="External"/><Relationship Id="rId181" Type="http://schemas.openxmlformats.org/officeDocument/2006/relationships/hyperlink" Target="mailto:joel.jacobsen@outlook.com" TargetMode="External"/><Relationship Id="rId237" Type="http://schemas.openxmlformats.org/officeDocument/2006/relationships/hyperlink" Target="mailto:schmit.elena@gmail.com" TargetMode="External"/><Relationship Id="rId279" Type="http://schemas.openxmlformats.org/officeDocument/2006/relationships/hyperlink" Target="mailto:vanderwekenlouis01@gmail.com" TargetMode="External"/><Relationship Id="rId43" Type="http://schemas.openxmlformats.org/officeDocument/2006/relationships/hyperlink" Target="mailto:martina.borges97@hotmail.com" TargetMode="External"/><Relationship Id="rId139" Type="http://schemas.openxmlformats.org/officeDocument/2006/relationships/hyperlink" Target="mailto:ewokomopibo@gmail.com" TargetMode="External"/><Relationship Id="rId290" Type="http://schemas.openxmlformats.org/officeDocument/2006/relationships/hyperlink" Target="mailto:greis.christophe@gmail.com" TargetMode="External"/><Relationship Id="rId304" Type="http://schemas.openxmlformats.org/officeDocument/2006/relationships/hyperlink" Target="mailto:vasari.mendy@hotmail.com" TargetMode="External"/><Relationship Id="rId346" Type="http://schemas.openxmlformats.org/officeDocument/2006/relationships/hyperlink" Target="mailto:benetim@pt.lu" TargetMode="External"/><Relationship Id="rId388" Type="http://schemas.openxmlformats.org/officeDocument/2006/relationships/hyperlink" Target="mailto:xilaflash80@gmail.com" TargetMode="External"/><Relationship Id="rId85" Type="http://schemas.openxmlformats.org/officeDocument/2006/relationships/hyperlink" Target="mailto:arkremer@pt.lu" TargetMode="External"/><Relationship Id="rId150" Type="http://schemas.openxmlformats.org/officeDocument/2006/relationships/hyperlink" Target="mailto:dimitriwilklux@gmail.com" TargetMode="External"/><Relationship Id="rId192" Type="http://schemas.openxmlformats.org/officeDocument/2006/relationships/hyperlink" Target="mailto:anna.eszter.kalman@gmail.com" TargetMode="External"/><Relationship Id="rId206" Type="http://schemas.openxmlformats.org/officeDocument/2006/relationships/hyperlink" Target="mailto:svenja-schares@hotmail.com" TargetMode="External"/><Relationship Id="rId248" Type="http://schemas.openxmlformats.org/officeDocument/2006/relationships/hyperlink" Target="mailto:tomas.eiro@gmail.com" TargetMode="External"/><Relationship Id="rId12" Type="http://schemas.openxmlformats.org/officeDocument/2006/relationships/hyperlink" Target="mailto:didip@pt.lu" TargetMode="External"/><Relationship Id="rId108" Type="http://schemas.openxmlformats.org/officeDocument/2006/relationships/hyperlink" Target="mailto:petermurielle05@gmail.com" TargetMode="External"/><Relationship Id="rId315" Type="http://schemas.openxmlformats.org/officeDocument/2006/relationships/hyperlink" Target="mailto:robin.hamrodrotz@gmail.com" TargetMode="External"/><Relationship Id="rId357" Type="http://schemas.openxmlformats.org/officeDocument/2006/relationships/hyperlink" Target="mailto:vic.weiler@icloud.com" TargetMode="External"/><Relationship Id="rId54" Type="http://schemas.openxmlformats.org/officeDocument/2006/relationships/hyperlink" Target="mailto:d.iana_delgado@hotmail.com" TargetMode="External"/><Relationship Id="rId96" Type="http://schemas.openxmlformats.org/officeDocument/2006/relationships/hyperlink" Target="mailto:dacosta.catarina@hotmail.com" TargetMode="External"/><Relationship Id="rId161" Type="http://schemas.openxmlformats.org/officeDocument/2006/relationships/hyperlink" Target="mailto:nadine.breser@hotmail.com" TargetMode="External"/><Relationship Id="rId217" Type="http://schemas.openxmlformats.org/officeDocument/2006/relationships/hyperlink" Target="mailto:lukasfortesflor@gmail." TargetMode="External"/><Relationship Id="rId399" Type="http://schemas.openxmlformats.org/officeDocument/2006/relationships/comments" Target="../comments1.xml"/><Relationship Id="rId259" Type="http://schemas.openxmlformats.org/officeDocument/2006/relationships/hyperlink" Target="mailto:mohamedgamaldi22@gmail.com" TargetMode="External"/><Relationship Id="rId23" Type="http://schemas.openxmlformats.org/officeDocument/2006/relationships/hyperlink" Target="mailto:leisen.j@gmail.com" TargetMode="External"/><Relationship Id="rId119" Type="http://schemas.openxmlformats.org/officeDocument/2006/relationships/hyperlink" Target="mailto:annehj@yahoo.com" TargetMode="External"/><Relationship Id="rId270" Type="http://schemas.openxmlformats.org/officeDocument/2006/relationships/hyperlink" Target="mailto:natalialed@hotmail.com" TargetMode="External"/><Relationship Id="rId326" Type="http://schemas.openxmlformats.org/officeDocument/2006/relationships/hyperlink" Target="mailto:bossergilles@hotmail.com" TargetMode="External"/><Relationship Id="rId65" Type="http://schemas.openxmlformats.org/officeDocument/2006/relationships/hyperlink" Target="mailto:marthemeis@yahoo.de" TargetMode="External"/><Relationship Id="rId130" Type="http://schemas.openxmlformats.org/officeDocument/2006/relationships/hyperlink" Target="mailto:delgadocaremonika@gmail.com" TargetMode="External"/><Relationship Id="rId368" Type="http://schemas.openxmlformats.org/officeDocument/2006/relationships/hyperlink" Target="mailto:bjornevholmberg@gmail.com" TargetMode="External"/><Relationship Id="rId172" Type="http://schemas.openxmlformats.org/officeDocument/2006/relationships/hyperlink" Target="mailto:flament.ma@gmail.com" TargetMode="External"/><Relationship Id="rId228" Type="http://schemas.openxmlformats.org/officeDocument/2006/relationships/hyperlink" Target="mailto:saniye_tipirdamaz@yahoo.fr" TargetMode="External"/><Relationship Id="rId281" Type="http://schemas.openxmlformats.org/officeDocument/2006/relationships/hyperlink" Target="mailto:ferranti104@gmail.com" TargetMode="External"/><Relationship Id="rId337" Type="http://schemas.openxmlformats.org/officeDocument/2006/relationships/hyperlink" Target="mailto:simon120414@gmail.com" TargetMode="External"/><Relationship Id="rId34" Type="http://schemas.openxmlformats.org/officeDocument/2006/relationships/hyperlink" Target="mailto:yves.migliosi@gmail.com" TargetMode="External"/><Relationship Id="rId76" Type="http://schemas.openxmlformats.org/officeDocument/2006/relationships/hyperlink" Target="mailto:merschjoelle66@gmail.com" TargetMode="External"/><Relationship Id="rId141" Type="http://schemas.openxmlformats.org/officeDocument/2006/relationships/hyperlink" Target="mailto:matiasdemant@gmail.com" TargetMode="External"/><Relationship Id="rId379" Type="http://schemas.openxmlformats.org/officeDocument/2006/relationships/hyperlink" Target="mailto:crisfodor@gmail.com" TargetMode="External"/><Relationship Id="rId7" Type="http://schemas.openxmlformats.org/officeDocument/2006/relationships/hyperlink" Target="mailto:tabueck@hotmail.com" TargetMode="External"/><Relationship Id="rId183" Type="http://schemas.openxmlformats.org/officeDocument/2006/relationships/hyperlink" Target="mailto:eliott@busch.lu" TargetMode="External"/><Relationship Id="rId239" Type="http://schemas.openxmlformats.org/officeDocument/2006/relationships/hyperlink" Target="mailto:pipapongo@gmail.com" TargetMode="External"/><Relationship Id="rId390" Type="http://schemas.openxmlformats.org/officeDocument/2006/relationships/hyperlink" Target="mailto:marzadorisascha@hotmail.de" TargetMode="External"/><Relationship Id="rId250" Type="http://schemas.openxmlformats.org/officeDocument/2006/relationships/hyperlink" Target="mailto:sabrinabrandt1@gmail.com" TargetMode="External"/><Relationship Id="rId292" Type="http://schemas.openxmlformats.org/officeDocument/2006/relationships/hyperlink" Target="mailto:monia.demuth@gmail.com" TargetMode="External"/><Relationship Id="rId306" Type="http://schemas.openxmlformats.org/officeDocument/2006/relationships/hyperlink" Target="mailto:domingogomartinez@gmail.com" TargetMode="External"/><Relationship Id="rId45" Type="http://schemas.openxmlformats.org/officeDocument/2006/relationships/hyperlink" Target="mailto:michele.schilt@zpb.lu" TargetMode="External"/><Relationship Id="rId87" Type="http://schemas.openxmlformats.org/officeDocument/2006/relationships/hyperlink" Target="mailto:arsene@didelot.org" TargetMode="External"/><Relationship Id="rId110" Type="http://schemas.openxmlformats.org/officeDocument/2006/relationships/hyperlink" Target="mailto:fabernastasja@hotmail.com" TargetMode="External"/><Relationship Id="rId348" Type="http://schemas.openxmlformats.org/officeDocument/2006/relationships/hyperlink" Target="mailto:benetim@pt.lu" TargetMode="External"/><Relationship Id="rId152" Type="http://schemas.openxmlformats.org/officeDocument/2006/relationships/hyperlink" Target="mailto:ekaterinawilk@yahoo.fr" TargetMode="External"/><Relationship Id="rId194" Type="http://schemas.openxmlformats.org/officeDocument/2006/relationships/hyperlink" Target="mailto:librizzi.fra@gmail.com" TargetMode="External"/><Relationship Id="rId208" Type="http://schemas.openxmlformats.org/officeDocument/2006/relationships/hyperlink" Target="mailto:adrienjacquelin@gmail.com" TargetMode="External"/><Relationship Id="rId261" Type="http://schemas.openxmlformats.org/officeDocument/2006/relationships/hyperlink" Target="mailto:mirko-moreno@web.de" TargetMode="External"/><Relationship Id="rId14" Type="http://schemas.openxmlformats.org/officeDocument/2006/relationships/hyperlink" Target="mailto:laurent.felten82@gmail.com" TargetMode="External"/><Relationship Id="rId56" Type="http://schemas.openxmlformats.org/officeDocument/2006/relationships/hyperlink" Target="mailto:gerardo.simoes@centermed.lu" TargetMode="External"/><Relationship Id="rId317" Type="http://schemas.openxmlformats.org/officeDocument/2006/relationships/hyperlink" Target="mailto:castellano.virginio@gmail.com" TargetMode="External"/><Relationship Id="rId359" Type="http://schemas.openxmlformats.org/officeDocument/2006/relationships/hyperlink" Target="mailto:marijapetereifer@gmail.com" TargetMode="External"/><Relationship Id="rId98" Type="http://schemas.openxmlformats.org/officeDocument/2006/relationships/hyperlink" Target="mailto:marc.ernster@gmail.com" TargetMode="External"/><Relationship Id="rId121" Type="http://schemas.openxmlformats.org/officeDocument/2006/relationships/hyperlink" Target="mailto:mstroerup@hotmail.com" TargetMode="External"/><Relationship Id="rId163" Type="http://schemas.openxmlformats.org/officeDocument/2006/relationships/hyperlink" Target="mailto:adoberdolani@gmail.com" TargetMode="External"/><Relationship Id="rId219" Type="http://schemas.openxmlformats.org/officeDocument/2006/relationships/hyperlink" Target="mailto:fcmarisca@gmail.com" TargetMode="External"/><Relationship Id="rId370" Type="http://schemas.openxmlformats.org/officeDocument/2006/relationships/hyperlink" Target="mailto:kovanen.minna@gmail.com" TargetMode="External"/><Relationship Id="rId230" Type="http://schemas.openxmlformats.org/officeDocument/2006/relationships/hyperlink" Target="mailto:schiltz.frederic@gmail.com" TargetMode="External"/><Relationship Id="rId25" Type="http://schemas.openxmlformats.org/officeDocument/2006/relationships/hyperlink" Target="mailto:patrickmalget@gmail.com" TargetMode="External"/><Relationship Id="rId67" Type="http://schemas.openxmlformats.org/officeDocument/2006/relationships/hyperlink" Target="mailto:casaleirocarla78@gmail.com" TargetMode="External"/><Relationship Id="rId272" Type="http://schemas.openxmlformats.org/officeDocument/2006/relationships/hyperlink" Target="mailto:kacha267@icloud.com" TargetMode="External"/><Relationship Id="rId328" Type="http://schemas.openxmlformats.org/officeDocument/2006/relationships/hyperlink" Target="mailto:ericmay@pt.lu" TargetMode="External"/><Relationship Id="rId132" Type="http://schemas.openxmlformats.org/officeDocument/2006/relationships/hyperlink" Target="mailto:julia.haslbauer@gmx.at" TargetMode="External"/><Relationship Id="rId174" Type="http://schemas.openxmlformats.org/officeDocument/2006/relationships/hyperlink" Target="mailto:ana.ribeiro@education.lu" TargetMode="External"/><Relationship Id="rId381" Type="http://schemas.openxmlformats.org/officeDocument/2006/relationships/hyperlink" Target="mailto:eugeniamdlucas@gmail.com" TargetMode="External"/><Relationship Id="rId241" Type="http://schemas.openxmlformats.org/officeDocument/2006/relationships/hyperlink" Target="mailto:mosli55@hotmail.com" TargetMode="External"/><Relationship Id="rId36" Type="http://schemas.openxmlformats.org/officeDocument/2006/relationships/hyperlink" Target="mailto:nunesrafaelfraga@gmail.com" TargetMode="External"/><Relationship Id="rId283" Type="http://schemas.openxmlformats.org/officeDocument/2006/relationships/hyperlink" Target="mailto:caroline.odem@education.lu" TargetMode="External"/><Relationship Id="rId339" Type="http://schemas.openxmlformats.org/officeDocument/2006/relationships/hyperlink" Target="mailto:fihl@pt.lu" TargetMode="External"/><Relationship Id="rId78" Type="http://schemas.openxmlformats.org/officeDocument/2006/relationships/hyperlink" Target="mailto:georges.krier@yahoo.de" TargetMode="External"/><Relationship Id="rId101" Type="http://schemas.openxmlformats.org/officeDocument/2006/relationships/hyperlink" Target="mailto:nopatz@hotmail.com" TargetMode="External"/><Relationship Id="rId143" Type="http://schemas.openxmlformats.org/officeDocument/2006/relationships/hyperlink" Target="mailto:molitort@pt.lu" TargetMode="External"/><Relationship Id="rId185" Type="http://schemas.openxmlformats.org/officeDocument/2006/relationships/hyperlink" Target="mailto:aamodtastrid@gmail.com" TargetMode="External"/><Relationship Id="rId350" Type="http://schemas.openxmlformats.org/officeDocument/2006/relationships/hyperlink" Target="mailto:gpoulles@gmail.com" TargetMode="External"/><Relationship Id="rId9" Type="http://schemas.openxmlformats.org/officeDocument/2006/relationships/hyperlink" Target="mailto:loca.sandy@hotmail.com" TargetMode="External"/><Relationship Id="rId210" Type="http://schemas.openxmlformats.org/officeDocument/2006/relationships/hyperlink" Target="mailto:laura.brisard@icloud.com" TargetMode="External"/><Relationship Id="rId392" Type="http://schemas.openxmlformats.org/officeDocument/2006/relationships/hyperlink" Target="mailto:adrienjacquelin@gmail.com" TargetMode="External"/><Relationship Id="rId252" Type="http://schemas.openxmlformats.org/officeDocument/2006/relationships/hyperlink" Target="mailto:fabio.boenigk@outlook.com" TargetMode="External"/><Relationship Id="rId294" Type="http://schemas.openxmlformats.org/officeDocument/2006/relationships/hyperlink" Target="mailto:sjzebrowsky@gmail.com" TargetMode="External"/><Relationship Id="rId308" Type="http://schemas.openxmlformats.org/officeDocument/2006/relationships/hyperlink" Target="mailto:anne.cloos@yahoo.de" TargetMode="External"/><Relationship Id="rId47" Type="http://schemas.openxmlformats.org/officeDocument/2006/relationships/hyperlink" Target="mailto:bettikett@hotmail.com" TargetMode="External"/><Relationship Id="rId89" Type="http://schemas.openxmlformats.org/officeDocument/2006/relationships/hyperlink" Target="mailto:benbisenius@gmail.com" TargetMode="External"/><Relationship Id="rId112" Type="http://schemas.openxmlformats.org/officeDocument/2006/relationships/hyperlink" Target="mailto:mikewelsch90@gmail.com" TargetMode="External"/><Relationship Id="rId154" Type="http://schemas.openxmlformats.org/officeDocument/2006/relationships/hyperlink" Target="mailto:sofia0509elena@gmail.com" TargetMode="External"/><Relationship Id="rId361" Type="http://schemas.openxmlformats.org/officeDocument/2006/relationships/hyperlink" Target="mailto:dossantosrenato07@gmail.com" TargetMode="External"/><Relationship Id="rId196" Type="http://schemas.openxmlformats.org/officeDocument/2006/relationships/hyperlink" Target="mailto:wagner.olivier84@gmail.com" TargetMode="External"/><Relationship Id="rId16" Type="http://schemas.openxmlformats.org/officeDocument/2006/relationships/hyperlink" Target="mailto:georges.frieden.flh@gmx.com" TargetMode="External"/><Relationship Id="rId221" Type="http://schemas.openxmlformats.org/officeDocument/2006/relationships/hyperlink" Target="mailto:yschroeder@hotmail.com" TargetMode="External"/><Relationship Id="rId263" Type="http://schemas.openxmlformats.org/officeDocument/2006/relationships/hyperlink" Target="mailto:eeckhaut.radogna@gmail.com" TargetMode="External"/><Relationship Id="rId319" Type="http://schemas.openxmlformats.org/officeDocument/2006/relationships/hyperlink" Target="mailto:begicbelma@hotmail.com" TargetMode="External"/><Relationship Id="rId37" Type="http://schemas.openxmlformats.org/officeDocument/2006/relationships/hyperlink" Target="mailto:petki1995@gmail.com" TargetMode="External"/><Relationship Id="rId58" Type="http://schemas.openxmlformats.org/officeDocument/2006/relationships/hyperlink" Target="mailto:pwissen@pt.lu" TargetMode="External"/><Relationship Id="rId79" Type="http://schemas.openxmlformats.org/officeDocument/2006/relationships/hyperlink" Target="mailto:j-lindsay@hotmail.de" TargetMode="External"/><Relationship Id="rId102" Type="http://schemas.openxmlformats.org/officeDocument/2006/relationships/hyperlink" Target="mailto:marcjungels@msn.com" TargetMode="External"/><Relationship Id="rId123" Type="http://schemas.openxmlformats.org/officeDocument/2006/relationships/hyperlink" Target="mailto:roederj@me.com" TargetMode="External"/><Relationship Id="rId144" Type="http://schemas.openxmlformats.org/officeDocument/2006/relationships/hyperlink" Target="mailto:molitort@pt.lu" TargetMode="External"/><Relationship Id="rId330" Type="http://schemas.openxmlformats.org/officeDocument/2006/relationships/hyperlink" Target="mailto:claude.schiltz@education.lu" TargetMode="External"/><Relationship Id="rId90" Type="http://schemas.openxmlformats.org/officeDocument/2006/relationships/hyperlink" Target="mailto:paulo.magalhaes19971806@gmail.com" TargetMode="External"/><Relationship Id="rId165" Type="http://schemas.openxmlformats.org/officeDocument/2006/relationships/hyperlink" Target="mailto:jeannettehesser@yahoo.com" TargetMode="External"/><Relationship Id="rId186" Type="http://schemas.openxmlformats.org/officeDocument/2006/relationships/hyperlink" Target="mailto:efeharif@gmail.com" TargetMode="External"/><Relationship Id="rId351" Type="http://schemas.openxmlformats.org/officeDocument/2006/relationships/hyperlink" Target="mailto:lucweber09@hotmail.com" TargetMode="External"/><Relationship Id="rId372" Type="http://schemas.openxmlformats.org/officeDocument/2006/relationships/hyperlink" Target="mailto:catalin_mica@yahoo.com" TargetMode="External"/><Relationship Id="rId393" Type="http://schemas.openxmlformats.org/officeDocument/2006/relationships/hyperlink" Target="mailto:kevinkusaba@gmail.com" TargetMode="External"/><Relationship Id="rId211" Type="http://schemas.openxmlformats.org/officeDocument/2006/relationships/hyperlink" Target="mailto:mickael.barbier.ieseg@gmail.com" TargetMode="External"/><Relationship Id="rId232" Type="http://schemas.openxmlformats.org/officeDocument/2006/relationships/hyperlink" Target="mailto:annick.raths@education.lu" TargetMode="External"/><Relationship Id="rId253" Type="http://schemas.openxmlformats.org/officeDocument/2006/relationships/hyperlink" Target="mailto:halldor.halldorsson@pt.lu" TargetMode="External"/><Relationship Id="rId274" Type="http://schemas.openxmlformats.org/officeDocument/2006/relationships/hyperlink" Target="mailto:jm.breser@gmail.com" TargetMode="External"/><Relationship Id="rId295" Type="http://schemas.openxmlformats.org/officeDocument/2006/relationships/hyperlink" Target="mailto:tom.haas@gmx.lu" TargetMode="External"/><Relationship Id="rId309" Type="http://schemas.openxmlformats.org/officeDocument/2006/relationships/hyperlink" Target="mailto:steffan_develder@hotmail.com" TargetMode="External"/><Relationship Id="rId27" Type="http://schemas.openxmlformats.org/officeDocument/2006/relationships/hyperlink" Target="mailto:xavier@maquil.lu" TargetMode="External"/><Relationship Id="rId48" Type="http://schemas.openxmlformats.org/officeDocument/2006/relationships/hyperlink" Target="mailto:claude.schulte@education.lu" TargetMode="External"/><Relationship Id="rId69" Type="http://schemas.openxmlformats.org/officeDocument/2006/relationships/hyperlink" Target="mailto:rubenlage17@gmail.com" TargetMode="External"/><Relationship Id="rId113" Type="http://schemas.openxmlformats.org/officeDocument/2006/relationships/hyperlink" Target="mailto:heinztom@pt.lu" TargetMode="External"/><Relationship Id="rId134" Type="http://schemas.openxmlformats.org/officeDocument/2006/relationships/hyperlink" Target="mailto:ericlamhene@gmail.com" TargetMode="External"/><Relationship Id="rId320" Type="http://schemas.openxmlformats.org/officeDocument/2006/relationships/hyperlink" Target="mailto:srecko83z@gmail.com" TargetMode="External"/><Relationship Id="rId80" Type="http://schemas.openxmlformats.org/officeDocument/2006/relationships/hyperlink" Target="mailto:laurence.majerus@education.lu" TargetMode="External"/><Relationship Id="rId155" Type="http://schemas.openxmlformats.org/officeDocument/2006/relationships/hyperlink" Target="mailto:brigitteteunissen@gmail.com" TargetMode="External"/><Relationship Id="rId176" Type="http://schemas.openxmlformats.org/officeDocument/2006/relationships/hyperlink" Target="mailto:mchour@hotmail.com" TargetMode="External"/><Relationship Id="rId197" Type="http://schemas.openxmlformats.org/officeDocument/2006/relationships/hyperlink" Target="mailto:greischer.jeanluc@gmail.com" TargetMode="External"/><Relationship Id="rId341" Type="http://schemas.openxmlformats.org/officeDocument/2006/relationships/hyperlink" Target="mailto:steenfamily1@outlook.com" TargetMode="External"/><Relationship Id="rId362" Type="http://schemas.openxmlformats.org/officeDocument/2006/relationships/hyperlink" Target="mailto:rosca.adi@gmail.com" TargetMode="External"/><Relationship Id="rId383" Type="http://schemas.openxmlformats.org/officeDocument/2006/relationships/hyperlink" Target="mailto:guillaume.patrycja@gmail.com" TargetMode="External"/><Relationship Id="rId201" Type="http://schemas.openxmlformats.org/officeDocument/2006/relationships/hyperlink" Target="mailto:jeamed@pt.lu" TargetMode="External"/><Relationship Id="rId222" Type="http://schemas.openxmlformats.org/officeDocument/2006/relationships/hyperlink" Target="mailto:christinabatley@hotmail.com" TargetMode="External"/><Relationship Id="rId243" Type="http://schemas.openxmlformats.org/officeDocument/2006/relationships/hyperlink" Target="mailto:dirkwezenberg@yahoo.de" TargetMode="External"/><Relationship Id="rId264" Type="http://schemas.openxmlformats.org/officeDocument/2006/relationships/hyperlink" Target="mailto:dernedenm@gmail.com" TargetMode="External"/><Relationship Id="rId285" Type="http://schemas.openxmlformats.org/officeDocument/2006/relationships/hyperlink" Target="mailto:isabellepirson@pt.lu" TargetMode="External"/><Relationship Id="rId17" Type="http://schemas.openxmlformats.org/officeDocument/2006/relationships/hyperlink" Target="mailto:cathy_glo@hotmail.de" TargetMode="External"/><Relationship Id="rId38" Type="http://schemas.openxmlformats.org/officeDocument/2006/relationships/hyperlink" Target="mailto:tascha0427@gmail.com" TargetMode="External"/><Relationship Id="rId59" Type="http://schemas.openxmlformats.org/officeDocument/2006/relationships/hyperlink" Target="mailto:corinne_steinbach@yahoo.de" TargetMode="External"/><Relationship Id="rId103" Type="http://schemas.openxmlformats.org/officeDocument/2006/relationships/hyperlink" Target="mailto:nathalie_berchem@hotmail.com" TargetMode="External"/><Relationship Id="rId124" Type="http://schemas.openxmlformats.org/officeDocument/2006/relationships/hyperlink" Target="mailto:roederj@me.com" TargetMode="External"/><Relationship Id="rId310" Type="http://schemas.openxmlformats.org/officeDocument/2006/relationships/hyperlink" Target="mailto:steffan_develder@hotmail.com" TargetMode="External"/><Relationship Id="rId70" Type="http://schemas.openxmlformats.org/officeDocument/2006/relationships/hyperlink" Target="mailto:christophe.kremer83@gmail.com" TargetMode="External"/><Relationship Id="rId91" Type="http://schemas.openxmlformats.org/officeDocument/2006/relationships/hyperlink" Target="mailto:billy.kremer@secours.etat.lu" TargetMode="External"/><Relationship Id="rId145" Type="http://schemas.openxmlformats.org/officeDocument/2006/relationships/hyperlink" Target="mailto:marlene_alves_6@hotmail.com" TargetMode="External"/><Relationship Id="rId166" Type="http://schemas.openxmlformats.org/officeDocument/2006/relationships/hyperlink" Target="mailto:baulerlaurent@gmail.com" TargetMode="External"/><Relationship Id="rId187" Type="http://schemas.openxmlformats.org/officeDocument/2006/relationships/hyperlink" Target="mailto:efeharif@gmail.com" TargetMode="External"/><Relationship Id="rId331" Type="http://schemas.openxmlformats.org/officeDocument/2006/relationships/hyperlink" Target="mailto:elisabeth.losch@education.lu" TargetMode="External"/><Relationship Id="rId352" Type="http://schemas.openxmlformats.org/officeDocument/2006/relationships/hyperlink" Target="mailto:lucweber09@hotmail.com" TargetMode="External"/><Relationship Id="rId373" Type="http://schemas.openxmlformats.org/officeDocument/2006/relationships/hyperlink" Target="mailto:liz.k1999@outlook.com" TargetMode="External"/><Relationship Id="rId394" Type="http://schemas.openxmlformats.org/officeDocument/2006/relationships/hyperlink" Target="mailto:olegcroitoru@gmail.com" TargetMode="External"/><Relationship Id="rId1" Type="http://schemas.openxmlformats.org/officeDocument/2006/relationships/hyperlink" Target="mailto:marlene_alves_6@hotmail.com" TargetMode="External"/><Relationship Id="rId212" Type="http://schemas.openxmlformats.org/officeDocument/2006/relationships/hyperlink" Target="mailto:sara.floridovila@gmail.com" TargetMode="External"/><Relationship Id="rId233" Type="http://schemas.openxmlformats.org/officeDocument/2006/relationships/hyperlink" Target="mailto:alain.rauchs@hotmail.com" TargetMode="External"/><Relationship Id="rId254" Type="http://schemas.openxmlformats.org/officeDocument/2006/relationships/hyperlink" Target="mailto:halldor.halldorsson@pt.lu" TargetMode="External"/><Relationship Id="rId28" Type="http://schemas.openxmlformats.org/officeDocument/2006/relationships/hyperlink" Target="mailto:leisen.j@gmail.com" TargetMode="External"/><Relationship Id="rId49" Type="http://schemas.openxmlformats.org/officeDocument/2006/relationships/hyperlink" Target="mailto:claude.schulte@education.lu" TargetMode="External"/><Relationship Id="rId114" Type="http://schemas.openxmlformats.org/officeDocument/2006/relationships/hyperlink" Target="mailto:heinztom@pt.lu" TargetMode="External"/><Relationship Id="rId275" Type="http://schemas.openxmlformats.org/officeDocument/2006/relationships/hyperlink" Target="mailto:jmignot2212@gmail.com" TargetMode="External"/><Relationship Id="rId296" Type="http://schemas.openxmlformats.org/officeDocument/2006/relationships/hyperlink" Target="mailto:gregory.sebert@gmail.com" TargetMode="External"/><Relationship Id="rId300" Type="http://schemas.openxmlformats.org/officeDocument/2006/relationships/hyperlink" Target="mailto:afroide@hotmail.fr" TargetMode="External"/><Relationship Id="rId60" Type="http://schemas.openxmlformats.org/officeDocument/2006/relationships/hyperlink" Target="mailto:Tiago.l.g.7@gmail.com" TargetMode="External"/><Relationship Id="rId81" Type="http://schemas.openxmlformats.org/officeDocument/2006/relationships/hyperlink" Target="mailto:markruef@hotmail.com" TargetMode="External"/><Relationship Id="rId135" Type="http://schemas.openxmlformats.org/officeDocument/2006/relationships/hyperlink" Target="mailto:ericlamhene@gmail.com" TargetMode="External"/><Relationship Id="rId156" Type="http://schemas.openxmlformats.org/officeDocument/2006/relationships/hyperlink" Target="mailto:spiewak.jeff@outlook.com" TargetMode="External"/><Relationship Id="rId177" Type="http://schemas.openxmlformats.org/officeDocument/2006/relationships/hyperlink" Target="mailto:pocahontas9021@hotmail.com" TargetMode="External"/><Relationship Id="rId198" Type="http://schemas.openxmlformats.org/officeDocument/2006/relationships/hyperlink" Target="mailto:frank_ods@hotmail.com" TargetMode="External"/><Relationship Id="rId321" Type="http://schemas.openxmlformats.org/officeDocument/2006/relationships/hyperlink" Target="mailto:srecko83z@gmail.com" TargetMode="External"/><Relationship Id="rId342" Type="http://schemas.openxmlformats.org/officeDocument/2006/relationships/hyperlink" Target="mailto:steenfamily1@outlook.com" TargetMode="External"/><Relationship Id="rId363" Type="http://schemas.openxmlformats.org/officeDocument/2006/relationships/hyperlink" Target="mailto:rosca.adi@gmail.com" TargetMode="External"/><Relationship Id="rId384" Type="http://schemas.openxmlformats.org/officeDocument/2006/relationships/hyperlink" Target="mailto:guillaume.patrycja@gmail.com" TargetMode="External"/><Relationship Id="rId202" Type="http://schemas.openxmlformats.org/officeDocument/2006/relationships/hyperlink" Target="mailto:jeamed@pt.lu" TargetMode="External"/><Relationship Id="rId223" Type="http://schemas.openxmlformats.org/officeDocument/2006/relationships/hyperlink" Target="mailto:petouoberthold@yahoo.com" TargetMode="External"/><Relationship Id="rId244" Type="http://schemas.openxmlformats.org/officeDocument/2006/relationships/hyperlink" Target="mailto:luc.zwank@gtx.net" TargetMode="External"/><Relationship Id="rId18" Type="http://schemas.openxmlformats.org/officeDocument/2006/relationships/hyperlink" Target="mailto:tom.haas@gmx.lu" TargetMode="External"/><Relationship Id="rId39" Type="http://schemas.openxmlformats.org/officeDocument/2006/relationships/hyperlink" Target="mailto:gregory.redavid@tutanota.com" TargetMode="External"/><Relationship Id="rId265" Type="http://schemas.openxmlformats.org/officeDocument/2006/relationships/hyperlink" Target="mailto:gaby.altenhoven@gmail.com" TargetMode="External"/><Relationship Id="rId286" Type="http://schemas.openxmlformats.org/officeDocument/2006/relationships/hyperlink" Target="mailto:thomas8epps@gmail.com" TargetMode="External"/><Relationship Id="rId50" Type="http://schemas.openxmlformats.org/officeDocument/2006/relationships/hyperlink" Target="mailto:marie-claude.wiltzius@education.lu" TargetMode="External"/><Relationship Id="rId104" Type="http://schemas.openxmlformats.org/officeDocument/2006/relationships/hyperlink" Target="mailto:aurelien.hollard@gmail.com" TargetMode="External"/><Relationship Id="rId125" Type="http://schemas.openxmlformats.org/officeDocument/2006/relationships/hyperlink" Target="mailto:jilleydt@pt.lu" TargetMode="External"/><Relationship Id="rId146" Type="http://schemas.openxmlformats.org/officeDocument/2006/relationships/hyperlink" Target="mailto:jtoisul@pt.lu" TargetMode="External"/><Relationship Id="rId167" Type="http://schemas.openxmlformats.org/officeDocument/2006/relationships/hyperlink" Target="mailto:pirjo2102@hotmail.com" TargetMode="External"/><Relationship Id="rId188" Type="http://schemas.openxmlformats.org/officeDocument/2006/relationships/hyperlink" Target="mailto:esma.yagdi01@gmail.com" TargetMode="External"/><Relationship Id="rId311" Type="http://schemas.openxmlformats.org/officeDocument/2006/relationships/hyperlink" Target="mailto:ildavalenteesteves@gmail.com" TargetMode="External"/><Relationship Id="rId332" Type="http://schemas.openxmlformats.org/officeDocument/2006/relationships/hyperlink" Target="mailto:tunwellens33@gmail.com" TargetMode="External"/><Relationship Id="rId353" Type="http://schemas.openxmlformats.org/officeDocument/2006/relationships/hyperlink" Target="mailto:krishelle@hotmail.com" TargetMode="External"/><Relationship Id="rId374" Type="http://schemas.openxmlformats.org/officeDocument/2006/relationships/hyperlink" Target="mailto:c.lenglet@mf.me" TargetMode="External"/><Relationship Id="rId395" Type="http://schemas.openxmlformats.org/officeDocument/2006/relationships/hyperlink" Target="mailto:r.lokin-beader@eif.org" TargetMode="External"/><Relationship Id="rId71" Type="http://schemas.openxmlformats.org/officeDocument/2006/relationships/hyperlink" Target="mailto:galassisandra@gmail.com" TargetMode="External"/><Relationship Id="rId92" Type="http://schemas.openxmlformats.org/officeDocument/2006/relationships/hyperlink" Target="mailto:corinne_steinbach@yahoo.de" TargetMode="External"/><Relationship Id="rId213" Type="http://schemas.openxmlformats.org/officeDocument/2006/relationships/hyperlink" Target="mailto:maxime.baurain@outlook.com" TargetMode="External"/><Relationship Id="rId234" Type="http://schemas.openxmlformats.org/officeDocument/2006/relationships/hyperlink" Target="mailto:alain.rauchs@hotmail.com" TargetMode="External"/><Relationship Id="rId2" Type="http://schemas.openxmlformats.org/officeDocument/2006/relationships/hyperlink" Target="mailto:fb27041993@gmail.com" TargetMode="External"/><Relationship Id="rId29" Type="http://schemas.openxmlformats.org/officeDocument/2006/relationships/hyperlink" Target="mailto:leisen.j@gmail.com" TargetMode="External"/><Relationship Id="rId255" Type="http://schemas.openxmlformats.org/officeDocument/2006/relationships/hyperlink" Target="mailto:janika.hochstrasser@t-online.de" TargetMode="External"/><Relationship Id="rId276" Type="http://schemas.openxmlformats.org/officeDocument/2006/relationships/hyperlink" Target="mailto:mignotlexy@gmail.com" TargetMode="External"/><Relationship Id="rId297" Type="http://schemas.openxmlformats.org/officeDocument/2006/relationships/hyperlink" Target="mailto:gregory.sebert@gmail.com" TargetMode="External"/><Relationship Id="rId40" Type="http://schemas.openxmlformats.org/officeDocument/2006/relationships/hyperlink" Target="mailto:laura.2205@hotmail.de" TargetMode="External"/><Relationship Id="rId115" Type="http://schemas.openxmlformats.org/officeDocument/2006/relationships/hyperlink" Target="mailto:heinztom@pt.lu" TargetMode="External"/><Relationship Id="rId136" Type="http://schemas.openxmlformats.org/officeDocument/2006/relationships/hyperlink" Target="mailto:raelyn@rll.sg" TargetMode="External"/><Relationship Id="rId157" Type="http://schemas.openxmlformats.org/officeDocument/2006/relationships/hyperlink" Target="mailto:ginad@pt.lu" TargetMode="External"/><Relationship Id="rId178" Type="http://schemas.openxmlformats.org/officeDocument/2006/relationships/hyperlink" Target="mailto:pintomarco_7@msn.com" TargetMode="External"/><Relationship Id="rId301" Type="http://schemas.openxmlformats.org/officeDocument/2006/relationships/hyperlink" Target="mailto:marc.buchler@education.lu" TargetMode="External"/><Relationship Id="rId322" Type="http://schemas.openxmlformats.org/officeDocument/2006/relationships/hyperlink" Target="mailto:olegcroitoru@gmail.com" TargetMode="External"/><Relationship Id="rId343" Type="http://schemas.openxmlformats.org/officeDocument/2006/relationships/hyperlink" Target="mailto:agrebimyriam@hotmail.com" TargetMode="External"/><Relationship Id="rId364" Type="http://schemas.openxmlformats.org/officeDocument/2006/relationships/hyperlink" Target="mailto:rosca.ionela.irina@gmail.com" TargetMode="External"/><Relationship Id="rId61" Type="http://schemas.openxmlformats.org/officeDocument/2006/relationships/hyperlink" Target="mailto:didip@pt.lu" TargetMode="External"/><Relationship Id="rId82" Type="http://schemas.openxmlformats.org/officeDocument/2006/relationships/hyperlink" Target="mailto:bmetzler@pt.lu" TargetMode="External"/><Relationship Id="rId199" Type="http://schemas.openxmlformats.org/officeDocument/2006/relationships/hyperlink" Target="mailto:ana.ribeiro@education.lu" TargetMode="External"/><Relationship Id="rId203" Type="http://schemas.openxmlformats.org/officeDocument/2006/relationships/hyperlink" Target="mailto:esslerr@hotmail.com" TargetMode="External"/><Relationship Id="rId385" Type="http://schemas.openxmlformats.org/officeDocument/2006/relationships/hyperlink" Target="mailto:chloe.murat@education.lu" TargetMode="External"/><Relationship Id="rId19" Type="http://schemas.openxmlformats.org/officeDocument/2006/relationships/hyperlink" Target="mailto:jan321h@gmail.com" TargetMode="External"/><Relationship Id="rId224" Type="http://schemas.openxmlformats.org/officeDocument/2006/relationships/hyperlink" Target="mailto:nopatz@hotmail.com" TargetMode="External"/><Relationship Id="rId245" Type="http://schemas.openxmlformats.org/officeDocument/2006/relationships/hyperlink" Target="mailto:semaurer@yahoo.co.uk" TargetMode="External"/><Relationship Id="rId266" Type="http://schemas.openxmlformats.org/officeDocument/2006/relationships/hyperlink" Target="mailto:gaby.altenhoven@gmail.com" TargetMode="External"/><Relationship Id="rId287" Type="http://schemas.openxmlformats.org/officeDocument/2006/relationships/hyperlink" Target="mailto:fabioamador2001@gmail.com" TargetMode="External"/><Relationship Id="rId30" Type="http://schemas.openxmlformats.org/officeDocument/2006/relationships/hyperlink" Target="mailto:petermarck@hotmail.com" TargetMode="External"/><Relationship Id="rId105" Type="http://schemas.openxmlformats.org/officeDocument/2006/relationships/hyperlink" Target="mailto:zolldan67@gmail.com" TargetMode="External"/><Relationship Id="rId126" Type="http://schemas.openxmlformats.org/officeDocument/2006/relationships/hyperlink" Target="mailto:frank_ods@hotmail.com" TargetMode="External"/><Relationship Id="rId147" Type="http://schemas.openxmlformats.org/officeDocument/2006/relationships/hyperlink" Target="mailto:bruckt@pt.lu" TargetMode="External"/><Relationship Id="rId168" Type="http://schemas.openxmlformats.org/officeDocument/2006/relationships/hyperlink" Target="mailto:depinatamara@gmail.com" TargetMode="External"/><Relationship Id="rId312" Type="http://schemas.openxmlformats.org/officeDocument/2006/relationships/hyperlink" Target="mailto:jhempb@yahoo.com" TargetMode="External"/><Relationship Id="rId333" Type="http://schemas.openxmlformats.org/officeDocument/2006/relationships/hyperlink" Target="mailto:kim88.lang@yahoo.de" TargetMode="External"/><Relationship Id="rId354" Type="http://schemas.openxmlformats.org/officeDocument/2006/relationships/hyperlink" Target="mailto:srecko83z@gmail.com" TargetMode="External"/><Relationship Id="rId51" Type="http://schemas.openxmlformats.org/officeDocument/2006/relationships/hyperlink" Target="mailto:jeffster@pt.lu" TargetMode="External"/><Relationship Id="rId72" Type="http://schemas.openxmlformats.org/officeDocument/2006/relationships/hyperlink" Target="mailto:zoller333pol@gmail.com" TargetMode="External"/><Relationship Id="rId93" Type="http://schemas.openxmlformats.org/officeDocument/2006/relationships/hyperlink" Target="mailto:joelrollinger@yahoo.de" TargetMode="External"/><Relationship Id="rId189" Type="http://schemas.openxmlformats.org/officeDocument/2006/relationships/hyperlink" Target="mailto:anna.eszter.kalman@gmail.com" TargetMode="External"/><Relationship Id="rId375" Type="http://schemas.openxmlformats.org/officeDocument/2006/relationships/hyperlink" Target="mailto:c.lenglet@mf.me" TargetMode="External"/><Relationship Id="rId396" Type="http://schemas.openxmlformats.org/officeDocument/2006/relationships/hyperlink" Target="mailto:r.lokin-beader@eif.org" TargetMode="External"/><Relationship Id="rId3" Type="http://schemas.openxmlformats.org/officeDocument/2006/relationships/hyperlink" Target="mailto:carmenbouche@hotmail.com" TargetMode="External"/><Relationship Id="rId214" Type="http://schemas.openxmlformats.org/officeDocument/2006/relationships/hyperlink" Target="mailto:maxime.baurain@outlook.com" TargetMode="External"/><Relationship Id="rId235" Type="http://schemas.openxmlformats.org/officeDocument/2006/relationships/hyperlink" Target="mailto:philippe.greis@gmail.com" TargetMode="External"/><Relationship Id="rId256" Type="http://schemas.openxmlformats.org/officeDocument/2006/relationships/hyperlink" Target="mailto:mstroerup@hotmail.com" TargetMode="External"/><Relationship Id="rId277" Type="http://schemas.openxmlformats.org/officeDocument/2006/relationships/hyperlink" Target="mailto:michael@skovgaard.lu" TargetMode="External"/><Relationship Id="rId298" Type="http://schemas.openxmlformats.org/officeDocument/2006/relationships/hyperlink" Target="mailto:stefhanee@gmail.com" TargetMode="External"/><Relationship Id="rId116" Type="http://schemas.openxmlformats.org/officeDocument/2006/relationships/hyperlink" Target="mailto:jorandidelot@gmail.com" TargetMode="External"/><Relationship Id="rId137" Type="http://schemas.openxmlformats.org/officeDocument/2006/relationships/hyperlink" Target="mailto:rebeccalingen@yahoo.de" TargetMode="External"/><Relationship Id="rId158" Type="http://schemas.openxmlformats.org/officeDocument/2006/relationships/hyperlink" Target="mailto:benoit.krier@education.lu" TargetMode="External"/><Relationship Id="rId302" Type="http://schemas.openxmlformats.org/officeDocument/2006/relationships/hyperlink" Target="mailto:ansay.luka@gmail.com" TargetMode="External"/><Relationship Id="rId323" Type="http://schemas.openxmlformats.org/officeDocument/2006/relationships/hyperlink" Target="mailto:alexandergennari@yahoo.fr" TargetMode="External"/><Relationship Id="rId344" Type="http://schemas.openxmlformats.org/officeDocument/2006/relationships/hyperlink" Target="mailto:raynaud.camille90@gmail.com" TargetMode="External"/><Relationship Id="rId20" Type="http://schemas.openxmlformats.org/officeDocument/2006/relationships/hyperlink" Target="mailto:christian.kintzle@gmail.com" TargetMode="External"/><Relationship Id="rId41" Type="http://schemas.openxmlformats.org/officeDocument/2006/relationships/hyperlink" Target="mailto:bettyrodesch@hotmail.com" TargetMode="External"/><Relationship Id="rId62" Type="http://schemas.openxmlformats.org/officeDocument/2006/relationships/hyperlink" Target="mailto:pinsalexa@hotmail.com" TargetMode="External"/><Relationship Id="rId83" Type="http://schemas.openxmlformats.org/officeDocument/2006/relationships/hyperlink" Target="mailto:kremerphi@hotmail.com" TargetMode="External"/><Relationship Id="rId179" Type="http://schemas.openxmlformats.org/officeDocument/2006/relationships/hyperlink" Target="mailto:sarah.lanners@education.lu" TargetMode="External"/><Relationship Id="rId365" Type="http://schemas.openxmlformats.org/officeDocument/2006/relationships/hyperlink" Target="mailto:rosalinelackner@gmail.com" TargetMode="External"/><Relationship Id="rId386" Type="http://schemas.openxmlformats.org/officeDocument/2006/relationships/hyperlink" Target="mailto:line.sebenico@yahoo.com" TargetMode="External"/><Relationship Id="rId190" Type="http://schemas.openxmlformats.org/officeDocument/2006/relationships/hyperlink" Target="mailto:anna.eszter.kalman@gmail.com" TargetMode="External"/><Relationship Id="rId204" Type="http://schemas.openxmlformats.org/officeDocument/2006/relationships/hyperlink" Target="mailto:esslerr@hotmail.com" TargetMode="External"/><Relationship Id="rId225" Type="http://schemas.openxmlformats.org/officeDocument/2006/relationships/hyperlink" Target="mailto:marc.buchler@yahoo.de" TargetMode="External"/><Relationship Id="rId246" Type="http://schemas.openxmlformats.org/officeDocument/2006/relationships/hyperlink" Target="mailto:fihl@pt.lu" TargetMode="External"/><Relationship Id="rId267" Type="http://schemas.openxmlformats.org/officeDocument/2006/relationships/hyperlink" Target="mailto:lmetzler@pt.lu" TargetMode="External"/><Relationship Id="rId288" Type="http://schemas.openxmlformats.org/officeDocument/2006/relationships/hyperlink" Target="mailto:branckaert.vanessa@hotmail.fr" TargetMode="External"/><Relationship Id="rId106" Type="http://schemas.openxmlformats.org/officeDocument/2006/relationships/hyperlink" Target="mailto:caroline19921403@gmail.com" TargetMode="External"/><Relationship Id="rId127" Type="http://schemas.openxmlformats.org/officeDocument/2006/relationships/hyperlink" Target="mailto:gregory.redavid@tutanota.com" TargetMode="External"/><Relationship Id="rId313" Type="http://schemas.openxmlformats.org/officeDocument/2006/relationships/hyperlink" Target="mailto:jhempb@yahoo.com" TargetMode="External"/><Relationship Id="rId10" Type="http://schemas.openxmlformats.org/officeDocument/2006/relationships/hyperlink" Target="mailto:denreijer.linda@yahoo.de" TargetMode="External"/><Relationship Id="rId31" Type="http://schemas.openxmlformats.org/officeDocument/2006/relationships/hyperlink" Target="mailto:flepp.mayer@gmail.com" TargetMode="External"/><Relationship Id="rId52" Type="http://schemas.openxmlformats.org/officeDocument/2006/relationships/hyperlink" Target="mailto:marie-claude.wiltzius@education.lu" TargetMode="External"/><Relationship Id="rId73" Type="http://schemas.openxmlformats.org/officeDocument/2006/relationships/hyperlink" Target="mailto:bcorinne84@yahoo.com" TargetMode="External"/><Relationship Id="rId94" Type="http://schemas.openxmlformats.org/officeDocument/2006/relationships/hyperlink" Target="mailto:lindablaise@gmail.com" TargetMode="External"/><Relationship Id="rId148" Type="http://schemas.openxmlformats.org/officeDocument/2006/relationships/hyperlink" Target="mailto:tabueck@hotmail.com" TargetMode="External"/><Relationship Id="rId169" Type="http://schemas.openxmlformats.org/officeDocument/2006/relationships/hyperlink" Target="mailto:minao310@gmail.com" TargetMode="External"/><Relationship Id="rId334" Type="http://schemas.openxmlformats.org/officeDocument/2006/relationships/hyperlink" Target="mailto:line@didelot.org" TargetMode="External"/><Relationship Id="rId355" Type="http://schemas.openxmlformats.org/officeDocument/2006/relationships/hyperlink" Target="mailto:vic.weiler@icloud.com" TargetMode="External"/><Relationship Id="rId376" Type="http://schemas.openxmlformats.org/officeDocument/2006/relationships/hyperlink" Target="mailto:junckisa@hotmail.com" TargetMode="External"/><Relationship Id="rId397" Type="http://schemas.openxmlformats.org/officeDocument/2006/relationships/printerSettings" Target="../printerSettings/printerSettings1.bin"/><Relationship Id="rId4" Type="http://schemas.openxmlformats.org/officeDocument/2006/relationships/hyperlink" Target="mailto:redinglau@hotmail.com" TargetMode="External"/><Relationship Id="rId180" Type="http://schemas.openxmlformats.org/officeDocument/2006/relationships/hyperlink" Target="mailto:georges.elsen@education.lu" TargetMode="External"/><Relationship Id="rId215" Type="http://schemas.openxmlformats.org/officeDocument/2006/relationships/hyperlink" Target="mailto:camille.fumery@gmail.com" TargetMode="External"/><Relationship Id="rId236" Type="http://schemas.openxmlformats.org/officeDocument/2006/relationships/hyperlink" Target="mailto:schmit.elena@gmail.com" TargetMode="External"/><Relationship Id="rId257" Type="http://schemas.openxmlformats.org/officeDocument/2006/relationships/hyperlink" Target="mailto:philippe.greis@gmail.com" TargetMode="External"/><Relationship Id="rId278" Type="http://schemas.openxmlformats.org/officeDocument/2006/relationships/hyperlink" Target="mailto:jostcat@gmail.com" TargetMode="External"/><Relationship Id="rId303" Type="http://schemas.openxmlformats.org/officeDocument/2006/relationships/hyperlink" Target="mailto:frian197@hotmail.com" TargetMode="External"/><Relationship Id="rId42" Type="http://schemas.openxmlformats.org/officeDocument/2006/relationships/hyperlink" Target="mailto:r.bonavia69@gmail.com" TargetMode="External"/><Relationship Id="rId84" Type="http://schemas.openxmlformats.org/officeDocument/2006/relationships/hyperlink" Target="mailto:christophe.kremer83@gmail.com" TargetMode="External"/><Relationship Id="rId138" Type="http://schemas.openxmlformats.org/officeDocument/2006/relationships/hyperlink" Target="mailto:sarah.lanners@education.lu" TargetMode="External"/><Relationship Id="rId345" Type="http://schemas.openxmlformats.org/officeDocument/2006/relationships/hyperlink" Target="mailto:dinaramcilovic@yahoo.com" TargetMode="External"/><Relationship Id="rId387" Type="http://schemas.openxmlformats.org/officeDocument/2006/relationships/hyperlink" Target="mailto:celgrun@gmail.com" TargetMode="External"/><Relationship Id="rId191" Type="http://schemas.openxmlformats.org/officeDocument/2006/relationships/hyperlink" Target="mailto:conconipaol@gmail.com" TargetMode="External"/><Relationship Id="rId205" Type="http://schemas.openxmlformats.org/officeDocument/2006/relationships/hyperlink" Target="mailto:destinysylvester121@gmail.com" TargetMode="External"/><Relationship Id="rId247" Type="http://schemas.openxmlformats.org/officeDocument/2006/relationships/hyperlink" Target="mailto:fihl@pt.lu" TargetMode="External"/><Relationship Id="rId107" Type="http://schemas.openxmlformats.org/officeDocument/2006/relationships/hyperlink" Target="mailto:veigacindy@gmail.com" TargetMode="External"/><Relationship Id="rId289" Type="http://schemas.openxmlformats.org/officeDocument/2006/relationships/hyperlink" Target="mailto:antunesmarco@outlook.com" TargetMode="External"/><Relationship Id="rId11" Type="http://schemas.openxmlformats.org/officeDocument/2006/relationships/hyperlink" Target="mailto:didip@pt.lu" TargetMode="External"/><Relationship Id="rId53" Type="http://schemas.openxmlformats.org/officeDocument/2006/relationships/hyperlink" Target="mailto:tascha0427@gmail.com" TargetMode="External"/><Relationship Id="rId149" Type="http://schemas.openxmlformats.org/officeDocument/2006/relationships/hyperlink" Target="mailto:jtoisul@pt.lu" TargetMode="External"/><Relationship Id="rId314" Type="http://schemas.openxmlformats.org/officeDocument/2006/relationships/hyperlink" Target="mailto:nazli.hamrodrotz@gmail.com" TargetMode="External"/><Relationship Id="rId356" Type="http://schemas.openxmlformats.org/officeDocument/2006/relationships/hyperlink" Target="mailto:vic.weiler@icloud.com" TargetMode="External"/><Relationship Id="rId398" Type="http://schemas.openxmlformats.org/officeDocument/2006/relationships/vmlDrawing" Target="../drawings/vmlDrawing1.vml"/><Relationship Id="rId95" Type="http://schemas.openxmlformats.org/officeDocument/2006/relationships/hyperlink" Target="mailto:petermurielle05@gmail.com" TargetMode="External"/><Relationship Id="rId160" Type="http://schemas.openxmlformats.org/officeDocument/2006/relationships/hyperlink" Target="mailto:philippe.greis@gmail.com" TargetMode="External"/><Relationship Id="rId216" Type="http://schemas.openxmlformats.org/officeDocument/2006/relationships/hyperlink" Target="mailto:christine.Weisgerber@gmail.com" TargetMode="External"/><Relationship Id="rId258" Type="http://schemas.openxmlformats.org/officeDocument/2006/relationships/hyperlink" Target="mailto:joaomatosgraca2003@gmail.com" TargetMode="External"/><Relationship Id="rId22" Type="http://schemas.openxmlformats.org/officeDocument/2006/relationships/hyperlink" Target="mailto:ricky1387@hotmail.de" TargetMode="External"/><Relationship Id="rId64" Type="http://schemas.openxmlformats.org/officeDocument/2006/relationships/hyperlink" Target="mailto:zanitzer@pt.lu" TargetMode="External"/><Relationship Id="rId118" Type="http://schemas.openxmlformats.org/officeDocument/2006/relationships/hyperlink" Target="mailto:linktess@pt.lu" TargetMode="External"/><Relationship Id="rId325" Type="http://schemas.openxmlformats.org/officeDocument/2006/relationships/hyperlink" Target="mailto:celine.gamot02@gmail.com" TargetMode="External"/><Relationship Id="rId367" Type="http://schemas.openxmlformats.org/officeDocument/2006/relationships/hyperlink" Target="mailto:crisfodor@gmail.com" TargetMode="External"/><Relationship Id="rId171" Type="http://schemas.openxmlformats.org/officeDocument/2006/relationships/hyperlink" Target="mailto:flament.ma@gmail.com" TargetMode="External"/><Relationship Id="rId227" Type="http://schemas.openxmlformats.org/officeDocument/2006/relationships/hyperlink" Target="mailto:mickael.barbier.ieseg@gmail.com" TargetMode="External"/><Relationship Id="rId269" Type="http://schemas.openxmlformats.org/officeDocument/2006/relationships/hyperlink" Target="mailto:cameleon.engage@yahoo.de" TargetMode="External"/><Relationship Id="rId33" Type="http://schemas.openxmlformats.org/officeDocument/2006/relationships/hyperlink" Target="mailto:stevenmering31@gmail.com" TargetMode="External"/><Relationship Id="rId129" Type="http://schemas.openxmlformats.org/officeDocument/2006/relationships/hyperlink" Target="mailto:delgadocaremonika@gmail.com" TargetMode="External"/><Relationship Id="rId280" Type="http://schemas.openxmlformats.org/officeDocument/2006/relationships/hyperlink" Target="mailto:catherinemayer84@gmail.com" TargetMode="External"/><Relationship Id="rId336" Type="http://schemas.openxmlformats.org/officeDocument/2006/relationships/hyperlink" Target="mailto:gregory.redavid@tutanota.com" TargetMode="External"/><Relationship Id="rId75" Type="http://schemas.openxmlformats.org/officeDocument/2006/relationships/hyperlink" Target="mailto:odgil@hotmail.com" TargetMode="External"/><Relationship Id="rId140" Type="http://schemas.openxmlformats.org/officeDocument/2006/relationships/hyperlink" Target="mailto:matiasdemant@gmail.com" TargetMode="External"/><Relationship Id="rId182" Type="http://schemas.openxmlformats.org/officeDocument/2006/relationships/hyperlink" Target="mailto:julia.haslbauer@gmx.at" TargetMode="External"/><Relationship Id="rId378" Type="http://schemas.openxmlformats.org/officeDocument/2006/relationships/hyperlink" Target="mailto:steve_toisul@hotmail.com" TargetMode="External"/><Relationship Id="rId6" Type="http://schemas.openxmlformats.org/officeDocument/2006/relationships/hyperlink" Target="mailto:bourgj@pt.lu" TargetMode="External"/><Relationship Id="rId238" Type="http://schemas.openxmlformats.org/officeDocument/2006/relationships/hyperlink" Target="mailto:adoberdolani@gmail.com" TargetMode="External"/><Relationship Id="rId291" Type="http://schemas.openxmlformats.org/officeDocument/2006/relationships/hyperlink" Target="mailto:greis.christophe@gmail.com" TargetMode="External"/><Relationship Id="rId305" Type="http://schemas.openxmlformats.org/officeDocument/2006/relationships/hyperlink" Target="mailto:vasari.mendy@hotmail.com" TargetMode="External"/><Relationship Id="rId347" Type="http://schemas.openxmlformats.org/officeDocument/2006/relationships/hyperlink" Target="mailto:benetim@pt.lu" TargetMode="External"/><Relationship Id="rId44" Type="http://schemas.openxmlformats.org/officeDocument/2006/relationships/hyperlink" Target="mailto:serge.schaetzel@education.lu" TargetMode="External"/><Relationship Id="rId86" Type="http://schemas.openxmlformats.org/officeDocument/2006/relationships/hyperlink" Target="mailto:Faber-eric@hotmail.com" TargetMode="External"/><Relationship Id="rId151" Type="http://schemas.openxmlformats.org/officeDocument/2006/relationships/hyperlink" Target="mailto:wilkrey@yahoo.fr" TargetMode="External"/><Relationship Id="rId389" Type="http://schemas.openxmlformats.org/officeDocument/2006/relationships/hyperlink" Target="mailto:xilaflash80@gmail.com" TargetMode="External"/><Relationship Id="rId193" Type="http://schemas.openxmlformats.org/officeDocument/2006/relationships/hyperlink" Target="mailto:librizzi.fra@gmail.com" TargetMode="External"/><Relationship Id="rId207" Type="http://schemas.openxmlformats.org/officeDocument/2006/relationships/hyperlink" Target="mailto:paul.assel@education.lu" TargetMode="External"/><Relationship Id="rId249" Type="http://schemas.openxmlformats.org/officeDocument/2006/relationships/hyperlink" Target="mailto:tomas.eiro@gmail.com" TargetMode="External"/><Relationship Id="rId13" Type="http://schemas.openxmlformats.org/officeDocument/2006/relationships/hyperlink" Target="mailto:marlene_alves_6@hotmail.com" TargetMode="External"/><Relationship Id="rId109" Type="http://schemas.openxmlformats.org/officeDocument/2006/relationships/hyperlink" Target="mailto:cynthialehnen@gmail.com" TargetMode="External"/><Relationship Id="rId260" Type="http://schemas.openxmlformats.org/officeDocument/2006/relationships/hyperlink" Target="mailto:anne.cloos@yahoo.de" TargetMode="External"/><Relationship Id="rId316" Type="http://schemas.openxmlformats.org/officeDocument/2006/relationships/hyperlink" Target="mailto:blanc.max18@gmail.com" TargetMode="External"/><Relationship Id="rId55" Type="http://schemas.openxmlformats.org/officeDocument/2006/relationships/hyperlink" Target="mailto:diane.mersch@centermed.lu" TargetMode="External"/><Relationship Id="rId97" Type="http://schemas.openxmlformats.org/officeDocument/2006/relationships/hyperlink" Target="mailto:marc.ernster@gmail.com" TargetMode="External"/><Relationship Id="rId120" Type="http://schemas.openxmlformats.org/officeDocument/2006/relationships/hyperlink" Target="mailto:mstroerup@hotmail.com" TargetMode="External"/><Relationship Id="rId358" Type="http://schemas.openxmlformats.org/officeDocument/2006/relationships/hyperlink" Target="mailto:dinaramcilovic@yahoo.com" TargetMode="External"/><Relationship Id="rId162" Type="http://schemas.openxmlformats.org/officeDocument/2006/relationships/hyperlink" Target="mailto:adoberdolani@gmail.com" TargetMode="External"/><Relationship Id="rId218" Type="http://schemas.openxmlformats.org/officeDocument/2006/relationships/hyperlink" Target="mailto:fcmarisca@gmail.com" TargetMode="External"/><Relationship Id="rId271" Type="http://schemas.openxmlformats.org/officeDocument/2006/relationships/hyperlink" Target="mailto:m_miguelez@hotmail.com" TargetMode="External"/><Relationship Id="rId24" Type="http://schemas.openxmlformats.org/officeDocument/2006/relationships/hyperlink" Target="mailto:joe.malget@lintgen.lu" TargetMode="External"/><Relationship Id="rId66" Type="http://schemas.openxmlformats.org/officeDocument/2006/relationships/hyperlink" Target="mailto:nicoleandzoe@googlemail.com" TargetMode="External"/><Relationship Id="rId131" Type="http://schemas.openxmlformats.org/officeDocument/2006/relationships/hyperlink" Target="mailto:joemalget@hotmail.com" TargetMode="External"/><Relationship Id="rId327" Type="http://schemas.openxmlformats.org/officeDocument/2006/relationships/hyperlink" Target="mailto:vensch@pt.lu" TargetMode="External"/><Relationship Id="rId369" Type="http://schemas.openxmlformats.org/officeDocument/2006/relationships/hyperlink" Target="mailto:bjornevholmberg@gmail.com" TargetMode="External"/><Relationship Id="rId173" Type="http://schemas.openxmlformats.org/officeDocument/2006/relationships/hyperlink" Target="mailto:schmitz.sebastien@gmail.com" TargetMode="External"/><Relationship Id="rId229" Type="http://schemas.openxmlformats.org/officeDocument/2006/relationships/hyperlink" Target="mailto:schiltz.frederic@gmail.com" TargetMode="External"/><Relationship Id="rId380" Type="http://schemas.openxmlformats.org/officeDocument/2006/relationships/hyperlink" Target="mailto:crisfodor@gmail.com" TargetMode="External"/><Relationship Id="rId240" Type="http://schemas.openxmlformats.org/officeDocument/2006/relationships/hyperlink" Target="mailto:pipapongo@gmail.com" TargetMode="External"/><Relationship Id="rId35" Type="http://schemas.openxmlformats.org/officeDocument/2006/relationships/hyperlink" Target="mailto:yves.migliosi@gmail.com" TargetMode="External"/><Relationship Id="rId77" Type="http://schemas.openxmlformats.org/officeDocument/2006/relationships/hyperlink" Target="mailto:jilleydt@pt.lu" TargetMode="External"/><Relationship Id="rId100" Type="http://schemas.openxmlformats.org/officeDocument/2006/relationships/hyperlink" Target="mailto:crisfodor@gmail.com" TargetMode="External"/><Relationship Id="rId282" Type="http://schemas.openxmlformats.org/officeDocument/2006/relationships/hyperlink" Target="mailto:clem.berthezene@gmail.com" TargetMode="External"/><Relationship Id="rId338" Type="http://schemas.openxmlformats.org/officeDocument/2006/relationships/hyperlink" Target="mailto:simon120414@gmail.com" TargetMode="External"/><Relationship Id="rId8" Type="http://schemas.openxmlformats.org/officeDocument/2006/relationships/hyperlink" Target="mailto:fernandez-samantha@hotmail.com" TargetMode="External"/><Relationship Id="rId142" Type="http://schemas.openxmlformats.org/officeDocument/2006/relationships/hyperlink" Target="mailto:nadia.6.petersen@gmail.com" TargetMode="External"/><Relationship Id="rId184" Type="http://schemas.openxmlformats.org/officeDocument/2006/relationships/hyperlink" Target="mailto:eric@busch.lu" TargetMode="External"/><Relationship Id="rId391" Type="http://schemas.openxmlformats.org/officeDocument/2006/relationships/hyperlink" Target="mailto:veromoien@hotmail.com" TargetMode="External"/><Relationship Id="rId251" Type="http://schemas.openxmlformats.org/officeDocument/2006/relationships/hyperlink" Target="mailto:fabio.boenigk@outlook.com" TargetMode="External"/><Relationship Id="rId46" Type="http://schemas.openxmlformats.org/officeDocument/2006/relationships/hyperlink" Target="mailto:mischilt@gmail.com" TargetMode="External"/><Relationship Id="rId293" Type="http://schemas.openxmlformats.org/officeDocument/2006/relationships/hyperlink" Target="mailto:sjzebrowsky@gmail.com" TargetMode="External"/><Relationship Id="rId307" Type="http://schemas.openxmlformats.org/officeDocument/2006/relationships/hyperlink" Target="mailto:domingogomartinez@gmail.com" TargetMode="External"/><Relationship Id="rId349" Type="http://schemas.openxmlformats.org/officeDocument/2006/relationships/hyperlink" Target="mailto:gpoulles@gmail.com" TargetMode="External"/><Relationship Id="rId88" Type="http://schemas.openxmlformats.org/officeDocument/2006/relationships/hyperlink" Target="mailto:deisadhb@gmail.com" TargetMode="External"/><Relationship Id="rId111" Type="http://schemas.openxmlformats.org/officeDocument/2006/relationships/hyperlink" Target="mailto:fabernastasja@hotmail.com" TargetMode="External"/><Relationship Id="rId153" Type="http://schemas.openxmlformats.org/officeDocument/2006/relationships/hyperlink" Target="mailto:audreymangon@gmail.com" TargetMode="External"/><Relationship Id="rId195" Type="http://schemas.openxmlformats.org/officeDocument/2006/relationships/hyperlink" Target="mailto:nineta.dogari@gmail.com" TargetMode="External"/><Relationship Id="rId209" Type="http://schemas.openxmlformats.org/officeDocument/2006/relationships/hyperlink" Target="mailto:adrienjacquelin@gmail.com" TargetMode="External"/><Relationship Id="rId360" Type="http://schemas.openxmlformats.org/officeDocument/2006/relationships/hyperlink" Target="mailto:marijapetereifer@gmail.com" TargetMode="External"/><Relationship Id="rId220" Type="http://schemas.openxmlformats.org/officeDocument/2006/relationships/hyperlink" Target="mailto:lajne.thomsen@gmail.com" TargetMode="External"/><Relationship Id="rId15" Type="http://schemas.openxmlformats.org/officeDocument/2006/relationships/hyperlink" Target="mailto:fernandez-jessica@live.fr" TargetMode="External"/><Relationship Id="rId57" Type="http://schemas.openxmlformats.org/officeDocument/2006/relationships/hyperlink" Target="mailto:brazuca07@hotmail.com" TargetMode="External"/><Relationship Id="rId262" Type="http://schemas.openxmlformats.org/officeDocument/2006/relationships/hyperlink" Target="mailto:eeckhaut.radogna@gmail.com" TargetMode="External"/><Relationship Id="rId318" Type="http://schemas.openxmlformats.org/officeDocument/2006/relationships/hyperlink" Target="mailto:begicbelma@hotmail.com" TargetMode="External"/><Relationship Id="rId99" Type="http://schemas.openxmlformats.org/officeDocument/2006/relationships/hyperlink" Target="mailto:jetti.rossy@education.lu" TargetMode="External"/><Relationship Id="rId122" Type="http://schemas.openxmlformats.org/officeDocument/2006/relationships/hyperlink" Target="mailto:anipapado@hotmail.com" TargetMode="External"/><Relationship Id="rId164" Type="http://schemas.openxmlformats.org/officeDocument/2006/relationships/hyperlink" Target="mailto:jeannettehesser@yahoo.com" TargetMode="External"/><Relationship Id="rId371" Type="http://schemas.openxmlformats.org/officeDocument/2006/relationships/hyperlink" Target="mailto:catalin_mica@yahoo.com" TargetMode="External"/><Relationship Id="rId26" Type="http://schemas.openxmlformats.org/officeDocument/2006/relationships/hyperlink" Target="mailto:joelrollinger@yahoo.de" TargetMode="External"/><Relationship Id="rId231" Type="http://schemas.openxmlformats.org/officeDocument/2006/relationships/hyperlink" Target="mailto:benoit.krier@education.lu" TargetMode="External"/><Relationship Id="rId273" Type="http://schemas.openxmlformats.org/officeDocument/2006/relationships/hyperlink" Target="mailto:marc90s.silva@gmail.com" TargetMode="External"/><Relationship Id="rId329" Type="http://schemas.openxmlformats.org/officeDocument/2006/relationships/hyperlink" Target="mailto:elisabeth.losch@education.lu" TargetMode="External"/><Relationship Id="rId68" Type="http://schemas.openxmlformats.org/officeDocument/2006/relationships/hyperlink" Target="mailto:kassmartine89@gmail.com" TargetMode="External"/><Relationship Id="rId133" Type="http://schemas.openxmlformats.org/officeDocument/2006/relationships/hyperlink" Target="mailto:deutschthierry@yahoo.co.uk" TargetMode="External"/><Relationship Id="rId175" Type="http://schemas.openxmlformats.org/officeDocument/2006/relationships/hyperlink" Target="mailto:binixaki@gmail.com" TargetMode="External"/><Relationship Id="rId340" Type="http://schemas.openxmlformats.org/officeDocument/2006/relationships/hyperlink" Target="mailto:agrebimyriam@hotmail.com" TargetMode="External"/><Relationship Id="rId200" Type="http://schemas.openxmlformats.org/officeDocument/2006/relationships/hyperlink" Target="mailto:Bingenfrank@hotmail.com" TargetMode="External"/><Relationship Id="rId382" Type="http://schemas.openxmlformats.org/officeDocument/2006/relationships/hyperlink" Target="mailto:eugeniamdlucas@gmail.com" TargetMode="External"/><Relationship Id="rId242" Type="http://schemas.openxmlformats.org/officeDocument/2006/relationships/hyperlink" Target="mailto:pipapongo@gmail.com" TargetMode="External"/><Relationship Id="rId284" Type="http://schemas.openxmlformats.org/officeDocument/2006/relationships/hyperlink" Target="mailto:pschanck@pt.lu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julia.haslbauer@gmx.at" TargetMode="External"/><Relationship Id="rId21" Type="http://schemas.openxmlformats.org/officeDocument/2006/relationships/hyperlink" Target="mailto:bettyrodesch@hotmail.com" TargetMode="External"/><Relationship Id="rId42" Type="http://schemas.openxmlformats.org/officeDocument/2006/relationships/hyperlink" Target="mailto:odgil@hotmail.com" TargetMode="External"/><Relationship Id="rId63" Type="http://schemas.openxmlformats.org/officeDocument/2006/relationships/hyperlink" Target="mailto:faber_hcb@yahoo.de" TargetMode="External"/><Relationship Id="rId84" Type="http://schemas.openxmlformats.org/officeDocument/2006/relationships/hyperlink" Target="mailto:rebeccalingen@yahoo.de" TargetMode="External"/><Relationship Id="rId138" Type="http://schemas.openxmlformats.org/officeDocument/2006/relationships/hyperlink" Target="mailto:fcmarisca@gmail.com" TargetMode="External"/><Relationship Id="rId159" Type="http://schemas.openxmlformats.org/officeDocument/2006/relationships/hyperlink" Target="mailto:fabio.boenigk@outlook.com" TargetMode="External"/><Relationship Id="rId170" Type="http://schemas.openxmlformats.org/officeDocument/2006/relationships/hyperlink" Target="mailto:natalialed@hotmail.com" TargetMode="External"/><Relationship Id="rId191" Type="http://schemas.openxmlformats.org/officeDocument/2006/relationships/hyperlink" Target="mailto:marc.buchler@education.lu" TargetMode="External"/><Relationship Id="rId205" Type="http://schemas.openxmlformats.org/officeDocument/2006/relationships/hyperlink" Target="mailto:begicbelma@hotmail.com" TargetMode="External"/><Relationship Id="rId226" Type="http://schemas.openxmlformats.org/officeDocument/2006/relationships/hyperlink" Target="mailto:srecko83z@gmail.com" TargetMode="External"/><Relationship Id="rId107" Type="http://schemas.openxmlformats.org/officeDocument/2006/relationships/hyperlink" Target="mailto:pirjo2102@hotmail.com" TargetMode="External"/><Relationship Id="rId11" Type="http://schemas.openxmlformats.org/officeDocument/2006/relationships/hyperlink" Target="mailto:jan321h@gmail.com" TargetMode="External"/><Relationship Id="rId32" Type="http://schemas.openxmlformats.org/officeDocument/2006/relationships/hyperlink" Target="mailto:pwissen@pt.lu" TargetMode="External"/><Relationship Id="rId53" Type="http://schemas.openxmlformats.org/officeDocument/2006/relationships/hyperlink" Target="mailto:deisadhb@gmail.com" TargetMode="External"/><Relationship Id="rId74" Type="http://schemas.openxmlformats.org/officeDocument/2006/relationships/hyperlink" Target="mailto:wassimayari16@gmail.com" TargetMode="External"/><Relationship Id="rId128" Type="http://schemas.openxmlformats.org/officeDocument/2006/relationships/hyperlink" Target="mailto:jeamed@pt.lu" TargetMode="External"/><Relationship Id="rId149" Type="http://schemas.openxmlformats.org/officeDocument/2006/relationships/hyperlink" Target="mailto:alain.rauchs@hotmail.com" TargetMode="External"/><Relationship Id="rId5" Type="http://schemas.openxmlformats.org/officeDocument/2006/relationships/hyperlink" Target="mailto:loca.sandy@hotmail.com" TargetMode="External"/><Relationship Id="rId95" Type="http://schemas.openxmlformats.org/officeDocument/2006/relationships/hyperlink" Target="mailto:spiewak.jeff@outlook.com" TargetMode="External"/><Relationship Id="rId160" Type="http://schemas.openxmlformats.org/officeDocument/2006/relationships/hyperlink" Target="mailto:halldor.halldorsson@pt.lu" TargetMode="External"/><Relationship Id="rId181" Type="http://schemas.openxmlformats.org/officeDocument/2006/relationships/hyperlink" Target="mailto:fabioamador2001@gmail.com" TargetMode="External"/><Relationship Id="rId216" Type="http://schemas.openxmlformats.org/officeDocument/2006/relationships/hyperlink" Target="mailto:gregory.redavid@tutanota.com" TargetMode="External"/><Relationship Id="rId237" Type="http://schemas.openxmlformats.org/officeDocument/2006/relationships/printerSettings" Target="../printerSettings/printerSettings2.bin"/><Relationship Id="rId22" Type="http://schemas.openxmlformats.org/officeDocument/2006/relationships/hyperlink" Target="mailto:stevenmering31@gmail.com" TargetMode="External"/><Relationship Id="rId43" Type="http://schemas.openxmlformats.org/officeDocument/2006/relationships/hyperlink" Target="mailto:odgil@hotmail.com" TargetMode="External"/><Relationship Id="rId64" Type="http://schemas.openxmlformats.org/officeDocument/2006/relationships/hyperlink" Target="mailto:caroline19921403@gmail.com" TargetMode="External"/><Relationship Id="rId118" Type="http://schemas.openxmlformats.org/officeDocument/2006/relationships/hyperlink" Target="mailto:eliott@busch.lu" TargetMode="External"/><Relationship Id="rId139" Type="http://schemas.openxmlformats.org/officeDocument/2006/relationships/hyperlink" Target="mailto:lajne.thomsen@gmail.com" TargetMode="External"/><Relationship Id="rId85" Type="http://schemas.openxmlformats.org/officeDocument/2006/relationships/hyperlink" Target="mailto:sarah.lanners@education.lu" TargetMode="External"/><Relationship Id="rId150" Type="http://schemas.openxmlformats.org/officeDocument/2006/relationships/hyperlink" Target="mailto:philippe.greis@gmail.com" TargetMode="External"/><Relationship Id="rId171" Type="http://schemas.openxmlformats.org/officeDocument/2006/relationships/hyperlink" Target="mailto:marc90s.silva@gmail.com" TargetMode="External"/><Relationship Id="rId192" Type="http://schemas.openxmlformats.org/officeDocument/2006/relationships/hyperlink" Target="mailto:ansay.luka@gmail.com" TargetMode="External"/><Relationship Id="rId206" Type="http://schemas.openxmlformats.org/officeDocument/2006/relationships/hyperlink" Target="mailto:srecko83z@gmail.com" TargetMode="External"/><Relationship Id="rId227" Type="http://schemas.openxmlformats.org/officeDocument/2006/relationships/hyperlink" Target="mailto:vic.weiler@icloud.com" TargetMode="External"/><Relationship Id="rId12" Type="http://schemas.openxmlformats.org/officeDocument/2006/relationships/hyperlink" Target="mailto:rebeccalingen@yahoo.de" TargetMode="External"/><Relationship Id="rId33" Type="http://schemas.openxmlformats.org/officeDocument/2006/relationships/hyperlink" Target="mailto:Tiago.l.g.7@gmail.com" TargetMode="External"/><Relationship Id="rId108" Type="http://schemas.openxmlformats.org/officeDocument/2006/relationships/hyperlink" Target="mailto:depinatamara@gmail.com" TargetMode="External"/><Relationship Id="rId129" Type="http://schemas.openxmlformats.org/officeDocument/2006/relationships/hyperlink" Target="mailto:jeamed@pt.lu" TargetMode="External"/><Relationship Id="rId54" Type="http://schemas.openxmlformats.org/officeDocument/2006/relationships/hyperlink" Target="mailto:benbisenius@gmail.com" TargetMode="External"/><Relationship Id="rId75" Type="http://schemas.openxmlformats.org/officeDocument/2006/relationships/hyperlink" Target="mailto:annehj@yahoo.com" TargetMode="External"/><Relationship Id="rId96" Type="http://schemas.openxmlformats.org/officeDocument/2006/relationships/hyperlink" Target="mailto:olivier.deneumoustier@gmail.com" TargetMode="External"/><Relationship Id="rId140" Type="http://schemas.openxmlformats.org/officeDocument/2006/relationships/hyperlink" Target="mailto:marialfall@icloud.com" TargetMode="External"/><Relationship Id="rId161" Type="http://schemas.openxmlformats.org/officeDocument/2006/relationships/hyperlink" Target="mailto:janika.hochstrasser@t-online.de" TargetMode="External"/><Relationship Id="rId182" Type="http://schemas.openxmlformats.org/officeDocument/2006/relationships/hyperlink" Target="mailto:branckaert.vanessa@hotmail.fr" TargetMode="External"/><Relationship Id="rId217" Type="http://schemas.openxmlformats.org/officeDocument/2006/relationships/hyperlink" Target="mailto:simon120414@gmail.com" TargetMode="External"/><Relationship Id="rId6" Type="http://schemas.openxmlformats.org/officeDocument/2006/relationships/hyperlink" Target="mailto:didip@pt.lu" TargetMode="External"/><Relationship Id="rId23" Type="http://schemas.openxmlformats.org/officeDocument/2006/relationships/hyperlink" Target="mailto:yves.migliosi@gmail.com" TargetMode="External"/><Relationship Id="rId119" Type="http://schemas.openxmlformats.org/officeDocument/2006/relationships/hyperlink" Target="mailto:efeharif@gmail.com" TargetMode="External"/><Relationship Id="rId44" Type="http://schemas.openxmlformats.org/officeDocument/2006/relationships/hyperlink" Target="mailto:jilleydt@pt.lu" TargetMode="External"/><Relationship Id="rId65" Type="http://schemas.openxmlformats.org/officeDocument/2006/relationships/hyperlink" Target="mailto:veigacindy@gmail.com" TargetMode="External"/><Relationship Id="rId86" Type="http://schemas.openxmlformats.org/officeDocument/2006/relationships/hyperlink" Target="mailto:matiasdemant@gmail.com" TargetMode="External"/><Relationship Id="rId130" Type="http://schemas.openxmlformats.org/officeDocument/2006/relationships/hyperlink" Target="mailto:esslerr@hotmail.com" TargetMode="External"/><Relationship Id="rId151" Type="http://schemas.openxmlformats.org/officeDocument/2006/relationships/hyperlink" Target="mailto:schmit.elena@gmail.com" TargetMode="External"/><Relationship Id="rId172" Type="http://schemas.openxmlformats.org/officeDocument/2006/relationships/hyperlink" Target="mailto:jm.breser@gmail.com" TargetMode="External"/><Relationship Id="rId193" Type="http://schemas.openxmlformats.org/officeDocument/2006/relationships/hyperlink" Target="mailto:frian197@hotmail.com" TargetMode="External"/><Relationship Id="rId207" Type="http://schemas.openxmlformats.org/officeDocument/2006/relationships/hyperlink" Target="mailto:olegcroitoru@gmail.com" TargetMode="External"/><Relationship Id="rId228" Type="http://schemas.openxmlformats.org/officeDocument/2006/relationships/hyperlink" Target="mailto:dinaramcilovic@yahoo.com" TargetMode="External"/><Relationship Id="rId13" Type="http://schemas.openxmlformats.org/officeDocument/2006/relationships/hyperlink" Target="mailto:ricky1387@hotmail.de" TargetMode="External"/><Relationship Id="rId109" Type="http://schemas.openxmlformats.org/officeDocument/2006/relationships/hyperlink" Target="mailto:minao310@gmail.com" TargetMode="External"/><Relationship Id="rId34" Type="http://schemas.openxmlformats.org/officeDocument/2006/relationships/hyperlink" Target="mailto:pinsalexa@hotmail.com" TargetMode="External"/><Relationship Id="rId55" Type="http://schemas.openxmlformats.org/officeDocument/2006/relationships/hyperlink" Target="mailto:paulo.magalhaes19971806@gmail.com" TargetMode="External"/><Relationship Id="rId76" Type="http://schemas.openxmlformats.org/officeDocument/2006/relationships/hyperlink" Target="mailto:mstroerup@hotmail.com" TargetMode="External"/><Relationship Id="rId97" Type="http://schemas.openxmlformats.org/officeDocument/2006/relationships/hyperlink" Target="mailto:hugokretzschmar@gmail.com" TargetMode="External"/><Relationship Id="rId120" Type="http://schemas.openxmlformats.org/officeDocument/2006/relationships/hyperlink" Target="mailto:anna.eszter.kalman@gmail.com" TargetMode="External"/><Relationship Id="rId141" Type="http://schemas.openxmlformats.org/officeDocument/2006/relationships/hyperlink" Target="mailto:yschroeder@hotmail.com" TargetMode="External"/><Relationship Id="rId7" Type="http://schemas.openxmlformats.org/officeDocument/2006/relationships/hyperlink" Target="mailto:marlene_alves_6@hotmail.com" TargetMode="External"/><Relationship Id="rId162" Type="http://schemas.openxmlformats.org/officeDocument/2006/relationships/hyperlink" Target="mailto:mstroerup@hotmail.com" TargetMode="External"/><Relationship Id="rId183" Type="http://schemas.openxmlformats.org/officeDocument/2006/relationships/hyperlink" Target="mailto:greis.christophe@gmail.com" TargetMode="External"/><Relationship Id="rId218" Type="http://schemas.openxmlformats.org/officeDocument/2006/relationships/hyperlink" Target="mailto:simon120414@gmail.com" TargetMode="External"/><Relationship Id="rId24" Type="http://schemas.openxmlformats.org/officeDocument/2006/relationships/hyperlink" Target="mailto:nunesrafaelfraga@gmail.com" TargetMode="External"/><Relationship Id="rId45" Type="http://schemas.openxmlformats.org/officeDocument/2006/relationships/hyperlink" Target="mailto:georges.krier@yahoo.de" TargetMode="External"/><Relationship Id="rId66" Type="http://schemas.openxmlformats.org/officeDocument/2006/relationships/hyperlink" Target="mailto:petermurielle05@gmail.com" TargetMode="External"/><Relationship Id="rId87" Type="http://schemas.openxmlformats.org/officeDocument/2006/relationships/hyperlink" Target="mailto:molitort@pt.lu" TargetMode="External"/><Relationship Id="rId110" Type="http://schemas.openxmlformats.org/officeDocument/2006/relationships/hyperlink" Target="mailto:flament.ma@gmail.com" TargetMode="External"/><Relationship Id="rId131" Type="http://schemas.openxmlformats.org/officeDocument/2006/relationships/hyperlink" Target="mailto:destinysylvester121@gmail.com" TargetMode="External"/><Relationship Id="rId152" Type="http://schemas.openxmlformats.org/officeDocument/2006/relationships/hyperlink" Target="mailto:adoberdolani@gmail.com" TargetMode="External"/><Relationship Id="rId173" Type="http://schemas.openxmlformats.org/officeDocument/2006/relationships/hyperlink" Target="mailto:jmignot2212@gmail.com" TargetMode="External"/><Relationship Id="rId194" Type="http://schemas.openxmlformats.org/officeDocument/2006/relationships/hyperlink" Target="mailto:vasari.mendy@hotmail.com" TargetMode="External"/><Relationship Id="rId208" Type="http://schemas.openxmlformats.org/officeDocument/2006/relationships/hyperlink" Target="mailto:alexandergennari@yahoo.fr" TargetMode="External"/><Relationship Id="rId229" Type="http://schemas.openxmlformats.org/officeDocument/2006/relationships/hyperlink" Target="mailto:marijapetereifer@gmail.com" TargetMode="External"/><Relationship Id="rId14" Type="http://schemas.openxmlformats.org/officeDocument/2006/relationships/hyperlink" Target="mailto:dylanleite99@gmail.com" TargetMode="External"/><Relationship Id="rId35" Type="http://schemas.openxmlformats.org/officeDocument/2006/relationships/hyperlink" Target="mailto:marthemeis@yahoo.de" TargetMode="External"/><Relationship Id="rId56" Type="http://schemas.openxmlformats.org/officeDocument/2006/relationships/hyperlink" Target="mailto:corinne_steinbach@yahoo.de" TargetMode="External"/><Relationship Id="rId77" Type="http://schemas.openxmlformats.org/officeDocument/2006/relationships/hyperlink" Target="mailto:roederj@me.com" TargetMode="External"/><Relationship Id="rId100" Type="http://schemas.openxmlformats.org/officeDocument/2006/relationships/hyperlink" Target="mailto:benoit.krier@education.lu" TargetMode="External"/><Relationship Id="rId8" Type="http://schemas.openxmlformats.org/officeDocument/2006/relationships/hyperlink" Target="mailto:laurent.felten82@gmail.com" TargetMode="External"/><Relationship Id="rId98" Type="http://schemas.openxmlformats.org/officeDocument/2006/relationships/hyperlink" Target="mailto:ginad@pt.lu" TargetMode="External"/><Relationship Id="rId121" Type="http://schemas.openxmlformats.org/officeDocument/2006/relationships/hyperlink" Target="mailto:anna.eszter.kalman@gmail.com" TargetMode="External"/><Relationship Id="rId142" Type="http://schemas.openxmlformats.org/officeDocument/2006/relationships/hyperlink" Target="mailto:petouoberthold@yahoo.com" TargetMode="External"/><Relationship Id="rId163" Type="http://schemas.openxmlformats.org/officeDocument/2006/relationships/hyperlink" Target="mailto:joaomatosgraca2003@gmail.com" TargetMode="External"/><Relationship Id="rId184" Type="http://schemas.openxmlformats.org/officeDocument/2006/relationships/hyperlink" Target="mailto:monia.demuth@gmail.com" TargetMode="External"/><Relationship Id="rId219" Type="http://schemas.openxmlformats.org/officeDocument/2006/relationships/hyperlink" Target="mailto:fihl@pt.lu" TargetMode="External"/><Relationship Id="rId230" Type="http://schemas.openxmlformats.org/officeDocument/2006/relationships/hyperlink" Target="mailto:dossantosrenato07@gmail.com" TargetMode="External"/><Relationship Id="rId25" Type="http://schemas.openxmlformats.org/officeDocument/2006/relationships/hyperlink" Target="mailto:petki1995@gmail.com" TargetMode="External"/><Relationship Id="rId46" Type="http://schemas.openxmlformats.org/officeDocument/2006/relationships/hyperlink" Target="mailto:j-lindsay@hotmail.de" TargetMode="External"/><Relationship Id="rId67" Type="http://schemas.openxmlformats.org/officeDocument/2006/relationships/hyperlink" Target="mailto:cynthialehnen@gmail.com" TargetMode="External"/><Relationship Id="rId88" Type="http://schemas.openxmlformats.org/officeDocument/2006/relationships/hyperlink" Target="mailto:molitort@pt.lu" TargetMode="External"/><Relationship Id="rId111" Type="http://schemas.openxmlformats.org/officeDocument/2006/relationships/hyperlink" Target="mailto:flament.ma@gmail.com" TargetMode="External"/><Relationship Id="rId132" Type="http://schemas.openxmlformats.org/officeDocument/2006/relationships/hyperlink" Target="mailto:svenja-schares@hotmail.com" TargetMode="External"/><Relationship Id="rId153" Type="http://schemas.openxmlformats.org/officeDocument/2006/relationships/hyperlink" Target="mailto:pipapongo@gmail.com" TargetMode="External"/><Relationship Id="rId174" Type="http://schemas.openxmlformats.org/officeDocument/2006/relationships/hyperlink" Target="mailto:jostcat@gmail.com" TargetMode="External"/><Relationship Id="rId195" Type="http://schemas.openxmlformats.org/officeDocument/2006/relationships/hyperlink" Target="mailto:domingogomartinez@gmail.com" TargetMode="External"/><Relationship Id="rId209" Type="http://schemas.openxmlformats.org/officeDocument/2006/relationships/hyperlink" Target="mailto:celine.gamot02@gmail.com" TargetMode="External"/><Relationship Id="rId190" Type="http://schemas.openxmlformats.org/officeDocument/2006/relationships/hyperlink" Target="mailto:afroide@hotmail.fr" TargetMode="External"/><Relationship Id="rId204" Type="http://schemas.openxmlformats.org/officeDocument/2006/relationships/hyperlink" Target="mailto:begicbelma@hotmail.com" TargetMode="External"/><Relationship Id="rId220" Type="http://schemas.openxmlformats.org/officeDocument/2006/relationships/hyperlink" Target="mailto:agrebimyriam@hotmail.com" TargetMode="External"/><Relationship Id="rId225" Type="http://schemas.openxmlformats.org/officeDocument/2006/relationships/hyperlink" Target="mailto:lucweber09@hotmail.com" TargetMode="External"/><Relationship Id="rId15" Type="http://schemas.openxmlformats.org/officeDocument/2006/relationships/hyperlink" Target="mailto:patrickmalget@gmail.com" TargetMode="External"/><Relationship Id="rId36" Type="http://schemas.openxmlformats.org/officeDocument/2006/relationships/hyperlink" Target="mailto:nicoleandzoe@googlemail.com" TargetMode="External"/><Relationship Id="rId57" Type="http://schemas.openxmlformats.org/officeDocument/2006/relationships/hyperlink" Target="mailto:joelrollinger@yahoo.de" TargetMode="External"/><Relationship Id="rId106" Type="http://schemas.openxmlformats.org/officeDocument/2006/relationships/hyperlink" Target="mailto:jeannettehesser@yahoo.com" TargetMode="External"/><Relationship Id="rId127" Type="http://schemas.openxmlformats.org/officeDocument/2006/relationships/hyperlink" Target="mailto:Bingenfrank@hotmail.com" TargetMode="External"/><Relationship Id="rId10" Type="http://schemas.openxmlformats.org/officeDocument/2006/relationships/hyperlink" Target="mailto:georges.frieden.flh@gmx.com" TargetMode="External"/><Relationship Id="rId31" Type="http://schemas.openxmlformats.org/officeDocument/2006/relationships/hyperlink" Target="mailto:diane.mersch@centermed.lu" TargetMode="External"/><Relationship Id="rId52" Type="http://schemas.openxmlformats.org/officeDocument/2006/relationships/hyperlink" Target="mailto:Faber-eric@hotmail.com" TargetMode="External"/><Relationship Id="rId73" Type="http://schemas.openxmlformats.org/officeDocument/2006/relationships/hyperlink" Target="mailto:linktess@pt.lu" TargetMode="External"/><Relationship Id="rId78" Type="http://schemas.openxmlformats.org/officeDocument/2006/relationships/hyperlink" Target="mailto:jilleydt@pt.lu" TargetMode="External"/><Relationship Id="rId94" Type="http://schemas.openxmlformats.org/officeDocument/2006/relationships/hyperlink" Target="mailto:sofia0509elena@gmail.com" TargetMode="External"/><Relationship Id="rId99" Type="http://schemas.openxmlformats.org/officeDocument/2006/relationships/hyperlink" Target="mailto:nastasia.rippinger@kannerduerf.lu" TargetMode="External"/><Relationship Id="rId101" Type="http://schemas.openxmlformats.org/officeDocument/2006/relationships/hyperlink" Target="mailto:bettyrodesch@hotmail.com" TargetMode="External"/><Relationship Id="rId122" Type="http://schemas.openxmlformats.org/officeDocument/2006/relationships/hyperlink" Target="mailto:librizzi.fra@gmail.com" TargetMode="External"/><Relationship Id="rId143" Type="http://schemas.openxmlformats.org/officeDocument/2006/relationships/hyperlink" Target="mailto:nopatz@hotmail.com" TargetMode="External"/><Relationship Id="rId148" Type="http://schemas.openxmlformats.org/officeDocument/2006/relationships/hyperlink" Target="mailto:benoit.krier@education.lu" TargetMode="External"/><Relationship Id="rId164" Type="http://schemas.openxmlformats.org/officeDocument/2006/relationships/hyperlink" Target="mailto:mohamedgamaldi22@gmail.com" TargetMode="External"/><Relationship Id="rId169" Type="http://schemas.openxmlformats.org/officeDocument/2006/relationships/hyperlink" Target="mailto:valentin_koval@hotmail.com" TargetMode="External"/><Relationship Id="rId185" Type="http://schemas.openxmlformats.org/officeDocument/2006/relationships/hyperlink" Target="mailto:sjzebrowsky@gmail.com" TargetMode="External"/><Relationship Id="rId4" Type="http://schemas.openxmlformats.org/officeDocument/2006/relationships/hyperlink" Target="mailto:fernandez-samantha@hotmail.com" TargetMode="External"/><Relationship Id="rId9" Type="http://schemas.openxmlformats.org/officeDocument/2006/relationships/hyperlink" Target="mailto:fernandez-jessica@live.fr" TargetMode="External"/><Relationship Id="rId180" Type="http://schemas.openxmlformats.org/officeDocument/2006/relationships/hyperlink" Target="mailto:thomas8epps@gmail.com" TargetMode="External"/><Relationship Id="rId210" Type="http://schemas.openxmlformats.org/officeDocument/2006/relationships/hyperlink" Target="mailto:vensch@pt.lu" TargetMode="External"/><Relationship Id="rId215" Type="http://schemas.openxmlformats.org/officeDocument/2006/relationships/hyperlink" Target="mailto:kim88.lang@yahoo.de" TargetMode="External"/><Relationship Id="rId236" Type="http://schemas.openxmlformats.org/officeDocument/2006/relationships/hyperlink" Target="mailto:catalin_mica@yahoo.com" TargetMode="External"/><Relationship Id="rId26" Type="http://schemas.openxmlformats.org/officeDocument/2006/relationships/hyperlink" Target="mailto:gregory.redavid@tutanota.com" TargetMode="External"/><Relationship Id="rId231" Type="http://schemas.openxmlformats.org/officeDocument/2006/relationships/hyperlink" Target="mailto:rosca.adi@gmail.com" TargetMode="External"/><Relationship Id="rId47" Type="http://schemas.openxmlformats.org/officeDocument/2006/relationships/hyperlink" Target="mailto:markruef@hotmail.com" TargetMode="External"/><Relationship Id="rId68" Type="http://schemas.openxmlformats.org/officeDocument/2006/relationships/hyperlink" Target="mailto:fabernastasja@hotmail.com" TargetMode="External"/><Relationship Id="rId89" Type="http://schemas.openxmlformats.org/officeDocument/2006/relationships/hyperlink" Target="mailto:marlene_alves_6@hotmail.com" TargetMode="External"/><Relationship Id="rId112" Type="http://schemas.openxmlformats.org/officeDocument/2006/relationships/hyperlink" Target="mailto:ana.ribeiro@education.lu" TargetMode="External"/><Relationship Id="rId133" Type="http://schemas.openxmlformats.org/officeDocument/2006/relationships/hyperlink" Target="mailto:adrienjacquelin@gmail.com" TargetMode="External"/><Relationship Id="rId154" Type="http://schemas.openxmlformats.org/officeDocument/2006/relationships/hyperlink" Target="mailto:pipapongo@gmail.com" TargetMode="External"/><Relationship Id="rId175" Type="http://schemas.openxmlformats.org/officeDocument/2006/relationships/hyperlink" Target="mailto:vanderwekenlouis01@gmail.com" TargetMode="External"/><Relationship Id="rId196" Type="http://schemas.openxmlformats.org/officeDocument/2006/relationships/hyperlink" Target="mailto:domingogomartinez@gmail.com" TargetMode="External"/><Relationship Id="rId200" Type="http://schemas.openxmlformats.org/officeDocument/2006/relationships/hyperlink" Target="mailto:ildavalenteesteves@gmail.com" TargetMode="External"/><Relationship Id="rId16" Type="http://schemas.openxmlformats.org/officeDocument/2006/relationships/hyperlink" Target="mailto:joelrollinger@yahoo.de" TargetMode="External"/><Relationship Id="rId221" Type="http://schemas.openxmlformats.org/officeDocument/2006/relationships/hyperlink" Target="mailto:steenfamily1@outlook.com" TargetMode="External"/><Relationship Id="rId37" Type="http://schemas.openxmlformats.org/officeDocument/2006/relationships/hyperlink" Target="mailto:kassmartine89@gmail.com" TargetMode="External"/><Relationship Id="rId58" Type="http://schemas.openxmlformats.org/officeDocument/2006/relationships/hyperlink" Target="mailto:petermurielle05@gmail.com" TargetMode="External"/><Relationship Id="rId79" Type="http://schemas.openxmlformats.org/officeDocument/2006/relationships/hyperlink" Target="mailto:gregory.redavid@tutanota.com" TargetMode="External"/><Relationship Id="rId102" Type="http://schemas.openxmlformats.org/officeDocument/2006/relationships/hyperlink" Target="mailto:philippe.greis@gmail.com" TargetMode="External"/><Relationship Id="rId123" Type="http://schemas.openxmlformats.org/officeDocument/2006/relationships/hyperlink" Target="mailto:wagner.olivier84@gmail.com" TargetMode="External"/><Relationship Id="rId144" Type="http://schemas.openxmlformats.org/officeDocument/2006/relationships/hyperlink" Target="mailto:marc.buchler@yahoo.de" TargetMode="External"/><Relationship Id="rId90" Type="http://schemas.openxmlformats.org/officeDocument/2006/relationships/hyperlink" Target="mailto:jtoisul@pt.lu" TargetMode="External"/><Relationship Id="rId165" Type="http://schemas.openxmlformats.org/officeDocument/2006/relationships/hyperlink" Target="mailto:anne.cloos@yahoo.de" TargetMode="External"/><Relationship Id="rId186" Type="http://schemas.openxmlformats.org/officeDocument/2006/relationships/hyperlink" Target="mailto:sjzebrowsky@gmail.com" TargetMode="External"/><Relationship Id="rId211" Type="http://schemas.openxmlformats.org/officeDocument/2006/relationships/hyperlink" Target="mailto:elisabeth.losch@education.lu" TargetMode="External"/><Relationship Id="rId232" Type="http://schemas.openxmlformats.org/officeDocument/2006/relationships/hyperlink" Target="mailto:rosalinelackner@gmail.com" TargetMode="External"/><Relationship Id="rId27" Type="http://schemas.openxmlformats.org/officeDocument/2006/relationships/hyperlink" Target="mailto:laura.2205@hotmail.de" TargetMode="External"/><Relationship Id="rId48" Type="http://schemas.openxmlformats.org/officeDocument/2006/relationships/hyperlink" Target="mailto:bmetzler@pt.lu" TargetMode="External"/><Relationship Id="rId69" Type="http://schemas.openxmlformats.org/officeDocument/2006/relationships/hyperlink" Target="mailto:mikewelsch90@gmail.com" TargetMode="External"/><Relationship Id="rId113" Type="http://schemas.openxmlformats.org/officeDocument/2006/relationships/hyperlink" Target="mailto:binixaki@gmail.com" TargetMode="External"/><Relationship Id="rId134" Type="http://schemas.openxmlformats.org/officeDocument/2006/relationships/hyperlink" Target="mailto:adrienjacquelin@gmail.com" TargetMode="External"/><Relationship Id="rId80" Type="http://schemas.openxmlformats.org/officeDocument/2006/relationships/hyperlink" Target="mailto:delgadocaremonika@gmail.com" TargetMode="External"/><Relationship Id="rId155" Type="http://schemas.openxmlformats.org/officeDocument/2006/relationships/hyperlink" Target="mailto:dirkwezenberg@yahoo.de" TargetMode="External"/><Relationship Id="rId176" Type="http://schemas.openxmlformats.org/officeDocument/2006/relationships/hyperlink" Target="mailto:catherinemayer84@gmail.com" TargetMode="External"/><Relationship Id="rId197" Type="http://schemas.openxmlformats.org/officeDocument/2006/relationships/hyperlink" Target="mailto:anne.cloos@yahoo.de" TargetMode="External"/><Relationship Id="rId201" Type="http://schemas.openxmlformats.org/officeDocument/2006/relationships/hyperlink" Target="mailto:jhempb@yahoo.com" TargetMode="External"/><Relationship Id="rId222" Type="http://schemas.openxmlformats.org/officeDocument/2006/relationships/hyperlink" Target="mailto:raynaud.camille90@gmail.com" TargetMode="External"/><Relationship Id="rId17" Type="http://schemas.openxmlformats.org/officeDocument/2006/relationships/hyperlink" Target="mailto:leisen.j@gmail.com" TargetMode="External"/><Relationship Id="rId38" Type="http://schemas.openxmlformats.org/officeDocument/2006/relationships/hyperlink" Target="mailto:rubenlage17@gmail.com" TargetMode="External"/><Relationship Id="rId59" Type="http://schemas.openxmlformats.org/officeDocument/2006/relationships/hyperlink" Target="mailto:dacosta.catarina@hotmail.com" TargetMode="External"/><Relationship Id="rId103" Type="http://schemas.openxmlformats.org/officeDocument/2006/relationships/hyperlink" Target="mailto:nadine.breser@hotmail.com" TargetMode="External"/><Relationship Id="rId124" Type="http://schemas.openxmlformats.org/officeDocument/2006/relationships/hyperlink" Target="mailto:greischer.jeanluc@gmail.com" TargetMode="External"/><Relationship Id="rId70" Type="http://schemas.openxmlformats.org/officeDocument/2006/relationships/hyperlink" Target="mailto:heinztom@pt.lu" TargetMode="External"/><Relationship Id="rId91" Type="http://schemas.openxmlformats.org/officeDocument/2006/relationships/hyperlink" Target="mailto:tabueck@hotmail.com" TargetMode="External"/><Relationship Id="rId145" Type="http://schemas.openxmlformats.org/officeDocument/2006/relationships/hyperlink" Target="mailto:mickael.barbier.ieseg@gmail.com" TargetMode="External"/><Relationship Id="rId166" Type="http://schemas.openxmlformats.org/officeDocument/2006/relationships/hyperlink" Target="mailto:eeckhaut.radogna@gmail.com" TargetMode="External"/><Relationship Id="rId187" Type="http://schemas.openxmlformats.org/officeDocument/2006/relationships/hyperlink" Target="mailto:tom.haas@gmx.lu" TargetMode="External"/><Relationship Id="rId1" Type="http://schemas.openxmlformats.org/officeDocument/2006/relationships/hyperlink" Target="mailto:fb27041993@gmail.com" TargetMode="External"/><Relationship Id="rId212" Type="http://schemas.openxmlformats.org/officeDocument/2006/relationships/hyperlink" Target="mailto:tunwellens33@gmail.com" TargetMode="External"/><Relationship Id="rId233" Type="http://schemas.openxmlformats.org/officeDocument/2006/relationships/hyperlink" Target="mailto:crisfodor@gmail.com" TargetMode="External"/><Relationship Id="rId28" Type="http://schemas.openxmlformats.org/officeDocument/2006/relationships/hyperlink" Target="mailto:r.bonavia69@gmail.com" TargetMode="External"/><Relationship Id="rId49" Type="http://schemas.openxmlformats.org/officeDocument/2006/relationships/hyperlink" Target="mailto:kremerphi@hotmail.com" TargetMode="External"/><Relationship Id="rId114" Type="http://schemas.openxmlformats.org/officeDocument/2006/relationships/hyperlink" Target="mailto:pocahontas9021@hotmail.com" TargetMode="External"/><Relationship Id="rId60" Type="http://schemas.openxmlformats.org/officeDocument/2006/relationships/hyperlink" Target="mailto:marc.ernster@gmail.com" TargetMode="External"/><Relationship Id="rId81" Type="http://schemas.openxmlformats.org/officeDocument/2006/relationships/hyperlink" Target="mailto:joemalget@hotmail.com" TargetMode="External"/><Relationship Id="rId135" Type="http://schemas.openxmlformats.org/officeDocument/2006/relationships/hyperlink" Target="mailto:maxime.baurain@outlook.com" TargetMode="External"/><Relationship Id="rId156" Type="http://schemas.openxmlformats.org/officeDocument/2006/relationships/hyperlink" Target="mailto:fihl@pt.lu" TargetMode="External"/><Relationship Id="rId177" Type="http://schemas.openxmlformats.org/officeDocument/2006/relationships/hyperlink" Target="mailto:clem.berthezene@gmail.com" TargetMode="External"/><Relationship Id="rId198" Type="http://schemas.openxmlformats.org/officeDocument/2006/relationships/hyperlink" Target="mailto:paulo.ribeiro1982@outlook.com" TargetMode="External"/><Relationship Id="rId202" Type="http://schemas.openxmlformats.org/officeDocument/2006/relationships/hyperlink" Target="mailto:nazli.hamrodrotz@gmail.com" TargetMode="External"/><Relationship Id="rId223" Type="http://schemas.openxmlformats.org/officeDocument/2006/relationships/hyperlink" Target="mailto:dinaramcilovic@yahoo.com" TargetMode="External"/><Relationship Id="rId18" Type="http://schemas.openxmlformats.org/officeDocument/2006/relationships/hyperlink" Target="mailto:leisen.j@gmail.com" TargetMode="External"/><Relationship Id="rId39" Type="http://schemas.openxmlformats.org/officeDocument/2006/relationships/hyperlink" Target="mailto:christophe.kremer83@gmail.com" TargetMode="External"/><Relationship Id="rId50" Type="http://schemas.openxmlformats.org/officeDocument/2006/relationships/hyperlink" Target="mailto:christophe.kremer83@gmail.com" TargetMode="External"/><Relationship Id="rId104" Type="http://schemas.openxmlformats.org/officeDocument/2006/relationships/hyperlink" Target="mailto:adoberdolani@gmail.com" TargetMode="External"/><Relationship Id="rId125" Type="http://schemas.openxmlformats.org/officeDocument/2006/relationships/hyperlink" Target="mailto:frank_ods@hotmail.com" TargetMode="External"/><Relationship Id="rId146" Type="http://schemas.openxmlformats.org/officeDocument/2006/relationships/hyperlink" Target="mailto:saniye_tipirdamaz@yahoo.fr" TargetMode="External"/><Relationship Id="rId167" Type="http://schemas.openxmlformats.org/officeDocument/2006/relationships/hyperlink" Target="mailto:eeckhaut.radogna@gmail.com" TargetMode="External"/><Relationship Id="rId188" Type="http://schemas.openxmlformats.org/officeDocument/2006/relationships/hyperlink" Target="mailto:gregory.sebert@gmail.com" TargetMode="External"/><Relationship Id="rId71" Type="http://schemas.openxmlformats.org/officeDocument/2006/relationships/hyperlink" Target="mailto:jorandidelot@gmail.com" TargetMode="External"/><Relationship Id="rId92" Type="http://schemas.openxmlformats.org/officeDocument/2006/relationships/hyperlink" Target="mailto:jtoisul@pt.lu" TargetMode="External"/><Relationship Id="rId213" Type="http://schemas.openxmlformats.org/officeDocument/2006/relationships/hyperlink" Target="mailto:kim88.lang@yahoo.de" TargetMode="External"/><Relationship Id="rId234" Type="http://schemas.openxmlformats.org/officeDocument/2006/relationships/hyperlink" Target="mailto:crisfodor@gmail.com" TargetMode="External"/><Relationship Id="rId2" Type="http://schemas.openxmlformats.org/officeDocument/2006/relationships/hyperlink" Target="mailto:Bingenfrank@hotmail.com" TargetMode="External"/><Relationship Id="rId29" Type="http://schemas.openxmlformats.org/officeDocument/2006/relationships/hyperlink" Target="mailto:jeffster@pt.lu" TargetMode="External"/><Relationship Id="rId40" Type="http://schemas.openxmlformats.org/officeDocument/2006/relationships/hyperlink" Target="mailto:zoller333pol@gmail.com" TargetMode="External"/><Relationship Id="rId115" Type="http://schemas.openxmlformats.org/officeDocument/2006/relationships/hyperlink" Target="mailto:sarah.lanners@education.lu" TargetMode="External"/><Relationship Id="rId136" Type="http://schemas.openxmlformats.org/officeDocument/2006/relationships/hyperlink" Target="mailto:christine.Weisgerber@gmail.com" TargetMode="External"/><Relationship Id="rId157" Type="http://schemas.openxmlformats.org/officeDocument/2006/relationships/hyperlink" Target="mailto:fihl@pt.lu" TargetMode="External"/><Relationship Id="rId178" Type="http://schemas.openxmlformats.org/officeDocument/2006/relationships/hyperlink" Target="mailto:caroline.odem@education.lu" TargetMode="External"/><Relationship Id="rId61" Type="http://schemas.openxmlformats.org/officeDocument/2006/relationships/hyperlink" Target="mailto:jetti.rossy@education.lu" TargetMode="External"/><Relationship Id="rId82" Type="http://schemas.openxmlformats.org/officeDocument/2006/relationships/hyperlink" Target="mailto:julia.haslbauer@gmx.at" TargetMode="External"/><Relationship Id="rId199" Type="http://schemas.openxmlformats.org/officeDocument/2006/relationships/hyperlink" Target="mailto:steffan_develder@hotmail.com" TargetMode="External"/><Relationship Id="rId203" Type="http://schemas.openxmlformats.org/officeDocument/2006/relationships/hyperlink" Target="mailto:castellano.virginio@gmail.com" TargetMode="External"/><Relationship Id="rId19" Type="http://schemas.openxmlformats.org/officeDocument/2006/relationships/hyperlink" Target="mailto:petermarck@hotmail.com" TargetMode="External"/><Relationship Id="rId224" Type="http://schemas.openxmlformats.org/officeDocument/2006/relationships/hyperlink" Target="mailto:benetim@pt.lu" TargetMode="External"/><Relationship Id="rId30" Type="http://schemas.openxmlformats.org/officeDocument/2006/relationships/hyperlink" Target="mailto:d.iana_delgado@hotmail.com" TargetMode="External"/><Relationship Id="rId105" Type="http://schemas.openxmlformats.org/officeDocument/2006/relationships/hyperlink" Target="mailto:adoberdolani@gmail.com" TargetMode="External"/><Relationship Id="rId126" Type="http://schemas.openxmlformats.org/officeDocument/2006/relationships/hyperlink" Target="mailto:ana.ribeiro@education.lu" TargetMode="External"/><Relationship Id="rId147" Type="http://schemas.openxmlformats.org/officeDocument/2006/relationships/hyperlink" Target="mailto:schiltz.frederic@gmail.com" TargetMode="External"/><Relationship Id="rId168" Type="http://schemas.openxmlformats.org/officeDocument/2006/relationships/hyperlink" Target="mailto:dernedenm@gmail.com" TargetMode="External"/><Relationship Id="rId51" Type="http://schemas.openxmlformats.org/officeDocument/2006/relationships/hyperlink" Target="mailto:arkremer@pt.lu" TargetMode="External"/><Relationship Id="rId72" Type="http://schemas.openxmlformats.org/officeDocument/2006/relationships/hyperlink" Target="mailto:linktess@pt.lu" TargetMode="External"/><Relationship Id="rId93" Type="http://schemas.openxmlformats.org/officeDocument/2006/relationships/hyperlink" Target="mailto:dimitriwilklux@gmail.com" TargetMode="External"/><Relationship Id="rId189" Type="http://schemas.openxmlformats.org/officeDocument/2006/relationships/hyperlink" Target="mailto:stefhanee@gmail.com" TargetMode="External"/><Relationship Id="rId3" Type="http://schemas.openxmlformats.org/officeDocument/2006/relationships/hyperlink" Target="mailto:lucabuch@hotmail.fr" TargetMode="External"/><Relationship Id="rId214" Type="http://schemas.openxmlformats.org/officeDocument/2006/relationships/hyperlink" Target="mailto:line@didelot.org" TargetMode="External"/><Relationship Id="rId235" Type="http://schemas.openxmlformats.org/officeDocument/2006/relationships/hyperlink" Target="mailto:bjornevholmberg@gmail.com" TargetMode="External"/><Relationship Id="rId116" Type="http://schemas.openxmlformats.org/officeDocument/2006/relationships/hyperlink" Target="mailto:joel.jacobsen@outlook.com" TargetMode="External"/><Relationship Id="rId137" Type="http://schemas.openxmlformats.org/officeDocument/2006/relationships/hyperlink" Target="mailto:lukasfortesflor@gmail." TargetMode="External"/><Relationship Id="rId158" Type="http://schemas.openxmlformats.org/officeDocument/2006/relationships/hyperlink" Target="mailto:tomas.eiro@gmail.com" TargetMode="External"/><Relationship Id="rId20" Type="http://schemas.openxmlformats.org/officeDocument/2006/relationships/hyperlink" Target="mailto:martinscnf@gmail.com" TargetMode="External"/><Relationship Id="rId41" Type="http://schemas.openxmlformats.org/officeDocument/2006/relationships/hyperlink" Target="mailto:bcorinne84@yahoo.com" TargetMode="External"/><Relationship Id="rId62" Type="http://schemas.openxmlformats.org/officeDocument/2006/relationships/hyperlink" Target="mailto:nopatz@hotmail.com" TargetMode="External"/><Relationship Id="rId83" Type="http://schemas.openxmlformats.org/officeDocument/2006/relationships/hyperlink" Target="mailto:ericlamhene@gmail.com" TargetMode="External"/><Relationship Id="rId179" Type="http://schemas.openxmlformats.org/officeDocument/2006/relationships/hyperlink" Target="mailto:isabellepirson@pt.l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monique.felgen@mersch.lu" TargetMode="External"/><Relationship Id="rId1" Type="http://schemas.openxmlformats.org/officeDocument/2006/relationships/hyperlink" Target="mailto:nbemtgen@pt.lu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gojo@pt.lu" TargetMode="External"/><Relationship Id="rId299" Type="http://schemas.openxmlformats.org/officeDocument/2006/relationships/hyperlink" Target="mailto:derosales.m@me.com" TargetMode="External"/><Relationship Id="rId21" Type="http://schemas.openxmlformats.org/officeDocument/2006/relationships/hyperlink" Target="mailto:lwatgen@gmail.com" TargetMode="External"/><Relationship Id="rId63" Type="http://schemas.openxmlformats.org/officeDocument/2006/relationships/hyperlink" Target="mailto:sabo@tango.lu" TargetMode="External"/><Relationship Id="rId159" Type="http://schemas.openxmlformats.org/officeDocument/2006/relationships/hyperlink" Target="mailto:ranouk@gmail.com" TargetMode="External"/><Relationship Id="rId170" Type="http://schemas.openxmlformats.org/officeDocument/2006/relationships/hyperlink" Target="mailto:benbisenius@gmail.com" TargetMode="External"/><Relationship Id="rId226" Type="http://schemas.openxmlformats.org/officeDocument/2006/relationships/hyperlink" Target="mailto:alexei@tousbois.com" TargetMode="External"/><Relationship Id="rId268" Type="http://schemas.openxmlformats.org/officeDocument/2006/relationships/hyperlink" Target="mailto:nouschka23@hotmail.com" TargetMode="External"/><Relationship Id="rId32" Type="http://schemas.openxmlformats.org/officeDocument/2006/relationships/hyperlink" Target="mailto:anamargarida17@hotmail.fr" TargetMode="External"/><Relationship Id="rId74" Type="http://schemas.openxmlformats.org/officeDocument/2006/relationships/hyperlink" Target="mailto:hirbe947@school.lu" TargetMode="External"/><Relationship Id="rId128" Type="http://schemas.openxmlformats.org/officeDocument/2006/relationships/hyperlink" Target="mailto:zitagp@hotmail.com" TargetMode="External"/><Relationship Id="rId5" Type="http://schemas.openxmlformats.org/officeDocument/2006/relationships/hyperlink" Target="mailto:gracio@pt.lu" TargetMode="External"/><Relationship Id="rId181" Type="http://schemas.openxmlformats.org/officeDocument/2006/relationships/hyperlink" Target="mailto:ewokomopibo@gmail.com" TargetMode="External"/><Relationship Id="rId237" Type="http://schemas.openxmlformats.org/officeDocument/2006/relationships/hyperlink" Target="mailto:weirich1@pt.lu" TargetMode="External"/><Relationship Id="rId279" Type="http://schemas.openxmlformats.org/officeDocument/2006/relationships/hyperlink" Target="mailto:moreira208@gmail.com" TargetMode="External"/><Relationship Id="rId43" Type="http://schemas.openxmlformats.org/officeDocument/2006/relationships/hyperlink" Target="mailto:dardan.xhafa@hotmail.com" TargetMode="External"/><Relationship Id="rId139" Type="http://schemas.openxmlformats.org/officeDocument/2006/relationships/hyperlink" Target="mailto:wagner.olivier84@gmail.com" TargetMode="External"/><Relationship Id="rId290" Type="http://schemas.openxmlformats.org/officeDocument/2006/relationships/hyperlink" Target="mailto:dylanleite99@gmail.com" TargetMode="External"/><Relationship Id="rId304" Type="http://schemas.openxmlformats.org/officeDocument/2006/relationships/hyperlink" Target="mailto:wohanne05@gmail.com" TargetMode="External"/><Relationship Id="rId85" Type="http://schemas.openxmlformats.org/officeDocument/2006/relationships/hyperlink" Target="mailto:jennyreuter38@gmail.com" TargetMode="External"/><Relationship Id="rId150" Type="http://schemas.openxmlformats.org/officeDocument/2006/relationships/hyperlink" Target="mailto:kevenp1990@gmail.com" TargetMode="External"/><Relationship Id="rId192" Type="http://schemas.openxmlformats.org/officeDocument/2006/relationships/hyperlink" Target="mailto:bruzzel12@gmail.com" TargetMode="External"/><Relationship Id="rId206" Type="http://schemas.openxmlformats.org/officeDocument/2006/relationships/hyperlink" Target="mailto:spyrosx99@gmail.com" TargetMode="External"/><Relationship Id="rId248" Type="http://schemas.openxmlformats.org/officeDocument/2006/relationships/hyperlink" Target="mailto:hugoansay@hotmail.com" TargetMode="External"/><Relationship Id="rId12" Type="http://schemas.openxmlformats.org/officeDocument/2006/relationships/hyperlink" Target="mailto:joemalget@hotmail.com" TargetMode="External"/><Relationship Id="rId108" Type="http://schemas.openxmlformats.org/officeDocument/2006/relationships/hyperlink" Target="mailto:bechtold@pt.lu" TargetMode="External"/><Relationship Id="rId315" Type="http://schemas.openxmlformats.org/officeDocument/2006/relationships/vmlDrawing" Target="../drawings/vmlDrawing2.vml"/><Relationship Id="rId54" Type="http://schemas.openxmlformats.org/officeDocument/2006/relationships/hyperlink" Target="mailto:jorandidelot@gmail.com" TargetMode="External"/><Relationship Id="rId96" Type="http://schemas.openxmlformats.org/officeDocument/2006/relationships/hyperlink" Target="mailto:franciscox@live.fr" TargetMode="External"/><Relationship Id="rId161" Type="http://schemas.openxmlformats.org/officeDocument/2006/relationships/hyperlink" Target="mailto:maxiclesse@gmail.com" TargetMode="External"/><Relationship Id="rId217" Type="http://schemas.openxmlformats.org/officeDocument/2006/relationships/hyperlink" Target="mailto:veigacindy@gmail.com" TargetMode="External"/><Relationship Id="rId259" Type="http://schemas.openxmlformats.org/officeDocument/2006/relationships/hyperlink" Target="mailto:tom.wirth99@gmail.com" TargetMode="External"/><Relationship Id="rId23" Type="http://schemas.openxmlformats.org/officeDocument/2006/relationships/hyperlink" Target="mailto:asffranz@pt.lu" TargetMode="External"/><Relationship Id="rId119" Type="http://schemas.openxmlformats.org/officeDocument/2006/relationships/hyperlink" Target="mailto:gg@sommelier.lu" TargetMode="External"/><Relationship Id="rId270" Type="http://schemas.openxmlformats.org/officeDocument/2006/relationships/hyperlink" Target="mailto:nikolina.dilber@gmail.com" TargetMode="External"/><Relationship Id="rId65" Type="http://schemas.openxmlformats.org/officeDocument/2006/relationships/hyperlink" Target="mailto:franqueim@hotmail.com" TargetMode="External"/><Relationship Id="rId130" Type="http://schemas.openxmlformats.org/officeDocument/2006/relationships/hyperlink" Target="mailto:jose.rey@tangoservices.lu" TargetMode="External"/><Relationship Id="rId172" Type="http://schemas.openxmlformats.org/officeDocument/2006/relationships/hyperlink" Target="mailto:bob.czaika@outlouk.com" TargetMode="External"/><Relationship Id="rId193" Type="http://schemas.openxmlformats.org/officeDocument/2006/relationships/hyperlink" Target="mailto:jeanne.hurt@education.lu" TargetMode="External"/><Relationship Id="rId207" Type="http://schemas.openxmlformats.org/officeDocument/2006/relationships/hyperlink" Target="mailto:tommy.frising@gmail.lu" TargetMode="External"/><Relationship Id="rId228" Type="http://schemas.openxmlformats.org/officeDocument/2006/relationships/hyperlink" Target="mailto:catalinakill2015@hotmail.com" TargetMode="External"/><Relationship Id="rId249" Type="http://schemas.openxmlformats.org/officeDocument/2006/relationships/hyperlink" Target="mailto:ansay.luka@gmail.com" TargetMode="External"/><Relationship Id="rId13" Type="http://schemas.openxmlformats.org/officeDocument/2006/relationships/hyperlink" Target="mailto:Pol.ostrihon@me.com" TargetMode="External"/><Relationship Id="rId109" Type="http://schemas.openxmlformats.org/officeDocument/2006/relationships/hyperlink" Target="mailto:bechtold@pt.lu" TargetMode="External"/><Relationship Id="rId260" Type="http://schemas.openxmlformats.org/officeDocument/2006/relationships/hyperlink" Target="mailto:danielle.huss@education.lu" TargetMode="External"/><Relationship Id="rId281" Type="http://schemas.openxmlformats.org/officeDocument/2006/relationships/hyperlink" Target="mailto:simmolitor@yahoo.com" TargetMode="External"/><Relationship Id="rId316" Type="http://schemas.openxmlformats.org/officeDocument/2006/relationships/comments" Target="../comments2.xml"/><Relationship Id="rId34" Type="http://schemas.openxmlformats.org/officeDocument/2006/relationships/hyperlink" Target="mailto:njapotw@gmail.com" TargetMode="External"/><Relationship Id="rId55" Type="http://schemas.openxmlformats.org/officeDocument/2006/relationships/hyperlink" Target="mailto:charel.goedert@gmail.com" TargetMode="External"/><Relationship Id="rId76" Type="http://schemas.openxmlformats.org/officeDocument/2006/relationships/hyperlink" Target="mailto:jim.kops@education.lu" TargetMode="External"/><Relationship Id="rId97" Type="http://schemas.openxmlformats.org/officeDocument/2006/relationships/hyperlink" Target="mailto:joel.v.c.91@gmail.com" TargetMode="External"/><Relationship Id="rId120" Type="http://schemas.openxmlformats.org/officeDocument/2006/relationships/hyperlink" Target="mailto:gg@sommelier.lu" TargetMode="External"/><Relationship Id="rId141" Type="http://schemas.openxmlformats.org/officeDocument/2006/relationships/hyperlink" Target="mailto:wiltgen.nadine@gmail.com" TargetMode="External"/><Relationship Id="rId7" Type="http://schemas.openxmlformats.org/officeDocument/2006/relationships/hyperlink" Target="mailto:Thomas.Corre@arendt.com" TargetMode="External"/><Relationship Id="rId162" Type="http://schemas.openxmlformats.org/officeDocument/2006/relationships/hyperlink" Target="mailto:leches.max@hotmail.com" TargetMode="External"/><Relationship Id="rId183" Type="http://schemas.openxmlformats.org/officeDocument/2006/relationships/hyperlink" Target="mailto:lmetzler@pt.lu" TargetMode="External"/><Relationship Id="rId218" Type="http://schemas.openxmlformats.org/officeDocument/2006/relationships/hyperlink" Target="mailto:korak@pt.lu" TargetMode="External"/><Relationship Id="rId239" Type="http://schemas.openxmlformats.org/officeDocument/2006/relationships/hyperlink" Target="mailto:zeimesna@pt.lu" TargetMode="External"/><Relationship Id="rId250" Type="http://schemas.openxmlformats.org/officeDocument/2006/relationships/hyperlink" Target="mailto:karineansay@yahoo.com" TargetMode="External"/><Relationship Id="rId271" Type="http://schemas.openxmlformats.org/officeDocument/2006/relationships/hyperlink" Target="mailto:kratovics@gmail.com" TargetMode="External"/><Relationship Id="rId292" Type="http://schemas.openxmlformats.org/officeDocument/2006/relationships/hyperlink" Target="mailto:olivier.deneumoustier@gmail.com" TargetMode="External"/><Relationship Id="rId306" Type="http://schemas.openxmlformats.org/officeDocument/2006/relationships/hyperlink" Target="mailto:begicbelma@hotmail.com" TargetMode="External"/><Relationship Id="rId24" Type="http://schemas.openxmlformats.org/officeDocument/2006/relationships/hyperlink" Target="mailto:christianepommerell@hotmail.com" TargetMode="External"/><Relationship Id="rId45" Type="http://schemas.openxmlformats.org/officeDocument/2006/relationships/hyperlink" Target="mailto:yannick.streitz@gmail.com" TargetMode="External"/><Relationship Id="rId66" Type="http://schemas.openxmlformats.org/officeDocument/2006/relationships/hyperlink" Target="mailto:njapotw@gmail.com" TargetMode="External"/><Relationship Id="rId87" Type="http://schemas.openxmlformats.org/officeDocument/2006/relationships/hyperlink" Target="mailto:alexander2002rieder@gmail.com" TargetMode="External"/><Relationship Id="rId110" Type="http://schemas.openxmlformats.org/officeDocument/2006/relationships/hyperlink" Target="mailto:geraldine.birscheidt81@gmail.com" TargetMode="External"/><Relationship Id="rId131" Type="http://schemas.openxmlformats.org/officeDocument/2006/relationships/hyperlink" Target="mailto:lunacoco2001@hotmail.fr" TargetMode="External"/><Relationship Id="rId152" Type="http://schemas.openxmlformats.org/officeDocument/2006/relationships/hyperlink" Target="mailto:weisgerber.christophe@gmail.com" TargetMode="External"/><Relationship Id="rId173" Type="http://schemas.openxmlformats.org/officeDocument/2006/relationships/hyperlink" Target="mailto:Epps9charles@gmail.com" TargetMode="External"/><Relationship Id="rId194" Type="http://schemas.openxmlformats.org/officeDocument/2006/relationships/hyperlink" Target="mailto:BigLouis95@gmail.com" TargetMode="External"/><Relationship Id="rId208" Type="http://schemas.openxmlformats.org/officeDocument/2006/relationships/hyperlink" Target="mailto:ahmedmazloum@hotmail.com" TargetMode="External"/><Relationship Id="rId229" Type="http://schemas.openxmlformats.org/officeDocument/2006/relationships/hyperlink" Target="mailto:ferpe335@gmail.com" TargetMode="External"/><Relationship Id="rId240" Type="http://schemas.openxmlformats.org/officeDocument/2006/relationships/hyperlink" Target="mailto:pitzoller2006@gmail.com" TargetMode="External"/><Relationship Id="rId261" Type="http://schemas.openxmlformats.org/officeDocument/2006/relationships/hyperlink" Target="mailto:asffranz@pt.lu" TargetMode="External"/><Relationship Id="rId14" Type="http://schemas.openxmlformats.org/officeDocument/2006/relationships/hyperlink" Target="mailto:schwallnadia@yahoo.de" TargetMode="External"/><Relationship Id="rId35" Type="http://schemas.openxmlformats.org/officeDocument/2006/relationships/hyperlink" Target="mailto:houtmann@pt.lu" TargetMode="External"/><Relationship Id="rId56" Type="http://schemas.openxmlformats.org/officeDocument/2006/relationships/hyperlink" Target="mailto:enis.latic@gmail.com" TargetMode="External"/><Relationship Id="rId77" Type="http://schemas.openxmlformats.org/officeDocument/2006/relationships/hyperlink" Target="mailto:christian.kremer@armee.etat.lu" TargetMode="External"/><Relationship Id="rId100" Type="http://schemas.openxmlformats.org/officeDocument/2006/relationships/hyperlink" Target="mailto:weirich1@pt.lu" TargetMode="External"/><Relationship Id="rId282" Type="http://schemas.openxmlformats.org/officeDocument/2006/relationships/hyperlink" Target="mailto:joshbrosius@hotmail.com" TargetMode="External"/><Relationship Id="rId8" Type="http://schemas.openxmlformats.org/officeDocument/2006/relationships/hyperlink" Target="mailto:dutonjessica1992@hotmail.com" TargetMode="External"/><Relationship Id="rId98" Type="http://schemas.openxmlformats.org/officeDocument/2006/relationships/hyperlink" Target="mailto:weirich1@pt.lu" TargetMode="External"/><Relationship Id="rId121" Type="http://schemas.openxmlformats.org/officeDocument/2006/relationships/hyperlink" Target="mailto:berinaa537@icloud.com" TargetMode="External"/><Relationship Id="rId142" Type="http://schemas.openxmlformats.org/officeDocument/2006/relationships/hyperlink" Target="mailto:bela.dasilva@outlook.fr" TargetMode="External"/><Relationship Id="rId163" Type="http://schemas.openxmlformats.org/officeDocument/2006/relationships/hyperlink" Target="mailto:henoklee@hotmail.com" TargetMode="External"/><Relationship Id="rId184" Type="http://schemas.openxmlformats.org/officeDocument/2006/relationships/hyperlink" Target="mailto:tuchkin@hotmail.fr" TargetMode="External"/><Relationship Id="rId219" Type="http://schemas.openxmlformats.org/officeDocument/2006/relationships/hyperlink" Target="mailto:hecksally@yahoo.de" TargetMode="External"/><Relationship Id="rId230" Type="http://schemas.openxmlformats.org/officeDocument/2006/relationships/hyperlink" Target="mailto:christian.kremer@armee.etat.lu" TargetMode="External"/><Relationship Id="rId251" Type="http://schemas.openxmlformats.org/officeDocument/2006/relationships/hyperlink" Target="mailto:rebecca.dohm@icloud.com" TargetMode="External"/><Relationship Id="rId25" Type="http://schemas.openxmlformats.org/officeDocument/2006/relationships/hyperlink" Target="mailto:asffranz@pt.lu" TargetMode="External"/><Relationship Id="rId46" Type="http://schemas.openxmlformats.org/officeDocument/2006/relationships/hyperlink" Target="mailto:lilianacruz@hotmail.fr" TargetMode="External"/><Relationship Id="rId67" Type="http://schemas.openxmlformats.org/officeDocument/2006/relationships/hyperlink" Target="mailto:line@didelot.org" TargetMode="External"/><Relationship Id="rId272" Type="http://schemas.openxmlformats.org/officeDocument/2006/relationships/hyperlink" Target="mailto:rnicole@pt.lu" TargetMode="External"/><Relationship Id="rId293" Type="http://schemas.openxmlformats.org/officeDocument/2006/relationships/hyperlink" Target="mailto:faber_hcb@yahoo.de" TargetMode="External"/><Relationship Id="rId307" Type="http://schemas.openxmlformats.org/officeDocument/2006/relationships/hyperlink" Target="mailto:steenfamily1@outlook.com" TargetMode="External"/><Relationship Id="rId88" Type="http://schemas.openxmlformats.org/officeDocument/2006/relationships/hyperlink" Target="mailto:aerieder@yahoo.com" TargetMode="External"/><Relationship Id="rId111" Type="http://schemas.openxmlformats.org/officeDocument/2006/relationships/hyperlink" Target="mailto:bemko.moj@gmail.com" TargetMode="External"/><Relationship Id="rId132" Type="http://schemas.openxmlformats.org/officeDocument/2006/relationships/hyperlink" Target="mailto:paulo82@tango.lu" TargetMode="External"/><Relationship Id="rId153" Type="http://schemas.openxmlformats.org/officeDocument/2006/relationships/hyperlink" Target="mailto:pwissen@pt.lu" TargetMode="External"/><Relationship Id="rId174" Type="http://schemas.openxmlformats.org/officeDocument/2006/relationships/hyperlink" Target="mailto:PleJu416@school.com" TargetMode="External"/><Relationship Id="rId195" Type="http://schemas.openxmlformats.org/officeDocument/2006/relationships/hyperlink" Target="mailto:hugokretzschmar@gmail.com" TargetMode="External"/><Relationship Id="rId209" Type="http://schemas.openxmlformats.org/officeDocument/2006/relationships/hyperlink" Target="mailto:ahmedmazloum@hotmail.com" TargetMode="External"/><Relationship Id="rId220" Type="http://schemas.openxmlformats.org/officeDocument/2006/relationships/hyperlink" Target="mailto:b.ewald@hotmail.de" TargetMode="External"/><Relationship Id="rId241" Type="http://schemas.openxmlformats.org/officeDocument/2006/relationships/hyperlink" Target="mailto:dana.albergo@icloud.com" TargetMode="External"/><Relationship Id="rId15" Type="http://schemas.openxmlformats.org/officeDocument/2006/relationships/hyperlink" Target="mailto:philbudai@gmail.com" TargetMode="External"/><Relationship Id="rId36" Type="http://schemas.openxmlformats.org/officeDocument/2006/relationships/hyperlink" Target="mailto:schniggedom88@hotmail.com" TargetMode="External"/><Relationship Id="rId57" Type="http://schemas.openxmlformats.org/officeDocument/2006/relationships/hyperlink" Target="mailto:arielaradoncic@hotmail.com" TargetMode="External"/><Relationship Id="rId262" Type="http://schemas.openxmlformats.org/officeDocument/2006/relationships/hyperlink" Target="mailto:tunwellens33@gmail.com" TargetMode="External"/><Relationship Id="rId283" Type="http://schemas.openxmlformats.org/officeDocument/2006/relationships/hyperlink" Target="mailto:claudiabalsinha@gmail.com" TargetMode="External"/><Relationship Id="rId78" Type="http://schemas.openxmlformats.org/officeDocument/2006/relationships/hyperlink" Target="mailto:joel.marques.97@icloud.com" TargetMode="External"/><Relationship Id="rId99" Type="http://schemas.openxmlformats.org/officeDocument/2006/relationships/hyperlink" Target="mailto:weirich1@pt.lu" TargetMode="External"/><Relationship Id="rId101" Type="http://schemas.openxmlformats.org/officeDocument/2006/relationships/hyperlink" Target="mailto:weirich1@pt.lu" TargetMode="External"/><Relationship Id="rId122" Type="http://schemas.openxmlformats.org/officeDocument/2006/relationships/hyperlink" Target="mailto:kos.isaakidis@gmail.com" TargetMode="External"/><Relationship Id="rId143" Type="http://schemas.openxmlformats.org/officeDocument/2006/relationships/hyperlink" Target="mailto:bela.dasilva@outlook.fr" TargetMode="External"/><Relationship Id="rId164" Type="http://schemas.openxmlformats.org/officeDocument/2006/relationships/hyperlink" Target="mailto:kurtisi96@hotmail.fr" TargetMode="External"/><Relationship Id="rId185" Type="http://schemas.openxmlformats.org/officeDocument/2006/relationships/hyperlink" Target="mailto:carlo.bisenius@icloud.com" TargetMode="External"/><Relationship Id="rId9" Type="http://schemas.openxmlformats.org/officeDocument/2006/relationships/hyperlink" Target="mailto:rayquaza0078@gmail.com" TargetMode="External"/><Relationship Id="rId210" Type="http://schemas.openxmlformats.org/officeDocument/2006/relationships/hyperlink" Target="mailto:ahmedmazloum@hotmail.com" TargetMode="External"/><Relationship Id="rId26" Type="http://schemas.openxmlformats.org/officeDocument/2006/relationships/hyperlink" Target="mailto:jswiader@poczta.onet.pl" TargetMode="External"/><Relationship Id="rId231" Type="http://schemas.openxmlformats.org/officeDocument/2006/relationships/hyperlink" Target="mailto:jetti.rossy@education.lu" TargetMode="External"/><Relationship Id="rId252" Type="http://schemas.openxmlformats.org/officeDocument/2006/relationships/hyperlink" Target="mailto:lucamuller888@icloud.com" TargetMode="External"/><Relationship Id="rId273" Type="http://schemas.openxmlformats.org/officeDocument/2006/relationships/hyperlink" Target="mailto:rollinger@houseconcept.lu" TargetMode="External"/><Relationship Id="rId294" Type="http://schemas.openxmlformats.org/officeDocument/2006/relationships/hyperlink" Target="mailto:marialfall@icloud.com" TargetMode="External"/><Relationship Id="rId308" Type="http://schemas.openxmlformats.org/officeDocument/2006/relationships/hyperlink" Target="mailto:pwissen@pt.lu" TargetMode="External"/><Relationship Id="rId47" Type="http://schemas.openxmlformats.org/officeDocument/2006/relationships/hyperlink" Target="mailto:carine.bisenius@ctw-computer.de" TargetMode="External"/><Relationship Id="rId68" Type="http://schemas.openxmlformats.org/officeDocument/2006/relationships/hyperlink" Target="mailto:eppsdan@gmail.com" TargetMode="External"/><Relationship Id="rId89" Type="http://schemas.openxmlformats.org/officeDocument/2006/relationships/hyperlink" Target="mailto:hrieder@2sales.eu" TargetMode="External"/><Relationship Id="rId112" Type="http://schemas.openxmlformats.org/officeDocument/2006/relationships/hyperlink" Target="mailto:liz_brosius@hotmail.de" TargetMode="External"/><Relationship Id="rId133" Type="http://schemas.openxmlformats.org/officeDocument/2006/relationships/hyperlink" Target="mailto:daisy.scholler-87@hotmail.com" TargetMode="External"/><Relationship Id="rId154" Type="http://schemas.openxmlformats.org/officeDocument/2006/relationships/hyperlink" Target="mailto:cynthialingen1989@hotmail.com" TargetMode="External"/><Relationship Id="rId175" Type="http://schemas.openxmlformats.org/officeDocument/2006/relationships/hyperlink" Target="mailto:angelrod@pt.lu" TargetMode="External"/><Relationship Id="rId196" Type="http://schemas.openxmlformats.org/officeDocument/2006/relationships/hyperlink" Target="mailto:sharif.eldeib@gmail.com" TargetMode="External"/><Relationship Id="rId200" Type="http://schemas.openxmlformats.org/officeDocument/2006/relationships/hyperlink" Target="mailto:benoit.krier@icloud.com" TargetMode="External"/><Relationship Id="rId16" Type="http://schemas.openxmlformats.org/officeDocument/2006/relationships/hyperlink" Target="mailto:joemalget@hotmail.com" TargetMode="External"/><Relationship Id="rId221" Type="http://schemas.openxmlformats.org/officeDocument/2006/relationships/hyperlink" Target="mailto:riad.shabanaj@gmail.com" TargetMode="External"/><Relationship Id="rId242" Type="http://schemas.openxmlformats.org/officeDocument/2006/relationships/hyperlink" Target="mailto:drouet.dana@yahoo.com" TargetMode="External"/><Relationship Id="rId263" Type="http://schemas.openxmlformats.org/officeDocument/2006/relationships/hyperlink" Target="mailto:ricky1387@hotmail.de" TargetMode="External"/><Relationship Id="rId284" Type="http://schemas.openxmlformats.org/officeDocument/2006/relationships/hyperlink" Target="mailto:manuleucht@outlook.de" TargetMode="External"/><Relationship Id="rId37" Type="http://schemas.openxmlformats.org/officeDocument/2006/relationships/hyperlink" Target="mailto:lmarnach@pt.lu" TargetMode="External"/><Relationship Id="rId58" Type="http://schemas.openxmlformats.org/officeDocument/2006/relationships/hyperlink" Target="mailto:alexpinselschneider@gmail.com" TargetMode="External"/><Relationship Id="rId79" Type="http://schemas.openxmlformats.org/officeDocument/2006/relationships/hyperlink" Target="mailto:rmmf24@gmail.com" TargetMode="External"/><Relationship Id="rId102" Type="http://schemas.openxmlformats.org/officeDocument/2006/relationships/hyperlink" Target="mailto:riviere.jeffrey@gmail.com" TargetMode="External"/><Relationship Id="rId123" Type="http://schemas.openxmlformats.org/officeDocument/2006/relationships/hyperlink" Target="mailto:stergios.isaakidis@gmail.com" TargetMode="External"/><Relationship Id="rId144" Type="http://schemas.openxmlformats.org/officeDocument/2006/relationships/hyperlink" Target="mailto:oikonomopoulou.maria@gmail.com" TargetMode="External"/><Relationship Id="rId90" Type="http://schemas.openxmlformats.org/officeDocument/2006/relationships/hyperlink" Target="mailto:rolandschneider@tango.lu" TargetMode="External"/><Relationship Id="rId165" Type="http://schemas.openxmlformats.org/officeDocument/2006/relationships/hyperlink" Target="mailto:kenan.99@live.com" TargetMode="External"/><Relationship Id="rId186" Type="http://schemas.openxmlformats.org/officeDocument/2006/relationships/hyperlink" Target="mailto:lynn_micky1994@hotmail.com" TargetMode="External"/><Relationship Id="rId211" Type="http://schemas.openxmlformats.org/officeDocument/2006/relationships/hyperlink" Target="mailto:dilbertomi03@gmail.com" TargetMode="External"/><Relationship Id="rId232" Type="http://schemas.openxmlformats.org/officeDocument/2006/relationships/hyperlink" Target="mailto:nopatz@hotmail.com" TargetMode="External"/><Relationship Id="rId253" Type="http://schemas.openxmlformats.org/officeDocument/2006/relationships/hyperlink" Target="mailto:isabelle.weyler@gmail.com" TargetMode="External"/><Relationship Id="rId274" Type="http://schemas.openxmlformats.org/officeDocument/2006/relationships/hyperlink" Target="mailto:schneider.cee@outlook.de" TargetMode="External"/><Relationship Id="rId295" Type="http://schemas.openxmlformats.org/officeDocument/2006/relationships/hyperlink" Target="mailto:skief@pt.lu" TargetMode="External"/><Relationship Id="rId309" Type="http://schemas.openxmlformats.org/officeDocument/2006/relationships/hyperlink" Target="mailto:joshbrosius@hotmail.com" TargetMode="External"/><Relationship Id="rId27" Type="http://schemas.openxmlformats.org/officeDocument/2006/relationships/hyperlink" Target="mailto:jswiader@poczta.onet.pl" TargetMode="External"/><Relationship Id="rId48" Type="http://schemas.openxmlformats.org/officeDocument/2006/relationships/hyperlink" Target="mailto:lynn_micky1994@hotmail.com" TargetMode="External"/><Relationship Id="rId69" Type="http://schemas.openxmlformats.org/officeDocument/2006/relationships/hyperlink" Target="mailto:kjustin@pt.lu" TargetMode="External"/><Relationship Id="rId113" Type="http://schemas.openxmlformats.org/officeDocument/2006/relationships/hyperlink" Target="mailto:franciscocacoba.arch@gmail.com" TargetMode="External"/><Relationship Id="rId134" Type="http://schemas.openxmlformats.org/officeDocument/2006/relationships/hyperlink" Target="mailto:SetCa900@school.lu" TargetMode="External"/><Relationship Id="rId80" Type="http://schemas.openxmlformats.org/officeDocument/2006/relationships/hyperlink" Target="mailto:daniel.freitas92@hotmail.com" TargetMode="External"/><Relationship Id="rId155" Type="http://schemas.openxmlformats.org/officeDocument/2006/relationships/hyperlink" Target="mailto:jasmine.herr@yahoo.com" TargetMode="External"/><Relationship Id="rId176" Type="http://schemas.openxmlformats.org/officeDocument/2006/relationships/hyperlink" Target="mailto:pitscheer@gmail.com" TargetMode="External"/><Relationship Id="rId197" Type="http://schemas.openxmlformats.org/officeDocument/2006/relationships/hyperlink" Target="mailto:starken008@gmail.com" TargetMode="External"/><Relationship Id="rId201" Type="http://schemas.openxmlformats.org/officeDocument/2006/relationships/hyperlink" Target="mailto:chowwing@internet.lu" TargetMode="External"/><Relationship Id="rId222" Type="http://schemas.openxmlformats.org/officeDocument/2006/relationships/hyperlink" Target="mailto:sabina.licina@gmail.com" TargetMode="External"/><Relationship Id="rId243" Type="http://schemas.openxmlformats.org/officeDocument/2006/relationships/hyperlink" Target="mailto:isabelle.faber@hotmail.com" TargetMode="External"/><Relationship Id="rId264" Type="http://schemas.openxmlformats.org/officeDocument/2006/relationships/hyperlink" Target="mailto:bughin.hugo2000@gmail.com" TargetMode="External"/><Relationship Id="rId285" Type="http://schemas.openxmlformats.org/officeDocument/2006/relationships/hyperlink" Target="mailto:wassimayari16@gmail.com" TargetMode="External"/><Relationship Id="rId17" Type="http://schemas.openxmlformats.org/officeDocument/2006/relationships/hyperlink" Target="mailto:eric96.04@hotmail.com" TargetMode="External"/><Relationship Id="rId38" Type="http://schemas.openxmlformats.org/officeDocument/2006/relationships/hyperlink" Target="mailto:lmarnach@pt.lu" TargetMode="External"/><Relationship Id="rId59" Type="http://schemas.openxmlformats.org/officeDocument/2006/relationships/hyperlink" Target="mailto:taciluka@live.fr" TargetMode="External"/><Relationship Id="rId103" Type="http://schemas.openxmlformats.org/officeDocument/2006/relationships/hyperlink" Target="mailto:Philp.mifsud@gmail.com" TargetMode="External"/><Relationship Id="rId124" Type="http://schemas.openxmlformats.org/officeDocument/2006/relationships/hyperlink" Target="mailto:lunacoco2001@hotmail.fr" TargetMode="External"/><Relationship Id="rId310" Type="http://schemas.openxmlformats.org/officeDocument/2006/relationships/hyperlink" Target="mailto:joshbrosius@hotmail.com" TargetMode="External"/><Relationship Id="rId70" Type="http://schemas.openxmlformats.org/officeDocument/2006/relationships/hyperlink" Target="mailto:galmiche@tango.lu" TargetMode="External"/><Relationship Id="rId91" Type="http://schemas.openxmlformats.org/officeDocument/2006/relationships/hyperlink" Target="mailto:anne.servais92@gmail.com" TargetMode="External"/><Relationship Id="rId145" Type="http://schemas.openxmlformats.org/officeDocument/2006/relationships/hyperlink" Target="mailto:marjoriepautz@yahoo.fr" TargetMode="External"/><Relationship Id="rId166" Type="http://schemas.openxmlformats.org/officeDocument/2006/relationships/hyperlink" Target="mailto:lorisr@pt.lu" TargetMode="External"/><Relationship Id="rId187" Type="http://schemas.openxmlformats.org/officeDocument/2006/relationships/hyperlink" Target="mailto:sachaandre@gmx.de" TargetMode="External"/><Relationship Id="rId1" Type="http://schemas.openxmlformats.org/officeDocument/2006/relationships/hyperlink" Target="mailto:d.binck@hotmail.com" TargetMode="External"/><Relationship Id="rId212" Type="http://schemas.openxmlformats.org/officeDocument/2006/relationships/hyperlink" Target="mailto:catalinakill2015@hotmail.com" TargetMode="External"/><Relationship Id="rId233" Type="http://schemas.openxmlformats.org/officeDocument/2006/relationships/hyperlink" Target="mailto:veigacindy@gmail.com" TargetMode="External"/><Relationship Id="rId254" Type="http://schemas.openxmlformats.org/officeDocument/2006/relationships/hyperlink" Target="mailto:isabelle.weyler@gmail.com" TargetMode="External"/><Relationship Id="rId28" Type="http://schemas.openxmlformats.org/officeDocument/2006/relationships/hyperlink" Target="mailto:jswiader@poczta.onet.pl" TargetMode="External"/><Relationship Id="rId49" Type="http://schemas.openxmlformats.org/officeDocument/2006/relationships/hyperlink" Target="mailto:rnicole@pt.lu" TargetMode="External"/><Relationship Id="rId114" Type="http://schemas.openxmlformats.org/officeDocument/2006/relationships/hyperlink" Target="mailto:nikolina.dilber@gmail.com" TargetMode="External"/><Relationship Id="rId275" Type="http://schemas.openxmlformats.org/officeDocument/2006/relationships/hyperlink" Target="mailto:sylviespiewak@pt.lu" TargetMode="External"/><Relationship Id="rId296" Type="http://schemas.openxmlformats.org/officeDocument/2006/relationships/hyperlink" Target="mailto:valentin_koval@hotmail.com" TargetMode="External"/><Relationship Id="rId300" Type="http://schemas.openxmlformats.org/officeDocument/2006/relationships/hyperlink" Target="mailto:martinscnf@gmail.com" TargetMode="External"/><Relationship Id="rId60" Type="http://schemas.openxmlformats.org/officeDocument/2006/relationships/hyperlink" Target="mailto:bas.vanbeest@hotmail.com" TargetMode="External"/><Relationship Id="rId81" Type="http://schemas.openxmlformats.org/officeDocument/2006/relationships/hyperlink" Target="mailto:petz67@pt.lu" TargetMode="External"/><Relationship Id="rId135" Type="http://schemas.openxmlformats.org/officeDocument/2006/relationships/hyperlink" Target="mailto:pstreitz@pt.lu" TargetMode="External"/><Relationship Id="rId156" Type="http://schemas.openxmlformats.org/officeDocument/2006/relationships/hyperlink" Target="mailto:karje95@gmail.com" TargetMode="External"/><Relationship Id="rId177" Type="http://schemas.openxmlformats.org/officeDocument/2006/relationships/hyperlink" Target="mailto:miran028@hotmail.com" TargetMode="External"/><Relationship Id="rId198" Type="http://schemas.openxmlformats.org/officeDocument/2006/relationships/hyperlink" Target="mailto:philipbjerg0308@gmail.com" TargetMode="External"/><Relationship Id="rId202" Type="http://schemas.openxmlformats.org/officeDocument/2006/relationships/hyperlink" Target="mailto:chowingo@gmail.com" TargetMode="External"/><Relationship Id="rId223" Type="http://schemas.openxmlformats.org/officeDocument/2006/relationships/hyperlink" Target="mailto:malion.ansay@gmail.com" TargetMode="External"/><Relationship Id="rId244" Type="http://schemas.openxmlformats.org/officeDocument/2006/relationships/hyperlink" Target="mailto:nascimentomollie@gmail.com" TargetMode="External"/><Relationship Id="rId18" Type="http://schemas.openxmlformats.org/officeDocument/2006/relationships/hyperlink" Target="mailto:peter.ostrihon@outlook.com" TargetMode="External"/><Relationship Id="rId39" Type="http://schemas.openxmlformats.org/officeDocument/2006/relationships/hyperlink" Target="mailto:filipefraganunes@gmail.com" TargetMode="External"/><Relationship Id="rId265" Type="http://schemas.openxmlformats.org/officeDocument/2006/relationships/hyperlink" Target="mailto:claude_roeder@hotmail.com" TargetMode="External"/><Relationship Id="rId286" Type="http://schemas.openxmlformats.org/officeDocument/2006/relationships/hyperlink" Target="mailto:nastasia.rippinger@kannerduerf.lu" TargetMode="External"/><Relationship Id="rId50" Type="http://schemas.openxmlformats.org/officeDocument/2006/relationships/hyperlink" Target="mailto:crisbrasil1970@hotmail.com" TargetMode="External"/><Relationship Id="rId104" Type="http://schemas.openxmlformats.org/officeDocument/2006/relationships/hyperlink" Target="mailto:alexandrarvai@yahoo.de" TargetMode="External"/><Relationship Id="rId125" Type="http://schemas.openxmlformats.org/officeDocument/2006/relationships/hyperlink" Target="mailto:danielelorang@gmail.com" TargetMode="External"/><Relationship Id="rId146" Type="http://schemas.openxmlformats.org/officeDocument/2006/relationships/hyperlink" Target="mailto:astrid.schroeder@education.lu" TargetMode="External"/><Relationship Id="rId167" Type="http://schemas.openxmlformats.org/officeDocument/2006/relationships/hyperlink" Target="mailto:eyschen.malou@chl.lu" TargetMode="External"/><Relationship Id="rId188" Type="http://schemas.openxmlformats.org/officeDocument/2006/relationships/hyperlink" Target="mailto:sachaandre@gmx.de" TargetMode="External"/><Relationship Id="rId311" Type="http://schemas.openxmlformats.org/officeDocument/2006/relationships/hyperlink" Target="mailto:natacha.santin@gmail.com" TargetMode="External"/><Relationship Id="rId71" Type="http://schemas.openxmlformats.org/officeDocument/2006/relationships/hyperlink" Target="mailto:chrigaul@pt.lu" TargetMode="External"/><Relationship Id="rId92" Type="http://schemas.openxmlformats.org/officeDocument/2006/relationships/hyperlink" Target="mailto:rubenliberdade14@gmail.com" TargetMode="External"/><Relationship Id="rId213" Type="http://schemas.openxmlformats.org/officeDocument/2006/relationships/hyperlink" Target="mailto:elenaselariu1234@gmail.com" TargetMode="External"/><Relationship Id="rId234" Type="http://schemas.openxmlformats.org/officeDocument/2006/relationships/hyperlink" Target="mailto:kimpetti@pt.lu" TargetMode="External"/><Relationship Id="rId2" Type="http://schemas.openxmlformats.org/officeDocument/2006/relationships/hyperlink" Target="mailto:bubiblei@gmail.com" TargetMode="External"/><Relationship Id="rId29" Type="http://schemas.openxmlformats.org/officeDocument/2006/relationships/hyperlink" Target="mailto:ncomes@hotmail.de" TargetMode="External"/><Relationship Id="rId255" Type="http://schemas.openxmlformats.org/officeDocument/2006/relationships/hyperlink" Target="mailto:isabelle.weyler@gmail.com" TargetMode="External"/><Relationship Id="rId276" Type="http://schemas.openxmlformats.org/officeDocument/2006/relationships/hyperlink" Target="mailto:fr9.1998@gmail.com" TargetMode="External"/><Relationship Id="rId297" Type="http://schemas.openxmlformats.org/officeDocument/2006/relationships/hyperlink" Target="mailto:christian.kremer@armee.etat.lu" TargetMode="External"/><Relationship Id="rId40" Type="http://schemas.openxmlformats.org/officeDocument/2006/relationships/hyperlink" Target="mailto:lizjo@pt.lu" TargetMode="External"/><Relationship Id="rId115" Type="http://schemas.openxmlformats.org/officeDocument/2006/relationships/hyperlink" Target="mailto:clafri@internet.lu" TargetMode="External"/><Relationship Id="rId136" Type="http://schemas.openxmlformats.org/officeDocument/2006/relationships/hyperlink" Target="mailto:alberte.poulsen@hotmail.com" TargetMode="External"/><Relationship Id="rId157" Type="http://schemas.openxmlformats.org/officeDocument/2006/relationships/hyperlink" Target="mailto:kimpetti@pt.lu" TargetMode="External"/><Relationship Id="rId178" Type="http://schemas.openxmlformats.org/officeDocument/2006/relationships/hyperlink" Target="mailto:lisaschi@hotmail.com" TargetMode="External"/><Relationship Id="rId301" Type="http://schemas.openxmlformats.org/officeDocument/2006/relationships/hyperlink" Target="mailto:hugokretzschmar@gmail.com" TargetMode="External"/><Relationship Id="rId61" Type="http://schemas.openxmlformats.org/officeDocument/2006/relationships/hyperlink" Target="mailto:jobau@pt.lu" TargetMode="External"/><Relationship Id="rId82" Type="http://schemas.openxmlformats.org/officeDocument/2006/relationships/hyperlink" Target="mailto:nascimentomollie@gmail.com" TargetMode="External"/><Relationship Id="rId199" Type="http://schemas.openxmlformats.org/officeDocument/2006/relationships/hyperlink" Target="mailto:jaimytheisen@gmail.com" TargetMode="External"/><Relationship Id="rId203" Type="http://schemas.openxmlformats.org/officeDocument/2006/relationships/hyperlink" Target="mailto:gra.carella@hotmail.com" TargetMode="External"/><Relationship Id="rId19" Type="http://schemas.openxmlformats.org/officeDocument/2006/relationships/hyperlink" Target="mailto:ramfi252@gmail.com" TargetMode="External"/><Relationship Id="rId224" Type="http://schemas.openxmlformats.org/officeDocument/2006/relationships/hyperlink" Target="mailto:carole.christophebonavia@gmail.com" TargetMode="External"/><Relationship Id="rId245" Type="http://schemas.openxmlformats.org/officeDocument/2006/relationships/hyperlink" Target="mailto:marie.nau@web.de" TargetMode="External"/><Relationship Id="rId266" Type="http://schemas.openxmlformats.org/officeDocument/2006/relationships/hyperlink" Target="mailto:bas.vanbeest@hotmail.com" TargetMode="External"/><Relationship Id="rId287" Type="http://schemas.openxmlformats.org/officeDocument/2006/relationships/hyperlink" Target="mailto:joshbrosius@hotmail.com" TargetMode="External"/><Relationship Id="rId30" Type="http://schemas.openxmlformats.org/officeDocument/2006/relationships/hyperlink" Target="mailto:jettis@pt.lu" TargetMode="External"/><Relationship Id="rId105" Type="http://schemas.openxmlformats.org/officeDocument/2006/relationships/hyperlink" Target="mailto:arvai@pt.lu" TargetMode="External"/><Relationship Id="rId126" Type="http://schemas.openxmlformats.org/officeDocument/2006/relationships/hyperlink" Target="mailto:nino.perovic@pt.lu" TargetMode="External"/><Relationship Id="rId147" Type="http://schemas.openxmlformats.org/officeDocument/2006/relationships/hyperlink" Target="mailto:breser.claude@hotmail.com" TargetMode="External"/><Relationship Id="rId168" Type="http://schemas.openxmlformats.org/officeDocument/2006/relationships/hyperlink" Target="mailto:jilleydt@pt.lu" TargetMode="External"/><Relationship Id="rId312" Type="http://schemas.openxmlformats.org/officeDocument/2006/relationships/hyperlink" Target="mailto:heta74@yahoo.de" TargetMode="External"/><Relationship Id="rId51" Type="http://schemas.openxmlformats.org/officeDocument/2006/relationships/hyperlink" Target="mailto:chrigaul@pt.lu" TargetMode="External"/><Relationship Id="rId72" Type="http://schemas.openxmlformats.org/officeDocument/2006/relationships/hyperlink" Target="mailto:georges.goedert@oiko.lu" TargetMode="External"/><Relationship Id="rId93" Type="http://schemas.openxmlformats.org/officeDocument/2006/relationships/hyperlink" Target="mailto:nicole.spartz@gmail.com" TargetMode="External"/><Relationship Id="rId189" Type="http://schemas.openxmlformats.org/officeDocument/2006/relationships/hyperlink" Target="mailto:martinscnf@gmail.com" TargetMode="External"/><Relationship Id="rId3" Type="http://schemas.openxmlformats.org/officeDocument/2006/relationships/hyperlink" Target="mailto:dragaonegro97@hotmail.com" TargetMode="External"/><Relationship Id="rId214" Type="http://schemas.openxmlformats.org/officeDocument/2006/relationships/hyperlink" Target="mailto:hubertyc@pt.lu" TargetMode="External"/><Relationship Id="rId235" Type="http://schemas.openxmlformats.org/officeDocument/2006/relationships/hyperlink" Target="mailto:charelsa@internet.lu" TargetMode="External"/><Relationship Id="rId256" Type="http://schemas.openxmlformats.org/officeDocument/2006/relationships/hyperlink" Target="mailto:jorgeparis22@gmail.com" TargetMode="External"/><Relationship Id="rId277" Type="http://schemas.openxmlformats.org/officeDocument/2006/relationships/hyperlink" Target="mailto:jangrischette@gmail.com" TargetMode="External"/><Relationship Id="rId298" Type="http://schemas.openxmlformats.org/officeDocument/2006/relationships/hyperlink" Target="mailto:hleucht@gmail.com" TargetMode="External"/><Relationship Id="rId116" Type="http://schemas.openxmlformats.org/officeDocument/2006/relationships/hyperlink" Target="mailto:karlagoergen@gmail.com" TargetMode="External"/><Relationship Id="rId137" Type="http://schemas.openxmlformats.org/officeDocument/2006/relationships/hyperlink" Target="mailto:filippa.poulsen@live.com" TargetMode="External"/><Relationship Id="rId158" Type="http://schemas.openxmlformats.org/officeDocument/2006/relationships/hyperlink" Target="mailto:hervepersin@gmail.com" TargetMode="External"/><Relationship Id="rId302" Type="http://schemas.openxmlformats.org/officeDocument/2006/relationships/hyperlink" Target="mailto:claukies@hotmail.com" TargetMode="External"/><Relationship Id="rId20" Type="http://schemas.openxmlformats.org/officeDocument/2006/relationships/hyperlink" Target="mailto:lilianacruz@hotmail.fr" TargetMode="External"/><Relationship Id="rId41" Type="http://schemas.openxmlformats.org/officeDocument/2006/relationships/hyperlink" Target="mailto:mr_recht929@hotmail.com" TargetMode="External"/><Relationship Id="rId62" Type="http://schemas.openxmlformats.org/officeDocument/2006/relationships/hyperlink" Target="mailto:chrigaul@pt.lu" TargetMode="External"/><Relationship Id="rId83" Type="http://schemas.openxmlformats.org/officeDocument/2006/relationships/hyperlink" Target="mailto:elisabeth.oliveira99@outlook.com" TargetMode="External"/><Relationship Id="rId179" Type="http://schemas.openxmlformats.org/officeDocument/2006/relationships/hyperlink" Target="mailto:ral.strainchamps@gmail.com" TargetMode="External"/><Relationship Id="rId190" Type="http://schemas.openxmlformats.org/officeDocument/2006/relationships/hyperlink" Target="mailto:martinscnf@gmail.com" TargetMode="External"/><Relationship Id="rId204" Type="http://schemas.openxmlformats.org/officeDocument/2006/relationships/hyperlink" Target="mailto:genglerserge@pt.lu" TargetMode="External"/><Relationship Id="rId225" Type="http://schemas.openxmlformats.org/officeDocument/2006/relationships/hyperlink" Target="mailto:r.bonavia69@gmail.com" TargetMode="External"/><Relationship Id="rId246" Type="http://schemas.openxmlformats.org/officeDocument/2006/relationships/hyperlink" Target="mailto:MajZo449@school.lu" TargetMode="External"/><Relationship Id="rId267" Type="http://schemas.openxmlformats.org/officeDocument/2006/relationships/hyperlink" Target="mailto:mandytrt87_bill@hotmail.com" TargetMode="External"/><Relationship Id="rId288" Type="http://schemas.openxmlformats.org/officeDocument/2006/relationships/hyperlink" Target="mailto:lucabuch@hotmail.fr" TargetMode="External"/><Relationship Id="rId106" Type="http://schemas.openxmlformats.org/officeDocument/2006/relationships/hyperlink" Target="mailto:bc_arvai@yahoo.de" TargetMode="External"/><Relationship Id="rId127" Type="http://schemas.openxmlformats.org/officeDocument/2006/relationships/hyperlink" Target="mailto:v8pascal@yahoo.com" TargetMode="External"/><Relationship Id="rId313" Type="http://schemas.openxmlformats.org/officeDocument/2006/relationships/hyperlink" Target="mailto:zanitzer@pt.lu" TargetMode="External"/><Relationship Id="rId10" Type="http://schemas.openxmlformats.org/officeDocument/2006/relationships/hyperlink" Target="mailto:jungblut_pierre@yahoo.de" TargetMode="External"/><Relationship Id="rId31" Type="http://schemas.openxmlformats.org/officeDocument/2006/relationships/hyperlink" Target="mailto:lucabuch@hotmail.fr" TargetMode="External"/><Relationship Id="rId52" Type="http://schemas.openxmlformats.org/officeDocument/2006/relationships/hyperlink" Target="mailto:colas-yannick@wanadoo.fr" TargetMode="External"/><Relationship Id="rId73" Type="http://schemas.openxmlformats.org/officeDocument/2006/relationships/hyperlink" Target="mailto:groosr@pt.lu" TargetMode="External"/><Relationship Id="rId94" Type="http://schemas.openxmlformats.org/officeDocument/2006/relationships/hyperlink" Target="mailto:eporsche@pt.lu" TargetMode="External"/><Relationship Id="rId148" Type="http://schemas.openxmlformats.org/officeDocument/2006/relationships/hyperlink" Target="mailto:matthiashertz@web.de" TargetMode="External"/><Relationship Id="rId169" Type="http://schemas.openxmlformats.org/officeDocument/2006/relationships/hyperlink" Target="mailto:thommes@pt.lu" TargetMode="External"/><Relationship Id="rId4" Type="http://schemas.openxmlformats.org/officeDocument/2006/relationships/hyperlink" Target="mailto:lorangclaudine@yahoo.com" TargetMode="External"/><Relationship Id="rId180" Type="http://schemas.openxmlformats.org/officeDocument/2006/relationships/hyperlink" Target="mailto:turpel82@gmail.com" TargetMode="External"/><Relationship Id="rId215" Type="http://schemas.openxmlformats.org/officeDocument/2006/relationships/hyperlink" Target="mailto:amer_karameha@outlook.com" TargetMode="External"/><Relationship Id="rId236" Type="http://schemas.openxmlformats.org/officeDocument/2006/relationships/hyperlink" Target="mailto:charelsa@internet.lu" TargetMode="External"/><Relationship Id="rId257" Type="http://schemas.openxmlformats.org/officeDocument/2006/relationships/hyperlink" Target="mailto:jeff_schwachtgen@hotmail.de" TargetMode="External"/><Relationship Id="rId278" Type="http://schemas.openxmlformats.org/officeDocument/2006/relationships/hyperlink" Target="mailto:Welchryl@yahoo.de" TargetMode="External"/><Relationship Id="rId303" Type="http://schemas.openxmlformats.org/officeDocument/2006/relationships/hyperlink" Target="mailto:jenni.pauwels@gmail.com" TargetMode="External"/><Relationship Id="rId42" Type="http://schemas.openxmlformats.org/officeDocument/2006/relationships/hyperlink" Target="mailto:lizjo@pt.lu" TargetMode="External"/><Relationship Id="rId84" Type="http://schemas.openxmlformats.org/officeDocument/2006/relationships/hyperlink" Target="mailto:lurdes.reis@outlook.com" TargetMode="External"/><Relationship Id="rId138" Type="http://schemas.openxmlformats.org/officeDocument/2006/relationships/hyperlink" Target="mailto:claudia.m.g@hotmail.de" TargetMode="External"/><Relationship Id="rId191" Type="http://schemas.openxmlformats.org/officeDocument/2006/relationships/hyperlink" Target="mailto:gil_07_@hotmail.com" TargetMode="External"/><Relationship Id="rId205" Type="http://schemas.openxmlformats.org/officeDocument/2006/relationships/hyperlink" Target="mailto:peixotoalex97@gmail.com" TargetMode="External"/><Relationship Id="rId247" Type="http://schemas.openxmlformats.org/officeDocument/2006/relationships/hyperlink" Target="mailto:streitz.yannick@gmail.com" TargetMode="External"/><Relationship Id="rId107" Type="http://schemas.openxmlformats.org/officeDocument/2006/relationships/hyperlink" Target="mailto:Baudelet.dalmi@hotmail.fr" TargetMode="External"/><Relationship Id="rId289" Type="http://schemas.openxmlformats.org/officeDocument/2006/relationships/hyperlink" Target="mailto:cormen.christophe@kannerduerf.lu" TargetMode="External"/><Relationship Id="rId11" Type="http://schemas.openxmlformats.org/officeDocument/2006/relationships/hyperlink" Target="mailto:rkarotom@outlook.com" TargetMode="External"/><Relationship Id="rId53" Type="http://schemas.openxmlformats.org/officeDocument/2006/relationships/hyperlink" Target="mailto:maxence.d.2002@gmail.com" TargetMode="External"/><Relationship Id="rId149" Type="http://schemas.openxmlformats.org/officeDocument/2006/relationships/hyperlink" Target="mailto:mpq2002@gmail.com" TargetMode="External"/><Relationship Id="rId314" Type="http://schemas.openxmlformats.org/officeDocument/2006/relationships/printerSettings" Target="../printerSettings/printerSettings5.bin"/><Relationship Id="rId95" Type="http://schemas.openxmlformats.org/officeDocument/2006/relationships/hyperlink" Target="mailto:jean-marie.strotz@agimlux.lu" TargetMode="External"/><Relationship Id="rId160" Type="http://schemas.openxmlformats.org/officeDocument/2006/relationships/hyperlink" Target="mailto:tombeneke@hotmail.de" TargetMode="External"/><Relationship Id="rId216" Type="http://schemas.openxmlformats.org/officeDocument/2006/relationships/hyperlink" Target="mailto:maltova@mail.ru" TargetMode="External"/><Relationship Id="rId258" Type="http://schemas.openxmlformats.org/officeDocument/2006/relationships/hyperlink" Target="mailto:alex1379vas@gmail.com" TargetMode="External"/><Relationship Id="rId22" Type="http://schemas.openxmlformats.org/officeDocument/2006/relationships/hyperlink" Target="mailto:leaticia.coelho@gmail.com" TargetMode="External"/><Relationship Id="rId64" Type="http://schemas.openxmlformats.org/officeDocument/2006/relationships/hyperlink" Target="mailto:carla.carvalho99@hotmail.com" TargetMode="External"/><Relationship Id="rId118" Type="http://schemas.openxmlformats.org/officeDocument/2006/relationships/hyperlink" Target="mailto:sara04.04.2002@gmail.com" TargetMode="External"/><Relationship Id="rId171" Type="http://schemas.openxmlformats.org/officeDocument/2006/relationships/hyperlink" Target="mailto:jeannine.bisenius@me.com" TargetMode="External"/><Relationship Id="rId227" Type="http://schemas.openxmlformats.org/officeDocument/2006/relationships/hyperlink" Target="mailto:so.schmit@gmail.com" TargetMode="External"/><Relationship Id="rId269" Type="http://schemas.openxmlformats.org/officeDocument/2006/relationships/hyperlink" Target="mailto:dianecarolides@yahoo.fr" TargetMode="External"/><Relationship Id="rId33" Type="http://schemas.openxmlformats.org/officeDocument/2006/relationships/hyperlink" Target="mailto:barley@pt.lu" TargetMode="External"/><Relationship Id="rId129" Type="http://schemas.openxmlformats.org/officeDocument/2006/relationships/hyperlink" Target="mailto:mrasque9@gmail.com" TargetMode="External"/><Relationship Id="rId280" Type="http://schemas.openxmlformats.org/officeDocument/2006/relationships/hyperlink" Target="mailto:franclimsougeroute@gmail.com" TargetMode="External"/><Relationship Id="rId75" Type="http://schemas.openxmlformats.org/officeDocument/2006/relationships/hyperlink" Target="mailto:sandra.jovanovic@education.lu" TargetMode="External"/><Relationship Id="rId140" Type="http://schemas.openxmlformats.org/officeDocument/2006/relationships/hyperlink" Target="mailto:frank@ecologe.lu" TargetMode="External"/><Relationship Id="rId182" Type="http://schemas.openxmlformats.org/officeDocument/2006/relationships/hyperlink" Target="mailto:mandy.woltz@gmail.com" TargetMode="External"/><Relationship Id="rId6" Type="http://schemas.openxmlformats.org/officeDocument/2006/relationships/hyperlink" Target="mailto:jungblut_pierre@yahoo.de" TargetMode="External"/><Relationship Id="rId238" Type="http://schemas.openxmlformats.org/officeDocument/2006/relationships/hyperlink" Target="mailto:jacqueline.mondoni@gmail.com" TargetMode="External"/><Relationship Id="rId291" Type="http://schemas.openxmlformats.org/officeDocument/2006/relationships/hyperlink" Target="mailto:varelas.laurent@gmail.com" TargetMode="External"/><Relationship Id="rId305" Type="http://schemas.openxmlformats.org/officeDocument/2006/relationships/hyperlink" Target="mailto:domingogomartinez@gmail.com" TargetMode="External"/><Relationship Id="rId44" Type="http://schemas.openxmlformats.org/officeDocument/2006/relationships/hyperlink" Target="mailto:eds@pt.lu" TargetMode="External"/><Relationship Id="rId86" Type="http://schemas.openxmlformats.org/officeDocument/2006/relationships/hyperlink" Target="mailto:kjustin@pt.lu" TargetMode="External"/><Relationship Id="rId151" Type="http://schemas.openxmlformats.org/officeDocument/2006/relationships/hyperlink" Target="mailto:schurerf@web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513B-F753-4A64-82FA-40607C3BC52C}">
  <sheetPr>
    <tabColor rgb="FF00FFFF"/>
  </sheetPr>
  <dimension ref="A1:BT1757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8" sqref="L8"/>
    </sheetView>
  </sheetViews>
  <sheetFormatPr baseColWidth="10" defaultColWidth="7.1640625" defaultRowHeight="15" customHeight="1" x14ac:dyDescent="0.15"/>
  <cols>
    <col min="1" max="1" width="26" style="348" bestFit="1" customWidth="1"/>
    <col min="2" max="2" width="25.6640625" style="348" bestFit="1" customWidth="1"/>
    <col min="3" max="3" width="10.33203125" style="348" bestFit="1" customWidth="1"/>
    <col min="4" max="4" width="12" style="348" bestFit="1" customWidth="1"/>
    <col min="5" max="5" width="12.1640625" style="348" bestFit="1" customWidth="1"/>
    <col min="6" max="6" width="41.33203125" bestFit="1" customWidth="1"/>
    <col min="7" max="7" width="29.1640625" bestFit="1" customWidth="1"/>
    <col min="8" max="8" width="12.1640625" style="385" bestFit="1" customWidth="1"/>
    <col min="9" max="9" width="16" bestFit="1" customWidth="1"/>
    <col min="10" max="10" width="12.6640625" style="358" bestFit="1" customWidth="1"/>
    <col min="11" max="11" width="13.1640625" style="390" bestFit="1" customWidth="1"/>
    <col min="12" max="12" width="8.83203125" style="224" bestFit="1" customWidth="1"/>
    <col min="13" max="13" width="8.83203125" style="224" customWidth="1"/>
    <col min="14" max="14" width="28.33203125" style="224" bestFit="1" customWidth="1"/>
    <col min="15" max="15" width="8.83203125" style="747" bestFit="1" customWidth="1"/>
    <col min="16" max="16" width="8.83203125" style="747" customWidth="1"/>
    <col min="17" max="17" width="19.83203125" style="748" bestFit="1" customWidth="1"/>
    <col min="18" max="18" width="10.33203125" style="749" bestFit="1" customWidth="1"/>
    <col min="19" max="21" width="10.5" style="749" bestFit="1" customWidth="1"/>
    <col min="22" max="22" width="10.6640625" style="749" bestFit="1" customWidth="1"/>
    <col min="23" max="24" width="9.6640625" style="749" bestFit="1" customWidth="1"/>
    <col min="25" max="27" width="10.33203125" style="749" bestFit="1" customWidth="1"/>
    <col min="28" max="28" width="14.6640625" style="391" bestFit="1" customWidth="1"/>
    <col min="29" max="29" width="13.6640625" style="56" bestFit="1" customWidth="1"/>
    <col min="30" max="30" width="19.5" style="56" bestFit="1" customWidth="1"/>
    <col min="31" max="31" width="15.33203125" style="56" bestFit="1" customWidth="1"/>
    <col min="32" max="32" width="16.6640625" style="391" bestFit="1" customWidth="1"/>
    <col min="33" max="33" width="71.1640625" style="426" bestFit="1" customWidth="1"/>
    <col min="34" max="34" width="13.5" style="377" bestFit="1" customWidth="1"/>
    <col min="35" max="36" width="15.1640625" style="385" bestFit="1" customWidth="1"/>
    <col min="37" max="37" width="13.5" style="388" bestFit="1" customWidth="1"/>
    <col min="38" max="38" width="15.1640625" style="385" bestFit="1" customWidth="1"/>
    <col min="39" max="39" width="16.83203125" style="385" bestFit="1" customWidth="1"/>
    <col min="40" max="40" width="21.83203125" style="39" bestFit="1" customWidth="1"/>
    <col min="41" max="41" width="13.1640625" bestFit="1" customWidth="1"/>
    <col min="42" max="42" width="24.1640625" style="63" bestFit="1" customWidth="1"/>
    <col min="43" max="43" width="18.33203125" style="39" bestFit="1" customWidth="1"/>
    <col min="44" max="44" width="32.5" bestFit="1" customWidth="1"/>
    <col min="45" max="45" width="19" style="236" bestFit="1" customWidth="1"/>
    <col min="46" max="46" width="16.1640625" style="236" bestFit="1" customWidth="1"/>
    <col min="47" max="47" width="38.83203125" style="39" bestFit="1" customWidth="1"/>
    <col min="48" max="48" width="32.1640625" style="39" bestFit="1" customWidth="1"/>
    <col min="49" max="49" width="12" style="388" bestFit="1" customWidth="1"/>
    <col min="50" max="50" width="18.6640625" bestFit="1" customWidth="1"/>
    <col min="51" max="51" width="16.83203125" bestFit="1" customWidth="1"/>
    <col min="52" max="52" width="10.6640625" bestFit="1" customWidth="1"/>
    <col min="53" max="53" width="12.1640625" bestFit="1" customWidth="1"/>
    <col min="54" max="55" width="11.6640625" style="60" bestFit="1" customWidth="1"/>
    <col min="56" max="56" width="12.83203125" style="60" bestFit="1" customWidth="1"/>
    <col min="57" max="57" width="12.1640625" style="60" bestFit="1" customWidth="1"/>
    <col min="58" max="58" width="13.1640625" style="60" bestFit="1" customWidth="1"/>
    <col min="59" max="59" width="31" style="60" bestFit="1" customWidth="1"/>
    <col min="60" max="60" width="12.1640625" style="140" bestFit="1" customWidth="1"/>
    <col min="61" max="61" width="13.1640625" style="140" bestFit="1" customWidth="1"/>
    <col min="62" max="62" width="13.83203125" style="140" bestFit="1" customWidth="1"/>
    <col min="63" max="63" width="12.1640625" style="233" bestFit="1" customWidth="1"/>
    <col min="64" max="64" width="13.1640625" style="233" bestFit="1" customWidth="1"/>
    <col min="65" max="65" width="13.83203125" style="233" bestFit="1" customWidth="1"/>
    <col min="66" max="66" width="11.5" style="234" bestFit="1" customWidth="1"/>
    <col min="67" max="67" width="10.6640625" bestFit="1" customWidth="1"/>
    <col min="68" max="70" width="12.83203125" bestFit="1" customWidth="1"/>
    <col min="71" max="71" width="25.1640625" style="159" bestFit="1" customWidth="1"/>
  </cols>
  <sheetData>
    <row r="1" spans="1:72" ht="56" x14ac:dyDescent="0.15">
      <c r="A1" s="698" t="s">
        <v>27</v>
      </c>
      <c r="B1" s="2" t="s">
        <v>2751</v>
      </c>
      <c r="C1" s="2" t="s">
        <v>5660</v>
      </c>
      <c r="D1" s="2" t="s">
        <v>5664</v>
      </c>
      <c r="E1" s="2" t="s">
        <v>5661</v>
      </c>
      <c r="F1" s="2" t="s">
        <v>5662</v>
      </c>
      <c r="G1" s="3" t="s">
        <v>9</v>
      </c>
      <c r="H1" s="2" t="s">
        <v>33</v>
      </c>
      <c r="I1" s="3" t="s">
        <v>11</v>
      </c>
      <c r="J1" s="355" t="s">
        <v>12</v>
      </c>
      <c r="K1" s="352" t="s">
        <v>4205</v>
      </c>
      <c r="L1" s="221" t="s">
        <v>5665</v>
      </c>
      <c r="M1" s="861" t="s">
        <v>5666</v>
      </c>
      <c r="N1" s="219" t="s">
        <v>5609</v>
      </c>
      <c r="O1" s="726" t="s">
        <v>5667</v>
      </c>
      <c r="P1" s="726" t="s">
        <v>5663</v>
      </c>
      <c r="Q1" s="726" t="s">
        <v>5583</v>
      </c>
      <c r="R1" s="726" t="s">
        <v>3662</v>
      </c>
      <c r="S1" s="727" t="s">
        <v>46</v>
      </c>
      <c r="T1" s="727" t="s">
        <v>47</v>
      </c>
      <c r="U1" s="727" t="s">
        <v>48</v>
      </c>
      <c r="V1" s="728" t="s">
        <v>3370</v>
      </c>
      <c r="W1" s="728" t="s">
        <v>4807</v>
      </c>
      <c r="X1" s="728" t="s">
        <v>3371</v>
      </c>
      <c r="Y1" s="727" t="s">
        <v>4366</v>
      </c>
      <c r="Z1" s="727" t="s">
        <v>51</v>
      </c>
      <c r="AA1" s="727" t="s">
        <v>52</v>
      </c>
      <c r="AB1" s="4" t="s">
        <v>3114</v>
      </c>
      <c r="AC1" s="4" t="s">
        <v>3111</v>
      </c>
      <c r="AD1" s="4" t="s">
        <v>3113</v>
      </c>
      <c r="AE1" s="4" t="s">
        <v>3112</v>
      </c>
      <c r="AF1" s="4" t="s">
        <v>3367</v>
      </c>
      <c r="AG1" s="368" t="s">
        <v>59</v>
      </c>
      <c r="AH1" s="368" t="s">
        <v>3551</v>
      </c>
      <c r="AI1" s="7" t="s">
        <v>61</v>
      </c>
      <c r="AJ1" s="7" t="s">
        <v>66</v>
      </c>
      <c r="AK1" s="6" t="s">
        <v>20</v>
      </c>
      <c r="AL1" s="7" t="s">
        <v>67</v>
      </c>
      <c r="AM1" s="6" t="s">
        <v>22</v>
      </c>
      <c r="AN1" s="6" t="s">
        <v>2752</v>
      </c>
      <c r="AO1" s="2" t="s">
        <v>23</v>
      </c>
      <c r="AP1" s="2" t="s">
        <v>24</v>
      </c>
      <c r="AQ1" s="4" t="s">
        <v>25</v>
      </c>
      <c r="AR1" s="4" t="s">
        <v>26</v>
      </c>
      <c r="AS1" s="175" t="s">
        <v>2712</v>
      </c>
      <c r="AT1" s="175" t="s">
        <v>3973</v>
      </c>
      <c r="AU1" s="2" t="s">
        <v>69</v>
      </c>
      <c r="AV1" s="2" t="s">
        <v>70</v>
      </c>
      <c r="AW1" s="2" t="s">
        <v>71</v>
      </c>
      <c r="AX1" s="2" t="s">
        <v>72</v>
      </c>
      <c r="AY1" s="2" t="s">
        <v>5000</v>
      </c>
      <c r="AZ1" s="6" t="s">
        <v>2785</v>
      </c>
      <c r="BA1" s="6" t="s">
        <v>3909</v>
      </c>
      <c r="BB1" s="57" t="s">
        <v>2786</v>
      </c>
      <c r="BC1" s="58" t="s">
        <v>2787</v>
      </c>
      <c r="BD1" s="57" t="s">
        <v>2788</v>
      </c>
      <c r="BE1" s="227" t="s">
        <v>2789</v>
      </c>
      <c r="BF1" s="58" t="s">
        <v>2790</v>
      </c>
      <c r="BG1" s="58" t="s">
        <v>2791</v>
      </c>
      <c r="BH1" s="136" t="s">
        <v>3459</v>
      </c>
      <c r="BI1" s="137" t="s">
        <v>3460</v>
      </c>
      <c r="BJ1" s="137" t="s">
        <v>3461</v>
      </c>
      <c r="BK1" s="228" t="s">
        <v>3911</v>
      </c>
      <c r="BL1" s="228" t="s">
        <v>3912</v>
      </c>
      <c r="BM1" s="228" t="s">
        <v>3913</v>
      </c>
      <c r="BN1" s="228" t="s">
        <v>3910</v>
      </c>
      <c r="BO1" s="6" t="s">
        <v>86</v>
      </c>
      <c r="BP1" s="4" t="s">
        <v>87</v>
      </c>
      <c r="BQ1" s="4" t="s">
        <v>88</v>
      </c>
      <c r="BR1" s="4" t="s">
        <v>3914</v>
      </c>
      <c r="BS1" s="102" t="s">
        <v>3915</v>
      </c>
    </row>
    <row r="2" spans="1:72" ht="13.5" customHeight="1" x14ac:dyDescent="0.15">
      <c r="A2" s="48" t="s">
        <v>4297</v>
      </c>
      <c r="B2" s="9" t="s">
        <v>2514</v>
      </c>
      <c r="C2" s="9"/>
      <c r="D2" s="9"/>
      <c r="E2" s="9"/>
      <c r="F2" s="112" t="s">
        <v>4299</v>
      </c>
      <c r="G2" s="10" t="s">
        <v>4300</v>
      </c>
      <c r="H2" s="5" t="s">
        <v>4301</v>
      </c>
      <c r="I2" s="11" t="s">
        <v>2347</v>
      </c>
      <c r="J2" s="357" t="s">
        <v>1144</v>
      </c>
      <c r="K2" s="353"/>
      <c r="L2" s="221">
        <v>212</v>
      </c>
      <c r="M2" s="221"/>
      <c r="N2" s="222" t="str">
        <f t="shared" ref="N2:N65" si="0">VLOOKUP(L2,CAT_JOUEUR,2,FALSE)</f>
        <v>Contact famille</v>
      </c>
      <c r="O2" s="729">
        <v>212</v>
      </c>
      <c r="P2" s="729"/>
      <c r="Q2" s="730" t="str">
        <f t="shared" ref="Q2:Q65" si="1">VLOOKUP(O2,CAT_JOUEUR,2,FALSE)</f>
        <v>Contact famille</v>
      </c>
      <c r="R2" s="731"/>
      <c r="S2" s="731"/>
      <c r="T2" s="731"/>
      <c r="U2" s="731"/>
      <c r="V2" s="731"/>
      <c r="W2" s="731"/>
      <c r="X2" s="731"/>
      <c r="Y2" s="731"/>
      <c r="Z2" s="731"/>
      <c r="AA2" s="731"/>
      <c r="AB2" s="12"/>
      <c r="AC2" s="12"/>
      <c r="AD2" s="12"/>
      <c r="AE2" s="12"/>
      <c r="AF2" s="12"/>
      <c r="AG2" s="369"/>
      <c r="AH2" s="370"/>
      <c r="AI2" s="18" t="s">
        <v>242</v>
      </c>
      <c r="AJ2" s="18" t="s">
        <v>242</v>
      </c>
      <c r="AK2" s="13" t="s">
        <v>242</v>
      </c>
      <c r="AL2" s="13" t="s">
        <v>242</v>
      </c>
      <c r="AM2" s="46" t="s">
        <v>244</v>
      </c>
      <c r="AN2" s="38"/>
      <c r="AO2" s="10"/>
      <c r="AP2" s="40"/>
      <c r="AQ2" s="20">
        <v>621217918</v>
      </c>
      <c r="AR2" s="47" t="s">
        <v>4307</v>
      </c>
      <c r="AS2" s="62"/>
      <c r="AT2" s="62"/>
      <c r="AU2" s="11"/>
      <c r="AV2" s="10"/>
      <c r="AW2" s="11"/>
      <c r="AX2" s="11"/>
      <c r="AY2" s="11"/>
      <c r="AZ2" s="11"/>
      <c r="BA2" s="11"/>
      <c r="BB2" s="59"/>
      <c r="BC2" s="59"/>
      <c r="BD2" s="59"/>
      <c r="BE2" s="59"/>
      <c r="BF2" s="59"/>
      <c r="BG2" s="59"/>
      <c r="BH2" s="138"/>
      <c r="BI2" s="138"/>
      <c r="BJ2" s="138"/>
      <c r="BK2" s="231"/>
      <c r="BL2" s="231"/>
      <c r="BM2" s="231"/>
      <c r="BN2" s="232"/>
      <c r="BO2" s="19"/>
      <c r="BP2" s="23"/>
      <c r="BQ2" s="23"/>
      <c r="BR2" s="23"/>
      <c r="BS2" s="43"/>
    </row>
    <row r="3" spans="1:72" ht="13.5" customHeight="1" x14ac:dyDescent="0.15">
      <c r="A3" s="48" t="s">
        <v>296</v>
      </c>
      <c r="B3" s="9" t="s">
        <v>297</v>
      </c>
      <c r="C3" s="9"/>
      <c r="D3" s="9"/>
      <c r="E3" s="9"/>
      <c r="F3" s="10" t="s">
        <v>298</v>
      </c>
      <c r="G3" s="10" t="s">
        <v>299</v>
      </c>
      <c r="H3" s="5" t="s">
        <v>300</v>
      </c>
      <c r="I3" s="11" t="s">
        <v>301</v>
      </c>
      <c r="J3" s="357" t="s">
        <v>302</v>
      </c>
      <c r="K3" s="353"/>
      <c r="L3" s="221">
        <v>212</v>
      </c>
      <c r="M3" s="221"/>
      <c r="N3" s="222" t="str">
        <f t="shared" si="0"/>
        <v>Contact famille</v>
      </c>
      <c r="O3" s="729">
        <v>212</v>
      </c>
      <c r="P3" s="729"/>
      <c r="Q3" s="730" t="str">
        <f t="shared" si="1"/>
        <v>Contact famille</v>
      </c>
      <c r="R3" s="731"/>
      <c r="S3" s="731"/>
      <c r="T3" s="731"/>
      <c r="U3" s="731"/>
      <c r="V3" s="731"/>
      <c r="W3" s="731"/>
      <c r="X3" s="731"/>
      <c r="Y3" s="731" t="s">
        <v>313</v>
      </c>
      <c r="Z3" s="731"/>
      <c r="AA3" s="731"/>
      <c r="AB3" s="12"/>
      <c r="AC3" s="12"/>
      <c r="AD3" s="12"/>
      <c r="AE3" s="12"/>
      <c r="AF3" s="12"/>
      <c r="AG3" s="369"/>
      <c r="AH3" s="370"/>
      <c r="AI3" s="18" t="s">
        <v>242</v>
      </c>
      <c r="AJ3" s="18">
        <v>43078</v>
      </c>
      <c r="AK3" s="13" t="s">
        <v>242</v>
      </c>
      <c r="AL3" s="18" t="s">
        <v>242</v>
      </c>
      <c r="AM3" s="19" t="s">
        <v>244</v>
      </c>
      <c r="AN3" s="19"/>
      <c r="AO3" s="10"/>
      <c r="AP3" s="40"/>
      <c r="AQ3" s="10" t="s">
        <v>314</v>
      </c>
      <c r="AR3" s="25"/>
      <c r="AS3" s="62"/>
      <c r="AT3" s="62"/>
      <c r="AU3" s="11"/>
      <c r="AV3" s="10"/>
      <c r="AW3" s="11"/>
      <c r="AX3" s="11"/>
      <c r="AY3" s="11"/>
      <c r="AZ3" s="11" t="s">
        <v>209</v>
      </c>
      <c r="BA3" s="11"/>
      <c r="BB3" s="59" t="s">
        <v>315</v>
      </c>
      <c r="BC3" s="59" t="s">
        <v>315</v>
      </c>
      <c r="BD3" s="59"/>
      <c r="BE3" s="59"/>
      <c r="BF3" s="59"/>
      <c r="BG3" s="59"/>
      <c r="BH3" s="138"/>
      <c r="BI3" s="138"/>
      <c r="BJ3" s="138"/>
      <c r="BK3" s="231"/>
      <c r="BL3" s="231"/>
      <c r="BM3" s="231"/>
      <c r="BN3" s="232"/>
      <c r="BO3" s="19"/>
      <c r="BP3" s="23" t="s">
        <v>260</v>
      </c>
      <c r="BQ3" s="23"/>
      <c r="BR3" s="23"/>
      <c r="BS3" s="43"/>
    </row>
    <row r="4" spans="1:72" ht="13.5" customHeight="1" x14ac:dyDescent="0.15">
      <c r="A4" s="48" t="s">
        <v>5310</v>
      </c>
      <c r="B4" s="9" t="s">
        <v>5309</v>
      </c>
      <c r="C4" s="9"/>
      <c r="D4" s="9"/>
      <c r="E4" s="9"/>
      <c r="F4" s="112" t="s">
        <v>107</v>
      </c>
      <c r="G4" s="11" t="s">
        <v>5311</v>
      </c>
      <c r="H4" s="5" t="s">
        <v>5312</v>
      </c>
      <c r="I4" s="11" t="s">
        <v>962</v>
      </c>
      <c r="J4" s="357" t="s">
        <v>5305</v>
      </c>
      <c r="K4" s="353"/>
      <c r="L4" s="221">
        <v>212</v>
      </c>
      <c r="M4" s="221"/>
      <c r="N4" s="222" t="str">
        <f t="shared" si="0"/>
        <v>Contact famille</v>
      </c>
      <c r="O4" s="729">
        <v>212</v>
      </c>
      <c r="P4" s="729"/>
      <c r="Q4" s="730" t="str">
        <f t="shared" si="1"/>
        <v>Contact famille</v>
      </c>
      <c r="R4" s="732"/>
      <c r="S4" s="732"/>
      <c r="T4" s="732"/>
      <c r="U4" s="732"/>
      <c r="V4" s="732"/>
      <c r="W4" s="732"/>
      <c r="X4" s="732" t="s">
        <v>313</v>
      </c>
      <c r="Y4" s="732"/>
      <c r="Z4" s="732"/>
      <c r="AA4" s="732"/>
      <c r="AB4" s="12"/>
      <c r="AC4" s="155"/>
      <c r="AD4" s="155"/>
      <c r="AE4" s="155"/>
      <c r="AF4" s="12"/>
      <c r="AG4" s="386"/>
      <c r="AH4" s="392"/>
      <c r="AI4" s="18" t="s">
        <v>242</v>
      </c>
      <c r="AJ4" s="18" t="s">
        <v>242</v>
      </c>
      <c r="AK4" s="13" t="s">
        <v>242</v>
      </c>
      <c r="AL4" s="18" t="s">
        <v>242</v>
      </c>
      <c r="AM4" s="19" t="s">
        <v>244</v>
      </c>
      <c r="AN4" s="10"/>
      <c r="AO4" s="11"/>
      <c r="AP4" s="53"/>
      <c r="AQ4" s="226"/>
      <c r="AR4" s="68" t="s">
        <v>5315</v>
      </c>
      <c r="AS4" s="62"/>
      <c r="AT4" s="62"/>
      <c r="AU4" s="10"/>
      <c r="AV4" s="10"/>
      <c r="AW4" s="13"/>
      <c r="AX4" s="11"/>
      <c r="AY4" s="11"/>
      <c r="AZ4" s="11"/>
      <c r="BA4" s="11"/>
      <c r="BB4" s="59"/>
      <c r="BC4" s="59"/>
      <c r="BD4" s="59"/>
      <c r="BE4" s="59"/>
      <c r="BF4" s="59"/>
      <c r="BG4" s="59"/>
      <c r="BH4" s="138"/>
      <c r="BI4" s="138"/>
      <c r="BJ4" s="138"/>
      <c r="BK4" s="231"/>
      <c r="BL4" s="231"/>
      <c r="BM4" s="231"/>
      <c r="BN4" s="232"/>
      <c r="BO4" s="11"/>
      <c r="BP4" s="11"/>
      <c r="BQ4" s="11"/>
      <c r="BR4" s="11"/>
      <c r="BS4" s="394"/>
    </row>
    <row r="5" spans="1:72" ht="13.5" customHeight="1" x14ac:dyDescent="0.15">
      <c r="A5" s="48" t="s">
        <v>4208</v>
      </c>
      <c r="B5" s="9" t="s">
        <v>4209</v>
      </c>
      <c r="C5" s="9"/>
      <c r="D5" s="9"/>
      <c r="E5" s="9"/>
      <c r="F5" s="10" t="s">
        <v>4211</v>
      </c>
      <c r="G5" s="10" t="s">
        <v>4212</v>
      </c>
      <c r="H5" s="5" t="s">
        <v>481</v>
      </c>
      <c r="I5" s="11" t="s">
        <v>223</v>
      </c>
      <c r="J5" s="357" t="s">
        <v>2033</v>
      </c>
      <c r="K5" s="353"/>
      <c r="L5" s="221">
        <v>212</v>
      </c>
      <c r="M5" s="221"/>
      <c r="N5" s="222" t="str">
        <f t="shared" si="0"/>
        <v>Contact famille</v>
      </c>
      <c r="O5" s="729">
        <v>212</v>
      </c>
      <c r="P5" s="729"/>
      <c r="Q5" s="730" t="str">
        <f t="shared" si="1"/>
        <v>Contact famille</v>
      </c>
      <c r="R5" s="731"/>
      <c r="S5" s="731"/>
      <c r="T5" s="731"/>
      <c r="U5" s="731"/>
      <c r="V5" s="731"/>
      <c r="W5" s="731" t="s">
        <v>313</v>
      </c>
      <c r="X5" s="731"/>
      <c r="Y5" s="731"/>
      <c r="Z5" s="731"/>
      <c r="AA5" s="731"/>
      <c r="AB5" s="12"/>
      <c r="AC5" s="12"/>
      <c r="AD5" s="12"/>
      <c r="AE5" s="12"/>
      <c r="AF5" s="12"/>
      <c r="AG5" s="369"/>
      <c r="AH5" s="370"/>
      <c r="AI5" s="18" t="s">
        <v>242</v>
      </c>
      <c r="AJ5" s="18" t="s">
        <v>242</v>
      </c>
      <c r="AK5" s="13" t="s">
        <v>242</v>
      </c>
      <c r="AL5" s="18" t="s">
        <v>242</v>
      </c>
      <c r="AM5" s="19" t="s">
        <v>244</v>
      </c>
      <c r="AN5" s="38"/>
      <c r="AO5" s="10"/>
      <c r="AP5" s="40"/>
      <c r="AQ5" s="20">
        <v>621218818</v>
      </c>
      <c r="AR5" s="47" t="s">
        <v>4218</v>
      </c>
      <c r="AS5" s="62"/>
      <c r="AT5" s="62"/>
      <c r="AU5" s="11"/>
      <c r="AV5" s="10"/>
      <c r="AW5" s="11"/>
      <c r="AX5" s="11"/>
      <c r="AY5" s="11"/>
      <c r="AZ5" s="11"/>
      <c r="BA5" s="11"/>
      <c r="BB5" s="59"/>
      <c r="BC5" s="59"/>
      <c r="BD5" s="59"/>
      <c r="BE5" s="59"/>
      <c r="BF5" s="59"/>
      <c r="BG5" s="59"/>
      <c r="BH5" s="138"/>
      <c r="BI5" s="138"/>
      <c r="BJ5" s="138"/>
      <c r="BK5" s="231"/>
      <c r="BL5" s="231"/>
      <c r="BM5" s="231"/>
      <c r="BN5" s="232"/>
      <c r="BO5" s="19"/>
      <c r="BP5" s="23"/>
      <c r="BQ5" s="23"/>
      <c r="BR5" s="23"/>
      <c r="BS5" s="43"/>
    </row>
    <row r="6" spans="1:72" ht="13.5" customHeight="1" x14ac:dyDescent="0.15">
      <c r="A6" s="48" t="s">
        <v>4208</v>
      </c>
      <c r="B6" s="9" t="s">
        <v>4210</v>
      </c>
      <c r="C6" s="9"/>
      <c r="D6" s="9"/>
      <c r="E6" s="9"/>
      <c r="F6" s="10" t="s">
        <v>4211</v>
      </c>
      <c r="G6" s="10" t="s">
        <v>4212</v>
      </c>
      <c r="H6" s="5" t="s">
        <v>4213</v>
      </c>
      <c r="I6" s="11" t="s">
        <v>223</v>
      </c>
      <c r="J6" s="357" t="s">
        <v>2033</v>
      </c>
      <c r="K6" s="353"/>
      <c r="L6" s="221">
        <v>212</v>
      </c>
      <c r="M6" s="221"/>
      <c r="N6" s="222" t="str">
        <f t="shared" si="0"/>
        <v>Contact famille</v>
      </c>
      <c r="O6" s="729">
        <v>212</v>
      </c>
      <c r="P6" s="729"/>
      <c r="Q6" s="730" t="str">
        <f t="shared" si="1"/>
        <v>Contact famille</v>
      </c>
      <c r="R6" s="731"/>
      <c r="S6" s="731"/>
      <c r="T6" s="731"/>
      <c r="U6" s="731"/>
      <c r="V6" s="731"/>
      <c r="W6" s="731" t="s">
        <v>313</v>
      </c>
      <c r="X6" s="731"/>
      <c r="Y6" s="731"/>
      <c r="Z6" s="731"/>
      <c r="AA6" s="731"/>
      <c r="AB6" s="12"/>
      <c r="AC6" s="12"/>
      <c r="AD6" s="12"/>
      <c r="AE6" s="12"/>
      <c r="AF6" s="12"/>
      <c r="AG6" s="369"/>
      <c r="AH6" s="370"/>
      <c r="AI6" s="18" t="s">
        <v>242</v>
      </c>
      <c r="AJ6" s="18" t="s">
        <v>242</v>
      </c>
      <c r="AK6" s="13" t="s">
        <v>242</v>
      </c>
      <c r="AL6" s="18" t="s">
        <v>242</v>
      </c>
      <c r="AM6" s="19" t="s">
        <v>244</v>
      </c>
      <c r="AN6" s="38"/>
      <c r="AO6" s="10"/>
      <c r="AP6" s="40"/>
      <c r="AQ6" s="20">
        <v>621174806</v>
      </c>
      <c r="AR6" s="47" t="s">
        <v>4217</v>
      </c>
      <c r="AS6" s="62"/>
      <c r="AT6" s="62"/>
      <c r="AU6" s="11"/>
      <c r="AV6" s="10"/>
      <c r="AW6" s="11"/>
      <c r="AX6" s="11"/>
      <c r="AY6" s="11"/>
      <c r="AZ6" s="11"/>
      <c r="BA6" s="11"/>
      <c r="BB6" s="59"/>
      <c r="BC6" s="59"/>
      <c r="BD6" s="59"/>
      <c r="BE6" s="59"/>
      <c r="BF6" s="59"/>
      <c r="BG6" s="59"/>
      <c r="BH6" s="138"/>
      <c r="BI6" s="138"/>
      <c r="BJ6" s="138"/>
      <c r="BK6" s="231"/>
      <c r="BL6" s="231"/>
      <c r="BM6" s="231"/>
      <c r="BN6" s="232"/>
      <c r="BO6" s="19"/>
      <c r="BP6" s="23"/>
      <c r="BQ6" s="23"/>
      <c r="BR6" s="23"/>
      <c r="BS6" s="43"/>
    </row>
    <row r="7" spans="1:72" ht="13.5" customHeight="1" x14ac:dyDescent="0.15">
      <c r="A7" s="48" t="s">
        <v>4208</v>
      </c>
      <c r="B7" s="9" t="s">
        <v>2042</v>
      </c>
      <c r="C7" s="9"/>
      <c r="D7" s="9"/>
      <c r="E7" s="9"/>
      <c r="F7" s="10" t="s">
        <v>4211</v>
      </c>
      <c r="G7" s="10" t="s">
        <v>4212</v>
      </c>
      <c r="H7" s="5" t="s">
        <v>3718</v>
      </c>
      <c r="I7" s="11" t="s">
        <v>223</v>
      </c>
      <c r="J7" s="357" t="s">
        <v>2033</v>
      </c>
      <c r="K7" s="353"/>
      <c r="L7" s="221">
        <v>18</v>
      </c>
      <c r="M7" s="221"/>
      <c r="N7" s="222" t="str">
        <f t="shared" si="0"/>
        <v>U 9 Dames</v>
      </c>
      <c r="O7" s="729">
        <v>18</v>
      </c>
      <c r="P7" s="729"/>
      <c r="Q7" s="730" t="str">
        <f t="shared" si="1"/>
        <v>U 9 Dames</v>
      </c>
      <c r="R7" s="731"/>
      <c r="S7" s="731"/>
      <c r="T7" s="731"/>
      <c r="U7" s="731"/>
      <c r="V7" s="731"/>
      <c r="W7" s="731" t="s">
        <v>192</v>
      </c>
      <c r="X7" s="731"/>
      <c r="Y7" s="731"/>
      <c r="Z7" s="731"/>
      <c r="AA7" s="731"/>
      <c r="AB7" s="12" t="s">
        <v>4262</v>
      </c>
      <c r="AC7" s="12"/>
      <c r="AD7" s="12"/>
      <c r="AE7" s="12"/>
      <c r="AF7" s="12"/>
      <c r="AG7" s="369"/>
      <c r="AH7" s="370"/>
      <c r="AI7" s="18">
        <v>44949</v>
      </c>
      <c r="AJ7" s="18">
        <v>44900</v>
      </c>
      <c r="AK7" s="615">
        <v>2025</v>
      </c>
      <c r="AL7" s="18">
        <v>43239</v>
      </c>
      <c r="AM7" s="19" t="s">
        <v>4214</v>
      </c>
      <c r="AN7" s="38"/>
      <c r="AO7" s="10"/>
      <c r="AP7" s="40" t="s">
        <v>4215</v>
      </c>
      <c r="AQ7" s="20" t="s">
        <v>4216</v>
      </c>
      <c r="AR7" s="47" t="s">
        <v>4217</v>
      </c>
      <c r="AS7" s="62"/>
      <c r="AT7" s="62"/>
      <c r="AU7" s="11"/>
      <c r="AV7" s="10"/>
      <c r="AW7" s="11"/>
      <c r="AX7" s="11"/>
      <c r="AY7" s="11"/>
      <c r="AZ7" s="11"/>
      <c r="BA7" s="11"/>
      <c r="BB7" s="59"/>
      <c r="BC7" s="59"/>
      <c r="BD7" s="59"/>
      <c r="BE7" s="59"/>
      <c r="BF7" s="59"/>
      <c r="BG7" s="59"/>
      <c r="BH7" s="138"/>
      <c r="BI7" s="138"/>
      <c r="BJ7" s="138"/>
      <c r="BK7" s="231"/>
      <c r="BL7" s="231"/>
      <c r="BM7" s="231"/>
      <c r="BN7" s="232"/>
      <c r="BO7" s="19"/>
      <c r="BP7" s="23"/>
      <c r="BQ7" s="23"/>
      <c r="BR7" s="23"/>
      <c r="BS7" s="43"/>
    </row>
    <row r="8" spans="1:72" s="150" customFormat="1" ht="13.5" customHeight="1" x14ac:dyDescent="0.15">
      <c r="A8" s="48" t="s">
        <v>4063</v>
      </c>
      <c r="B8" s="9" t="s">
        <v>5536</v>
      </c>
      <c r="C8" s="9"/>
      <c r="D8" s="9"/>
      <c r="E8" s="9"/>
      <c r="F8" s="11" t="s">
        <v>263</v>
      </c>
      <c r="G8" s="11" t="s">
        <v>5537</v>
      </c>
      <c r="H8" s="5" t="s">
        <v>5538</v>
      </c>
      <c r="I8" s="11" t="s">
        <v>1714</v>
      </c>
      <c r="J8" s="357" t="s">
        <v>5531</v>
      </c>
      <c r="K8" s="353"/>
      <c r="L8" s="221">
        <v>212</v>
      </c>
      <c r="M8" s="221"/>
      <c r="N8" s="222" t="str">
        <f t="shared" si="0"/>
        <v>Contact famille</v>
      </c>
      <c r="O8" s="729">
        <v>212</v>
      </c>
      <c r="P8" s="729"/>
      <c r="Q8" s="730" t="str">
        <f t="shared" si="1"/>
        <v>Contact famille</v>
      </c>
      <c r="R8" s="732"/>
      <c r="S8" s="732"/>
      <c r="T8" s="732"/>
      <c r="U8" s="732" t="s">
        <v>313</v>
      </c>
      <c r="V8" s="732"/>
      <c r="W8" s="732"/>
      <c r="X8" s="732"/>
      <c r="Y8" s="732"/>
      <c r="Z8" s="732"/>
      <c r="AA8" s="732"/>
      <c r="AB8" s="12"/>
      <c r="AC8" s="155"/>
      <c r="AD8" s="155"/>
      <c r="AE8" s="155"/>
      <c r="AF8" s="12"/>
      <c r="AG8" s="386"/>
      <c r="AH8" s="392"/>
      <c r="AI8" s="18" t="s">
        <v>242</v>
      </c>
      <c r="AJ8" s="18" t="s">
        <v>242</v>
      </c>
      <c r="AK8" s="13" t="s">
        <v>242</v>
      </c>
      <c r="AL8" s="18" t="s">
        <v>242</v>
      </c>
      <c r="AM8" s="19" t="s">
        <v>244</v>
      </c>
      <c r="AN8" s="10"/>
      <c r="AO8" s="11"/>
      <c r="AP8" s="53"/>
      <c r="AQ8" s="20">
        <v>661813163</v>
      </c>
      <c r="AR8" s="11"/>
      <c r="AS8" s="62"/>
      <c r="AT8" s="62"/>
      <c r="AU8" s="10"/>
      <c r="AV8" s="10"/>
      <c r="AW8" s="13"/>
      <c r="AX8" s="11"/>
      <c r="AY8" s="11"/>
      <c r="AZ8" s="11"/>
      <c r="BA8" s="11"/>
      <c r="BB8" s="59"/>
      <c r="BC8" s="59"/>
      <c r="BD8" s="59"/>
      <c r="BE8" s="59"/>
      <c r="BF8" s="59"/>
      <c r="BG8" s="59"/>
      <c r="BH8" s="138"/>
      <c r="BI8" s="138"/>
      <c r="BJ8" s="138"/>
      <c r="BK8" s="231"/>
      <c r="BL8" s="231"/>
      <c r="BM8" s="231"/>
      <c r="BN8" s="232"/>
      <c r="BO8" s="11"/>
      <c r="BP8" s="11"/>
      <c r="BQ8" s="11"/>
      <c r="BR8" s="11"/>
      <c r="BS8" s="394"/>
      <c r="BT8"/>
    </row>
    <row r="9" spans="1:72" s="150" customFormat="1" ht="13.5" customHeight="1" x14ac:dyDescent="0.15">
      <c r="A9" s="48" t="s">
        <v>373</v>
      </c>
      <c r="B9" s="9" t="s">
        <v>374</v>
      </c>
      <c r="C9" s="9"/>
      <c r="D9" s="9"/>
      <c r="E9" s="9"/>
      <c r="F9" s="10" t="s">
        <v>107</v>
      </c>
      <c r="G9" s="10" t="s">
        <v>375</v>
      </c>
      <c r="H9" s="5" t="s">
        <v>376</v>
      </c>
      <c r="I9" s="11" t="s">
        <v>241</v>
      </c>
      <c r="J9" s="357" t="s">
        <v>377</v>
      </c>
      <c r="K9" s="353"/>
      <c r="L9" s="221">
        <v>212</v>
      </c>
      <c r="M9" s="221"/>
      <c r="N9" s="222" t="str">
        <f t="shared" si="0"/>
        <v>Contact famille</v>
      </c>
      <c r="O9" s="729">
        <v>212</v>
      </c>
      <c r="P9" s="729"/>
      <c r="Q9" s="730" t="str">
        <f t="shared" si="1"/>
        <v>Contact famille</v>
      </c>
      <c r="R9" s="731"/>
      <c r="S9" s="731"/>
      <c r="T9" s="731"/>
      <c r="U9" s="731"/>
      <c r="V9" s="731"/>
      <c r="W9" s="731"/>
      <c r="X9" s="731"/>
      <c r="Y9" s="731" t="s">
        <v>313</v>
      </c>
      <c r="Z9" s="731"/>
      <c r="AA9" s="731" t="s">
        <v>313</v>
      </c>
      <c r="AB9" s="12"/>
      <c r="AC9" s="12"/>
      <c r="AD9" s="12"/>
      <c r="AE9" s="12"/>
      <c r="AF9" s="12"/>
      <c r="AG9" s="369"/>
      <c r="AH9" s="370"/>
      <c r="AI9" s="18" t="s">
        <v>242</v>
      </c>
      <c r="AJ9" s="18">
        <v>43500</v>
      </c>
      <c r="AK9" s="13" t="s">
        <v>242</v>
      </c>
      <c r="AL9" s="13" t="s">
        <v>242</v>
      </c>
      <c r="AM9" s="46" t="s">
        <v>244</v>
      </c>
      <c r="AN9" s="19"/>
      <c r="AO9" s="10"/>
      <c r="AP9" s="40"/>
      <c r="AQ9" s="10" t="s">
        <v>391</v>
      </c>
      <c r="AR9" s="21" t="s">
        <v>392</v>
      </c>
      <c r="AS9" s="62"/>
      <c r="AT9" s="62"/>
      <c r="AU9" s="11"/>
      <c r="AV9" s="10"/>
      <c r="AW9" s="11"/>
      <c r="AX9" s="11"/>
      <c r="AY9" s="11"/>
      <c r="AZ9" s="11" t="s">
        <v>209</v>
      </c>
      <c r="BA9" s="11"/>
      <c r="BB9" s="59" t="s">
        <v>2813</v>
      </c>
      <c r="BC9" s="59" t="s">
        <v>292</v>
      </c>
      <c r="BD9" s="59" t="s">
        <v>1168</v>
      </c>
      <c r="BE9" s="59" t="s">
        <v>988</v>
      </c>
      <c r="BF9" s="59"/>
      <c r="BG9" s="59"/>
      <c r="BH9" s="138"/>
      <c r="BI9" s="138"/>
      <c r="BJ9" s="138"/>
      <c r="BK9" s="231"/>
      <c r="BL9" s="231"/>
      <c r="BM9" s="231"/>
      <c r="BN9" s="232"/>
      <c r="BO9" s="19"/>
      <c r="BP9" s="23"/>
      <c r="BQ9" s="23"/>
      <c r="BR9" s="23"/>
      <c r="BS9" s="43"/>
      <c r="BT9"/>
    </row>
    <row r="10" spans="1:72" ht="13.5" customHeight="1" x14ac:dyDescent="0.15">
      <c r="A10" s="48" t="s">
        <v>4962</v>
      </c>
      <c r="B10" s="9" t="s">
        <v>4961</v>
      </c>
      <c r="C10" s="9"/>
      <c r="D10" s="9"/>
      <c r="E10" s="9"/>
      <c r="F10" s="10" t="s">
        <v>263</v>
      </c>
      <c r="G10" s="10" t="s">
        <v>4963</v>
      </c>
      <c r="H10" s="5" t="s">
        <v>4964</v>
      </c>
      <c r="I10" s="11" t="s">
        <v>2455</v>
      </c>
      <c r="J10" s="357" t="s">
        <v>320</v>
      </c>
      <c r="K10" s="353"/>
      <c r="L10" s="221">
        <v>2</v>
      </c>
      <c r="M10" s="221"/>
      <c r="N10" s="222" t="str">
        <f t="shared" si="0"/>
        <v>Seniors - Hommes</v>
      </c>
      <c r="O10" s="729">
        <v>2</v>
      </c>
      <c r="P10" s="729"/>
      <c r="Q10" s="730" t="str">
        <f t="shared" si="1"/>
        <v>Seniors - Hommes</v>
      </c>
      <c r="R10" s="731"/>
      <c r="S10" s="731"/>
      <c r="T10" s="731"/>
      <c r="U10" s="731"/>
      <c r="V10" s="731"/>
      <c r="W10" s="731"/>
      <c r="X10" s="731"/>
      <c r="Y10" s="731"/>
      <c r="Z10" s="731"/>
      <c r="AA10" s="731"/>
      <c r="AB10" s="12" t="s">
        <v>4976</v>
      </c>
      <c r="AC10" s="12"/>
      <c r="AD10" s="12"/>
      <c r="AE10" s="12"/>
      <c r="AF10" s="12"/>
      <c r="AG10" s="369"/>
      <c r="AH10" s="370"/>
      <c r="AI10" s="18">
        <v>45603</v>
      </c>
      <c r="AJ10" s="18">
        <v>45565</v>
      </c>
      <c r="AK10" s="13">
        <v>2031</v>
      </c>
      <c r="AL10" s="18">
        <v>37168</v>
      </c>
      <c r="AM10" s="46" t="s">
        <v>4965</v>
      </c>
      <c r="AN10" s="38"/>
      <c r="AO10" s="10"/>
      <c r="AP10" s="40"/>
      <c r="AQ10" s="20">
        <v>351969049144</v>
      </c>
      <c r="AR10" s="47" t="s">
        <v>4966</v>
      </c>
      <c r="AS10" s="62"/>
      <c r="AT10" s="62"/>
      <c r="AU10" s="11"/>
      <c r="AV10" s="10"/>
      <c r="AW10" s="11"/>
      <c r="AX10" s="11"/>
      <c r="AY10" s="11"/>
      <c r="AZ10" s="11"/>
      <c r="BA10" s="11"/>
      <c r="BB10" s="59"/>
      <c r="BC10" s="59"/>
      <c r="BD10" s="59"/>
      <c r="BE10" s="59"/>
      <c r="BF10" s="59"/>
      <c r="BG10" s="59"/>
      <c r="BH10" s="138"/>
      <c r="BI10" s="138"/>
      <c r="BJ10" s="138"/>
      <c r="BK10" s="231"/>
      <c r="BL10" s="231"/>
      <c r="BM10" s="231"/>
      <c r="BN10" s="232"/>
      <c r="BO10" s="19"/>
      <c r="BP10" s="23"/>
      <c r="BQ10" s="23"/>
      <c r="BR10" s="23"/>
      <c r="BS10" s="43"/>
    </row>
    <row r="11" spans="1:72" s="150" customFormat="1" ht="13.5" customHeight="1" x14ac:dyDescent="0.15">
      <c r="A11" s="48" t="s">
        <v>5062</v>
      </c>
      <c r="B11" s="9" t="s">
        <v>5063</v>
      </c>
      <c r="C11" s="9"/>
      <c r="D11" s="9"/>
      <c r="E11" s="9"/>
      <c r="F11" s="112" t="s">
        <v>107</v>
      </c>
      <c r="G11" s="11" t="s">
        <v>5067</v>
      </c>
      <c r="H11" s="5" t="s">
        <v>5068</v>
      </c>
      <c r="I11" s="11" t="s">
        <v>936</v>
      </c>
      <c r="J11" s="357" t="s">
        <v>5066</v>
      </c>
      <c r="K11" s="353"/>
      <c r="L11" s="221">
        <v>21</v>
      </c>
      <c r="M11" s="221"/>
      <c r="N11" s="222" t="str">
        <f t="shared" si="0"/>
        <v>U7 Mixte</v>
      </c>
      <c r="O11" s="729">
        <v>21</v>
      </c>
      <c r="P11" s="729"/>
      <c r="Q11" s="730" t="str">
        <f t="shared" si="1"/>
        <v>U7 Mixte</v>
      </c>
      <c r="R11" s="732"/>
      <c r="S11" s="732"/>
      <c r="T11" s="732"/>
      <c r="U11" s="732"/>
      <c r="V11" s="732"/>
      <c r="W11" s="732"/>
      <c r="X11" s="732" t="s">
        <v>192</v>
      </c>
      <c r="Y11" s="732"/>
      <c r="Z11" s="732"/>
      <c r="AA11" s="732"/>
      <c r="AB11" s="217" t="s">
        <v>2805</v>
      </c>
      <c r="AC11" s="155"/>
      <c r="AD11" s="155"/>
      <c r="AE11" s="155"/>
      <c r="AF11" s="12"/>
      <c r="AG11" s="369"/>
      <c r="AH11" s="392"/>
      <c r="AI11" s="432"/>
      <c r="AJ11" s="18">
        <v>45697</v>
      </c>
      <c r="AK11" s="13">
        <v>2027</v>
      </c>
      <c r="AL11" s="18">
        <v>44078</v>
      </c>
      <c r="AM11" s="5" t="s">
        <v>5069</v>
      </c>
      <c r="AN11" s="10"/>
      <c r="AO11" s="11"/>
      <c r="AP11" s="53"/>
      <c r="AQ11" s="10" t="s">
        <v>5070</v>
      </c>
      <c r="AR11" s="68" t="s">
        <v>5071</v>
      </c>
      <c r="AS11" s="62"/>
      <c r="AT11" s="62"/>
      <c r="AU11" s="10"/>
      <c r="AV11" s="10"/>
      <c r="AW11" s="13"/>
      <c r="AX11" s="11"/>
      <c r="AY11" s="11"/>
      <c r="AZ11" s="11"/>
      <c r="BA11" s="11"/>
      <c r="BB11" s="59"/>
      <c r="BC11" s="59"/>
      <c r="BD11" s="59"/>
      <c r="BE11" s="59"/>
      <c r="BF11" s="59"/>
      <c r="BG11" s="59"/>
      <c r="BH11" s="138"/>
      <c r="BI11" s="138"/>
      <c r="BJ11" s="138"/>
      <c r="BK11" s="231"/>
      <c r="BL11" s="231"/>
      <c r="BM11" s="231"/>
      <c r="BN11" s="232"/>
      <c r="BO11" s="11"/>
      <c r="BP11" s="11"/>
      <c r="BQ11" s="11"/>
      <c r="BR11" s="11"/>
      <c r="BS11" s="394"/>
      <c r="BT11"/>
    </row>
    <row r="12" spans="1:72" s="150" customFormat="1" ht="13.5" customHeight="1" x14ac:dyDescent="0.15">
      <c r="A12" s="48" t="s">
        <v>399</v>
      </c>
      <c r="B12" s="9" t="s">
        <v>467</v>
      </c>
      <c r="C12" s="9"/>
      <c r="D12" s="9"/>
      <c r="E12" s="9"/>
      <c r="F12" s="10" t="s">
        <v>401</v>
      </c>
      <c r="G12" s="10" t="s">
        <v>402</v>
      </c>
      <c r="H12" s="5" t="s">
        <v>403</v>
      </c>
      <c r="I12" s="11" t="s">
        <v>404</v>
      </c>
      <c r="J12" s="357" t="s">
        <v>320</v>
      </c>
      <c r="K12" s="353"/>
      <c r="L12" s="221">
        <v>2</v>
      </c>
      <c r="M12" s="221"/>
      <c r="N12" s="222" t="str">
        <f t="shared" si="0"/>
        <v>Seniors - Hommes</v>
      </c>
      <c r="O12" s="729">
        <v>2</v>
      </c>
      <c r="P12" s="729"/>
      <c r="Q12" s="730" t="str">
        <f t="shared" si="1"/>
        <v>Seniors - Hommes</v>
      </c>
      <c r="R12" s="731"/>
      <c r="S12" s="731"/>
      <c r="T12" s="731"/>
      <c r="U12" s="731"/>
      <c r="V12" s="731"/>
      <c r="W12" s="731"/>
      <c r="X12" s="731"/>
      <c r="Y12" s="731"/>
      <c r="Z12" s="731"/>
      <c r="AA12" s="731"/>
      <c r="AB12" s="12" t="s">
        <v>2923</v>
      </c>
      <c r="AC12" s="12"/>
      <c r="AD12" s="12"/>
      <c r="AE12" s="12"/>
      <c r="AF12" s="12"/>
      <c r="AG12" s="369"/>
      <c r="AH12" s="370"/>
      <c r="AI12" s="18">
        <v>43027</v>
      </c>
      <c r="AJ12" s="18">
        <v>42491</v>
      </c>
      <c r="AK12" s="13">
        <v>2035</v>
      </c>
      <c r="AL12" s="18">
        <v>38476</v>
      </c>
      <c r="AM12" s="19" t="s">
        <v>472</v>
      </c>
      <c r="AN12" s="19"/>
      <c r="AO12" s="10" t="s">
        <v>413</v>
      </c>
      <c r="AP12" s="40"/>
      <c r="AQ12" s="20" t="s">
        <v>3510</v>
      </c>
      <c r="AR12" s="395" t="s">
        <v>5101</v>
      </c>
      <c r="AS12" s="62"/>
      <c r="AT12" s="62"/>
      <c r="AU12" s="11"/>
      <c r="AV12" s="10"/>
      <c r="AW12" s="11"/>
      <c r="AX12" s="11"/>
      <c r="AY12" s="11"/>
      <c r="AZ12" s="11"/>
      <c r="BA12" s="11"/>
      <c r="BB12" s="59"/>
      <c r="BC12" s="59"/>
      <c r="BD12" s="59"/>
      <c r="BE12" s="59"/>
      <c r="BF12" s="59"/>
      <c r="BG12" s="59"/>
      <c r="BH12" s="138"/>
      <c r="BI12" s="138"/>
      <c r="BJ12" s="138"/>
      <c r="BK12" s="231"/>
      <c r="BL12" s="231"/>
      <c r="BM12" s="231"/>
      <c r="BN12" s="232"/>
      <c r="BO12" s="19"/>
      <c r="BP12" s="23"/>
      <c r="BQ12" s="23"/>
      <c r="BR12" s="23"/>
      <c r="BS12" s="43"/>
    </row>
    <row r="13" spans="1:72" s="150" customFormat="1" ht="13.5" customHeight="1" x14ac:dyDescent="0.15">
      <c r="A13" s="48" t="s">
        <v>399</v>
      </c>
      <c r="B13" s="9" t="s">
        <v>453</v>
      </c>
      <c r="C13" s="9"/>
      <c r="D13" s="9"/>
      <c r="E13" s="9"/>
      <c r="F13" s="10" t="s">
        <v>401</v>
      </c>
      <c r="G13" s="10" t="s">
        <v>402</v>
      </c>
      <c r="H13" s="5" t="s">
        <v>403</v>
      </c>
      <c r="I13" s="11" t="s">
        <v>404</v>
      </c>
      <c r="J13" s="357" t="s">
        <v>320</v>
      </c>
      <c r="K13" s="353"/>
      <c r="L13" s="382">
        <v>2</v>
      </c>
      <c r="M13" s="382"/>
      <c r="N13" s="383" t="str">
        <f t="shared" si="0"/>
        <v>Seniors - Hommes</v>
      </c>
      <c r="O13" s="735">
        <v>2</v>
      </c>
      <c r="P13" s="735"/>
      <c r="Q13" s="730" t="str">
        <f t="shared" si="1"/>
        <v>Seniors - Hommes</v>
      </c>
      <c r="R13" s="732"/>
      <c r="S13" s="732"/>
      <c r="T13" s="732"/>
      <c r="U13" s="732"/>
      <c r="V13" s="732"/>
      <c r="W13" s="732"/>
      <c r="X13" s="732"/>
      <c r="Y13" s="732"/>
      <c r="Z13" s="732"/>
      <c r="AA13" s="732"/>
      <c r="AB13" s="61" t="s">
        <v>2922</v>
      </c>
      <c r="AC13" s="155"/>
      <c r="AD13" s="155"/>
      <c r="AE13" s="155"/>
      <c r="AF13" s="12"/>
      <c r="AG13" s="386"/>
      <c r="AH13" s="392"/>
      <c r="AI13" s="114">
        <v>40645</v>
      </c>
      <c r="AJ13" s="114">
        <v>42628</v>
      </c>
      <c r="AK13" s="71">
        <v>2031</v>
      </c>
      <c r="AL13" s="114">
        <v>37023</v>
      </c>
      <c r="AM13" s="115" t="s">
        <v>461</v>
      </c>
      <c r="AN13" s="10"/>
      <c r="AO13" s="11"/>
      <c r="AP13" s="112" t="s">
        <v>413</v>
      </c>
      <c r="AQ13" s="116" t="s">
        <v>462</v>
      </c>
      <c r="AR13" s="396" t="s">
        <v>463</v>
      </c>
      <c r="AS13" s="62"/>
      <c r="AT13" s="62"/>
      <c r="AU13" s="10"/>
      <c r="AV13" s="10"/>
      <c r="AW13" s="13"/>
      <c r="AX13" s="11"/>
      <c r="AY13" s="11"/>
      <c r="AZ13" s="11"/>
      <c r="BA13" s="11"/>
      <c r="BB13" s="59"/>
      <c r="BC13" s="59"/>
      <c r="BD13" s="59"/>
      <c r="BE13" s="59"/>
      <c r="BF13" s="59"/>
      <c r="BG13" s="59"/>
      <c r="BH13" s="138"/>
      <c r="BI13" s="138"/>
      <c r="BJ13" s="138"/>
      <c r="BK13" s="231"/>
      <c r="BL13" s="231"/>
      <c r="BM13" s="231"/>
      <c r="BN13" s="232"/>
      <c r="BO13" s="11"/>
      <c r="BP13" s="11"/>
      <c r="BQ13" s="11"/>
      <c r="BR13" s="11"/>
      <c r="BS13" s="394"/>
      <c r="BT13"/>
    </row>
    <row r="14" spans="1:72" ht="13.5" customHeight="1" x14ac:dyDescent="0.15">
      <c r="A14" s="48" t="s">
        <v>5585</v>
      </c>
      <c r="B14" s="9" t="s">
        <v>5587</v>
      </c>
      <c r="C14" s="9"/>
      <c r="D14" s="9"/>
      <c r="E14" s="9"/>
      <c r="F14" s="112" t="s">
        <v>107</v>
      </c>
      <c r="G14" s="11" t="s">
        <v>5589</v>
      </c>
      <c r="H14" s="5" t="s">
        <v>5590</v>
      </c>
      <c r="I14" s="11" t="s">
        <v>2275</v>
      </c>
      <c r="J14" s="357" t="s">
        <v>5584</v>
      </c>
      <c r="K14" s="353"/>
      <c r="L14" s="221">
        <v>212</v>
      </c>
      <c r="M14" s="221"/>
      <c r="N14" s="222" t="str">
        <f t="shared" si="0"/>
        <v>Contact famille</v>
      </c>
      <c r="O14" s="729">
        <v>212</v>
      </c>
      <c r="P14" s="729"/>
      <c r="Q14" s="730" t="str">
        <f t="shared" si="1"/>
        <v>Contact famille</v>
      </c>
      <c r="R14" s="732"/>
      <c r="S14" s="732"/>
      <c r="T14" s="732"/>
      <c r="U14" s="732"/>
      <c r="V14" s="732" t="s">
        <v>313</v>
      </c>
      <c r="W14" s="732"/>
      <c r="X14" s="732"/>
      <c r="Y14" s="732"/>
      <c r="Z14" s="732"/>
      <c r="AA14" s="732"/>
      <c r="AB14" s="12"/>
      <c r="AC14" s="155"/>
      <c r="AD14" s="155"/>
      <c r="AE14" s="155"/>
      <c r="AF14" s="12"/>
      <c r="AG14" s="386"/>
      <c r="AH14" s="392"/>
      <c r="AI14" s="18" t="s">
        <v>242</v>
      </c>
      <c r="AJ14" s="18" t="s">
        <v>242</v>
      </c>
      <c r="AK14" s="13" t="s">
        <v>242</v>
      </c>
      <c r="AL14" s="13" t="s">
        <v>242</v>
      </c>
      <c r="AM14" s="46" t="s">
        <v>244</v>
      </c>
      <c r="AN14" s="10"/>
      <c r="AO14" s="11"/>
      <c r="AP14" s="53"/>
      <c r="AQ14" s="20">
        <v>691348144</v>
      </c>
      <c r="AR14" s="68" t="s">
        <v>5594</v>
      </c>
      <c r="AS14" s="62"/>
      <c r="AT14" s="62"/>
      <c r="AU14" s="10"/>
      <c r="AV14" s="10"/>
      <c r="AW14" s="13"/>
      <c r="AX14" s="11"/>
      <c r="AY14" s="11"/>
      <c r="AZ14" s="11"/>
      <c r="BA14" s="11"/>
      <c r="BB14" s="59"/>
      <c r="BC14" s="59"/>
      <c r="BD14" s="59"/>
      <c r="BE14" s="59"/>
      <c r="BF14" s="59"/>
      <c r="BG14" s="59"/>
      <c r="BH14" s="138"/>
      <c r="BI14" s="138"/>
      <c r="BJ14" s="138"/>
      <c r="BK14" s="231"/>
      <c r="BL14" s="231"/>
      <c r="BM14" s="231"/>
      <c r="BN14" s="232"/>
      <c r="BO14" s="11"/>
      <c r="BP14" s="11"/>
      <c r="BQ14" s="11"/>
      <c r="BR14" s="11"/>
      <c r="BS14" s="394"/>
    </row>
    <row r="15" spans="1:72" ht="13.5" customHeight="1" x14ac:dyDescent="0.15">
      <c r="A15" s="48" t="s">
        <v>5585</v>
      </c>
      <c r="B15" s="9" t="s">
        <v>1032</v>
      </c>
      <c r="C15" s="9"/>
      <c r="D15" s="9"/>
      <c r="E15" s="9"/>
      <c r="F15" s="112" t="s">
        <v>107</v>
      </c>
      <c r="G15" s="11" t="s">
        <v>5589</v>
      </c>
      <c r="H15" s="5" t="s">
        <v>5590</v>
      </c>
      <c r="I15" s="11" t="s">
        <v>2275</v>
      </c>
      <c r="J15" s="357" t="s">
        <v>5584</v>
      </c>
      <c r="K15" s="353"/>
      <c r="L15" s="221">
        <v>17</v>
      </c>
      <c r="M15" s="221"/>
      <c r="N15" s="222" t="str">
        <f t="shared" si="0"/>
        <v>U 11 Dames</v>
      </c>
      <c r="O15" s="729">
        <v>17</v>
      </c>
      <c r="P15" s="729"/>
      <c r="Q15" s="730" t="str">
        <f t="shared" si="1"/>
        <v>U 11 Dames</v>
      </c>
      <c r="R15" s="732"/>
      <c r="S15" s="732"/>
      <c r="T15" s="732"/>
      <c r="U15" s="732"/>
      <c r="V15" s="732" t="s">
        <v>192</v>
      </c>
      <c r="W15" s="732"/>
      <c r="X15" s="732"/>
      <c r="Y15" s="732"/>
      <c r="Z15" s="732"/>
      <c r="AA15" s="732"/>
      <c r="AB15" s="12" t="s">
        <v>5595</v>
      </c>
      <c r="AC15" s="155"/>
      <c r="AD15" s="155"/>
      <c r="AE15" s="155"/>
      <c r="AF15" s="12"/>
      <c r="AG15" s="386" t="s">
        <v>5578</v>
      </c>
      <c r="AH15" s="392"/>
      <c r="AI15" s="18">
        <v>46201</v>
      </c>
      <c r="AJ15" s="18">
        <v>46198</v>
      </c>
      <c r="AK15" s="13">
        <v>2028</v>
      </c>
      <c r="AL15" s="18">
        <v>42482</v>
      </c>
      <c r="AM15" s="5" t="s">
        <v>5591</v>
      </c>
      <c r="AN15" s="10"/>
      <c r="AO15" s="11"/>
      <c r="AP15" s="53" t="s">
        <v>5592</v>
      </c>
      <c r="AQ15" s="10" t="s">
        <v>5593</v>
      </c>
      <c r="AR15" s="68" t="s">
        <v>5594</v>
      </c>
      <c r="AS15" s="62"/>
      <c r="AT15" s="62"/>
      <c r="AU15" s="10"/>
      <c r="AV15" s="10"/>
      <c r="AW15" s="13"/>
      <c r="AX15" s="11"/>
      <c r="AY15" s="11"/>
      <c r="AZ15" s="11"/>
      <c r="BA15" s="11"/>
      <c r="BB15" s="59"/>
      <c r="BC15" s="59"/>
      <c r="BD15" s="59"/>
      <c r="BE15" s="59"/>
      <c r="BF15" s="59"/>
      <c r="BG15" s="59"/>
      <c r="BH15" s="138"/>
      <c r="BI15" s="138"/>
      <c r="BJ15" s="138"/>
      <c r="BK15" s="231"/>
      <c r="BL15" s="231"/>
      <c r="BM15" s="231"/>
      <c r="BN15" s="232"/>
      <c r="BO15" s="11"/>
      <c r="BP15" s="11"/>
      <c r="BQ15" s="11"/>
      <c r="BR15" s="11"/>
      <c r="BS15" s="394"/>
    </row>
    <row r="16" spans="1:72" s="150" customFormat="1" ht="13.5" customHeight="1" x14ac:dyDescent="0.15">
      <c r="A16" s="48" t="s">
        <v>4970</v>
      </c>
      <c r="B16" s="9" t="s">
        <v>1408</v>
      </c>
      <c r="C16" s="9"/>
      <c r="D16" s="9"/>
      <c r="E16" s="9"/>
      <c r="F16" s="112" t="s">
        <v>107</v>
      </c>
      <c r="G16" s="10" t="s">
        <v>5052</v>
      </c>
      <c r="H16" s="5" t="s">
        <v>617</v>
      </c>
      <c r="I16" s="11" t="s">
        <v>618</v>
      </c>
      <c r="J16" s="357" t="s">
        <v>893</v>
      </c>
      <c r="K16" s="353"/>
      <c r="L16" s="221">
        <v>212</v>
      </c>
      <c r="M16" s="221"/>
      <c r="N16" s="222" t="str">
        <f t="shared" si="0"/>
        <v>Contact famille</v>
      </c>
      <c r="O16" s="729">
        <v>212</v>
      </c>
      <c r="P16" s="729"/>
      <c r="Q16" s="730" t="str">
        <f t="shared" si="1"/>
        <v>Contact famille</v>
      </c>
      <c r="R16" s="731"/>
      <c r="S16" s="731"/>
      <c r="T16" s="731"/>
      <c r="U16" s="731" t="s">
        <v>313</v>
      </c>
      <c r="V16" s="731"/>
      <c r="W16" s="731"/>
      <c r="X16" s="731"/>
      <c r="Y16" s="731"/>
      <c r="Z16" s="731"/>
      <c r="AA16" s="731"/>
      <c r="AB16" s="12"/>
      <c r="AC16" s="12"/>
      <c r="AD16" s="577"/>
      <c r="AE16" s="12"/>
      <c r="AF16" s="12"/>
      <c r="AG16" s="369"/>
      <c r="AH16" s="370"/>
      <c r="AI16" s="18" t="s">
        <v>242</v>
      </c>
      <c r="AJ16" s="18" t="s">
        <v>242</v>
      </c>
      <c r="AK16" s="13" t="s">
        <v>242</v>
      </c>
      <c r="AL16" s="13" t="s">
        <v>242</v>
      </c>
      <c r="AM16" s="46" t="s">
        <v>244</v>
      </c>
      <c r="AN16" s="38"/>
      <c r="AO16" s="10"/>
      <c r="AP16" s="40"/>
      <c r="AQ16" s="20">
        <v>621430204</v>
      </c>
      <c r="AR16" s="47" t="s">
        <v>4975</v>
      </c>
      <c r="AS16" s="62"/>
      <c r="AT16" s="62"/>
      <c r="AU16" s="11"/>
      <c r="AV16" s="10"/>
      <c r="AW16" s="11"/>
      <c r="AX16" s="11"/>
      <c r="AY16" s="11"/>
      <c r="AZ16" s="11"/>
      <c r="BA16" s="11"/>
      <c r="BB16" s="59"/>
      <c r="BC16" s="59"/>
      <c r="BD16" s="59"/>
      <c r="BE16" s="59"/>
      <c r="BF16" s="59"/>
      <c r="BG16" s="59"/>
      <c r="BH16" s="138"/>
      <c r="BI16" s="138"/>
      <c r="BJ16" s="138"/>
      <c r="BK16" s="231"/>
      <c r="BL16" s="231"/>
      <c r="BM16" s="231"/>
      <c r="BN16" s="232"/>
      <c r="BO16" s="19"/>
      <c r="BP16" s="23"/>
      <c r="BQ16" s="23"/>
      <c r="BR16" s="23"/>
      <c r="BS16" s="43"/>
    </row>
    <row r="17" spans="1:72" s="150" customFormat="1" ht="13.5" customHeight="1" x14ac:dyDescent="0.15">
      <c r="A17" s="48" t="s">
        <v>4967</v>
      </c>
      <c r="B17" s="9" t="s">
        <v>4968</v>
      </c>
      <c r="C17" s="9"/>
      <c r="D17" s="9"/>
      <c r="E17" s="9"/>
      <c r="F17" s="112" t="s">
        <v>107</v>
      </c>
      <c r="G17" s="10" t="s">
        <v>5052</v>
      </c>
      <c r="H17" s="5" t="s">
        <v>617</v>
      </c>
      <c r="I17" s="11" t="s">
        <v>618</v>
      </c>
      <c r="J17" s="357" t="s">
        <v>893</v>
      </c>
      <c r="K17" s="353"/>
      <c r="L17" s="221">
        <v>6</v>
      </c>
      <c r="M17" s="221"/>
      <c r="N17" s="222" t="str">
        <f t="shared" si="0"/>
        <v>U 13 Hommes</v>
      </c>
      <c r="O17" s="729">
        <v>6</v>
      </c>
      <c r="P17" s="729"/>
      <c r="Q17" s="730" t="str">
        <f t="shared" si="1"/>
        <v>U 13 Hommes</v>
      </c>
      <c r="R17" s="731"/>
      <c r="S17" s="731"/>
      <c r="T17" s="731"/>
      <c r="U17" s="731" t="s">
        <v>192</v>
      </c>
      <c r="V17" s="731"/>
      <c r="W17" s="731"/>
      <c r="X17" s="731"/>
      <c r="Y17" s="731"/>
      <c r="Z17" s="731"/>
      <c r="AA17" s="731"/>
      <c r="AB17" s="12" t="s">
        <v>5053</v>
      </c>
      <c r="AC17" s="12"/>
      <c r="AD17" s="576"/>
      <c r="AE17" s="12"/>
      <c r="AF17" s="12"/>
      <c r="AG17" s="369"/>
      <c r="AH17" s="370"/>
      <c r="AI17" s="18">
        <v>45678</v>
      </c>
      <c r="AJ17" s="18">
        <v>45601</v>
      </c>
      <c r="AK17" s="13">
        <v>2029</v>
      </c>
      <c r="AL17" s="18">
        <v>41863</v>
      </c>
      <c r="AM17" s="19" t="s">
        <v>4971</v>
      </c>
      <c r="AN17" s="38"/>
      <c r="AO17" s="10"/>
      <c r="AP17" s="40" t="s">
        <v>4972</v>
      </c>
      <c r="AQ17" s="10" t="s">
        <v>4973</v>
      </c>
      <c r="AR17" s="47" t="s">
        <v>4974</v>
      </c>
      <c r="AS17" s="62"/>
      <c r="AT17" s="62"/>
      <c r="AU17" s="11"/>
      <c r="AV17" s="10"/>
      <c r="AW17" s="11"/>
      <c r="AX17" s="11"/>
      <c r="AY17" s="11"/>
      <c r="AZ17" s="11"/>
      <c r="BA17" s="11"/>
      <c r="BB17" s="59"/>
      <c r="BC17" s="59"/>
      <c r="BD17" s="59"/>
      <c r="BE17" s="59"/>
      <c r="BF17" s="59"/>
      <c r="BG17" s="59"/>
      <c r="BH17" s="138"/>
      <c r="BI17" s="138"/>
      <c r="BJ17" s="138"/>
      <c r="BK17" s="231"/>
      <c r="BL17" s="231"/>
      <c r="BM17" s="231"/>
      <c r="BN17" s="232"/>
      <c r="BO17" s="19"/>
      <c r="BP17" s="23"/>
      <c r="BQ17" s="23"/>
      <c r="BR17" s="23"/>
      <c r="BS17" s="43"/>
    </row>
    <row r="18" spans="1:72" ht="13" x14ac:dyDescent="0.15">
      <c r="A18" s="48" t="s">
        <v>4535</v>
      </c>
      <c r="B18" s="9" t="s">
        <v>2335</v>
      </c>
      <c r="C18" s="9"/>
      <c r="D18" s="9"/>
      <c r="E18" s="9"/>
      <c r="F18" s="112" t="s">
        <v>107</v>
      </c>
      <c r="G18" s="10" t="s">
        <v>4537</v>
      </c>
      <c r="H18" s="5" t="s">
        <v>4538</v>
      </c>
      <c r="I18" s="11" t="s">
        <v>223</v>
      </c>
      <c r="J18" s="357" t="s">
        <v>4534</v>
      </c>
      <c r="K18" s="353"/>
      <c r="L18" s="221">
        <v>212</v>
      </c>
      <c r="M18" s="221"/>
      <c r="N18" s="222" t="str">
        <f t="shared" si="0"/>
        <v>Contact famille</v>
      </c>
      <c r="O18" s="729">
        <v>212</v>
      </c>
      <c r="P18" s="729"/>
      <c r="Q18" s="730" t="str">
        <f t="shared" si="1"/>
        <v>Contact famille</v>
      </c>
      <c r="R18" s="731"/>
      <c r="S18" s="731"/>
      <c r="T18" s="731"/>
      <c r="U18" s="731"/>
      <c r="V18" s="731" t="s">
        <v>313</v>
      </c>
      <c r="W18" s="731" t="s">
        <v>313</v>
      </c>
      <c r="X18" s="731"/>
      <c r="Y18" s="731"/>
      <c r="Z18" s="731"/>
      <c r="AA18" s="731"/>
      <c r="AB18" s="12"/>
      <c r="AC18" s="12"/>
      <c r="AD18" s="12"/>
      <c r="AE18" s="12"/>
      <c r="AF18" s="12"/>
      <c r="AG18" s="369"/>
      <c r="AH18" s="370"/>
      <c r="AI18" s="18" t="s">
        <v>242</v>
      </c>
      <c r="AJ18" s="18" t="s">
        <v>242</v>
      </c>
      <c r="AK18" s="13" t="s">
        <v>242</v>
      </c>
      <c r="AL18" s="18" t="s">
        <v>242</v>
      </c>
      <c r="AM18" s="19" t="s">
        <v>244</v>
      </c>
      <c r="AN18" s="38"/>
      <c r="AO18" s="10"/>
      <c r="AP18" s="40"/>
      <c r="AQ18" s="20"/>
      <c r="AR18" s="47"/>
      <c r="AS18" s="62"/>
      <c r="AT18" s="62"/>
      <c r="AU18" s="11"/>
      <c r="AV18" s="10"/>
      <c r="AW18" s="11"/>
      <c r="AX18" s="11"/>
      <c r="AY18" s="11"/>
      <c r="AZ18" s="11"/>
      <c r="BA18" s="11"/>
      <c r="BB18" s="59"/>
      <c r="BC18" s="59"/>
      <c r="BD18" s="59"/>
      <c r="BE18" s="59"/>
      <c r="BF18" s="59"/>
      <c r="BG18" s="59"/>
      <c r="BH18" s="138"/>
      <c r="BI18" s="138"/>
      <c r="BJ18" s="138"/>
      <c r="BK18" s="231"/>
      <c r="BL18" s="231"/>
      <c r="BM18" s="231"/>
      <c r="BN18" s="232"/>
      <c r="BO18" s="19"/>
      <c r="BP18" s="23"/>
      <c r="BQ18" s="23"/>
      <c r="BR18" s="23"/>
      <c r="BS18" s="43"/>
      <c r="BT18" s="150"/>
    </row>
    <row r="19" spans="1:72" s="150" customFormat="1" ht="13.5" customHeight="1" x14ac:dyDescent="0.15">
      <c r="A19" s="48" t="s">
        <v>4535</v>
      </c>
      <c r="B19" s="9" t="s">
        <v>4379</v>
      </c>
      <c r="C19" s="9"/>
      <c r="D19" s="9"/>
      <c r="E19" s="9"/>
      <c r="F19" s="112" t="s">
        <v>107</v>
      </c>
      <c r="G19" s="10" t="s">
        <v>4537</v>
      </c>
      <c r="H19" s="5" t="s">
        <v>4538</v>
      </c>
      <c r="I19" s="11" t="s">
        <v>223</v>
      </c>
      <c r="J19" s="357" t="s">
        <v>4534</v>
      </c>
      <c r="K19" s="353"/>
      <c r="L19" s="221">
        <v>17</v>
      </c>
      <c r="M19" s="221"/>
      <c r="N19" s="222" t="str">
        <f t="shared" si="0"/>
        <v>U 11 Dames</v>
      </c>
      <c r="O19" s="729">
        <v>17</v>
      </c>
      <c r="P19" s="729"/>
      <c r="Q19" s="730" t="str">
        <f t="shared" si="1"/>
        <v>U 11 Dames</v>
      </c>
      <c r="R19" s="731"/>
      <c r="S19" s="731"/>
      <c r="T19" s="731"/>
      <c r="U19" s="731"/>
      <c r="V19" s="731" t="s">
        <v>192</v>
      </c>
      <c r="W19" s="731"/>
      <c r="X19" s="731"/>
      <c r="Y19" s="731"/>
      <c r="Z19" s="731"/>
      <c r="AA19" s="731"/>
      <c r="AB19" s="12" t="s">
        <v>4558</v>
      </c>
      <c r="AC19" s="12"/>
      <c r="AD19" s="12" t="s">
        <v>252</v>
      </c>
      <c r="AE19" s="12"/>
      <c r="AF19" s="12"/>
      <c r="AG19" s="369"/>
      <c r="AH19" s="370"/>
      <c r="AI19" s="18">
        <v>45210</v>
      </c>
      <c r="AJ19" s="18">
        <v>45191</v>
      </c>
      <c r="AK19" s="13">
        <v>2027</v>
      </c>
      <c r="AL19" s="18">
        <v>42282</v>
      </c>
      <c r="AM19" s="19" t="s">
        <v>4547</v>
      </c>
      <c r="AN19" s="38"/>
      <c r="AO19" s="10"/>
      <c r="AP19" s="40"/>
      <c r="AQ19" s="20">
        <v>621371615</v>
      </c>
      <c r="AR19" s="47" t="s">
        <v>4539</v>
      </c>
      <c r="AS19" s="62"/>
      <c r="AT19" s="62"/>
      <c r="AU19" s="11"/>
      <c r="AV19" s="10"/>
      <c r="AW19" s="11"/>
      <c r="AX19" s="11"/>
      <c r="AY19" s="11"/>
      <c r="AZ19" s="11"/>
      <c r="BA19" s="11"/>
      <c r="BB19" s="59"/>
      <c r="BC19" s="59"/>
      <c r="BD19" s="59"/>
      <c r="BE19" s="59"/>
      <c r="BF19" s="59"/>
      <c r="BG19" s="59"/>
      <c r="BH19" s="138"/>
      <c r="BI19" s="138"/>
      <c r="BJ19" s="138"/>
      <c r="BK19" s="231"/>
      <c r="BL19" s="231"/>
      <c r="BM19" s="231"/>
      <c r="BN19" s="232"/>
      <c r="BO19" s="19"/>
      <c r="BP19" s="23"/>
      <c r="BQ19" s="23"/>
      <c r="BR19" s="23"/>
      <c r="BS19" s="43"/>
      <c r="BT19"/>
    </row>
    <row r="20" spans="1:72" s="150" customFormat="1" ht="13.5" customHeight="1" x14ac:dyDescent="0.15">
      <c r="A20" s="48" t="s">
        <v>4535</v>
      </c>
      <c r="B20" s="9" t="s">
        <v>4536</v>
      </c>
      <c r="C20" s="9"/>
      <c r="D20" s="9"/>
      <c r="E20" s="9"/>
      <c r="F20" s="112" t="s">
        <v>107</v>
      </c>
      <c r="G20" s="10" t="s">
        <v>4537</v>
      </c>
      <c r="H20" s="5" t="s">
        <v>4538</v>
      </c>
      <c r="I20" s="11" t="s">
        <v>223</v>
      </c>
      <c r="J20" s="357" t="s">
        <v>4534</v>
      </c>
      <c r="K20" s="353"/>
      <c r="L20" s="221">
        <v>8</v>
      </c>
      <c r="M20" s="221"/>
      <c r="N20" s="222" t="str">
        <f t="shared" si="0"/>
        <v xml:space="preserve">U 9 Hommes </v>
      </c>
      <c r="O20" s="729">
        <v>8</v>
      </c>
      <c r="P20" s="729"/>
      <c r="Q20" s="730" t="str">
        <f t="shared" si="1"/>
        <v xml:space="preserve">U 9 Hommes </v>
      </c>
      <c r="R20" s="731"/>
      <c r="S20" s="731"/>
      <c r="T20" s="731"/>
      <c r="U20" s="731"/>
      <c r="V20" s="731"/>
      <c r="W20" s="731" t="s">
        <v>192</v>
      </c>
      <c r="X20" s="731"/>
      <c r="Y20" s="731"/>
      <c r="Z20" s="731"/>
      <c r="AA20" s="731"/>
      <c r="AB20" s="12" t="s">
        <v>4600</v>
      </c>
      <c r="AC20" s="12"/>
      <c r="AD20" s="12"/>
      <c r="AE20" s="12"/>
      <c r="AF20" s="12"/>
      <c r="AG20" s="369"/>
      <c r="AH20" s="370"/>
      <c r="AI20" s="18">
        <v>45225</v>
      </c>
      <c r="AJ20" s="18">
        <v>45191</v>
      </c>
      <c r="AK20" s="36">
        <v>2024</v>
      </c>
      <c r="AL20" s="18">
        <v>42851</v>
      </c>
      <c r="AM20" s="19" t="s">
        <v>4548</v>
      </c>
      <c r="AN20" s="38"/>
      <c r="AO20" s="10"/>
      <c r="AP20" s="40"/>
      <c r="AQ20" s="20">
        <v>621371615</v>
      </c>
      <c r="AR20" s="47" t="s">
        <v>4539</v>
      </c>
      <c r="AS20" s="62"/>
      <c r="AT20" s="62"/>
      <c r="AU20" s="11"/>
      <c r="AV20" s="10"/>
      <c r="AW20" s="11"/>
      <c r="AX20" s="11"/>
      <c r="AY20" s="11"/>
      <c r="AZ20" s="11"/>
      <c r="BA20" s="11"/>
      <c r="BB20" s="59"/>
      <c r="BC20" s="59"/>
      <c r="BD20" s="59"/>
      <c r="BE20" s="59"/>
      <c r="BF20" s="59"/>
      <c r="BG20" s="59"/>
      <c r="BH20" s="138"/>
      <c r="BI20" s="138"/>
      <c r="BJ20" s="138"/>
      <c r="BK20" s="231"/>
      <c r="BL20" s="231"/>
      <c r="BM20" s="231"/>
      <c r="BN20" s="232"/>
      <c r="BO20" s="19"/>
      <c r="BP20" s="23"/>
      <c r="BQ20" s="23"/>
      <c r="BR20" s="23"/>
      <c r="BS20" s="43"/>
      <c r="BT20"/>
    </row>
    <row r="21" spans="1:72" s="150" customFormat="1" ht="13.5" customHeight="1" x14ac:dyDescent="0.15">
      <c r="A21" s="48" t="s">
        <v>5178</v>
      </c>
      <c r="B21" s="9" t="s">
        <v>5180</v>
      </c>
      <c r="C21" s="9"/>
      <c r="D21" s="9"/>
      <c r="E21" s="9"/>
      <c r="F21" s="112" t="s">
        <v>568</v>
      </c>
      <c r="G21" s="11" t="s">
        <v>5181</v>
      </c>
      <c r="H21" s="5" t="s">
        <v>5182</v>
      </c>
      <c r="I21" s="11" t="s">
        <v>241</v>
      </c>
      <c r="J21" s="357" t="s">
        <v>2511</v>
      </c>
      <c r="K21" s="353"/>
      <c r="L21" s="221">
        <v>212</v>
      </c>
      <c r="M21" s="221"/>
      <c r="N21" s="222" t="str">
        <f t="shared" si="0"/>
        <v>Contact famille</v>
      </c>
      <c r="O21" s="729">
        <v>212</v>
      </c>
      <c r="P21" s="729"/>
      <c r="Q21" s="730" t="str">
        <f t="shared" si="1"/>
        <v>Contact famille</v>
      </c>
      <c r="R21" s="732"/>
      <c r="S21" s="732"/>
      <c r="T21" s="732"/>
      <c r="U21" s="732"/>
      <c r="V21" s="732" t="s">
        <v>313</v>
      </c>
      <c r="W21" s="732"/>
      <c r="X21" s="732"/>
      <c r="Y21" s="732"/>
      <c r="Z21" s="732"/>
      <c r="AA21" s="732" t="s">
        <v>313</v>
      </c>
      <c r="AB21" s="12"/>
      <c r="AC21" s="155"/>
      <c r="AD21" s="155"/>
      <c r="AE21" s="155"/>
      <c r="AF21" s="12"/>
      <c r="AG21" s="386"/>
      <c r="AH21" s="392"/>
      <c r="AI21" s="18" t="s">
        <v>242</v>
      </c>
      <c r="AJ21" s="18" t="s">
        <v>242</v>
      </c>
      <c r="AK21" s="13" t="s">
        <v>242</v>
      </c>
      <c r="AL21" s="18" t="s">
        <v>242</v>
      </c>
      <c r="AM21" s="19" t="s">
        <v>244</v>
      </c>
      <c r="AN21" s="10"/>
      <c r="AO21" s="11"/>
      <c r="AP21" s="53"/>
      <c r="AQ21" s="226"/>
      <c r="AR21" s="11"/>
      <c r="AS21" s="62"/>
      <c r="AT21" s="62"/>
      <c r="AU21" s="10"/>
      <c r="AV21" s="10"/>
      <c r="AW21" s="13"/>
      <c r="AX21" s="11"/>
      <c r="AY21" s="11"/>
      <c r="AZ21" s="11"/>
      <c r="BA21" s="11"/>
      <c r="BB21" s="59"/>
      <c r="BC21" s="59"/>
      <c r="BD21" s="59"/>
      <c r="BE21" s="59"/>
      <c r="BF21" s="59"/>
      <c r="BG21" s="59"/>
      <c r="BH21" s="138"/>
      <c r="BI21" s="138"/>
      <c r="BJ21" s="138"/>
      <c r="BK21" s="231"/>
      <c r="BL21" s="231"/>
      <c r="BM21" s="231"/>
      <c r="BN21" s="232"/>
      <c r="BO21" s="11"/>
      <c r="BP21" s="11"/>
      <c r="BQ21" s="11"/>
      <c r="BR21" s="11"/>
      <c r="BS21" s="394"/>
      <c r="BT21"/>
    </row>
    <row r="22" spans="1:72" s="150" customFormat="1" ht="13.5" customHeight="1" x14ac:dyDescent="0.15">
      <c r="A22" s="48" t="s">
        <v>5178</v>
      </c>
      <c r="B22" s="9" t="s">
        <v>5179</v>
      </c>
      <c r="C22" s="9"/>
      <c r="D22" s="9"/>
      <c r="E22" s="9"/>
      <c r="F22" s="112" t="s">
        <v>568</v>
      </c>
      <c r="G22" s="11" t="s">
        <v>5181</v>
      </c>
      <c r="H22" s="5" t="s">
        <v>5182</v>
      </c>
      <c r="I22" s="11" t="s">
        <v>241</v>
      </c>
      <c r="J22" s="357" t="s">
        <v>2511</v>
      </c>
      <c r="K22" s="353"/>
      <c r="L22" s="221">
        <v>212</v>
      </c>
      <c r="M22" s="221"/>
      <c r="N22" s="222" t="str">
        <f t="shared" si="0"/>
        <v>Contact famille</v>
      </c>
      <c r="O22" s="729">
        <v>212</v>
      </c>
      <c r="P22" s="729"/>
      <c r="Q22" s="730" t="str">
        <f t="shared" si="1"/>
        <v>Contact famille</v>
      </c>
      <c r="R22" s="732"/>
      <c r="S22" s="732"/>
      <c r="T22" s="732"/>
      <c r="U22" s="732"/>
      <c r="V22" s="732" t="s">
        <v>313</v>
      </c>
      <c r="W22" s="732"/>
      <c r="X22" s="732"/>
      <c r="Y22" s="732"/>
      <c r="Z22" s="732"/>
      <c r="AA22" s="732" t="s">
        <v>313</v>
      </c>
      <c r="AB22" s="12"/>
      <c r="AC22" s="155"/>
      <c r="AD22" s="155"/>
      <c r="AE22" s="155"/>
      <c r="AF22" s="12"/>
      <c r="AG22" s="386"/>
      <c r="AH22" s="392"/>
      <c r="AI22" s="18" t="s">
        <v>242</v>
      </c>
      <c r="AJ22" s="18" t="s">
        <v>242</v>
      </c>
      <c r="AK22" s="13" t="s">
        <v>242</v>
      </c>
      <c r="AL22" s="13" t="s">
        <v>242</v>
      </c>
      <c r="AM22" s="46" t="s">
        <v>244</v>
      </c>
      <c r="AN22" s="10"/>
      <c r="AO22" s="11"/>
      <c r="AP22" s="53"/>
      <c r="AQ22" s="20">
        <v>691736062</v>
      </c>
      <c r="AR22" s="68" t="s">
        <v>5184</v>
      </c>
      <c r="AS22" s="62"/>
      <c r="AT22" s="62"/>
      <c r="AU22" s="10"/>
      <c r="AV22" s="10"/>
      <c r="AW22" s="13"/>
      <c r="AX22" s="11"/>
      <c r="AY22" s="11"/>
      <c r="AZ22" s="11"/>
      <c r="BA22" s="11"/>
      <c r="BB22" s="59"/>
      <c r="BC22" s="59"/>
      <c r="BD22" s="59"/>
      <c r="BE22" s="59"/>
      <c r="BF22" s="59"/>
      <c r="BG22" s="59"/>
      <c r="BH22" s="138"/>
      <c r="BI22" s="138"/>
      <c r="BJ22" s="138"/>
      <c r="BK22" s="231"/>
      <c r="BL22" s="231"/>
      <c r="BM22" s="231"/>
      <c r="BN22" s="232"/>
      <c r="BO22" s="11"/>
      <c r="BP22" s="11"/>
      <c r="BQ22" s="11"/>
      <c r="BR22" s="11"/>
      <c r="BS22" s="394"/>
      <c r="BT22"/>
    </row>
    <row r="23" spans="1:72" s="150" customFormat="1" ht="13.5" customHeight="1" x14ac:dyDescent="0.15">
      <c r="A23" s="48" t="s">
        <v>5178</v>
      </c>
      <c r="B23" s="9" t="s">
        <v>1664</v>
      </c>
      <c r="C23" s="9"/>
      <c r="D23" s="9"/>
      <c r="E23" s="9"/>
      <c r="F23" s="112" t="s">
        <v>568</v>
      </c>
      <c r="G23" s="11" t="s">
        <v>5181</v>
      </c>
      <c r="H23" s="5" t="s">
        <v>5182</v>
      </c>
      <c r="I23" s="11" t="s">
        <v>241</v>
      </c>
      <c r="J23" s="357" t="s">
        <v>2511</v>
      </c>
      <c r="K23" s="353"/>
      <c r="L23" s="221">
        <v>15</v>
      </c>
      <c r="M23" s="221"/>
      <c r="N23" s="222" t="str">
        <f t="shared" si="0"/>
        <v>U 13 Dames</v>
      </c>
      <c r="O23" s="729">
        <v>15</v>
      </c>
      <c r="P23" s="729"/>
      <c r="Q23" s="730" t="str">
        <f t="shared" si="1"/>
        <v>U 13 Dames</v>
      </c>
      <c r="R23" s="732"/>
      <c r="S23" s="732"/>
      <c r="T23" s="732"/>
      <c r="U23" s="732"/>
      <c r="V23" s="732"/>
      <c r="W23" s="732"/>
      <c r="X23" s="732"/>
      <c r="Y23" s="732"/>
      <c r="Z23" s="732"/>
      <c r="AA23" s="732" t="s">
        <v>192</v>
      </c>
      <c r="AB23" s="12" t="s">
        <v>5283</v>
      </c>
      <c r="AC23" s="155"/>
      <c r="AD23" s="155"/>
      <c r="AE23" s="155"/>
      <c r="AF23" s="12"/>
      <c r="AG23" s="386" t="s">
        <v>5173</v>
      </c>
      <c r="AH23" s="392"/>
      <c r="AI23" s="18">
        <v>45916</v>
      </c>
      <c r="AJ23" s="18">
        <v>45840</v>
      </c>
      <c r="AK23" s="13">
        <v>2029</v>
      </c>
      <c r="AL23" s="18">
        <v>41848</v>
      </c>
      <c r="AM23" s="5" t="s">
        <v>5183</v>
      </c>
      <c r="AN23" s="10"/>
      <c r="AO23" s="11"/>
      <c r="AP23" s="53" t="s">
        <v>252</v>
      </c>
      <c r="AQ23" s="20">
        <v>691736062</v>
      </c>
      <c r="AR23" s="68" t="s">
        <v>5184</v>
      </c>
      <c r="AS23" s="62"/>
      <c r="AT23" s="62"/>
      <c r="AU23" s="10"/>
      <c r="AV23" s="10"/>
      <c r="AW23" s="13"/>
      <c r="AX23" s="11"/>
      <c r="AY23" s="11"/>
      <c r="AZ23" s="11"/>
      <c r="BA23" s="11"/>
      <c r="BB23" s="59"/>
      <c r="BC23" s="59"/>
      <c r="BD23" s="59"/>
      <c r="BE23" s="59"/>
      <c r="BF23" s="59"/>
      <c r="BG23" s="59"/>
      <c r="BH23" s="138"/>
      <c r="BI23" s="138"/>
      <c r="BJ23" s="138"/>
      <c r="BK23" s="231"/>
      <c r="BL23" s="231"/>
      <c r="BM23" s="231"/>
      <c r="BN23" s="232"/>
      <c r="BO23" s="11"/>
      <c r="BP23" s="11"/>
      <c r="BQ23" s="11"/>
      <c r="BR23" s="11"/>
      <c r="BS23" s="394"/>
      <c r="BT23"/>
    </row>
    <row r="24" spans="1:72" ht="13.5" customHeight="1" x14ac:dyDescent="0.15">
      <c r="A24" s="48" t="s">
        <v>5178</v>
      </c>
      <c r="B24" s="9" t="s">
        <v>5408</v>
      </c>
      <c r="C24" s="9"/>
      <c r="D24" s="9"/>
      <c r="E24" s="9"/>
      <c r="F24" s="112" t="s">
        <v>568</v>
      </c>
      <c r="G24" s="11" t="s">
        <v>5181</v>
      </c>
      <c r="H24" s="5" t="s">
        <v>5375</v>
      </c>
      <c r="I24" s="11" t="s">
        <v>241</v>
      </c>
      <c r="J24" s="357" t="s">
        <v>2511</v>
      </c>
      <c r="K24" s="353"/>
      <c r="L24" s="221">
        <v>17</v>
      </c>
      <c r="M24" s="221"/>
      <c r="N24" s="222" t="str">
        <f t="shared" si="0"/>
        <v>U 11 Dames</v>
      </c>
      <c r="O24" s="729">
        <v>17</v>
      </c>
      <c r="P24" s="729"/>
      <c r="Q24" s="730" t="str">
        <f t="shared" si="1"/>
        <v>U 11 Dames</v>
      </c>
      <c r="R24" s="732"/>
      <c r="S24" s="732"/>
      <c r="T24" s="732"/>
      <c r="U24" s="732"/>
      <c r="V24" s="732" t="s">
        <v>192</v>
      </c>
      <c r="W24" s="732"/>
      <c r="X24" s="732"/>
      <c r="Y24" s="732"/>
      <c r="Z24" s="732"/>
      <c r="AA24" s="732"/>
      <c r="AB24" s="12" t="s">
        <v>5409</v>
      </c>
      <c r="AC24" s="155"/>
      <c r="AD24" s="155"/>
      <c r="AE24" s="155"/>
      <c r="AF24" s="12"/>
      <c r="AG24" s="386" t="s">
        <v>5173</v>
      </c>
      <c r="AH24" s="392"/>
      <c r="AI24" s="18">
        <v>45996</v>
      </c>
      <c r="AJ24" s="18">
        <v>45950</v>
      </c>
      <c r="AK24" s="13">
        <v>2028</v>
      </c>
      <c r="AL24" s="18">
        <v>42692</v>
      </c>
      <c r="AM24" s="5" t="s">
        <v>5377</v>
      </c>
      <c r="AN24" s="10"/>
      <c r="AO24" s="11"/>
      <c r="AP24" s="53"/>
      <c r="AQ24" s="20">
        <v>691736062</v>
      </c>
      <c r="AR24" s="68" t="s">
        <v>5184</v>
      </c>
      <c r="AS24" s="62"/>
      <c r="AT24" s="62"/>
      <c r="AU24" s="10"/>
      <c r="AV24" s="10"/>
      <c r="AW24" s="13"/>
      <c r="AX24" s="11"/>
      <c r="AY24" s="11"/>
      <c r="AZ24" s="11"/>
      <c r="BA24" s="11"/>
      <c r="BB24" s="59"/>
      <c r="BC24" s="59"/>
      <c r="BD24" s="59"/>
      <c r="BE24" s="59"/>
      <c r="BF24" s="59"/>
      <c r="BG24" s="59"/>
      <c r="BH24" s="138"/>
      <c r="BI24" s="138"/>
      <c r="BJ24" s="138"/>
      <c r="BK24" s="231"/>
      <c r="BL24" s="231"/>
      <c r="BM24" s="231"/>
      <c r="BN24" s="232"/>
      <c r="BO24" s="11"/>
      <c r="BP24" s="11"/>
      <c r="BQ24" s="11"/>
      <c r="BR24" s="11"/>
      <c r="BS24" s="394"/>
    </row>
    <row r="25" spans="1:72" s="150" customFormat="1" ht="13.5" customHeight="1" x14ac:dyDescent="0.15">
      <c r="A25" s="103" t="s">
        <v>4420</v>
      </c>
      <c r="B25" s="104" t="s">
        <v>1488</v>
      </c>
      <c r="C25" s="104"/>
      <c r="D25" s="104"/>
      <c r="E25" s="104"/>
      <c r="F25" s="122" t="s">
        <v>107</v>
      </c>
      <c r="G25" s="122" t="s">
        <v>4421</v>
      </c>
      <c r="H25" s="123" t="s">
        <v>925</v>
      </c>
      <c r="I25" s="105" t="s">
        <v>135</v>
      </c>
      <c r="J25" s="356" t="s">
        <v>4376</v>
      </c>
      <c r="K25" s="353" t="s">
        <v>5004</v>
      </c>
      <c r="L25" s="220">
        <v>252</v>
      </c>
      <c r="M25" s="220"/>
      <c r="N25" s="223" t="str">
        <f t="shared" si="0"/>
        <v>Arrêt jeune (garder licence)</v>
      </c>
      <c r="O25" s="733">
        <v>7</v>
      </c>
      <c r="P25" s="733"/>
      <c r="Q25" s="758" t="str">
        <f t="shared" si="1"/>
        <v>U 11 Hommes</v>
      </c>
      <c r="R25" s="734"/>
      <c r="S25" s="734"/>
      <c r="T25" s="734"/>
      <c r="U25" s="734"/>
      <c r="V25" s="734" t="s">
        <v>192</v>
      </c>
      <c r="W25" s="734"/>
      <c r="X25" s="734"/>
      <c r="Y25" s="734"/>
      <c r="Z25" s="734"/>
      <c r="AA25" s="734"/>
      <c r="AB25" s="124" t="s">
        <v>4557</v>
      </c>
      <c r="AC25" s="124"/>
      <c r="AD25" s="124"/>
      <c r="AE25" s="124"/>
      <c r="AF25" s="124"/>
      <c r="AG25" s="373" t="s">
        <v>4785</v>
      </c>
      <c r="AH25" s="372"/>
      <c r="AI25" s="143">
        <v>45205</v>
      </c>
      <c r="AJ25" s="143">
        <v>45147</v>
      </c>
      <c r="AK25" s="36">
        <v>2028</v>
      </c>
      <c r="AL25" s="143">
        <v>42443</v>
      </c>
      <c r="AM25" s="144" t="s">
        <v>4422</v>
      </c>
      <c r="AN25" s="151"/>
      <c r="AO25" s="122"/>
      <c r="AP25" s="122"/>
      <c r="AQ25" s="122" t="s">
        <v>4423</v>
      </c>
      <c r="AR25" s="152" t="s">
        <v>4424</v>
      </c>
      <c r="AS25" s="36"/>
      <c r="AT25" s="36"/>
      <c r="AU25" s="105"/>
      <c r="AV25" s="122"/>
      <c r="AW25" s="105"/>
      <c r="AX25" s="105"/>
      <c r="AY25" s="105"/>
      <c r="AZ25" s="105"/>
      <c r="BA25" s="105"/>
      <c r="BB25" s="130"/>
      <c r="BC25" s="130"/>
      <c r="BD25" s="130"/>
      <c r="BE25" s="130"/>
      <c r="BF25" s="130"/>
      <c r="BG25" s="130"/>
      <c r="BH25" s="147"/>
      <c r="BI25" s="147"/>
      <c r="BJ25" s="147"/>
      <c r="BK25" s="229"/>
      <c r="BL25" s="229"/>
      <c r="BM25" s="229"/>
      <c r="BN25" s="230"/>
      <c r="BO25" s="144"/>
      <c r="BP25" s="148"/>
      <c r="BQ25" s="148"/>
      <c r="BR25" s="148"/>
      <c r="BS25" s="149"/>
    </row>
    <row r="26" spans="1:72" ht="13.5" customHeight="1" x14ac:dyDescent="0.15">
      <c r="A26" s="48" t="s">
        <v>4443</v>
      </c>
      <c r="B26" s="9" t="s">
        <v>4444</v>
      </c>
      <c r="C26" s="9"/>
      <c r="D26" s="9"/>
      <c r="E26" s="9"/>
      <c r="F26" s="112" t="s">
        <v>248</v>
      </c>
      <c r="G26" s="10" t="s">
        <v>4446</v>
      </c>
      <c r="H26" s="5" t="s">
        <v>670</v>
      </c>
      <c r="I26" s="11" t="s">
        <v>223</v>
      </c>
      <c r="J26" s="357" t="s">
        <v>929</v>
      </c>
      <c r="K26" s="353"/>
      <c r="L26" s="221">
        <v>212</v>
      </c>
      <c r="M26" s="221"/>
      <c r="N26" s="222" t="str">
        <f t="shared" si="0"/>
        <v>Contact famille</v>
      </c>
      <c r="O26" s="729">
        <v>212</v>
      </c>
      <c r="P26" s="729"/>
      <c r="Q26" s="730" t="str">
        <f t="shared" si="1"/>
        <v>Contact famille</v>
      </c>
      <c r="R26" s="731"/>
      <c r="S26" s="731"/>
      <c r="T26" s="731"/>
      <c r="U26" s="731"/>
      <c r="V26" s="731"/>
      <c r="W26" s="731"/>
      <c r="X26" s="731" t="s">
        <v>313</v>
      </c>
      <c r="Y26" s="731"/>
      <c r="Z26" s="731"/>
      <c r="AA26" s="731"/>
      <c r="AB26" s="12"/>
      <c r="AC26" s="12"/>
      <c r="AD26" s="12"/>
      <c r="AE26" s="12"/>
      <c r="AF26" s="12"/>
      <c r="AG26" s="369"/>
      <c r="AH26" s="370"/>
      <c r="AI26" s="18" t="s">
        <v>242</v>
      </c>
      <c r="AJ26" s="18" t="s">
        <v>242</v>
      </c>
      <c r="AK26" s="13" t="s">
        <v>242</v>
      </c>
      <c r="AL26" s="18" t="s">
        <v>242</v>
      </c>
      <c r="AM26" s="19" t="s">
        <v>4450</v>
      </c>
      <c r="AN26" s="38"/>
      <c r="AO26" s="10"/>
      <c r="AP26" s="40"/>
      <c r="AQ26" s="20">
        <v>691577634</v>
      </c>
      <c r="AR26" s="47" t="s">
        <v>4578</v>
      </c>
      <c r="AS26" s="62"/>
      <c r="AT26" s="62"/>
      <c r="AU26" s="11"/>
      <c r="AV26" s="10"/>
      <c r="AW26" s="11"/>
      <c r="AX26" s="11"/>
      <c r="AY26" s="11"/>
      <c r="AZ26" s="11"/>
      <c r="BA26" s="11"/>
      <c r="BB26" s="59"/>
      <c r="BC26" s="59"/>
      <c r="BD26" s="59"/>
      <c r="BE26" s="59"/>
      <c r="BF26" s="59"/>
      <c r="BG26" s="59"/>
      <c r="BH26" s="138"/>
      <c r="BI26" s="138"/>
      <c r="BJ26" s="138"/>
      <c r="BK26" s="231"/>
      <c r="BL26" s="231"/>
      <c r="BM26" s="231"/>
      <c r="BN26" s="232"/>
      <c r="BO26" s="19"/>
      <c r="BP26" s="23"/>
      <c r="BQ26" s="23"/>
      <c r="BR26" s="23"/>
      <c r="BS26" s="43"/>
      <c r="BT26" s="150"/>
    </row>
    <row r="27" spans="1:72" s="150" customFormat="1" ht="13.5" customHeight="1" x14ac:dyDescent="0.15">
      <c r="A27" s="48" t="s">
        <v>4439</v>
      </c>
      <c r="B27" s="9" t="s">
        <v>4440</v>
      </c>
      <c r="C27" s="9"/>
      <c r="D27" s="9"/>
      <c r="E27" s="9"/>
      <c r="F27" s="112" t="s">
        <v>4441</v>
      </c>
      <c r="G27" s="10" t="s">
        <v>4446</v>
      </c>
      <c r="H27" s="5" t="s">
        <v>4447</v>
      </c>
      <c r="I27" s="11" t="s">
        <v>223</v>
      </c>
      <c r="J27" s="357" t="s">
        <v>929</v>
      </c>
      <c r="K27" s="353"/>
      <c r="L27" s="221">
        <v>21</v>
      </c>
      <c r="M27" s="221"/>
      <c r="N27" s="222" t="str">
        <f t="shared" si="0"/>
        <v>U7 Mixte</v>
      </c>
      <c r="O27" s="729">
        <v>21</v>
      </c>
      <c r="P27" s="729"/>
      <c r="Q27" s="730" t="str">
        <f t="shared" si="1"/>
        <v>U7 Mixte</v>
      </c>
      <c r="R27" s="731"/>
      <c r="S27" s="731"/>
      <c r="T27" s="731"/>
      <c r="U27" s="731"/>
      <c r="V27" s="731"/>
      <c r="W27" s="731"/>
      <c r="X27" s="731" t="s">
        <v>192</v>
      </c>
      <c r="Y27" s="731"/>
      <c r="Z27" s="731"/>
      <c r="AA27" s="731"/>
      <c r="AB27" s="12" t="s">
        <v>4499</v>
      </c>
      <c r="AC27" s="12"/>
      <c r="AD27" s="12"/>
      <c r="AE27" s="12"/>
      <c r="AF27" s="12"/>
      <c r="AG27" s="369"/>
      <c r="AH27" s="370"/>
      <c r="AI27" s="18">
        <v>45194</v>
      </c>
      <c r="AJ27" s="18">
        <v>45157</v>
      </c>
      <c r="AK27" s="13">
        <v>2027</v>
      </c>
      <c r="AL27" s="18">
        <v>44181</v>
      </c>
      <c r="AM27" s="19" t="s">
        <v>4449</v>
      </c>
      <c r="AN27" s="38"/>
      <c r="AO27" s="10"/>
      <c r="AP27" s="40" t="s">
        <v>4452</v>
      </c>
      <c r="AQ27" s="10" t="s">
        <v>4453</v>
      </c>
      <c r="AR27" s="47" t="s">
        <v>4578</v>
      </c>
      <c r="AS27" s="62"/>
      <c r="AT27" s="62"/>
      <c r="AU27" s="11"/>
      <c r="AV27" s="10"/>
      <c r="AW27" s="11"/>
      <c r="AX27" s="11"/>
      <c r="AY27" s="11"/>
      <c r="AZ27" s="11"/>
      <c r="BA27" s="11"/>
      <c r="BB27" s="59"/>
      <c r="BC27" s="59"/>
      <c r="BD27" s="59"/>
      <c r="BE27" s="59"/>
      <c r="BF27" s="59"/>
      <c r="BG27" s="59"/>
      <c r="BH27" s="138"/>
      <c r="BI27" s="138"/>
      <c r="BJ27" s="138"/>
      <c r="BK27" s="231"/>
      <c r="BL27" s="231"/>
      <c r="BM27" s="231"/>
      <c r="BN27" s="232"/>
      <c r="BO27" s="19"/>
      <c r="BP27" s="23"/>
      <c r="BQ27" s="23"/>
      <c r="BR27" s="23"/>
      <c r="BS27" s="43"/>
    </row>
    <row r="28" spans="1:72" s="150" customFormat="1" ht="13.5" customHeight="1" x14ac:dyDescent="0.15">
      <c r="A28" s="48" t="s">
        <v>614</v>
      </c>
      <c r="B28" s="9" t="s">
        <v>615</v>
      </c>
      <c r="C28" s="9"/>
      <c r="D28" s="9"/>
      <c r="E28" s="9"/>
      <c r="F28" s="10" t="s">
        <v>616</v>
      </c>
      <c r="G28" s="10" t="s">
        <v>5085</v>
      </c>
      <c r="H28" s="5" t="s">
        <v>3671</v>
      </c>
      <c r="I28" s="11" t="s">
        <v>3672</v>
      </c>
      <c r="J28" s="357" t="s">
        <v>320</v>
      </c>
      <c r="K28" s="353"/>
      <c r="L28" s="221">
        <v>12</v>
      </c>
      <c r="M28" s="221"/>
      <c r="N28" s="222" t="str">
        <f t="shared" si="0"/>
        <v>Dames</v>
      </c>
      <c r="O28" s="729">
        <v>12</v>
      </c>
      <c r="P28" s="729"/>
      <c r="Q28" s="730" t="str">
        <f t="shared" si="1"/>
        <v>Dames</v>
      </c>
      <c r="R28" s="731"/>
      <c r="S28" s="731"/>
      <c r="T28" s="731"/>
      <c r="U28" s="731"/>
      <c r="V28" s="731"/>
      <c r="W28" s="731"/>
      <c r="X28" s="731"/>
      <c r="Y28" s="731"/>
      <c r="Z28" s="731"/>
      <c r="AA28" s="731"/>
      <c r="AB28" s="12" t="s">
        <v>2925</v>
      </c>
      <c r="AC28" s="12"/>
      <c r="AD28" s="12"/>
      <c r="AE28" s="12"/>
      <c r="AF28" s="12"/>
      <c r="AG28" s="373"/>
      <c r="AH28" s="372"/>
      <c r="AI28" s="18">
        <v>43374</v>
      </c>
      <c r="AJ28" s="18">
        <v>43344</v>
      </c>
      <c r="AK28" s="13">
        <v>2033</v>
      </c>
      <c r="AL28" s="18">
        <v>34086</v>
      </c>
      <c r="AM28" s="19" t="s">
        <v>630</v>
      </c>
      <c r="AN28" s="19"/>
      <c r="AO28" s="10"/>
      <c r="AP28" s="40"/>
      <c r="AQ28" s="10" t="s">
        <v>631</v>
      </c>
      <c r="AR28" s="21" t="s">
        <v>633</v>
      </c>
      <c r="AS28" s="62"/>
      <c r="AT28" s="62"/>
      <c r="AU28" s="11"/>
      <c r="AV28" s="10"/>
      <c r="AW28" s="11"/>
      <c r="AX28" s="11"/>
      <c r="AY28" s="11"/>
      <c r="AZ28" s="11" t="s">
        <v>2792</v>
      </c>
      <c r="BA28" s="11"/>
      <c r="BB28" s="59" t="s">
        <v>2813</v>
      </c>
      <c r="BC28" s="59" t="s">
        <v>3151</v>
      </c>
      <c r="BD28" s="59"/>
      <c r="BE28" s="59"/>
      <c r="BF28" s="59"/>
      <c r="BG28" s="59"/>
      <c r="BH28" s="138"/>
      <c r="BI28" s="138"/>
      <c r="BJ28" s="138"/>
      <c r="BK28" s="231"/>
      <c r="BL28" s="231"/>
      <c r="BM28" s="231"/>
      <c r="BN28" s="232"/>
      <c r="BO28" s="19"/>
      <c r="BP28" s="23"/>
      <c r="BQ28" s="23"/>
      <c r="BR28" s="23"/>
      <c r="BS28" s="43"/>
    </row>
    <row r="29" spans="1:72" s="150" customFormat="1" ht="13.5" customHeight="1" x14ac:dyDescent="0.15">
      <c r="A29" s="103" t="s">
        <v>4540</v>
      </c>
      <c r="B29" s="104" t="s">
        <v>4541</v>
      </c>
      <c r="C29" s="104"/>
      <c r="D29" s="104"/>
      <c r="E29" s="104"/>
      <c r="F29" s="122" t="s">
        <v>4517</v>
      </c>
      <c r="G29" s="122" t="s">
        <v>4543</v>
      </c>
      <c r="H29" s="123" t="s">
        <v>4544</v>
      </c>
      <c r="I29" s="105" t="s">
        <v>1179</v>
      </c>
      <c r="J29" s="356" t="s">
        <v>4376</v>
      </c>
      <c r="K29" s="353" t="s">
        <v>5004</v>
      </c>
      <c r="L29" s="220">
        <v>252</v>
      </c>
      <c r="M29" s="220"/>
      <c r="N29" s="223" t="str">
        <f t="shared" si="0"/>
        <v>Arrêt jeune (garder licence)</v>
      </c>
      <c r="O29" s="733">
        <v>5</v>
      </c>
      <c r="P29" s="733"/>
      <c r="Q29" s="758" t="str">
        <f t="shared" si="1"/>
        <v>U 15 Hommes</v>
      </c>
      <c r="R29" s="734"/>
      <c r="S29" s="734"/>
      <c r="T29" s="734" t="s">
        <v>192</v>
      </c>
      <c r="U29" s="734"/>
      <c r="V29" s="734"/>
      <c r="W29" s="734"/>
      <c r="X29" s="734"/>
      <c r="Y29" s="734"/>
      <c r="Z29" s="734"/>
      <c r="AA29" s="734"/>
      <c r="AB29" s="124" t="s">
        <v>4584</v>
      </c>
      <c r="AC29" s="124"/>
      <c r="AD29" s="124"/>
      <c r="AE29" s="124"/>
      <c r="AF29" s="124" t="s">
        <v>252</v>
      </c>
      <c r="AG29" s="373"/>
      <c r="AH29" s="372"/>
      <c r="AI29" s="143">
        <v>45222</v>
      </c>
      <c r="AJ29" s="143">
        <v>45204</v>
      </c>
      <c r="AK29" s="615">
        <v>2025</v>
      </c>
      <c r="AL29" s="143">
        <v>41285</v>
      </c>
      <c r="AM29" s="144" t="s">
        <v>4549</v>
      </c>
      <c r="AN29" s="151"/>
      <c r="AO29" s="122"/>
      <c r="AP29" s="122"/>
      <c r="AQ29" s="122" t="s">
        <v>4545</v>
      </c>
      <c r="AR29" s="152" t="s">
        <v>4546</v>
      </c>
      <c r="AS29" s="36"/>
      <c r="AT29" s="36"/>
      <c r="AU29" s="105"/>
      <c r="AV29" s="122"/>
      <c r="AW29" s="105"/>
      <c r="AX29" s="105"/>
      <c r="AY29" s="105"/>
      <c r="AZ29" s="105"/>
      <c r="BA29" s="105"/>
      <c r="BB29" s="130"/>
      <c r="BC29" s="130"/>
      <c r="BD29" s="130"/>
      <c r="BE29" s="130"/>
      <c r="BF29" s="130"/>
      <c r="BG29" s="130"/>
      <c r="BH29" s="147"/>
      <c r="BI29" s="147"/>
      <c r="BJ29" s="147"/>
      <c r="BK29" s="229"/>
      <c r="BL29" s="229"/>
      <c r="BM29" s="229"/>
      <c r="BN29" s="230"/>
      <c r="BO29" s="144"/>
      <c r="BP29" s="148"/>
      <c r="BQ29" s="148"/>
      <c r="BR29" s="148"/>
      <c r="BS29" s="149"/>
    </row>
    <row r="30" spans="1:72" s="150" customFormat="1" ht="13.5" customHeight="1" x14ac:dyDescent="0.15">
      <c r="A30" s="103" t="s">
        <v>4850</v>
      </c>
      <c r="B30" s="104" t="s">
        <v>960</v>
      </c>
      <c r="C30" s="104"/>
      <c r="D30" s="104"/>
      <c r="E30" s="104"/>
      <c r="F30" s="122" t="s">
        <v>107</v>
      </c>
      <c r="G30" s="122" t="s">
        <v>4852</v>
      </c>
      <c r="H30" s="123" t="s">
        <v>2754</v>
      </c>
      <c r="I30" s="105" t="s">
        <v>613</v>
      </c>
      <c r="J30" s="356" t="s">
        <v>4376</v>
      </c>
      <c r="K30" s="353" t="s">
        <v>5004</v>
      </c>
      <c r="L30" s="220">
        <v>252</v>
      </c>
      <c r="M30" s="220"/>
      <c r="N30" s="223" t="str">
        <f t="shared" si="0"/>
        <v>Arrêt jeune (garder licence)</v>
      </c>
      <c r="O30" s="733">
        <v>21</v>
      </c>
      <c r="P30" s="733"/>
      <c r="Q30" s="758" t="str">
        <f t="shared" si="1"/>
        <v>U7 Mixte</v>
      </c>
      <c r="R30" s="734"/>
      <c r="S30" s="734"/>
      <c r="T30" s="734"/>
      <c r="U30" s="734"/>
      <c r="V30" s="734"/>
      <c r="W30" s="734"/>
      <c r="X30" s="734" t="s">
        <v>192</v>
      </c>
      <c r="Y30" s="734"/>
      <c r="Z30" s="734"/>
      <c r="AA30" s="734"/>
      <c r="AB30" s="124" t="s">
        <v>5007</v>
      </c>
      <c r="AC30" s="124"/>
      <c r="AD30" s="124"/>
      <c r="AE30" s="124"/>
      <c r="AF30" s="124"/>
      <c r="AG30" s="373"/>
      <c r="AH30" s="372"/>
      <c r="AI30" s="143" t="s">
        <v>5008</v>
      </c>
      <c r="AJ30" s="143">
        <v>45530</v>
      </c>
      <c r="AK30" s="36">
        <v>2029</v>
      </c>
      <c r="AL30" s="143">
        <v>44727</v>
      </c>
      <c r="AM30" s="144" t="s">
        <v>4854</v>
      </c>
      <c r="AN30" s="151"/>
      <c r="AO30" s="122"/>
      <c r="AP30" s="122" t="s">
        <v>4855</v>
      </c>
      <c r="AQ30" s="122" t="s">
        <v>4856</v>
      </c>
      <c r="AR30" s="152" t="s">
        <v>4857</v>
      </c>
      <c r="AS30" s="36"/>
      <c r="AT30" s="36"/>
      <c r="AU30" s="105"/>
      <c r="AV30" s="122"/>
      <c r="AW30" s="105"/>
      <c r="AX30" s="105"/>
      <c r="AY30" s="105"/>
      <c r="AZ30" s="105"/>
      <c r="BA30" s="105"/>
      <c r="BB30" s="130"/>
      <c r="BC30" s="130"/>
      <c r="BD30" s="130"/>
      <c r="BE30" s="130"/>
      <c r="BF30" s="130"/>
      <c r="BG30" s="130"/>
      <c r="BH30" s="147"/>
      <c r="BI30" s="147"/>
      <c r="BJ30" s="147"/>
      <c r="BK30" s="229"/>
      <c r="BL30" s="229"/>
      <c r="BM30" s="229"/>
      <c r="BN30" s="230"/>
      <c r="BO30" s="144"/>
      <c r="BP30" s="148"/>
      <c r="BQ30" s="148"/>
      <c r="BR30" s="148"/>
      <c r="BS30" s="149"/>
    </row>
    <row r="31" spans="1:72" s="150" customFormat="1" ht="13.5" customHeight="1" x14ac:dyDescent="0.15">
      <c r="A31" s="103" t="s">
        <v>4850</v>
      </c>
      <c r="B31" s="104" t="s">
        <v>2470</v>
      </c>
      <c r="C31" s="104"/>
      <c r="D31" s="104"/>
      <c r="E31" s="104"/>
      <c r="F31" s="122" t="s">
        <v>107</v>
      </c>
      <c r="G31" s="122" t="s">
        <v>4852</v>
      </c>
      <c r="H31" s="123" t="s">
        <v>2754</v>
      </c>
      <c r="I31" s="105" t="s">
        <v>613</v>
      </c>
      <c r="J31" s="356" t="s">
        <v>4376</v>
      </c>
      <c r="K31" s="353" t="s">
        <v>5004</v>
      </c>
      <c r="L31" s="220">
        <v>252</v>
      </c>
      <c r="M31" s="220"/>
      <c r="N31" s="223" t="str">
        <f t="shared" si="0"/>
        <v>Arrêt jeune (garder licence)</v>
      </c>
      <c r="O31" s="733">
        <v>21</v>
      </c>
      <c r="P31" s="733"/>
      <c r="Q31" s="758" t="str">
        <f t="shared" si="1"/>
        <v>U7 Mixte</v>
      </c>
      <c r="R31" s="734"/>
      <c r="S31" s="734"/>
      <c r="T31" s="734"/>
      <c r="U31" s="734"/>
      <c r="V31" s="734"/>
      <c r="W31" s="734"/>
      <c r="X31" s="734" t="s">
        <v>192</v>
      </c>
      <c r="Y31" s="734"/>
      <c r="Z31" s="734"/>
      <c r="AA31" s="734"/>
      <c r="AB31" s="124" t="s">
        <v>5009</v>
      </c>
      <c r="AC31" s="124"/>
      <c r="AD31" s="124"/>
      <c r="AE31" s="124"/>
      <c r="AF31" s="124"/>
      <c r="AG31" s="373" t="s">
        <v>4883</v>
      </c>
      <c r="AH31" s="372"/>
      <c r="AI31" s="143" t="s">
        <v>5008</v>
      </c>
      <c r="AJ31" s="143">
        <v>45530</v>
      </c>
      <c r="AK31" s="36">
        <v>2027</v>
      </c>
      <c r="AL31" s="143">
        <v>43885</v>
      </c>
      <c r="AM31" s="144" t="s">
        <v>4853</v>
      </c>
      <c r="AN31" s="151"/>
      <c r="AO31" s="122"/>
      <c r="AP31" s="105" t="s">
        <v>4855</v>
      </c>
      <c r="AQ31" s="122" t="s">
        <v>4856</v>
      </c>
      <c r="AR31" s="152" t="s">
        <v>4857</v>
      </c>
      <c r="AS31" s="36"/>
      <c r="AT31" s="36"/>
      <c r="AU31" s="105"/>
      <c r="AV31" s="122"/>
      <c r="AW31" s="105"/>
      <c r="AX31" s="105"/>
      <c r="AY31" s="105"/>
      <c r="AZ31" s="105"/>
      <c r="BA31" s="105"/>
      <c r="BB31" s="130"/>
      <c r="BC31" s="130"/>
      <c r="BD31" s="130"/>
      <c r="BE31" s="130"/>
      <c r="BF31" s="130"/>
      <c r="BG31" s="130"/>
      <c r="BH31" s="147"/>
      <c r="BI31" s="147"/>
      <c r="BJ31" s="147"/>
      <c r="BK31" s="229"/>
      <c r="BL31" s="229"/>
      <c r="BM31" s="229"/>
      <c r="BN31" s="230"/>
      <c r="BO31" s="144"/>
      <c r="BP31" s="148"/>
      <c r="BQ31" s="148"/>
      <c r="BR31" s="148"/>
      <c r="BS31" s="149"/>
    </row>
    <row r="32" spans="1:72" s="150" customFormat="1" ht="13.5" customHeight="1" x14ac:dyDescent="0.15">
      <c r="A32" s="103" t="s">
        <v>4185</v>
      </c>
      <c r="B32" s="104" t="s">
        <v>3200</v>
      </c>
      <c r="C32" s="104"/>
      <c r="D32" s="104"/>
      <c r="E32" s="104"/>
      <c r="F32" s="122" t="s">
        <v>107</v>
      </c>
      <c r="G32" s="122" t="s">
        <v>4186</v>
      </c>
      <c r="H32" s="123" t="s">
        <v>1666</v>
      </c>
      <c r="I32" s="105" t="s">
        <v>274</v>
      </c>
      <c r="J32" s="356" t="s">
        <v>4376</v>
      </c>
      <c r="K32" s="353" t="s">
        <v>5004</v>
      </c>
      <c r="L32" s="220">
        <v>252</v>
      </c>
      <c r="M32" s="220"/>
      <c r="N32" s="223" t="str">
        <f t="shared" si="0"/>
        <v>Arrêt jeune (garder licence)</v>
      </c>
      <c r="O32" s="733">
        <v>15</v>
      </c>
      <c r="P32" s="733"/>
      <c r="Q32" s="758" t="str">
        <f t="shared" si="1"/>
        <v>U 13 Dames</v>
      </c>
      <c r="R32" s="734"/>
      <c r="S32" s="734"/>
      <c r="T32" s="734"/>
      <c r="U32" s="734"/>
      <c r="V32" s="734"/>
      <c r="W32" s="734"/>
      <c r="X32" s="734"/>
      <c r="Y32" s="734"/>
      <c r="Z32" s="734"/>
      <c r="AA32" s="734" t="s">
        <v>192</v>
      </c>
      <c r="AB32" s="124" t="s">
        <v>4259</v>
      </c>
      <c r="AC32" s="124"/>
      <c r="AD32" s="124"/>
      <c r="AE32" s="124"/>
      <c r="AF32" s="124"/>
      <c r="AG32" s="373"/>
      <c r="AH32" s="372"/>
      <c r="AI32" s="143">
        <v>44943</v>
      </c>
      <c r="AJ32" s="143">
        <v>44883</v>
      </c>
      <c r="AK32" s="36">
        <v>2027</v>
      </c>
      <c r="AL32" s="143">
        <v>42342</v>
      </c>
      <c r="AM32" s="144" t="s">
        <v>4187</v>
      </c>
      <c r="AN32" s="151"/>
      <c r="AO32" s="122"/>
      <c r="AP32" s="122" t="s">
        <v>4188</v>
      </c>
      <c r="AQ32" s="122" t="s">
        <v>4189</v>
      </c>
      <c r="AR32" s="152" t="s">
        <v>4190</v>
      </c>
      <c r="AS32" s="36"/>
      <c r="AT32" s="36"/>
      <c r="AU32" s="105"/>
      <c r="AV32" s="122"/>
      <c r="AW32" s="105"/>
      <c r="AX32" s="105"/>
      <c r="AY32" s="105"/>
      <c r="AZ32" s="105"/>
      <c r="BA32" s="105"/>
      <c r="BB32" s="130"/>
      <c r="BC32" s="130"/>
      <c r="BD32" s="130"/>
      <c r="BE32" s="130"/>
      <c r="BF32" s="130"/>
      <c r="BG32" s="130"/>
      <c r="BH32" s="147"/>
      <c r="BI32" s="147"/>
      <c r="BJ32" s="147"/>
      <c r="BK32" s="229"/>
      <c r="BL32" s="229"/>
      <c r="BM32" s="229"/>
      <c r="BN32" s="230"/>
      <c r="BO32" s="144"/>
      <c r="BP32" s="148"/>
      <c r="BQ32" s="148"/>
      <c r="BR32" s="148"/>
      <c r="BS32" s="149"/>
    </row>
    <row r="33" spans="1:72" ht="13.5" customHeight="1" x14ac:dyDescent="0.15">
      <c r="A33" s="48" t="s">
        <v>4455</v>
      </c>
      <c r="B33" s="9" t="s">
        <v>4379</v>
      </c>
      <c r="C33" s="9"/>
      <c r="D33" s="9"/>
      <c r="E33" s="9"/>
      <c r="F33" s="10" t="s">
        <v>4457</v>
      </c>
      <c r="G33" s="10" t="s">
        <v>4458</v>
      </c>
      <c r="H33" s="5" t="s">
        <v>4459</v>
      </c>
      <c r="I33" s="11" t="s">
        <v>223</v>
      </c>
      <c r="J33" s="357" t="s">
        <v>2460</v>
      </c>
      <c r="K33" s="353"/>
      <c r="L33" s="221">
        <v>212</v>
      </c>
      <c r="M33" s="221"/>
      <c r="N33" s="222" t="str">
        <f t="shared" si="0"/>
        <v>Contact famille</v>
      </c>
      <c r="O33" s="729">
        <v>212</v>
      </c>
      <c r="P33" s="729"/>
      <c r="Q33" s="730" t="str">
        <f t="shared" si="1"/>
        <v>Contact famille</v>
      </c>
      <c r="R33" s="731"/>
      <c r="S33" s="731"/>
      <c r="T33" s="731"/>
      <c r="U33" s="731"/>
      <c r="V33" s="731"/>
      <c r="W33" s="731"/>
      <c r="X33" s="731" t="s">
        <v>313</v>
      </c>
      <c r="Y33" s="731"/>
      <c r="Z33" s="731"/>
      <c r="AA33" s="731"/>
      <c r="AB33" s="12"/>
      <c r="AC33" s="12"/>
      <c r="AD33" s="12"/>
      <c r="AE33" s="12"/>
      <c r="AF33" s="12"/>
      <c r="AG33" s="369"/>
      <c r="AH33" s="370"/>
      <c r="AI33" s="18" t="s">
        <v>242</v>
      </c>
      <c r="AJ33" s="18" t="s">
        <v>242</v>
      </c>
      <c r="AK33" s="13" t="s">
        <v>242</v>
      </c>
      <c r="AL33" s="18">
        <v>32560</v>
      </c>
      <c r="AM33" s="19" t="s">
        <v>4462</v>
      </c>
      <c r="AN33" s="38"/>
      <c r="AO33" s="10"/>
      <c r="AP33" s="40"/>
      <c r="AQ33" s="20">
        <v>691992270</v>
      </c>
      <c r="AR33" s="47" t="s">
        <v>4466</v>
      </c>
      <c r="AS33" s="62"/>
      <c r="AT33" s="62"/>
      <c r="AU33" s="11"/>
      <c r="AV33" s="10"/>
      <c r="AW33" s="11"/>
      <c r="AX33" s="11"/>
      <c r="AY33" s="11"/>
      <c r="AZ33" s="11"/>
      <c r="BA33" s="11"/>
      <c r="BB33" s="59"/>
      <c r="BC33" s="59"/>
      <c r="BD33" s="59"/>
      <c r="BE33" s="59"/>
      <c r="BF33" s="59"/>
      <c r="BG33" s="59"/>
      <c r="BH33" s="138"/>
      <c r="BI33" s="138"/>
      <c r="BJ33" s="138"/>
      <c r="BK33" s="231"/>
      <c r="BL33" s="231"/>
      <c r="BM33" s="231"/>
      <c r="BN33" s="232"/>
      <c r="BO33" s="19"/>
      <c r="BP33" s="23"/>
      <c r="BQ33" s="23"/>
      <c r="BR33" s="23"/>
      <c r="BS33" s="43"/>
    </row>
    <row r="34" spans="1:72" ht="13.5" customHeight="1" x14ac:dyDescent="0.15">
      <c r="A34" s="48" t="s">
        <v>4455</v>
      </c>
      <c r="B34" s="9" t="s">
        <v>271</v>
      </c>
      <c r="C34" s="9"/>
      <c r="D34" s="9"/>
      <c r="E34" s="9"/>
      <c r="F34" s="10" t="s">
        <v>4457</v>
      </c>
      <c r="G34" s="10" t="s">
        <v>4458</v>
      </c>
      <c r="H34" s="5" t="s">
        <v>4459</v>
      </c>
      <c r="I34" s="11" t="s">
        <v>223</v>
      </c>
      <c r="J34" s="357" t="s">
        <v>2460</v>
      </c>
      <c r="K34" s="353"/>
      <c r="L34" s="221">
        <v>212</v>
      </c>
      <c r="M34" s="221"/>
      <c r="N34" s="222" t="str">
        <f t="shared" si="0"/>
        <v>Contact famille</v>
      </c>
      <c r="O34" s="729">
        <v>212</v>
      </c>
      <c r="P34" s="729"/>
      <c r="Q34" s="730" t="str">
        <f t="shared" si="1"/>
        <v>Contact famille</v>
      </c>
      <c r="R34" s="731"/>
      <c r="S34" s="731"/>
      <c r="T34" s="731"/>
      <c r="U34" s="731"/>
      <c r="V34" s="731"/>
      <c r="W34" s="731"/>
      <c r="X34" s="731" t="s">
        <v>313</v>
      </c>
      <c r="Y34" s="731"/>
      <c r="Z34" s="731"/>
      <c r="AA34" s="731"/>
      <c r="AB34" s="12"/>
      <c r="AC34" s="12"/>
      <c r="AD34" s="12"/>
      <c r="AE34" s="12"/>
      <c r="AF34" s="12"/>
      <c r="AG34" s="369"/>
      <c r="AH34" s="370"/>
      <c r="AI34" s="18" t="s">
        <v>242</v>
      </c>
      <c r="AJ34" s="18" t="s">
        <v>242</v>
      </c>
      <c r="AK34" s="13" t="s">
        <v>242</v>
      </c>
      <c r="AL34" s="18">
        <v>31439</v>
      </c>
      <c r="AM34" s="19" t="s">
        <v>4461</v>
      </c>
      <c r="AN34" s="38"/>
      <c r="AO34" s="10"/>
      <c r="AP34" s="40"/>
      <c r="AQ34" s="20">
        <v>621730690</v>
      </c>
      <c r="AR34" s="47" t="s">
        <v>4465</v>
      </c>
      <c r="AS34" s="62"/>
      <c r="AT34" s="62"/>
      <c r="AU34" s="11"/>
      <c r="AV34" s="10"/>
      <c r="AW34" s="11"/>
      <c r="AX34" s="11"/>
      <c r="AY34" s="11"/>
      <c r="AZ34" s="11"/>
      <c r="BA34" s="11"/>
      <c r="BB34" s="59"/>
      <c r="BC34" s="59"/>
      <c r="BD34" s="59"/>
      <c r="BE34" s="59"/>
      <c r="BF34" s="59"/>
      <c r="BG34" s="59"/>
      <c r="BH34" s="138"/>
      <c r="BI34" s="138"/>
      <c r="BJ34" s="138"/>
      <c r="BK34" s="231"/>
      <c r="BL34" s="231"/>
      <c r="BM34" s="231"/>
      <c r="BN34" s="232"/>
      <c r="BO34" s="19"/>
      <c r="BP34" s="23"/>
      <c r="BQ34" s="23"/>
      <c r="BR34" s="23"/>
      <c r="BS34" s="43"/>
    </row>
    <row r="35" spans="1:72" ht="13.5" customHeight="1" x14ac:dyDescent="0.15">
      <c r="A35" s="48" t="s">
        <v>4455</v>
      </c>
      <c r="B35" s="9" t="s">
        <v>4456</v>
      </c>
      <c r="C35" s="9"/>
      <c r="D35" s="9"/>
      <c r="E35" s="9"/>
      <c r="F35" s="10" t="s">
        <v>4457</v>
      </c>
      <c r="G35" s="10" t="s">
        <v>4458</v>
      </c>
      <c r="H35" s="5" t="s">
        <v>4459</v>
      </c>
      <c r="I35" s="11" t="s">
        <v>223</v>
      </c>
      <c r="J35" s="357" t="s">
        <v>2460</v>
      </c>
      <c r="K35" s="353"/>
      <c r="L35" s="221">
        <v>21</v>
      </c>
      <c r="M35" s="221"/>
      <c r="N35" s="222" t="str">
        <f t="shared" si="0"/>
        <v>U7 Mixte</v>
      </c>
      <c r="O35" s="729">
        <v>21</v>
      </c>
      <c r="P35" s="729"/>
      <c r="Q35" s="730" t="str">
        <f t="shared" si="1"/>
        <v>U7 Mixte</v>
      </c>
      <c r="R35" s="731"/>
      <c r="S35" s="731"/>
      <c r="T35" s="731"/>
      <c r="U35" s="731"/>
      <c r="V35" s="731"/>
      <c r="W35" s="731"/>
      <c r="X35" s="731" t="s">
        <v>192</v>
      </c>
      <c r="Y35" s="731"/>
      <c r="Z35" s="731"/>
      <c r="AA35" s="731"/>
      <c r="AB35" s="12" t="s">
        <v>4531</v>
      </c>
      <c r="AC35" s="12"/>
      <c r="AD35" s="391"/>
      <c r="AE35" s="12"/>
      <c r="AF35" s="12"/>
      <c r="AG35" s="369"/>
      <c r="AH35" s="370"/>
      <c r="AI35" s="18">
        <v>45201</v>
      </c>
      <c r="AJ35" s="18">
        <v>45155</v>
      </c>
      <c r="AK35" s="13">
        <v>2027</v>
      </c>
      <c r="AL35" s="18">
        <v>43933</v>
      </c>
      <c r="AM35" s="19" t="s">
        <v>4460</v>
      </c>
      <c r="AN35" s="38"/>
      <c r="AO35" s="10"/>
      <c r="AP35" s="40" t="s">
        <v>4463</v>
      </c>
      <c r="AQ35" s="10" t="s">
        <v>4464</v>
      </c>
      <c r="AR35" s="47" t="s">
        <v>4465</v>
      </c>
      <c r="AS35" s="62"/>
      <c r="AT35" s="62"/>
      <c r="AU35" s="11"/>
      <c r="AV35" s="10"/>
      <c r="AW35" s="11"/>
      <c r="AX35" s="11"/>
      <c r="AY35" s="11"/>
      <c r="AZ35" s="11"/>
      <c r="BA35" s="11"/>
      <c r="BB35" s="59"/>
      <c r="BC35" s="59"/>
      <c r="BD35" s="59"/>
      <c r="BE35" s="59"/>
      <c r="BF35" s="59"/>
      <c r="BG35" s="59"/>
      <c r="BH35" s="138"/>
      <c r="BI35" s="138"/>
      <c r="BJ35" s="138"/>
      <c r="BK35" s="231"/>
      <c r="BL35" s="231"/>
      <c r="BM35" s="231"/>
      <c r="BN35" s="232"/>
      <c r="BO35" s="19"/>
      <c r="BP35" s="23"/>
      <c r="BQ35" s="23"/>
      <c r="BR35" s="23"/>
      <c r="BS35" s="43"/>
    </row>
    <row r="36" spans="1:72" s="150" customFormat="1" ht="13.5" customHeight="1" x14ac:dyDescent="0.15">
      <c r="A36" s="48" t="s">
        <v>5650</v>
      </c>
      <c r="B36" s="9" t="s">
        <v>5652</v>
      </c>
      <c r="C36" s="9"/>
      <c r="D36" s="9"/>
      <c r="E36" s="9"/>
      <c r="F36" s="112" t="s">
        <v>5477</v>
      </c>
      <c r="G36" s="10" t="s">
        <v>5655</v>
      </c>
      <c r="H36" s="5" t="s">
        <v>750</v>
      </c>
      <c r="I36" s="11" t="s">
        <v>241</v>
      </c>
      <c r="J36" s="357" t="s">
        <v>671</v>
      </c>
      <c r="K36" s="353"/>
      <c r="L36" s="221">
        <v>212</v>
      </c>
      <c r="M36" s="221"/>
      <c r="N36" s="222" t="str">
        <f t="shared" si="0"/>
        <v>Contact famille</v>
      </c>
      <c r="O36" s="729">
        <v>212</v>
      </c>
      <c r="P36" s="729"/>
      <c r="Q36" s="730" t="str">
        <f t="shared" si="1"/>
        <v>Contact famille</v>
      </c>
      <c r="R36" s="731"/>
      <c r="S36" s="731"/>
      <c r="T36" s="731"/>
      <c r="U36" s="731"/>
      <c r="V36" s="731"/>
      <c r="W36" s="731" t="s">
        <v>313</v>
      </c>
      <c r="X36" s="731"/>
      <c r="Y36" s="731"/>
      <c r="Z36" s="731"/>
      <c r="AA36" s="731"/>
      <c r="AB36" s="12"/>
      <c r="AC36" s="12"/>
      <c r="AD36" s="12"/>
      <c r="AE36" s="12"/>
      <c r="AF36" s="12"/>
      <c r="AG36" s="386"/>
      <c r="AH36" s="370"/>
      <c r="AI36" s="18" t="s">
        <v>242</v>
      </c>
      <c r="AJ36" s="18" t="s">
        <v>242</v>
      </c>
      <c r="AK36" s="13" t="s">
        <v>242</v>
      </c>
      <c r="AL36" s="13" t="s">
        <v>242</v>
      </c>
      <c r="AM36" s="46" t="s">
        <v>244</v>
      </c>
      <c r="AN36" s="38"/>
      <c r="AO36" s="10"/>
      <c r="AP36" s="40"/>
      <c r="AQ36" s="20">
        <v>691286621</v>
      </c>
      <c r="AR36" s="47" t="s">
        <v>5659</v>
      </c>
      <c r="AS36" s="62"/>
      <c r="AT36" s="62"/>
      <c r="AU36" s="11"/>
      <c r="AV36" s="10"/>
      <c r="AW36" s="11"/>
      <c r="AX36" s="11"/>
      <c r="AY36" s="11"/>
      <c r="AZ36" s="11"/>
      <c r="BA36" s="11"/>
      <c r="BB36" s="59"/>
      <c r="BC36" s="59"/>
      <c r="BD36" s="59"/>
      <c r="BE36" s="59"/>
      <c r="BF36" s="59"/>
      <c r="BG36" s="59"/>
      <c r="BH36" s="138"/>
      <c r="BI36" s="138"/>
      <c r="BJ36" s="138"/>
      <c r="BK36" s="231"/>
      <c r="BL36" s="231"/>
      <c r="BM36" s="231"/>
      <c r="BN36" s="232"/>
      <c r="BO36" s="19"/>
      <c r="BP36" s="23"/>
      <c r="BQ36" s="23"/>
      <c r="BR36" s="23"/>
      <c r="BS36" s="141"/>
      <c r="BT36"/>
    </row>
    <row r="37" spans="1:72" ht="13.5" customHeight="1" x14ac:dyDescent="0.15">
      <c r="A37" s="48" t="s">
        <v>5650</v>
      </c>
      <c r="B37" s="9" t="s">
        <v>5651</v>
      </c>
      <c r="C37" s="9"/>
      <c r="D37" s="9"/>
      <c r="E37" s="9"/>
      <c r="F37" s="112" t="s">
        <v>5477</v>
      </c>
      <c r="G37" s="10" t="s">
        <v>5655</v>
      </c>
      <c r="H37" s="5" t="s">
        <v>750</v>
      </c>
      <c r="I37" s="11" t="s">
        <v>241</v>
      </c>
      <c r="J37" s="357" t="s">
        <v>671</v>
      </c>
      <c r="K37" s="353"/>
      <c r="L37" s="221">
        <v>18</v>
      </c>
      <c r="M37" s="221"/>
      <c r="N37" s="222" t="str">
        <f t="shared" si="0"/>
        <v>U 9 Dames</v>
      </c>
      <c r="O37" s="729">
        <v>18</v>
      </c>
      <c r="P37" s="729"/>
      <c r="Q37" s="730" t="str">
        <f t="shared" si="1"/>
        <v>U 9 Dames</v>
      </c>
      <c r="R37" s="731"/>
      <c r="S37" s="731"/>
      <c r="T37" s="731"/>
      <c r="U37" s="731"/>
      <c r="V37" s="731"/>
      <c r="W37" s="731" t="s">
        <v>192</v>
      </c>
      <c r="X37" s="731"/>
      <c r="Y37" s="731"/>
      <c r="Z37" s="731"/>
      <c r="AA37" s="731"/>
      <c r="AB37" s="217" t="s">
        <v>2805</v>
      </c>
      <c r="AC37" s="12"/>
      <c r="AD37" s="12"/>
      <c r="AE37" s="12"/>
      <c r="AF37" s="12"/>
      <c r="AG37" s="386" t="s">
        <v>5578</v>
      </c>
      <c r="AH37" s="370"/>
      <c r="AI37" s="216"/>
      <c r="AJ37" s="18">
        <v>46219</v>
      </c>
      <c r="AK37" s="378"/>
      <c r="AL37" s="18">
        <v>43630</v>
      </c>
      <c r="AM37" s="19" t="s">
        <v>5656</v>
      </c>
      <c r="AN37" s="38"/>
      <c r="AO37" s="10"/>
      <c r="AP37" s="40" t="s">
        <v>5657</v>
      </c>
      <c r="AQ37" s="10" t="s">
        <v>5658</v>
      </c>
      <c r="AR37" s="47" t="s">
        <v>5659</v>
      </c>
      <c r="AS37" s="62"/>
      <c r="AT37" s="62"/>
      <c r="AU37" s="11"/>
      <c r="AV37" s="10"/>
      <c r="AW37" s="11"/>
      <c r="AX37" s="11"/>
      <c r="AY37" s="11"/>
      <c r="AZ37" s="11"/>
      <c r="BA37" s="11"/>
      <c r="BB37" s="59"/>
      <c r="BC37" s="59"/>
      <c r="BD37" s="59"/>
      <c r="BE37" s="59"/>
      <c r="BF37" s="59"/>
      <c r="BG37" s="59"/>
      <c r="BH37" s="138"/>
      <c r="BI37" s="138"/>
      <c r="BJ37" s="138"/>
      <c r="BK37" s="231"/>
      <c r="BL37" s="231"/>
      <c r="BM37" s="231"/>
      <c r="BN37" s="232"/>
      <c r="BO37" s="19"/>
      <c r="BP37" s="23"/>
      <c r="BQ37" s="23"/>
      <c r="BR37" s="23"/>
      <c r="BS37" s="141"/>
    </row>
    <row r="38" spans="1:72" ht="13.5" customHeight="1" x14ac:dyDescent="0.15">
      <c r="A38" s="103" t="s">
        <v>810</v>
      </c>
      <c r="B38" s="104" t="s">
        <v>753</v>
      </c>
      <c r="C38" s="104"/>
      <c r="D38" s="104"/>
      <c r="E38" s="104"/>
      <c r="F38" s="122" t="s">
        <v>107</v>
      </c>
      <c r="G38" s="122" t="s">
        <v>812</v>
      </c>
      <c r="H38" s="123" t="s">
        <v>504</v>
      </c>
      <c r="I38" s="105" t="s">
        <v>274</v>
      </c>
      <c r="J38" s="356" t="s">
        <v>4376</v>
      </c>
      <c r="K38" s="353" t="s">
        <v>5004</v>
      </c>
      <c r="L38" s="220">
        <v>252</v>
      </c>
      <c r="M38" s="220"/>
      <c r="N38" s="223" t="str">
        <f t="shared" si="0"/>
        <v>Arrêt jeune (garder licence)</v>
      </c>
      <c r="O38" s="733">
        <v>4</v>
      </c>
      <c r="P38" s="733"/>
      <c r="Q38" s="758" t="str">
        <f t="shared" si="1"/>
        <v>U 17 Hommes</v>
      </c>
      <c r="R38" s="734"/>
      <c r="S38" s="734" t="s">
        <v>192</v>
      </c>
      <c r="T38" s="734"/>
      <c r="U38" s="734"/>
      <c r="V38" s="734"/>
      <c r="W38" s="734"/>
      <c r="X38" s="734"/>
      <c r="Y38" s="734"/>
      <c r="Z38" s="734"/>
      <c r="AA38" s="734"/>
      <c r="AB38" s="124" t="s">
        <v>2919</v>
      </c>
      <c r="AC38" s="124"/>
      <c r="AD38" s="124"/>
      <c r="AE38" s="124"/>
      <c r="AF38" s="124"/>
      <c r="AG38" s="373"/>
      <c r="AH38" s="372"/>
      <c r="AI38" s="143">
        <v>43614</v>
      </c>
      <c r="AJ38" s="143">
        <v>43606</v>
      </c>
      <c r="AK38" s="612">
        <v>2022</v>
      </c>
      <c r="AL38" s="143">
        <v>40520</v>
      </c>
      <c r="AM38" s="144" t="s">
        <v>913</v>
      </c>
      <c r="AN38" s="144"/>
      <c r="AO38" s="122" t="s">
        <v>829</v>
      </c>
      <c r="AP38" s="122" t="s">
        <v>915</v>
      </c>
      <c r="AQ38" s="122" t="s">
        <v>917</v>
      </c>
      <c r="AR38" s="70" t="s">
        <v>920</v>
      </c>
      <c r="AS38" s="36"/>
      <c r="AT38" s="36"/>
      <c r="AU38" s="105"/>
      <c r="AV38" s="122"/>
      <c r="AW38" s="105"/>
      <c r="AX38" s="105"/>
      <c r="AY38" s="105"/>
      <c r="AZ38" s="105" t="s">
        <v>209</v>
      </c>
      <c r="BA38" s="105"/>
      <c r="BB38" s="130" t="s">
        <v>2813</v>
      </c>
      <c r="BC38" s="130" t="s">
        <v>3151</v>
      </c>
      <c r="BD38" s="130"/>
      <c r="BE38" s="130" t="s">
        <v>2458</v>
      </c>
      <c r="BF38" s="130"/>
      <c r="BG38" s="130"/>
      <c r="BH38" s="147"/>
      <c r="BI38" s="147"/>
      <c r="BJ38" s="147"/>
      <c r="BK38" s="229"/>
      <c r="BL38" s="229"/>
      <c r="BM38" s="229"/>
      <c r="BN38" s="230"/>
      <c r="BO38" s="144"/>
      <c r="BP38" s="148"/>
      <c r="BQ38" s="148"/>
      <c r="BR38" s="148"/>
      <c r="BS38" s="149"/>
      <c r="BT38" s="150"/>
    </row>
    <row r="39" spans="1:72" s="150" customFormat="1" ht="13.5" customHeight="1" x14ac:dyDescent="0.15">
      <c r="A39" s="48" t="s">
        <v>1023</v>
      </c>
      <c r="B39" s="9" t="s">
        <v>1024</v>
      </c>
      <c r="C39" s="9"/>
      <c r="D39" s="9"/>
      <c r="E39" s="9"/>
      <c r="F39" s="10" t="s">
        <v>107</v>
      </c>
      <c r="G39" s="11" t="s">
        <v>1025</v>
      </c>
      <c r="H39" s="5" t="s">
        <v>692</v>
      </c>
      <c r="I39" s="11" t="s">
        <v>266</v>
      </c>
      <c r="J39" s="357" t="s">
        <v>1026</v>
      </c>
      <c r="K39" s="353"/>
      <c r="L39" s="221">
        <v>213</v>
      </c>
      <c r="M39" s="221"/>
      <c r="N39" s="222" t="str">
        <f t="shared" si="0"/>
        <v>Mère d'acceuil</v>
      </c>
      <c r="O39" s="729">
        <v>212</v>
      </c>
      <c r="P39" s="729"/>
      <c r="Q39" s="730" t="str">
        <f t="shared" si="1"/>
        <v>Contact famille</v>
      </c>
      <c r="R39" s="731"/>
      <c r="S39" s="731"/>
      <c r="T39" s="731"/>
      <c r="U39" s="731"/>
      <c r="V39" s="731"/>
      <c r="W39" s="731"/>
      <c r="X39" s="731"/>
      <c r="Y39" s="731"/>
      <c r="Z39" s="731"/>
      <c r="AA39" s="731"/>
      <c r="AB39" s="12"/>
      <c r="AC39" s="12"/>
      <c r="AD39" s="12"/>
      <c r="AE39" s="12"/>
      <c r="AF39" s="12"/>
      <c r="AG39" s="373"/>
      <c r="AH39" s="372"/>
      <c r="AI39" s="18" t="s">
        <v>242</v>
      </c>
      <c r="AJ39" s="18" t="s">
        <v>242</v>
      </c>
      <c r="AK39" s="13" t="s">
        <v>242</v>
      </c>
      <c r="AL39" s="13" t="s">
        <v>242</v>
      </c>
      <c r="AM39" s="19" t="s">
        <v>244</v>
      </c>
      <c r="AN39" s="19"/>
      <c r="AO39" s="10" t="s">
        <v>1037</v>
      </c>
      <c r="AP39" s="40"/>
      <c r="AQ39" s="20" t="s">
        <v>3499</v>
      </c>
      <c r="AR39" s="21" t="s">
        <v>1038</v>
      </c>
      <c r="AS39" s="62"/>
      <c r="AT39" s="62"/>
      <c r="AU39" s="11"/>
      <c r="AV39" s="10"/>
      <c r="AW39" s="11"/>
      <c r="AX39" s="11"/>
      <c r="AY39" s="11"/>
      <c r="AZ39" s="11" t="s">
        <v>209</v>
      </c>
      <c r="BA39" s="11"/>
      <c r="BB39" s="59" t="s">
        <v>2813</v>
      </c>
      <c r="BC39" s="59" t="s">
        <v>292</v>
      </c>
      <c r="BD39" s="59" t="s">
        <v>1168</v>
      </c>
      <c r="BE39" s="59" t="s">
        <v>988</v>
      </c>
      <c r="BF39" s="59"/>
      <c r="BG39" s="59"/>
      <c r="BH39" s="138"/>
      <c r="BI39" s="138"/>
      <c r="BJ39" s="138"/>
      <c r="BK39" s="231"/>
      <c r="BL39" s="231"/>
      <c r="BM39" s="231"/>
      <c r="BN39" s="232"/>
      <c r="BO39" s="19"/>
      <c r="BP39" s="23" t="s">
        <v>260</v>
      </c>
      <c r="BQ39" s="23"/>
      <c r="BR39" s="23"/>
      <c r="BS39" s="43"/>
    </row>
    <row r="40" spans="1:72" ht="13.5" customHeight="1" x14ac:dyDescent="0.15">
      <c r="A40" s="48" t="s">
        <v>5167</v>
      </c>
      <c r="B40" s="9" t="s">
        <v>5170</v>
      </c>
      <c r="C40" s="9"/>
      <c r="D40" s="9"/>
      <c r="E40" s="9"/>
      <c r="F40" s="112" t="s">
        <v>107</v>
      </c>
      <c r="G40" s="11" t="s">
        <v>5171</v>
      </c>
      <c r="H40" s="5" t="s">
        <v>5172</v>
      </c>
      <c r="I40" s="11" t="s">
        <v>241</v>
      </c>
      <c r="J40" s="357" t="s">
        <v>2297</v>
      </c>
      <c r="K40" s="353"/>
      <c r="L40" s="221">
        <v>212</v>
      </c>
      <c r="M40" s="221"/>
      <c r="N40" s="222" t="str">
        <f t="shared" si="0"/>
        <v>Contact famille</v>
      </c>
      <c r="O40" s="729">
        <v>212</v>
      </c>
      <c r="P40" s="729"/>
      <c r="Q40" s="730" t="str">
        <f t="shared" si="1"/>
        <v>Contact famille</v>
      </c>
      <c r="R40" s="732"/>
      <c r="S40" s="732"/>
      <c r="T40" s="732"/>
      <c r="U40" s="732"/>
      <c r="V40" s="732" t="s">
        <v>313</v>
      </c>
      <c r="W40" s="732"/>
      <c r="X40" s="732"/>
      <c r="Y40" s="732"/>
      <c r="Z40" s="732"/>
      <c r="AA40" s="732"/>
      <c r="AB40" s="12"/>
      <c r="AC40" s="155"/>
      <c r="AD40" s="155"/>
      <c r="AE40" s="155"/>
      <c r="AF40" s="12"/>
      <c r="AG40" s="386"/>
      <c r="AH40" s="392"/>
      <c r="AI40" s="18" t="s">
        <v>242</v>
      </c>
      <c r="AJ40" s="18" t="s">
        <v>242</v>
      </c>
      <c r="AK40" s="13" t="s">
        <v>242</v>
      </c>
      <c r="AL40" s="18" t="s">
        <v>242</v>
      </c>
      <c r="AM40" s="19" t="s">
        <v>244</v>
      </c>
      <c r="AN40" s="10"/>
      <c r="AO40" s="11"/>
      <c r="AP40" s="53"/>
      <c r="AQ40" s="20">
        <v>621367930</v>
      </c>
      <c r="AR40" s="68" t="s">
        <v>5177</v>
      </c>
      <c r="AS40" s="62"/>
      <c r="AT40" s="62"/>
      <c r="AU40" s="10"/>
      <c r="AV40" s="10"/>
      <c r="AW40" s="13"/>
      <c r="AX40" s="11"/>
      <c r="AY40" s="11"/>
      <c r="AZ40" s="11"/>
      <c r="BA40" s="11"/>
      <c r="BB40" s="59"/>
      <c r="BC40" s="59"/>
      <c r="BD40" s="59"/>
      <c r="BE40" s="59"/>
      <c r="BF40" s="59"/>
      <c r="BG40" s="59"/>
      <c r="BH40" s="138"/>
      <c r="BI40" s="138"/>
      <c r="BJ40" s="138"/>
      <c r="BK40" s="231"/>
      <c r="BL40" s="231"/>
      <c r="BM40" s="231"/>
      <c r="BN40" s="232"/>
      <c r="BO40" s="11"/>
      <c r="BP40" s="11"/>
      <c r="BQ40" s="11"/>
      <c r="BR40" s="11"/>
      <c r="BS40" s="394"/>
    </row>
    <row r="41" spans="1:72" ht="13.5" customHeight="1" x14ac:dyDescent="0.15">
      <c r="A41" s="48" t="s">
        <v>5167</v>
      </c>
      <c r="B41" s="9" t="s">
        <v>5169</v>
      </c>
      <c r="C41" s="9"/>
      <c r="D41" s="9"/>
      <c r="E41" s="9"/>
      <c r="F41" s="112" t="s">
        <v>107</v>
      </c>
      <c r="G41" s="11" t="s">
        <v>5171</v>
      </c>
      <c r="H41" s="5" t="s">
        <v>5172</v>
      </c>
      <c r="I41" s="11" t="s">
        <v>241</v>
      </c>
      <c r="J41" s="357" t="s">
        <v>2297</v>
      </c>
      <c r="K41" s="353"/>
      <c r="L41" s="221">
        <v>212</v>
      </c>
      <c r="M41" s="221"/>
      <c r="N41" s="222" t="str">
        <f t="shared" si="0"/>
        <v>Contact famille</v>
      </c>
      <c r="O41" s="729">
        <v>212</v>
      </c>
      <c r="P41" s="729"/>
      <c r="Q41" s="730" t="str">
        <f t="shared" si="1"/>
        <v>Contact famille</v>
      </c>
      <c r="R41" s="732"/>
      <c r="S41" s="732"/>
      <c r="T41" s="732"/>
      <c r="U41" s="732"/>
      <c r="V41" s="732" t="s">
        <v>313</v>
      </c>
      <c r="W41" s="732"/>
      <c r="X41" s="732"/>
      <c r="Y41" s="732"/>
      <c r="Z41" s="732"/>
      <c r="AA41" s="732"/>
      <c r="AB41" s="12"/>
      <c r="AC41" s="155"/>
      <c r="AD41" s="155"/>
      <c r="AE41" s="155"/>
      <c r="AF41" s="12"/>
      <c r="AG41" s="386"/>
      <c r="AH41" s="392"/>
      <c r="AI41" s="18" t="s">
        <v>242</v>
      </c>
      <c r="AJ41" s="18" t="s">
        <v>242</v>
      </c>
      <c r="AK41" s="13" t="s">
        <v>242</v>
      </c>
      <c r="AL41" s="13" t="s">
        <v>242</v>
      </c>
      <c r="AM41" s="46" t="s">
        <v>244</v>
      </c>
      <c r="AN41" s="10"/>
      <c r="AO41" s="11"/>
      <c r="AP41" s="53"/>
      <c r="AQ41" s="20">
        <v>661798179</v>
      </c>
      <c r="AR41" s="68" t="s">
        <v>5177</v>
      </c>
      <c r="AS41" s="62"/>
      <c r="AT41" s="62"/>
      <c r="AU41" s="10"/>
      <c r="AV41" s="10"/>
      <c r="AW41" s="13"/>
      <c r="AX41" s="11"/>
      <c r="AY41" s="11"/>
      <c r="AZ41" s="11"/>
      <c r="BA41" s="11"/>
      <c r="BB41" s="59"/>
      <c r="BC41" s="59"/>
      <c r="BD41" s="59"/>
      <c r="BE41" s="59"/>
      <c r="BF41" s="59"/>
      <c r="BG41" s="59"/>
      <c r="BH41" s="138"/>
      <c r="BI41" s="138"/>
      <c r="BJ41" s="138"/>
      <c r="BK41" s="231"/>
      <c r="BL41" s="231"/>
      <c r="BM41" s="231"/>
      <c r="BN41" s="232"/>
      <c r="BO41" s="11"/>
      <c r="BP41" s="11"/>
      <c r="BQ41" s="11"/>
      <c r="BR41" s="11"/>
      <c r="BS41" s="394"/>
    </row>
    <row r="42" spans="1:72" ht="13.5" customHeight="1" x14ac:dyDescent="0.15">
      <c r="A42" s="48" t="s">
        <v>5167</v>
      </c>
      <c r="B42" s="9" t="s">
        <v>5168</v>
      </c>
      <c r="C42" s="9"/>
      <c r="D42" s="9"/>
      <c r="E42" s="9"/>
      <c r="F42" s="112" t="s">
        <v>107</v>
      </c>
      <c r="G42" s="11" t="s">
        <v>5171</v>
      </c>
      <c r="H42" s="5" t="s">
        <v>5172</v>
      </c>
      <c r="I42" s="11" t="s">
        <v>241</v>
      </c>
      <c r="J42" s="357" t="s">
        <v>2297</v>
      </c>
      <c r="K42" s="353"/>
      <c r="L42" s="221">
        <v>17</v>
      </c>
      <c r="M42" s="221"/>
      <c r="N42" s="222" t="str">
        <f t="shared" si="0"/>
        <v>U 11 Dames</v>
      </c>
      <c r="O42" s="729">
        <v>17</v>
      </c>
      <c r="P42" s="729"/>
      <c r="Q42" s="730" t="str">
        <f t="shared" si="1"/>
        <v>U 11 Dames</v>
      </c>
      <c r="R42" s="732"/>
      <c r="S42" s="732"/>
      <c r="T42" s="732"/>
      <c r="U42" s="732"/>
      <c r="V42" s="732" t="s">
        <v>192</v>
      </c>
      <c r="W42" s="732"/>
      <c r="X42" s="732"/>
      <c r="Y42" s="732"/>
      <c r="Z42" s="732"/>
      <c r="AA42" s="732"/>
      <c r="AB42" s="12" t="s">
        <v>5279</v>
      </c>
      <c r="AC42" s="155"/>
      <c r="AD42" s="155"/>
      <c r="AE42" s="155"/>
      <c r="AF42" s="12"/>
      <c r="AG42" s="386" t="s">
        <v>5173</v>
      </c>
      <c r="AH42" s="392"/>
      <c r="AI42" s="18">
        <v>45911</v>
      </c>
      <c r="AJ42" s="18">
        <v>45840</v>
      </c>
      <c r="AK42" s="13">
        <v>2029</v>
      </c>
      <c r="AL42" s="18">
        <v>42884</v>
      </c>
      <c r="AM42" s="5" t="s">
        <v>5174</v>
      </c>
      <c r="AN42" s="10"/>
      <c r="AO42" s="11"/>
      <c r="AP42" s="53" t="s">
        <v>5175</v>
      </c>
      <c r="AQ42" s="10" t="s">
        <v>5176</v>
      </c>
      <c r="AR42" s="68" t="s">
        <v>5177</v>
      </c>
      <c r="AS42" s="62"/>
      <c r="AT42" s="62"/>
      <c r="AU42" s="10"/>
      <c r="AV42" s="10"/>
      <c r="AW42" s="13"/>
      <c r="AX42" s="11"/>
      <c r="AY42" s="11"/>
      <c r="AZ42" s="11"/>
      <c r="BA42" s="11"/>
      <c r="BB42" s="59"/>
      <c r="BC42" s="59"/>
      <c r="BD42" s="59"/>
      <c r="BE42" s="59"/>
      <c r="BF42" s="59"/>
      <c r="BG42" s="59"/>
      <c r="BH42" s="138"/>
      <c r="BI42" s="138"/>
      <c r="BJ42" s="138"/>
      <c r="BK42" s="231"/>
      <c r="BL42" s="231"/>
      <c r="BM42" s="231"/>
      <c r="BN42" s="232"/>
      <c r="BO42" s="11"/>
      <c r="BP42" s="11"/>
      <c r="BQ42" s="11"/>
      <c r="BR42" s="11"/>
      <c r="BS42" s="394"/>
    </row>
    <row r="43" spans="1:72" s="150" customFormat="1" ht="13.5" customHeight="1" x14ac:dyDescent="0.15">
      <c r="A43" s="48" t="s">
        <v>2867</v>
      </c>
      <c r="B43" s="9" t="s">
        <v>2268</v>
      </c>
      <c r="C43" s="9"/>
      <c r="D43" s="9"/>
      <c r="E43" s="9"/>
      <c r="F43" s="112" t="s">
        <v>107</v>
      </c>
      <c r="G43" s="11" t="s">
        <v>5347</v>
      </c>
      <c r="H43" s="5" t="s">
        <v>5348</v>
      </c>
      <c r="I43" s="11" t="s">
        <v>233</v>
      </c>
      <c r="J43" s="357" t="s">
        <v>5345</v>
      </c>
      <c r="K43" s="353"/>
      <c r="L43" s="221">
        <v>212</v>
      </c>
      <c r="M43" s="221"/>
      <c r="N43" s="222" t="str">
        <f t="shared" si="0"/>
        <v>Contact famille</v>
      </c>
      <c r="O43" s="729">
        <v>212</v>
      </c>
      <c r="P43" s="729"/>
      <c r="Q43" s="730" t="str">
        <f t="shared" si="1"/>
        <v>Contact famille</v>
      </c>
      <c r="R43" s="732"/>
      <c r="S43" s="732"/>
      <c r="T43" s="732" t="s">
        <v>313</v>
      </c>
      <c r="U43" s="732"/>
      <c r="V43" s="732"/>
      <c r="W43" s="732"/>
      <c r="X43" s="732"/>
      <c r="Y43" s="732"/>
      <c r="Z43" s="732"/>
      <c r="AA43" s="732"/>
      <c r="AB43" s="12"/>
      <c r="AC43" s="155"/>
      <c r="AD43" s="155"/>
      <c r="AE43" s="155"/>
      <c r="AF43" s="12"/>
      <c r="AG43" s="386"/>
      <c r="AH43" s="392"/>
      <c r="AI43" s="18" t="s">
        <v>242</v>
      </c>
      <c r="AJ43" s="18" t="s">
        <v>242</v>
      </c>
      <c r="AK43" s="13" t="s">
        <v>242</v>
      </c>
      <c r="AL43" s="18" t="s">
        <v>242</v>
      </c>
      <c r="AM43" s="19" t="s">
        <v>244</v>
      </c>
      <c r="AN43" s="10"/>
      <c r="AO43" s="11"/>
      <c r="AP43" s="53"/>
      <c r="AQ43" s="20">
        <v>621182362</v>
      </c>
      <c r="AR43" s="68" t="s">
        <v>5350</v>
      </c>
      <c r="AS43" s="62"/>
      <c r="AT43" s="62"/>
      <c r="AU43" s="10"/>
      <c r="AV43" s="10"/>
      <c r="AW43" s="13"/>
      <c r="AX43" s="11"/>
      <c r="AY43" s="11"/>
      <c r="AZ43" s="11"/>
      <c r="BA43" s="11"/>
      <c r="BB43" s="59"/>
      <c r="BC43" s="59"/>
      <c r="BD43" s="59"/>
      <c r="BE43" s="59"/>
      <c r="BF43" s="59"/>
      <c r="BG43" s="59"/>
      <c r="BH43" s="138"/>
      <c r="BI43" s="138"/>
      <c r="BJ43" s="138"/>
      <c r="BK43" s="231"/>
      <c r="BL43" s="231"/>
      <c r="BM43" s="231"/>
      <c r="BN43" s="232"/>
      <c r="BO43" s="11"/>
      <c r="BP43" s="11"/>
      <c r="BQ43" s="11"/>
      <c r="BR43" s="11"/>
      <c r="BS43" s="394"/>
      <c r="BT43"/>
    </row>
    <row r="44" spans="1:72" ht="13.5" customHeight="1" x14ac:dyDescent="0.15">
      <c r="A44" s="48" t="s">
        <v>2867</v>
      </c>
      <c r="B44" s="9" t="s">
        <v>5346</v>
      </c>
      <c r="C44" s="9"/>
      <c r="D44" s="9"/>
      <c r="E44" s="9"/>
      <c r="F44" s="112" t="s">
        <v>107</v>
      </c>
      <c r="G44" s="11" t="s">
        <v>5347</v>
      </c>
      <c r="H44" s="5" t="s">
        <v>5348</v>
      </c>
      <c r="I44" s="11" t="s">
        <v>233</v>
      </c>
      <c r="J44" s="357" t="s">
        <v>5345</v>
      </c>
      <c r="K44" s="353"/>
      <c r="L44" s="221">
        <v>5</v>
      </c>
      <c r="M44" s="221"/>
      <c r="N44" s="222" t="str">
        <f t="shared" si="0"/>
        <v>U 15 Hommes</v>
      </c>
      <c r="O44" s="729">
        <v>5</v>
      </c>
      <c r="P44" s="729"/>
      <c r="Q44" s="730" t="str">
        <f t="shared" si="1"/>
        <v>U 15 Hommes</v>
      </c>
      <c r="R44" s="732"/>
      <c r="S44" s="732"/>
      <c r="T44" s="732" t="s">
        <v>192</v>
      </c>
      <c r="U44" s="732"/>
      <c r="V44" s="732"/>
      <c r="W44" s="732"/>
      <c r="X44" s="732"/>
      <c r="Y44" s="732"/>
      <c r="Z44" s="732"/>
      <c r="AA44" s="732"/>
      <c r="AB44" s="12" t="s">
        <v>5390</v>
      </c>
      <c r="AC44" s="155"/>
      <c r="AD44" s="155"/>
      <c r="AE44" s="155"/>
      <c r="AF44" s="12"/>
      <c r="AG44" s="386" t="s">
        <v>5270</v>
      </c>
      <c r="AH44" s="392"/>
      <c r="AI44" s="18">
        <v>45965</v>
      </c>
      <c r="AJ44" s="18">
        <v>45945</v>
      </c>
      <c r="AK44" s="13">
        <v>2027</v>
      </c>
      <c r="AL44" s="18">
        <v>40981</v>
      </c>
      <c r="AM44" s="5" t="s">
        <v>5349</v>
      </c>
      <c r="AN44" s="10"/>
      <c r="AO44" s="11"/>
      <c r="AP44" s="53"/>
      <c r="AQ44" s="20">
        <v>621182362</v>
      </c>
      <c r="AR44" s="68" t="s">
        <v>5350</v>
      </c>
      <c r="AS44" s="62"/>
      <c r="AT44" s="62"/>
      <c r="AU44" s="10"/>
      <c r="AV44" s="10"/>
      <c r="AW44" s="13"/>
      <c r="AX44" s="11"/>
      <c r="AY44" s="11"/>
      <c r="AZ44" s="11"/>
      <c r="BA44" s="11"/>
      <c r="BB44" s="59"/>
      <c r="BC44" s="59"/>
      <c r="BD44" s="59"/>
      <c r="BE44" s="59"/>
      <c r="BF44" s="59"/>
      <c r="BG44" s="59"/>
      <c r="BH44" s="138"/>
      <c r="BI44" s="138"/>
      <c r="BJ44" s="138"/>
      <c r="BK44" s="231"/>
      <c r="BL44" s="231"/>
      <c r="BM44" s="231"/>
      <c r="BN44" s="232"/>
      <c r="BO44" s="11"/>
      <c r="BP44" s="11"/>
      <c r="BQ44" s="11"/>
      <c r="BR44" s="11"/>
      <c r="BS44" s="394"/>
    </row>
    <row r="45" spans="1:72" ht="13.5" customHeight="1" x14ac:dyDescent="0.15">
      <c r="A45" s="103" t="s">
        <v>1130</v>
      </c>
      <c r="B45" s="104" t="s">
        <v>824</v>
      </c>
      <c r="C45" s="104"/>
      <c r="D45" s="104"/>
      <c r="E45" s="104"/>
      <c r="F45" s="122" t="s">
        <v>107</v>
      </c>
      <c r="G45" s="122" t="s">
        <v>3591</v>
      </c>
      <c r="H45" s="123" t="s">
        <v>222</v>
      </c>
      <c r="I45" s="105" t="s">
        <v>223</v>
      </c>
      <c r="J45" s="356" t="s">
        <v>4376</v>
      </c>
      <c r="K45" s="353" t="s">
        <v>5004</v>
      </c>
      <c r="L45" s="220">
        <v>252</v>
      </c>
      <c r="M45" s="220"/>
      <c r="N45" s="223" t="str">
        <f t="shared" si="0"/>
        <v>Arrêt jeune (garder licence)</v>
      </c>
      <c r="O45" s="733">
        <v>7</v>
      </c>
      <c r="P45" s="733"/>
      <c r="Q45" s="758" t="str">
        <f t="shared" si="1"/>
        <v>U 11 Hommes</v>
      </c>
      <c r="R45" s="734"/>
      <c r="S45" s="734"/>
      <c r="T45" s="734"/>
      <c r="U45" s="734"/>
      <c r="V45" s="734"/>
      <c r="W45" s="734"/>
      <c r="X45" s="734" t="s">
        <v>192</v>
      </c>
      <c r="Y45" s="734"/>
      <c r="Z45" s="734"/>
      <c r="AA45" s="734"/>
      <c r="AB45" s="124" t="s">
        <v>3596</v>
      </c>
      <c r="AC45" s="124"/>
      <c r="AD45" s="124"/>
      <c r="AE45" s="124"/>
      <c r="AF45" s="124"/>
      <c r="AG45" s="373" t="s">
        <v>252</v>
      </c>
      <c r="AH45" s="372"/>
      <c r="AI45" s="143">
        <v>44124</v>
      </c>
      <c r="AJ45" s="143">
        <v>44120</v>
      </c>
      <c r="AK45" s="612">
        <v>2023</v>
      </c>
      <c r="AL45" s="143">
        <v>42457</v>
      </c>
      <c r="AM45" s="144" t="s">
        <v>3592</v>
      </c>
      <c r="AN45" s="151"/>
      <c r="AO45" s="122"/>
      <c r="AP45" s="122"/>
      <c r="AQ45" s="122" t="s">
        <v>3593</v>
      </c>
      <c r="AR45" s="152" t="s">
        <v>3594</v>
      </c>
      <c r="AS45" s="36"/>
      <c r="AT45" s="36"/>
      <c r="AU45" s="105"/>
      <c r="AV45" s="122"/>
      <c r="AW45" s="105"/>
      <c r="AX45" s="105"/>
      <c r="AY45" s="105"/>
      <c r="AZ45" s="105"/>
      <c r="BA45" s="105"/>
      <c r="BB45" s="130"/>
      <c r="BC45" s="130"/>
      <c r="BD45" s="130"/>
      <c r="BE45" s="130"/>
      <c r="BF45" s="130"/>
      <c r="BG45" s="130"/>
      <c r="BH45" s="147"/>
      <c r="BI45" s="147"/>
      <c r="BJ45" s="147"/>
      <c r="BK45" s="229"/>
      <c r="BL45" s="229"/>
      <c r="BM45" s="229"/>
      <c r="BN45" s="230"/>
      <c r="BO45" s="144"/>
      <c r="BP45" s="148"/>
      <c r="BQ45" s="148"/>
      <c r="BR45" s="148"/>
      <c r="BS45" s="149"/>
      <c r="BT45" s="150"/>
    </row>
    <row r="46" spans="1:72" ht="13.5" customHeight="1" x14ac:dyDescent="0.15">
      <c r="A46" s="48" t="s">
        <v>3944</v>
      </c>
      <c r="B46" s="9" t="s">
        <v>3946</v>
      </c>
      <c r="C46" s="9"/>
      <c r="D46" s="9"/>
      <c r="E46" s="9"/>
      <c r="F46" s="112" t="s">
        <v>107</v>
      </c>
      <c r="G46" s="10" t="s">
        <v>3947</v>
      </c>
      <c r="H46" s="5" t="s">
        <v>2115</v>
      </c>
      <c r="I46" s="11" t="s">
        <v>651</v>
      </c>
      <c r="J46" s="357" t="s">
        <v>1356</v>
      </c>
      <c r="K46" s="353"/>
      <c r="L46" s="221">
        <v>212</v>
      </c>
      <c r="M46" s="221"/>
      <c r="N46" s="222" t="str">
        <f t="shared" si="0"/>
        <v>Contact famille</v>
      </c>
      <c r="O46" s="729">
        <v>212</v>
      </c>
      <c r="P46" s="729"/>
      <c r="Q46" s="730" t="str">
        <f t="shared" si="1"/>
        <v>Contact famille</v>
      </c>
      <c r="R46" s="731"/>
      <c r="S46" s="731"/>
      <c r="T46" s="731" t="s">
        <v>313</v>
      </c>
      <c r="U46" s="731"/>
      <c r="V46" s="731"/>
      <c r="W46" s="731"/>
      <c r="X46" s="731"/>
      <c r="Y46" s="731"/>
      <c r="Z46" s="731"/>
      <c r="AA46" s="731"/>
      <c r="AB46" s="12"/>
      <c r="AC46" s="12"/>
      <c r="AD46" s="12"/>
      <c r="AE46" s="12"/>
      <c r="AF46" s="12"/>
      <c r="AG46" s="369"/>
      <c r="AH46" s="370"/>
      <c r="AI46" s="18" t="s">
        <v>242</v>
      </c>
      <c r="AJ46" s="18" t="s">
        <v>242</v>
      </c>
      <c r="AK46" s="13" t="s">
        <v>242</v>
      </c>
      <c r="AL46" s="18" t="s">
        <v>242</v>
      </c>
      <c r="AM46" s="19" t="s">
        <v>244</v>
      </c>
      <c r="AN46" s="38"/>
      <c r="AO46" s="10"/>
      <c r="AP46" s="40"/>
      <c r="AQ46" s="64">
        <v>621488080</v>
      </c>
      <c r="AR46" s="47" t="s">
        <v>3951</v>
      </c>
      <c r="AS46" s="62"/>
      <c r="AT46" s="62"/>
      <c r="AU46" s="11"/>
      <c r="AV46" s="10"/>
      <c r="AW46" s="11"/>
      <c r="AX46" s="11"/>
      <c r="AY46" s="11"/>
      <c r="AZ46" s="11"/>
      <c r="BA46" s="11"/>
      <c r="BB46" s="59"/>
      <c r="BC46" s="59"/>
      <c r="BD46" s="59"/>
      <c r="BE46" s="59"/>
      <c r="BF46" s="59"/>
      <c r="BG46" s="59"/>
      <c r="BH46" s="138"/>
      <c r="BI46" s="138"/>
      <c r="BJ46" s="138"/>
      <c r="BK46" s="231"/>
      <c r="BL46" s="231"/>
      <c r="BM46" s="231"/>
      <c r="BN46" s="232"/>
      <c r="BO46" s="19"/>
      <c r="BP46" s="23"/>
      <c r="BQ46" s="23"/>
      <c r="BR46" s="23"/>
      <c r="BS46" s="43"/>
      <c r="BT46" s="150"/>
    </row>
    <row r="47" spans="1:72" ht="13.5" customHeight="1" x14ac:dyDescent="0.15">
      <c r="A47" s="48" t="s">
        <v>3944</v>
      </c>
      <c r="B47" s="9" t="s">
        <v>3945</v>
      </c>
      <c r="C47" s="9"/>
      <c r="D47" s="9"/>
      <c r="E47" s="9"/>
      <c r="F47" s="112" t="s">
        <v>107</v>
      </c>
      <c r="G47" s="10" t="s">
        <v>3947</v>
      </c>
      <c r="H47" s="5" t="s">
        <v>2115</v>
      </c>
      <c r="I47" s="11" t="s">
        <v>651</v>
      </c>
      <c r="J47" s="357" t="s">
        <v>1356</v>
      </c>
      <c r="K47" s="353"/>
      <c r="L47" s="221">
        <v>5</v>
      </c>
      <c r="M47" s="221"/>
      <c r="N47" s="222" t="str">
        <f t="shared" si="0"/>
        <v>U 15 Hommes</v>
      </c>
      <c r="O47" s="729">
        <v>5</v>
      </c>
      <c r="P47" s="729"/>
      <c r="Q47" s="730" t="str">
        <f t="shared" si="1"/>
        <v>U 15 Hommes</v>
      </c>
      <c r="R47" s="731"/>
      <c r="S47" s="731"/>
      <c r="T47" s="731" t="s">
        <v>192</v>
      </c>
      <c r="U47" s="731"/>
      <c r="V47" s="731"/>
      <c r="W47" s="731"/>
      <c r="X47" s="731"/>
      <c r="Y47" s="731"/>
      <c r="Z47" s="731"/>
      <c r="AA47" s="731"/>
      <c r="AB47" s="12" t="s">
        <v>3977</v>
      </c>
      <c r="AC47" s="12"/>
      <c r="AD47" s="12"/>
      <c r="AE47" s="12"/>
      <c r="AF47" s="12"/>
      <c r="AG47" s="369"/>
      <c r="AH47" s="370"/>
      <c r="AI47" s="18">
        <v>44615</v>
      </c>
      <c r="AJ47" s="18">
        <v>44575</v>
      </c>
      <c r="AK47" s="615">
        <v>2025</v>
      </c>
      <c r="AL47" s="18">
        <v>41484</v>
      </c>
      <c r="AM47" s="19" t="s">
        <v>3948</v>
      </c>
      <c r="AN47" s="38"/>
      <c r="AO47" s="10"/>
      <c r="AP47" s="40" t="s">
        <v>3949</v>
      </c>
      <c r="AQ47" s="10" t="s">
        <v>3950</v>
      </c>
      <c r="AR47" s="47" t="s">
        <v>3951</v>
      </c>
      <c r="AS47" s="62"/>
      <c r="AT47" s="62"/>
      <c r="AU47" s="11"/>
      <c r="AV47" s="10"/>
      <c r="AW47" s="11"/>
      <c r="AX47" s="11"/>
      <c r="AY47" s="11"/>
      <c r="AZ47" s="11"/>
      <c r="BA47" s="11"/>
      <c r="BB47" s="59"/>
      <c r="BC47" s="59"/>
      <c r="BD47" s="59"/>
      <c r="BE47" s="59"/>
      <c r="BF47" s="59"/>
      <c r="BG47" s="59"/>
      <c r="BH47" s="138"/>
      <c r="BI47" s="138"/>
      <c r="BJ47" s="138"/>
      <c r="BK47" s="231"/>
      <c r="BL47" s="231"/>
      <c r="BM47" s="231"/>
      <c r="BN47" s="232"/>
      <c r="BO47" s="19"/>
      <c r="BP47" s="23"/>
      <c r="BQ47" s="23"/>
      <c r="BR47" s="23"/>
      <c r="BS47" s="43"/>
    </row>
    <row r="48" spans="1:72" ht="13.5" customHeight="1" x14ac:dyDescent="0.15">
      <c r="A48" s="48" t="s">
        <v>5108</v>
      </c>
      <c r="B48" s="9" t="s">
        <v>3148</v>
      </c>
      <c r="C48" s="9"/>
      <c r="D48" s="9"/>
      <c r="E48" s="9"/>
      <c r="F48" s="112" t="s">
        <v>107</v>
      </c>
      <c r="G48" s="11" t="s">
        <v>5112</v>
      </c>
      <c r="H48" s="5" t="s">
        <v>5113</v>
      </c>
      <c r="I48" s="11" t="s">
        <v>1696</v>
      </c>
      <c r="J48" s="357" t="s">
        <v>5114</v>
      </c>
      <c r="K48" s="353"/>
      <c r="L48" s="221">
        <v>212</v>
      </c>
      <c r="M48" s="221"/>
      <c r="N48" s="222" t="str">
        <f t="shared" si="0"/>
        <v>Contact famille</v>
      </c>
      <c r="O48" s="729">
        <v>212</v>
      </c>
      <c r="P48" s="729"/>
      <c r="Q48" s="730" t="str">
        <f t="shared" si="1"/>
        <v>Contact famille</v>
      </c>
      <c r="R48" s="732"/>
      <c r="S48" s="732"/>
      <c r="T48" s="732"/>
      <c r="U48" s="732" t="s">
        <v>313</v>
      </c>
      <c r="V48" s="732"/>
      <c r="W48" s="732"/>
      <c r="X48" s="732"/>
      <c r="Y48" s="732"/>
      <c r="Z48" s="732"/>
      <c r="AA48" s="732"/>
      <c r="AB48" s="12"/>
      <c r="AC48" s="155"/>
      <c r="AD48" s="155"/>
      <c r="AE48" s="155"/>
      <c r="AF48" s="12"/>
      <c r="AG48" s="386"/>
      <c r="AH48" s="392"/>
      <c r="AI48" s="18" t="s">
        <v>242</v>
      </c>
      <c r="AJ48" s="18" t="s">
        <v>242</v>
      </c>
      <c r="AK48" s="13" t="s">
        <v>242</v>
      </c>
      <c r="AL48" s="13" t="s">
        <v>242</v>
      </c>
      <c r="AM48" s="46" t="s">
        <v>244</v>
      </c>
      <c r="AN48" s="10"/>
      <c r="AO48" s="11"/>
      <c r="AP48" s="53"/>
      <c r="AQ48" s="20">
        <v>691687347</v>
      </c>
      <c r="AR48" s="68" t="s">
        <v>5118</v>
      </c>
      <c r="AS48" s="62"/>
      <c r="AT48" s="62"/>
      <c r="AU48" s="10"/>
      <c r="AV48" s="10"/>
      <c r="AW48" s="13"/>
      <c r="AX48" s="11"/>
      <c r="AY48" s="11"/>
      <c r="AZ48" s="11"/>
      <c r="BA48" s="11"/>
      <c r="BB48" s="59"/>
      <c r="BC48" s="59"/>
      <c r="BD48" s="59"/>
      <c r="BE48" s="59"/>
      <c r="BF48" s="59"/>
      <c r="BG48" s="59"/>
      <c r="BH48" s="138"/>
      <c r="BI48" s="138"/>
      <c r="BJ48" s="138"/>
      <c r="BK48" s="231"/>
      <c r="BL48" s="231"/>
      <c r="BM48" s="231"/>
      <c r="BN48" s="232"/>
      <c r="BO48" s="11"/>
      <c r="BP48" s="11"/>
      <c r="BQ48" s="11"/>
      <c r="BR48" s="11"/>
      <c r="BS48" s="394"/>
    </row>
    <row r="49" spans="1:72" ht="13.5" customHeight="1" x14ac:dyDescent="0.15">
      <c r="A49" s="48" t="s">
        <v>5108</v>
      </c>
      <c r="B49" s="9" t="s">
        <v>5109</v>
      </c>
      <c r="C49" s="9"/>
      <c r="D49" s="9"/>
      <c r="E49" s="9"/>
      <c r="F49" s="112" t="s">
        <v>107</v>
      </c>
      <c r="G49" s="11" t="s">
        <v>5112</v>
      </c>
      <c r="H49" s="5" t="s">
        <v>5113</v>
      </c>
      <c r="I49" s="11" t="s">
        <v>1696</v>
      </c>
      <c r="J49" s="357" t="s">
        <v>5114</v>
      </c>
      <c r="K49" s="353"/>
      <c r="L49" s="221">
        <v>6</v>
      </c>
      <c r="M49" s="221"/>
      <c r="N49" s="222" t="str">
        <f t="shared" si="0"/>
        <v>U 13 Hommes</v>
      </c>
      <c r="O49" s="729">
        <v>6</v>
      </c>
      <c r="P49" s="729"/>
      <c r="Q49" s="730" t="str">
        <f t="shared" si="1"/>
        <v>U 13 Hommes</v>
      </c>
      <c r="R49" s="732"/>
      <c r="S49" s="732"/>
      <c r="T49" s="732"/>
      <c r="U49" s="732" t="s">
        <v>192</v>
      </c>
      <c r="V49" s="732"/>
      <c r="W49" s="732"/>
      <c r="X49" s="732"/>
      <c r="Y49" s="732"/>
      <c r="Z49" s="732"/>
      <c r="AA49" s="732"/>
      <c r="AB49" s="12" t="s">
        <v>5139</v>
      </c>
      <c r="AC49" s="155"/>
      <c r="AD49" s="155"/>
      <c r="AE49" s="155"/>
      <c r="AF49" s="12"/>
      <c r="AG49" s="369"/>
      <c r="AH49" s="392"/>
      <c r="AI49" s="18">
        <v>45798</v>
      </c>
      <c r="AJ49" s="18">
        <v>45748</v>
      </c>
      <c r="AK49" s="13">
        <v>2027</v>
      </c>
      <c r="AL49" s="18">
        <v>42229</v>
      </c>
      <c r="AM49" s="5" t="s">
        <v>5115</v>
      </c>
      <c r="AN49" s="10"/>
      <c r="AO49" s="11"/>
      <c r="AP49" s="53" t="s">
        <v>5116</v>
      </c>
      <c r="AQ49" s="10" t="s">
        <v>5117</v>
      </c>
      <c r="AR49" s="68" t="s">
        <v>5118</v>
      </c>
      <c r="AS49" s="62"/>
      <c r="AT49" s="62"/>
      <c r="AU49" s="10"/>
      <c r="AV49" s="10"/>
      <c r="AW49" s="13"/>
      <c r="AX49" s="11"/>
      <c r="AY49" s="11"/>
      <c r="AZ49" s="11"/>
      <c r="BA49" s="11"/>
      <c r="BB49" s="59"/>
      <c r="BC49" s="59"/>
      <c r="BD49" s="59"/>
      <c r="BE49" s="59"/>
      <c r="BF49" s="59"/>
      <c r="BG49" s="59"/>
      <c r="BH49" s="138"/>
      <c r="BI49" s="138"/>
      <c r="BJ49" s="138"/>
      <c r="BK49" s="231"/>
      <c r="BL49" s="231"/>
      <c r="BM49" s="231"/>
      <c r="BN49" s="232"/>
      <c r="BO49" s="11"/>
      <c r="BP49" s="11"/>
      <c r="BQ49" s="11"/>
      <c r="BR49" s="11"/>
      <c r="BS49" s="394"/>
    </row>
    <row r="50" spans="1:72" ht="13.5" customHeight="1" x14ac:dyDescent="0.15">
      <c r="A50" s="48" t="s">
        <v>4940</v>
      </c>
      <c r="B50" s="9" t="s">
        <v>4889</v>
      </c>
      <c r="C50" s="9"/>
      <c r="D50" s="9"/>
      <c r="E50" s="9"/>
      <c r="F50" s="10" t="s">
        <v>490</v>
      </c>
      <c r="G50" s="10" t="s">
        <v>4941</v>
      </c>
      <c r="H50" s="5" t="s">
        <v>4942</v>
      </c>
      <c r="I50" s="11" t="s">
        <v>4943</v>
      </c>
      <c r="J50" s="357" t="s">
        <v>320</v>
      </c>
      <c r="K50" s="353"/>
      <c r="L50" s="221">
        <v>2</v>
      </c>
      <c r="M50" s="221"/>
      <c r="N50" s="222" t="str">
        <f t="shared" si="0"/>
        <v>Seniors - Hommes</v>
      </c>
      <c r="O50" s="729">
        <v>2</v>
      </c>
      <c r="P50" s="729"/>
      <c r="Q50" s="730" t="str">
        <f t="shared" si="1"/>
        <v>Seniors - Hommes</v>
      </c>
      <c r="R50" s="731"/>
      <c r="S50" s="731"/>
      <c r="T50" s="731"/>
      <c r="U50" s="731"/>
      <c r="V50" s="731"/>
      <c r="W50" s="731"/>
      <c r="X50" s="731"/>
      <c r="Y50" s="731"/>
      <c r="Z50" s="731"/>
      <c r="AA50" s="731"/>
      <c r="AB50" s="12" t="s">
        <v>4977</v>
      </c>
      <c r="AC50" s="12"/>
      <c r="AD50" s="12"/>
      <c r="AE50" s="12"/>
      <c r="AF50" s="12"/>
      <c r="AG50" s="369"/>
      <c r="AH50" s="370"/>
      <c r="AI50" s="18">
        <v>45603</v>
      </c>
      <c r="AJ50" s="18">
        <v>45585</v>
      </c>
      <c r="AK50" s="13">
        <v>2030</v>
      </c>
      <c r="AL50" s="18">
        <v>36579</v>
      </c>
      <c r="AM50" s="19" t="s">
        <v>4944</v>
      </c>
      <c r="AN50" s="38"/>
      <c r="AO50" s="10"/>
      <c r="AP50" s="40"/>
      <c r="AQ50" s="27" t="s">
        <v>4945</v>
      </c>
      <c r="AR50" s="47" t="s">
        <v>5147</v>
      </c>
      <c r="AS50" s="62"/>
      <c r="AT50" s="62"/>
      <c r="AU50" s="11"/>
      <c r="AV50" s="10"/>
      <c r="AW50" s="11"/>
      <c r="AX50" s="11"/>
      <c r="AY50" s="11"/>
      <c r="AZ50" s="11"/>
      <c r="BA50" s="11"/>
      <c r="BB50" s="59"/>
      <c r="BC50" s="59"/>
      <c r="BD50" s="59"/>
      <c r="BE50" s="59"/>
      <c r="BF50" s="59"/>
      <c r="BG50" s="59"/>
      <c r="BH50" s="138"/>
      <c r="BI50" s="138"/>
      <c r="BJ50" s="138"/>
      <c r="BK50" s="231"/>
      <c r="BL50" s="231"/>
      <c r="BM50" s="231"/>
      <c r="BN50" s="232"/>
      <c r="BO50" s="19"/>
      <c r="BP50" s="23"/>
      <c r="BQ50" s="23"/>
      <c r="BR50" s="23"/>
      <c r="BS50" s="43"/>
    </row>
    <row r="51" spans="1:72" ht="13.5" customHeight="1" x14ac:dyDescent="0.15">
      <c r="A51" s="48" t="s">
        <v>130</v>
      </c>
      <c r="B51" s="9" t="s">
        <v>132</v>
      </c>
      <c r="C51" s="9"/>
      <c r="D51" s="9"/>
      <c r="E51" s="9"/>
      <c r="F51" s="10" t="s">
        <v>107</v>
      </c>
      <c r="G51" s="10" t="s">
        <v>4100</v>
      </c>
      <c r="H51" s="5" t="s">
        <v>134</v>
      </c>
      <c r="I51" s="11" t="s">
        <v>135</v>
      </c>
      <c r="J51" s="357" t="s">
        <v>320</v>
      </c>
      <c r="K51" s="353"/>
      <c r="L51" s="221">
        <v>19</v>
      </c>
      <c r="M51" s="221"/>
      <c r="N51" s="222" t="str">
        <f t="shared" si="0"/>
        <v>Vétérans - Dames</v>
      </c>
      <c r="O51" s="729">
        <v>19</v>
      </c>
      <c r="P51" s="729"/>
      <c r="Q51" s="730" t="str">
        <f t="shared" si="1"/>
        <v>Vétérans - Dames</v>
      </c>
      <c r="R51" s="731"/>
      <c r="S51" s="731"/>
      <c r="T51" s="731"/>
      <c r="U51" s="731"/>
      <c r="V51" s="731"/>
      <c r="W51" s="731"/>
      <c r="X51" s="731"/>
      <c r="Y51" s="731"/>
      <c r="Z51" s="731"/>
      <c r="AA51" s="731"/>
      <c r="AB51" s="12" t="s">
        <v>4119</v>
      </c>
      <c r="AC51" s="12"/>
      <c r="AD51" s="12"/>
      <c r="AE51" s="12"/>
      <c r="AF51" s="12"/>
      <c r="AG51" s="369"/>
      <c r="AH51" s="370"/>
      <c r="AI51" s="45">
        <v>44846</v>
      </c>
      <c r="AJ51" s="45">
        <v>44818</v>
      </c>
      <c r="AK51" s="13">
        <v>2029</v>
      </c>
      <c r="AL51" s="18">
        <v>30860</v>
      </c>
      <c r="AM51" s="19" t="s">
        <v>4101</v>
      </c>
      <c r="AN51" s="38"/>
      <c r="AO51" s="10"/>
      <c r="AP51" s="40"/>
      <c r="AQ51" s="10" t="s">
        <v>3197</v>
      </c>
      <c r="AR51" s="47" t="s">
        <v>3214</v>
      </c>
      <c r="AS51" s="62"/>
      <c r="AT51" s="62"/>
      <c r="AU51" s="11"/>
      <c r="AV51" s="10"/>
      <c r="AW51" s="11"/>
      <c r="AX51" s="11"/>
      <c r="AY51" s="11"/>
      <c r="AZ51" s="11"/>
      <c r="BA51" s="11"/>
      <c r="BB51" s="59"/>
      <c r="BC51" s="59"/>
      <c r="BD51" s="59"/>
      <c r="BE51" s="59"/>
      <c r="BF51" s="59"/>
      <c r="BG51" s="59"/>
      <c r="BH51" s="138"/>
      <c r="BI51" s="138"/>
      <c r="BJ51" s="138"/>
      <c r="BK51" s="231"/>
      <c r="BL51" s="231"/>
      <c r="BM51" s="231"/>
      <c r="BN51" s="232"/>
      <c r="BO51" s="19"/>
      <c r="BP51" s="23"/>
      <c r="BQ51" s="23"/>
      <c r="BR51" s="23"/>
      <c r="BS51" s="43"/>
    </row>
    <row r="52" spans="1:72" ht="13.5" customHeight="1" x14ac:dyDescent="0.15">
      <c r="A52" s="48" t="s">
        <v>130</v>
      </c>
      <c r="B52" s="9" t="s">
        <v>174</v>
      </c>
      <c r="C52" s="9"/>
      <c r="D52" s="9"/>
      <c r="E52" s="9"/>
      <c r="F52" s="112" t="s">
        <v>107</v>
      </c>
      <c r="G52" s="10" t="s">
        <v>1199</v>
      </c>
      <c r="H52" s="5" t="s">
        <v>256</v>
      </c>
      <c r="I52" s="11" t="s">
        <v>257</v>
      </c>
      <c r="J52" s="357" t="s">
        <v>320</v>
      </c>
      <c r="K52" s="353"/>
      <c r="L52" s="221">
        <v>19</v>
      </c>
      <c r="M52" s="221"/>
      <c r="N52" s="222" t="str">
        <f t="shared" si="0"/>
        <v>Vétérans - Dames</v>
      </c>
      <c r="O52" s="729">
        <v>19</v>
      </c>
      <c r="P52" s="729"/>
      <c r="Q52" s="730" t="str">
        <f t="shared" si="1"/>
        <v>Vétérans - Dames</v>
      </c>
      <c r="R52" s="731"/>
      <c r="S52" s="731"/>
      <c r="T52" s="731"/>
      <c r="U52" s="731"/>
      <c r="V52" s="731"/>
      <c r="W52" s="731"/>
      <c r="X52" s="731"/>
      <c r="Y52" s="731"/>
      <c r="Z52" s="731"/>
      <c r="AA52" s="731"/>
      <c r="AB52" s="12" t="s">
        <v>4093</v>
      </c>
      <c r="AC52" s="12"/>
      <c r="AD52" s="12"/>
      <c r="AE52" s="12"/>
      <c r="AF52" s="12"/>
      <c r="AG52" s="373"/>
      <c r="AH52" s="370"/>
      <c r="AI52" s="18">
        <v>44818</v>
      </c>
      <c r="AJ52" s="18">
        <v>44795</v>
      </c>
      <c r="AK52" s="13">
        <v>2027</v>
      </c>
      <c r="AL52" s="114">
        <v>31249</v>
      </c>
      <c r="AM52" s="46" t="s">
        <v>4061</v>
      </c>
      <c r="AN52" s="38"/>
      <c r="AO52" s="10"/>
      <c r="AP52" s="40"/>
      <c r="AQ52" s="116" t="s">
        <v>185</v>
      </c>
      <c r="AR52" s="346" t="str">
        <f>HYPERLINK("mailto:bettikett@hotmail.com","bettikett@hotmail.com")</f>
        <v>bettikett@hotmail.com</v>
      </c>
      <c r="AS52" s="62"/>
      <c r="AT52" s="62"/>
      <c r="AU52" s="11"/>
      <c r="AV52" s="10"/>
      <c r="AW52" s="11"/>
      <c r="AX52" s="11"/>
      <c r="AY52" s="11"/>
      <c r="AZ52" s="11"/>
      <c r="BA52" s="11"/>
      <c r="BB52" s="59"/>
      <c r="BC52" s="59"/>
      <c r="BD52" s="59"/>
      <c r="BE52" s="59"/>
      <c r="BF52" s="59"/>
      <c r="BG52" s="59"/>
      <c r="BH52" s="138"/>
      <c r="BI52" s="138"/>
      <c r="BJ52" s="138"/>
      <c r="BK52" s="231"/>
      <c r="BL52" s="231"/>
      <c r="BM52" s="231"/>
      <c r="BN52" s="232"/>
      <c r="BO52" s="19"/>
      <c r="BP52" s="23"/>
      <c r="BQ52" s="23"/>
      <c r="BR52" s="23"/>
      <c r="BS52" s="43"/>
    </row>
    <row r="53" spans="1:72" ht="13.5" customHeight="1" x14ac:dyDescent="0.15">
      <c r="A53" s="48" t="s">
        <v>211</v>
      </c>
      <c r="B53" s="9" t="s">
        <v>4851</v>
      </c>
      <c r="C53" s="9"/>
      <c r="D53" s="9"/>
      <c r="E53" s="9"/>
      <c r="F53" s="112" t="s">
        <v>107</v>
      </c>
      <c r="G53" s="11" t="s">
        <v>5219</v>
      </c>
      <c r="H53" s="5" t="s">
        <v>1079</v>
      </c>
      <c r="I53" s="11" t="s">
        <v>1080</v>
      </c>
      <c r="J53" s="357" t="s">
        <v>5215</v>
      </c>
      <c r="K53" s="353"/>
      <c r="L53" s="221">
        <v>212</v>
      </c>
      <c r="M53" s="221"/>
      <c r="N53" s="222" t="str">
        <f t="shared" si="0"/>
        <v>Contact famille</v>
      </c>
      <c r="O53" s="729">
        <v>212</v>
      </c>
      <c r="P53" s="729"/>
      <c r="Q53" s="730" t="str">
        <f t="shared" si="1"/>
        <v>Contact famille</v>
      </c>
      <c r="R53" s="732"/>
      <c r="S53" s="732"/>
      <c r="T53" s="732"/>
      <c r="U53" s="732"/>
      <c r="V53" s="732"/>
      <c r="W53" s="732" t="s">
        <v>313</v>
      </c>
      <c r="X53" s="732"/>
      <c r="Y53" s="732"/>
      <c r="Z53" s="732"/>
      <c r="AA53" s="732"/>
      <c r="AB53" s="12"/>
      <c r="AC53" s="155"/>
      <c r="AD53" s="155"/>
      <c r="AE53" s="155"/>
      <c r="AF53" s="12"/>
      <c r="AG53" s="386"/>
      <c r="AH53" s="392"/>
      <c r="AI53" s="18" t="s">
        <v>242</v>
      </c>
      <c r="AJ53" s="18" t="s">
        <v>242</v>
      </c>
      <c r="AK53" s="13" t="s">
        <v>242</v>
      </c>
      <c r="AL53" s="18" t="s">
        <v>242</v>
      </c>
      <c r="AM53" s="19" t="s">
        <v>244</v>
      </c>
      <c r="AN53" s="10"/>
      <c r="AO53" s="11"/>
      <c r="AP53" s="53"/>
      <c r="AQ53" s="20">
        <v>621571149</v>
      </c>
      <c r="AR53" s="529" t="s">
        <v>5223</v>
      </c>
      <c r="AS53" s="62"/>
      <c r="AT53" s="62"/>
      <c r="AU53" s="10"/>
      <c r="AV53" s="10"/>
      <c r="AW53" s="13"/>
      <c r="AX53" s="11"/>
      <c r="AY53" s="11"/>
      <c r="AZ53" s="11"/>
      <c r="BA53" s="11"/>
      <c r="BB53" s="59"/>
      <c r="BC53" s="59"/>
      <c r="BD53" s="59"/>
      <c r="BE53" s="59"/>
      <c r="BF53" s="59"/>
      <c r="BG53" s="59"/>
      <c r="BH53" s="138"/>
      <c r="BI53" s="138"/>
      <c r="BJ53" s="138"/>
      <c r="BK53" s="231"/>
      <c r="BL53" s="231"/>
      <c r="BM53" s="231"/>
      <c r="BN53" s="232"/>
      <c r="BO53" s="11"/>
      <c r="BP53" s="11"/>
      <c r="BQ53" s="11"/>
      <c r="BR53" s="11"/>
      <c r="BS53" s="394"/>
    </row>
    <row r="54" spans="1:72" s="150" customFormat="1" ht="13.5" customHeight="1" x14ac:dyDescent="0.15">
      <c r="A54" s="48" t="s">
        <v>663</v>
      </c>
      <c r="B54" s="9" t="s">
        <v>4378</v>
      </c>
      <c r="C54" s="9"/>
      <c r="D54" s="9"/>
      <c r="E54" s="9"/>
      <c r="F54" s="10" t="s">
        <v>107</v>
      </c>
      <c r="G54" s="10" t="s">
        <v>665</v>
      </c>
      <c r="H54" s="5" t="s">
        <v>666</v>
      </c>
      <c r="I54" s="11" t="s">
        <v>493</v>
      </c>
      <c r="J54" s="357" t="s">
        <v>1317</v>
      </c>
      <c r="K54" s="353"/>
      <c r="L54" s="221">
        <v>7</v>
      </c>
      <c r="M54" s="221"/>
      <c r="N54" s="222" t="str">
        <f t="shared" si="0"/>
        <v>U 11 Hommes</v>
      </c>
      <c r="O54" s="729">
        <v>7</v>
      </c>
      <c r="P54" s="729"/>
      <c r="Q54" s="730" t="str">
        <f t="shared" si="1"/>
        <v>U 11 Hommes</v>
      </c>
      <c r="R54" s="731"/>
      <c r="S54" s="731"/>
      <c r="T54" s="731"/>
      <c r="U54" s="731"/>
      <c r="V54" s="731" t="s">
        <v>192</v>
      </c>
      <c r="W54" s="731"/>
      <c r="X54" s="731"/>
      <c r="Y54" s="731"/>
      <c r="Z54" s="731"/>
      <c r="AA54" s="731"/>
      <c r="AB54" s="12" t="s">
        <v>4559</v>
      </c>
      <c r="AC54" s="12"/>
      <c r="AD54" s="12"/>
      <c r="AE54" s="12"/>
      <c r="AF54" s="12"/>
      <c r="AG54" s="369"/>
      <c r="AH54" s="370"/>
      <c r="AI54" s="18">
        <v>45210</v>
      </c>
      <c r="AJ54" s="18">
        <v>45101</v>
      </c>
      <c r="AK54" s="13">
        <v>2029</v>
      </c>
      <c r="AL54" s="18">
        <v>42869</v>
      </c>
      <c r="AM54" s="19" t="s">
        <v>4380</v>
      </c>
      <c r="AN54" s="38"/>
      <c r="AO54" s="10"/>
      <c r="AP54" s="40"/>
      <c r="AQ54" s="27" t="s">
        <v>1266</v>
      </c>
      <c r="AR54" s="29" t="s">
        <v>1268</v>
      </c>
      <c r="AS54" s="62"/>
      <c r="AT54" s="62"/>
      <c r="AU54" s="11"/>
      <c r="AV54" s="10"/>
      <c r="AW54" s="11"/>
      <c r="AX54" s="11"/>
      <c r="AY54" s="11"/>
      <c r="AZ54" s="11"/>
      <c r="BA54" s="11"/>
      <c r="BB54" s="59"/>
      <c r="BC54" s="59"/>
      <c r="BD54" s="59"/>
      <c r="BE54" s="59"/>
      <c r="BF54" s="59"/>
      <c r="BG54" s="59"/>
      <c r="BH54" s="138"/>
      <c r="BI54" s="138"/>
      <c r="BJ54" s="138"/>
      <c r="BK54" s="231"/>
      <c r="BL54" s="231"/>
      <c r="BM54" s="231"/>
      <c r="BN54" s="232"/>
      <c r="BO54" s="19"/>
      <c r="BP54" s="23"/>
      <c r="BQ54" s="23"/>
      <c r="BR54" s="23"/>
      <c r="BS54" s="43"/>
      <c r="BT54"/>
    </row>
    <row r="55" spans="1:72" ht="13.5" customHeight="1" x14ac:dyDescent="0.15">
      <c r="A55" s="48" t="s">
        <v>663</v>
      </c>
      <c r="B55" s="9" t="s">
        <v>664</v>
      </c>
      <c r="C55" s="9"/>
      <c r="D55" s="9"/>
      <c r="E55" s="9"/>
      <c r="F55" s="10" t="s">
        <v>107</v>
      </c>
      <c r="G55" s="10" t="s">
        <v>665</v>
      </c>
      <c r="H55" s="5" t="s">
        <v>666</v>
      </c>
      <c r="I55" s="11" t="s">
        <v>493</v>
      </c>
      <c r="J55" s="357" t="s">
        <v>1317</v>
      </c>
      <c r="K55" s="353"/>
      <c r="L55" s="221">
        <v>9</v>
      </c>
      <c r="M55" s="221"/>
      <c r="N55" s="222" t="str">
        <f t="shared" si="0"/>
        <v>Vétérans - Hommes</v>
      </c>
      <c r="O55" s="729">
        <v>9</v>
      </c>
      <c r="P55" s="729"/>
      <c r="Q55" s="730" t="str">
        <f t="shared" si="1"/>
        <v>Vétérans - Hommes</v>
      </c>
      <c r="R55" s="731"/>
      <c r="S55" s="731"/>
      <c r="T55" s="731"/>
      <c r="U55" s="731"/>
      <c r="V55" s="731" t="s">
        <v>313</v>
      </c>
      <c r="W55" s="731"/>
      <c r="X55" s="731"/>
      <c r="Y55" s="731"/>
      <c r="Z55" s="731"/>
      <c r="AA55" s="731"/>
      <c r="AB55" s="12" t="s">
        <v>2933</v>
      </c>
      <c r="AC55" s="12"/>
      <c r="AD55" s="12"/>
      <c r="AE55" s="12"/>
      <c r="AF55" s="12"/>
      <c r="AG55" s="371" t="s">
        <v>4886</v>
      </c>
      <c r="AH55" s="370"/>
      <c r="AI55" s="18">
        <v>34915</v>
      </c>
      <c r="AJ55" s="18">
        <v>34915</v>
      </c>
      <c r="AK55" s="211">
        <v>2024</v>
      </c>
      <c r="AL55" s="18">
        <v>30538</v>
      </c>
      <c r="AM55" s="19" t="s">
        <v>1265</v>
      </c>
      <c r="AN55" s="19"/>
      <c r="AO55" s="10"/>
      <c r="AP55" s="40"/>
      <c r="AQ55" s="27" t="s">
        <v>1266</v>
      </c>
      <c r="AR55" s="29" t="s">
        <v>1268</v>
      </c>
      <c r="AS55" s="61"/>
      <c r="AT55" s="61"/>
      <c r="AU55" s="5"/>
      <c r="AV55" s="10"/>
      <c r="AW55" s="5"/>
      <c r="AX55" s="11"/>
      <c r="AY55" s="11"/>
      <c r="AZ55" s="11" t="s">
        <v>348</v>
      </c>
      <c r="BA55" s="11"/>
      <c r="BB55" s="59" t="s">
        <v>2813</v>
      </c>
      <c r="BC55" s="59" t="s">
        <v>3151</v>
      </c>
      <c r="BD55" s="59"/>
      <c r="BE55" s="59">
        <v>200</v>
      </c>
      <c r="BF55" s="59"/>
      <c r="BG55" s="59"/>
      <c r="BH55" s="138"/>
      <c r="BI55" s="138"/>
      <c r="BJ55" s="138"/>
      <c r="BK55" s="231"/>
      <c r="BL55" s="231"/>
      <c r="BM55" s="231"/>
      <c r="BN55" s="232"/>
      <c r="BO55" s="19"/>
      <c r="BP55" s="23" t="s">
        <v>1141</v>
      </c>
      <c r="BQ55" s="23"/>
      <c r="BR55" s="23"/>
      <c r="BS55" s="43"/>
    </row>
    <row r="56" spans="1:72" ht="13.5" customHeight="1" x14ac:dyDescent="0.15">
      <c r="A56" s="48" t="s">
        <v>4232</v>
      </c>
      <c r="B56" s="9" t="s">
        <v>4233</v>
      </c>
      <c r="C56" s="9"/>
      <c r="D56" s="9"/>
      <c r="E56" s="9"/>
      <c r="F56" s="10" t="s">
        <v>4234</v>
      </c>
      <c r="G56" s="10" t="s">
        <v>4235</v>
      </c>
      <c r="H56" s="5" t="s">
        <v>273</v>
      </c>
      <c r="I56" s="11" t="s">
        <v>274</v>
      </c>
      <c r="J56" s="357" t="s">
        <v>747</v>
      </c>
      <c r="K56" s="353"/>
      <c r="L56" s="221">
        <v>212</v>
      </c>
      <c r="M56" s="221"/>
      <c r="N56" s="222" t="str">
        <f t="shared" si="0"/>
        <v>Contact famille</v>
      </c>
      <c r="O56" s="729">
        <v>212</v>
      </c>
      <c r="P56" s="729"/>
      <c r="Q56" s="730" t="str">
        <f t="shared" si="1"/>
        <v>Contact famille</v>
      </c>
      <c r="R56" s="731"/>
      <c r="S56" s="731"/>
      <c r="T56" s="731"/>
      <c r="U56" s="731" t="s">
        <v>313</v>
      </c>
      <c r="V56" s="731"/>
      <c r="W56" s="731"/>
      <c r="X56" s="731"/>
      <c r="Y56" s="731"/>
      <c r="Z56" s="731"/>
      <c r="AA56" s="731"/>
      <c r="AB56" s="12"/>
      <c r="AC56" s="12"/>
      <c r="AD56" s="12"/>
      <c r="AE56" s="12"/>
      <c r="AF56" s="12"/>
      <c r="AG56" s="369"/>
      <c r="AH56" s="370"/>
      <c r="AI56" s="18" t="s">
        <v>242</v>
      </c>
      <c r="AJ56" s="18" t="s">
        <v>242</v>
      </c>
      <c r="AK56" s="13" t="s">
        <v>242</v>
      </c>
      <c r="AL56" s="13" t="s">
        <v>242</v>
      </c>
      <c r="AM56" s="46" t="s">
        <v>4239</v>
      </c>
      <c r="AN56" s="38"/>
      <c r="AO56" s="10"/>
      <c r="AP56" s="40"/>
      <c r="AQ56" s="20">
        <v>661664266</v>
      </c>
      <c r="AR56" s="21" t="s">
        <v>4242</v>
      </c>
      <c r="AS56" s="62"/>
      <c r="AT56" s="62"/>
      <c r="AU56" s="11"/>
      <c r="AV56" s="10"/>
      <c r="AW56" s="11"/>
      <c r="AX56" s="11"/>
      <c r="AY56" s="11"/>
      <c r="AZ56" s="11"/>
      <c r="BA56" s="11"/>
      <c r="BB56" s="59"/>
      <c r="BC56" s="59"/>
      <c r="BD56" s="59"/>
      <c r="BE56" s="59"/>
      <c r="BF56" s="59"/>
      <c r="BG56" s="59"/>
      <c r="BH56" s="138"/>
      <c r="BI56" s="138"/>
      <c r="BJ56" s="138"/>
      <c r="BK56" s="231"/>
      <c r="BL56" s="231"/>
      <c r="BM56" s="231"/>
      <c r="BN56" s="232"/>
      <c r="BO56" s="19"/>
      <c r="BP56" s="23"/>
      <c r="BQ56" s="23"/>
      <c r="BR56" s="23"/>
      <c r="BS56" s="43"/>
    </row>
    <row r="57" spans="1:72" s="150" customFormat="1" ht="13.5" customHeight="1" x14ac:dyDescent="0.15">
      <c r="A57" s="48" t="s">
        <v>667</v>
      </c>
      <c r="B57" s="9" t="s">
        <v>3803</v>
      </c>
      <c r="C57" s="9"/>
      <c r="D57" s="9"/>
      <c r="E57" s="9"/>
      <c r="F57" s="10" t="s">
        <v>3805</v>
      </c>
      <c r="G57" s="10" t="s">
        <v>3373</v>
      </c>
      <c r="H57" s="5" t="s">
        <v>110</v>
      </c>
      <c r="I57" s="11" t="s">
        <v>111</v>
      </c>
      <c r="J57" s="357" t="s">
        <v>1740</v>
      </c>
      <c r="K57" s="353"/>
      <c r="L57" s="221">
        <v>19</v>
      </c>
      <c r="M57" s="221"/>
      <c r="N57" s="222" t="str">
        <f t="shared" si="0"/>
        <v>Vétérans - Dames</v>
      </c>
      <c r="O57" s="729">
        <v>19</v>
      </c>
      <c r="P57" s="729"/>
      <c r="Q57" s="730" t="str">
        <f t="shared" si="1"/>
        <v>Vétérans - Dames</v>
      </c>
      <c r="R57" s="731"/>
      <c r="S57" s="731"/>
      <c r="T57" s="731" t="s">
        <v>313</v>
      </c>
      <c r="U57" s="731"/>
      <c r="V57" s="731"/>
      <c r="W57" s="731" t="s">
        <v>313</v>
      </c>
      <c r="X57" s="731"/>
      <c r="Y57" s="731"/>
      <c r="Z57" s="731"/>
      <c r="AA57" s="731"/>
      <c r="AB57" s="12" t="s">
        <v>3878</v>
      </c>
      <c r="AC57" s="12"/>
      <c r="AD57" s="12" t="s">
        <v>3878</v>
      </c>
      <c r="AE57" s="12"/>
      <c r="AF57" s="12"/>
      <c r="AG57" s="371"/>
      <c r="AH57" s="370"/>
      <c r="AI57" s="18" t="s">
        <v>3879</v>
      </c>
      <c r="AJ57" s="18">
        <v>44510</v>
      </c>
      <c r="AK57" s="13">
        <v>2029</v>
      </c>
      <c r="AL57" s="18">
        <v>31000</v>
      </c>
      <c r="AM57" s="19" t="s">
        <v>3875</v>
      </c>
      <c r="AN57" s="38"/>
      <c r="AO57" s="10"/>
      <c r="AP57" s="40"/>
      <c r="AQ57" s="20">
        <v>621665197</v>
      </c>
      <c r="AR57" s="47" t="s">
        <v>3811</v>
      </c>
      <c r="AS57" s="62"/>
      <c r="AT57" s="62" t="s">
        <v>3969</v>
      </c>
      <c r="AU57" s="11"/>
      <c r="AV57" s="10"/>
      <c r="AW57" s="11"/>
      <c r="AX57" s="11"/>
      <c r="AY57" s="53" t="s">
        <v>5001</v>
      </c>
      <c r="AZ57" s="11"/>
      <c r="BA57" s="11"/>
      <c r="BB57" s="59"/>
      <c r="BC57" s="59"/>
      <c r="BD57" s="59"/>
      <c r="BE57" s="59"/>
      <c r="BF57" s="59"/>
      <c r="BG57" s="59"/>
      <c r="BH57" s="138"/>
      <c r="BI57" s="138"/>
      <c r="BJ57" s="138"/>
      <c r="BK57" s="231"/>
      <c r="BL57" s="231"/>
      <c r="BM57" s="231"/>
      <c r="BN57" s="232"/>
      <c r="BO57" s="19"/>
      <c r="BP57" s="23"/>
      <c r="BQ57" s="23"/>
      <c r="BR57" s="23"/>
      <c r="BS57" s="43"/>
      <c r="BT57"/>
    </row>
    <row r="58" spans="1:72" ht="13.5" customHeight="1" x14ac:dyDescent="0.15">
      <c r="A58" s="48" t="s">
        <v>667</v>
      </c>
      <c r="B58" s="9" t="s">
        <v>280</v>
      </c>
      <c r="C58" s="9"/>
      <c r="D58" s="9"/>
      <c r="E58" s="9"/>
      <c r="F58" s="10" t="s">
        <v>107</v>
      </c>
      <c r="G58" s="10" t="s">
        <v>3373</v>
      </c>
      <c r="H58" s="5" t="s">
        <v>110</v>
      </c>
      <c r="I58" s="11" t="s">
        <v>111</v>
      </c>
      <c r="J58" s="357" t="s">
        <v>1740</v>
      </c>
      <c r="K58" s="353"/>
      <c r="L58" s="221">
        <v>150</v>
      </c>
      <c r="M58" s="221"/>
      <c r="N58" s="814" t="str">
        <f t="shared" si="0"/>
        <v>comité</v>
      </c>
      <c r="O58" s="729">
        <v>1</v>
      </c>
      <c r="P58" s="729"/>
      <c r="Q58" s="730" t="str">
        <f t="shared" si="1"/>
        <v>Officiel H</v>
      </c>
      <c r="R58" s="731"/>
      <c r="S58" s="731"/>
      <c r="T58" s="731" t="s">
        <v>313</v>
      </c>
      <c r="U58" s="731"/>
      <c r="V58" s="731"/>
      <c r="W58" s="731" t="s">
        <v>313</v>
      </c>
      <c r="X58" s="731"/>
      <c r="Y58" s="731"/>
      <c r="Z58" s="731"/>
      <c r="AA58" s="731"/>
      <c r="AB58" s="12" t="s">
        <v>4718</v>
      </c>
      <c r="AC58" s="12" t="s">
        <v>4718</v>
      </c>
      <c r="AD58" s="12" t="s">
        <v>4718</v>
      </c>
      <c r="AE58" s="12"/>
      <c r="AF58" s="12"/>
      <c r="AG58" s="369"/>
      <c r="AH58" s="370"/>
      <c r="AI58" s="18">
        <v>44061</v>
      </c>
      <c r="AJ58" s="18">
        <v>44027</v>
      </c>
      <c r="AK58" s="13">
        <v>2029</v>
      </c>
      <c r="AL58" s="18">
        <v>30832</v>
      </c>
      <c r="AM58" s="19" t="s">
        <v>3374</v>
      </c>
      <c r="AN58" s="38" t="s">
        <v>2756</v>
      </c>
      <c r="AO58" s="10"/>
      <c r="AP58" s="40"/>
      <c r="AQ58" s="10" t="s">
        <v>3375</v>
      </c>
      <c r="AR58" s="47" t="s">
        <v>3376</v>
      </c>
      <c r="AS58" s="62"/>
      <c r="AT58" s="62"/>
      <c r="AU58" s="11"/>
      <c r="AV58" s="811" t="s">
        <v>3379</v>
      </c>
      <c r="AW58" s="11"/>
      <c r="AX58" s="11"/>
      <c r="AY58" s="11"/>
      <c r="AZ58" s="11"/>
      <c r="BA58" s="11"/>
      <c r="BB58" s="59"/>
      <c r="BC58" s="59"/>
      <c r="BD58" s="59"/>
      <c r="BE58" s="59">
        <f>SUBTOTAL(9,BE42:BE54)</f>
        <v>0</v>
      </c>
      <c r="BF58" s="59"/>
      <c r="BG58" s="59"/>
      <c r="BH58" s="138"/>
      <c r="BI58" s="138"/>
      <c r="BJ58" s="138"/>
      <c r="BK58" s="231"/>
      <c r="BL58" s="231"/>
      <c r="BM58" s="231"/>
      <c r="BN58" s="232"/>
      <c r="BO58" s="19"/>
      <c r="BP58" s="23"/>
      <c r="BQ58" s="23"/>
      <c r="BR58" s="23"/>
      <c r="BS58" s="43"/>
    </row>
    <row r="59" spans="1:72" ht="13.5" customHeight="1" x14ac:dyDescent="0.15">
      <c r="A59" s="48" t="s">
        <v>667</v>
      </c>
      <c r="B59" s="9" t="s">
        <v>3801</v>
      </c>
      <c r="C59" s="9"/>
      <c r="D59" s="9"/>
      <c r="E59" s="9"/>
      <c r="F59" s="10" t="s">
        <v>3804</v>
      </c>
      <c r="G59" s="10" t="s">
        <v>3373</v>
      </c>
      <c r="H59" s="5" t="s">
        <v>110</v>
      </c>
      <c r="I59" s="11" t="s">
        <v>111</v>
      </c>
      <c r="J59" s="357" t="s">
        <v>1740</v>
      </c>
      <c r="K59" s="353"/>
      <c r="L59" s="221">
        <v>18</v>
      </c>
      <c r="M59" s="221"/>
      <c r="N59" s="222" t="str">
        <f t="shared" si="0"/>
        <v>U 9 Dames</v>
      </c>
      <c r="O59" s="729">
        <v>18</v>
      </c>
      <c r="P59" s="729"/>
      <c r="Q59" s="730" t="str">
        <f t="shared" si="1"/>
        <v>U 9 Dames</v>
      </c>
      <c r="R59" s="731"/>
      <c r="S59" s="731"/>
      <c r="T59" s="731"/>
      <c r="U59" s="731"/>
      <c r="V59" s="731"/>
      <c r="W59" s="731" t="s">
        <v>192</v>
      </c>
      <c r="X59" s="731"/>
      <c r="Y59" s="731"/>
      <c r="Z59" s="731"/>
      <c r="AA59" s="731"/>
      <c r="AB59" s="12" t="s">
        <v>4012</v>
      </c>
      <c r="AC59" s="12"/>
      <c r="AD59" s="155"/>
      <c r="AE59" s="12"/>
      <c r="AF59" s="12"/>
      <c r="AG59" s="369"/>
      <c r="AH59" s="370"/>
      <c r="AI59" s="18">
        <v>44704</v>
      </c>
      <c r="AJ59" s="18">
        <v>44459</v>
      </c>
      <c r="AK59" s="240">
        <v>2028</v>
      </c>
      <c r="AL59" s="18">
        <v>42452</v>
      </c>
      <c r="AM59" s="19" t="s">
        <v>3807</v>
      </c>
      <c r="AN59" s="38"/>
      <c r="AO59" s="10"/>
      <c r="AP59" s="10" t="s">
        <v>3809</v>
      </c>
      <c r="AQ59" s="10" t="s">
        <v>3810</v>
      </c>
      <c r="AR59" s="47" t="s">
        <v>3376</v>
      </c>
      <c r="AS59" s="62"/>
      <c r="AT59" s="62"/>
      <c r="AU59" s="11"/>
      <c r="AV59" s="10"/>
      <c r="AW59" s="11"/>
      <c r="AX59" s="11"/>
      <c r="AY59" s="11"/>
      <c r="AZ59" s="11"/>
      <c r="BA59" s="11"/>
      <c r="BB59" s="59"/>
      <c r="BC59" s="59"/>
      <c r="BD59" s="59"/>
      <c r="BE59" s="59"/>
      <c r="BF59" s="59"/>
      <c r="BG59" s="59"/>
      <c r="BH59" s="138"/>
      <c r="BI59" s="138"/>
      <c r="BJ59" s="138"/>
      <c r="BK59" s="231"/>
      <c r="BL59" s="231"/>
      <c r="BM59" s="231"/>
      <c r="BN59" s="232"/>
      <c r="BO59" s="19"/>
      <c r="BP59" s="23"/>
      <c r="BQ59" s="23"/>
      <c r="BR59" s="23"/>
      <c r="BS59" s="43"/>
    </row>
    <row r="60" spans="1:72" ht="13.5" customHeight="1" x14ac:dyDescent="0.15">
      <c r="A60" s="48" t="s">
        <v>667</v>
      </c>
      <c r="B60" s="9" t="s">
        <v>3800</v>
      </c>
      <c r="C60" s="9"/>
      <c r="D60" s="9"/>
      <c r="E60" s="9"/>
      <c r="F60" s="10" t="s">
        <v>3804</v>
      </c>
      <c r="G60" s="10" t="s">
        <v>3373</v>
      </c>
      <c r="H60" s="5" t="s">
        <v>110</v>
      </c>
      <c r="I60" s="11" t="s">
        <v>111</v>
      </c>
      <c r="J60" s="357" t="s">
        <v>1740</v>
      </c>
      <c r="K60" s="353"/>
      <c r="L60" s="221">
        <v>18</v>
      </c>
      <c r="M60" s="221"/>
      <c r="N60" s="222" t="str">
        <f t="shared" si="0"/>
        <v>U 9 Dames</v>
      </c>
      <c r="O60" s="729">
        <v>18</v>
      </c>
      <c r="P60" s="729"/>
      <c r="Q60" s="730" t="str">
        <f t="shared" si="1"/>
        <v>U 9 Dames</v>
      </c>
      <c r="R60" s="731"/>
      <c r="S60" s="731"/>
      <c r="T60" s="731"/>
      <c r="U60" s="731"/>
      <c r="V60" s="731"/>
      <c r="W60" s="731" t="s">
        <v>192</v>
      </c>
      <c r="X60" s="731"/>
      <c r="Y60" s="731"/>
      <c r="Z60" s="731"/>
      <c r="AA60" s="731"/>
      <c r="AB60" s="12" t="s">
        <v>4011</v>
      </c>
      <c r="AC60" s="12"/>
      <c r="AD60" s="12"/>
      <c r="AE60" s="12"/>
      <c r="AF60" s="12"/>
      <c r="AG60" s="369"/>
      <c r="AH60" s="370"/>
      <c r="AI60" s="18">
        <v>44704</v>
      </c>
      <c r="AJ60" s="18">
        <v>44459</v>
      </c>
      <c r="AK60" s="240">
        <v>2028</v>
      </c>
      <c r="AL60" s="18">
        <v>42452</v>
      </c>
      <c r="AM60" s="19" t="s">
        <v>3806</v>
      </c>
      <c r="AN60" s="38"/>
      <c r="AO60" s="10"/>
      <c r="AP60" s="10" t="s">
        <v>3809</v>
      </c>
      <c r="AQ60" s="10" t="s">
        <v>3810</v>
      </c>
      <c r="AR60" s="47" t="s">
        <v>3376</v>
      </c>
      <c r="AS60" s="62"/>
      <c r="AT60" s="62"/>
      <c r="AU60" s="11"/>
      <c r="AV60" s="10"/>
      <c r="AW60" s="11"/>
      <c r="AX60" s="11"/>
      <c r="AY60" s="11"/>
      <c r="AZ60" s="11"/>
      <c r="BA60" s="11"/>
      <c r="BB60" s="59"/>
      <c r="BC60" s="59"/>
      <c r="BD60" s="59"/>
      <c r="BE60" s="59"/>
      <c r="BF60" s="59"/>
      <c r="BG60" s="59"/>
      <c r="BH60" s="138"/>
      <c r="BI60" s="138"/>
      <c r="BJ60" s="138"/>
      <c r="BK60" s="231"/>
      <c r="BL60" s="231"/>
      <c r="BM60" s="231"/>
      <c r="BN60" s="232"/>
      <c r="BO60" s="19"/>
      <c r="BP60" s="23"/>
      <c r="BQ60" s="23"/>
      <c r="BR60" s="23"/>
      <c r="BS60" s="43"/>
    </row>
    <row r="61" spans="1:72" s="150" customFormat="1" ht="13.5" customHeight="1" x14ac:dyDescent="0.15">
      <c r="A61" s="48" t="s">
        <v>667</v>
      </c>
      <c r="B61" s="9" t="s">
        <v>3802</v>
      </c>
      <c r="C61" s="9"/>
      <c r="D61" s="9"/>
      <c r="E61" s="9"/>
      <c r="F61" s="10" t="s">
        <v>3804</v>
      </c>
      <c r="G61" s="10" t="s">
        <v>3373</v>
      </c>
      <c r="H61" s="5" t="s">
        <v>110</v>
      </c>
      <c r="I61" s="11" t="s">
        <v>111</v>
      </c>
      <c r="J61" s="357" t="s">
        <v>1740</v>
      </c>
      <c r="K61" s="353"/>
      <c r="L61" s="221">
        <v>5</v>
      </c>
      <c r="M61" s="221"/>
      <c r="N61" s="222" t="str">
        <f t="shared" si="0"/>
        <v>U 15 Hommes</v>
      </c>
      <c r="O61" s="729">
        <v>5</v>
      </c>
      <c r="P61" s="729"/>
      <c r="Q61" s="730" t="str">
        <f t="shared" si="1"/>
        <v>U 15 Hommes</v>
      </c>
      <c r="R61" s="731"/>
      <c r="S61" s="731"/>
      <c r="T61" s="731" t="s">
        <v>192</v>
      </c>
      <c r="U61" s="731"/>
      <c r="V61" s="731"/>
      <c r="W61" s="731"/>
      <c r="X61" s="731"/>
      <c r="Y61" s="731"/>
      <c r="Z61" s="731"/>
      <c r="AA61" s="731"/>
      <c r="AB61" s="12" t="s">
        <v>3917</v>
      </c>
      <c r="AC61" s="12"/>
      <c r="AD61" s="12"/>
      <c r="AE61" s="12"/>
      <c r="AF61" s="12"/>
      <c r="AG61" s="373"/>
      <c r="AH61" s="370"/>
      <c r="AI61" s="18">
        <v>44537</v>
      </c>
      <c r="AJ61" s="18">
        <v>44459</v>
      </c>
      <c r="AK61" s="62">
        <v>2028</v>
      </c>
      <c r="AL61" s="18">
        <v>41451</v>
      </c>
      <c r="AM61" s="19" t="s">
        <v>3808</v>
      </c>
      <c r="AN61" s="38"/>
      <c r="AO61" s="10"/>
      <c r="AP61" s="10" t="s">
        <v>3809</v>
      </c>
      <c r="AQ61" s="10" t="s">
        <v>3810</v>
      </c>
      <c r="AR61" s="47" t="s">
        <v>3376</v>
      </c>
      <c r="AS61" s="62"/>
      <c r="AT61" s="62"/>
      <c r="AU61" s="11"/>
      <c r="AV61" s="10"/>
      <c r="AW61" s="11"/>
      <c r="AX61" s="11"/>
      <c r="AY61" s="11"/>
      <c r="AZ61" s="11"/>
      <c r="BA61" s="11"/>
      <c r="BB61" s="59"/>
      <c r="BC61" s="59"/>
      <c r="BD61" s="59"/>
      <c r="BE61" s="59"/>
      <c r="BF61" s="59"/>
      <c r="BG61" s="59"/>
      <c r="BH61" s="138"/>
      <c r="BI61" s="138"/>
      <c r="BJ61" s="138"/>
      <c r="BK61" s="231"/>
      <c r="BL61" s="231"/>
      <c r="BM61" s="231"/>
      <c r="BN61" s="232"/>
      <c r="BO61" s="19"/>
      <c r="BP61" s="23"/>
      <c r="BQ61" s="23"/>
      <c r="BR61" s="23"/>
      <c r="BS61" s="43"/>
    </row>
    <row r="62" spans="1:72" s="150" customFormat="1" ht="13.5" customHeight="1" x14ac:dyDescent="0.15">
      <c r="A62" s="48" t="s">
        <v>3480</v>
      </c>
      <c r="B62" s="9" t="s">
        <v>1367</v>
      </c>
      <c r="C62" s="9"/>
      <c r="D62" s="9"/>
      <c r="E62" s="9"/>
      <c r="F62" s="10" t="s">
        <v>107</v>
      </c>
      <c r="G62" s="10" t="s">
        <v>3484</v>
      </c>
      <c r="H62" s="5" t="s">
        <v>2840</v>
      </c>
      <c r="I62" s="11" t="s">
        <v>500</v>
      </c>
      <c r="J62" s="357" t="s">
        <v>1020</v>
      </c>
      <c r="K62" s="353"/>
      <c r="L62" s="221">
        <v>212</v>
      </c>
      <c r="M62" s="221"/>
      <c r="N62" s="222" t="str">
        <f t="shared" si="0"/>
        <v>Contact famille</v>
      </c>
      <c r="O62" s="729">
        <v>212</v>
      </c>
      <c r="P62" s="729"/>
      <c r="Q62" s="730" t="str">
        <f t="shared" si="1"/>
        <v>Contact famille</v>
      </c>
      <c r="R62" s="731"/>
      <c r="S62" s="731"/>
      <c r="T62" s="731" t="s">
        <v>313</v>
      </c>
      <c r="U62" s="731"/>
      <c r="V62" s="731" t="s">
        <v>313</v>
      </c>
      <c r="W62" s="731"/>
      <c r="X62" s="731"/>
      <c r="Y62" s="731"/>
      <c r="Z62" s="731"/>
      <c r="AA62" s="731"/>
      <c r="AB62" s="12"/>
      <c r="AC62" s="12"/>
      <c r="AD62" s="12"/>
      <c r="AE62" s="12"/>
      <c r="AF62" s="12"/>
      <c r="AG62" s="369"/>
      <c r="AH62" s="370"/>
      <c r="AI62" s="45" t="s">
        <v>242</v>
      </c>
      <c r="AJ62" s="45" t="s">
        <v>242</v>
      </c>
      <c r="AK62" s="13" t="s">
        <v>242</v>
      </c>
      <c r="AL62" s="13" t="s">
        <v>242</v>
      </c>
      <c r="AM62" s="13" t="s">
        <v>242</v>
      </c>
      <c r="AN62" s="38"/>
      <c r="AO62" s="10"/>
      <c r="AP62" s="40"/>
      <c r="AQ62" s="10" t="s">
        <v>3490</v>
      </c>
      <c r="AR62" s="47" t="s">
        <v>3492</v>
      </c>
      <c r="AS62" s="62"/>
      <c r="AT62" s="62"/>
      <c r="AU62" s="11"/>
      <c r="AV62" s="10"/>
      <c r="AW62" s="11"/>
      <c r="AX62" s="11"/>
      <c r="AY62" s="11"/>
      <c r="AZ62" s="11"/>
      <c r="BA62" s="11"/>
      <c r="BB62" s="59"/>
      <c r="BC62" s="59"/>
      <c r="BD62" s="59"/>
      <c r="BE62" s="59"/>
      <c r="BF62" s="59"/>
      <c r="BG62" s="59"/>
      <c r="BH62" s="138"/>
      <c r="BI62" s="138"/>
      <c r="BJ62" s="138"/>
      <c r="BK62" s="231"/>
      <c r="BL62" s="231"/>
      <c r="BM62" s="231"/>
      <c r="BN62" s="232"/>
      <c r="BO62" s="19"/>
      <c r="BP62" s="23"/>
      <c r="BQ62" s="23"/>
      <c r="BR62" s="23"/>
      <c r="BS62" s="43"/>
    </row>
    <row r="63" spans="1:72" ht="13.5" customHeight="1" x14ac:dyDescent="0.15">
      <c r="A63" s="48" t="s">
        <v>5140</v>
      </c>
      <c r="B63" s="9" t="s">
        <v>968</v>
      </c>
      <c r="C63" s="9"/>
      <c r="D63" s="9"/>
      <c r="E63" s="9"/>
      <c r="F63" s="11" t="s">
        <v>298</v>
      </c>
      <c r="G63" s="11" t="s">
        <v>5141</v>
      </c>
      <c r="H63" s="5" t="s">
        <v>716</v>
      </c>
      <c r="I63" s="11" t="s">
        <v>717</v>
      </c>
      <c r="J63" s="357" t="s">
        <v>320</v>
      </c>
      <c r="K63" s="353"/>
      <c r="L63" s="221">
        <v>1</v>
      </c>
      <c r="M63" s="221"/>
      <c r="N63" s="222" t="str">
        <f t="shared" si="0"/>
        <v>Officiel H</v>
      </c>
      <c r="O63" s="729">
        <v>1</v>
      </c>
      <c r="P63" s="729"/>
      <c r="Q63" s="730" t="str">
        <f t="shared" si="1"/>
        <v>Officiel H</v>
      </c>
      <c r="R63" s="732"/>
      <c r="S63" s="732"/>
      <c r="T63" s="732"/>
      <c r="U63" s="732"/>
      <c r="V63" s="732"/>
      <c r="W63" s="732"/>
      <c r="X63" s="732"/>
      <c r="Y63" s="732"/>
      <c r="Z63" s="732"/>
      <c r="AA63" s="732"/>
      <c r="AB63" s="12"/>
      <c r="AC63" s="12" t="s">
        <v>5148</v>
      </c>
      <c r="AD63" s="155"/>
      <c r="AE63" s="155"/>
      <c r="AF63" s="12"/>
      <c r="AG63" s="369"/>
      <c r="AH63" s="392"/>
      <c r="AI63" s="18">
        <v>45826</v>
      </c>
      <c r="AJ63" s="52" t="s">
        <v>5142</v>
      </c>
      <c r="AK63" s="13">
        <v>2029</v>
      </c>
      <c r="AL63" s="18">
        <v>32552</v>
      </c>
      <c r="AM63" s="52" t="s">
        <v>5145</v>
      </c>
      <c r="AN63" s="10"/>
      <c r="AO63" s="11"/>
      <c r="AP63" s="53"/>
      <c r="AQ63" s="40" t="s">
        <v>5143</v>
      </c>
      <c r="AR63" s="68" t="s">
        <v>5144</v>
      </c>
      <c r="AS63" s="62"/>
      <c r="AT63" s="62"/>
      <c r="AU63" s="10"/>
      <c r="AV63" s="10"/>
      <c r="AW63" s="13"/>
      <c r="AX63" s="11"/>
      <c r="AY63" s="11"/>
      <c r="AZ63" s="11"/>
      <c r="BA63" s="11"/>
      <c r="BB63" s="59"/>
      <c r="BC63" s="59"/>
      <c r="BD63" s="59"/>
      <c r="BE63" s="59"/>
      <c r="BF63" s="59"/>
      <c r="BG63" s="59"/>
      <c r="BH63" s="138"/>
      <c r="BI63" s="138"/>
      <c r="BJ63" s="138"/>
      <c r="BK63" s="231"/>
      <c r="BL63" s="231"/>
      <c r="BM63" s="231"/>
      <c r="BN63" s="232"/>
      <c r="BO63" s="11"/>
      <c r="BP63" s="11"/>
      <c r="BQ63" s="11"/>
      <c r="BR63" s="11"/>
      <c r="BS63" s="394"/>
    </row>
    <row r="64" spans="1:72" ht="13.5" customHeight="1" x14ac:dyDescent="0.15">
      <c r="A64" s="48" t="s">
        <v>4741</v>
      </c>
      <c r="B64" s="9" t="s">
        <v>4742</v>
      </c>
      <c r="C64" s="9"/>
      <c r="D64" s="9"/>
      <c r="E64" s="9"/>
      <c r="F64" s="10" t="s">
        <v>298</v>
      </c>
      <c r="G64" s="10" t="s">
        <v>4751</v>
      </c>
      <c r="H64" s="5" t="s">
        <v>4745</v>
      </c>
      <c r="I64" s="11" t="s">
        <v>223</v>
      </c>
      <c r="J64" s="357" t="s">
        <v>4737</v>
      </c>
      <c r="K64" s="353"/>
      <c r="L64" s="221">
        <v>212</v>
      </c>
      <c r="M64" s="221"/>
      <c r="N64" s="222" t="str">
        <f t="shared" si="0"/>
        <v>Contact famille</v>
      </c>
      <c r="O64" s="729">
        <v>212</v>
      </c>
      <c r="P64" s="729"/>
      <c r="Q64" s="730" t="str">
        <f t="shared" si="1"/>
        <v>Contact famille</v>
      </c>
      <c r="R64" s="731"/>
      <c r="S64" s="731"/>
      <c r="T64" s="731"/>
      <c r="U64" s="731"/>
      <c r="V64" s="731"/>
      <c r="W64" s="731"/>
      <c r="X64" s="731" t="s">
        <v>313</v>
      </c>
      <c r="Y64" s="731"/>
      <c r="Z64" s="731"/>
      <c r="AA64" s="731"/>
      <c r="AB64" s="12"/>
      <c r="AC64" s="12"/>
      <c r="AD64" s="12"/>
      <c r="AE64" s="12"/>
      <c r="AF64" s="12"/>
      <c r="AG64" s="369"/>
      <c r="AH64" s="370"/>
      <c r="AI64" s="18" t="s">
        <v>242</v>
      </c>
      <c r="AJ64" s="18" t="s">
        <v>242</v>
      </c>
      <c r="AK64" s="13" t="s">
        <v>242</v>
      </c>
      <c r="AL64" s="18" t="s">
        <v>242</v>
      </c>
      <c r="AM64" s="19" t="s">
        <v>244</v>
      </c>
      <c r="AN64" s="38"/>
      <c r="AO64" s="10"/>
      <c r="AP64" s="40"/>
      <c r="AQ64" s="10"/>
      <c r="AR64" s="47" t="s">
        <v>4747</v>
      </c>
      <c r="AS64" s="62"/>
      <c r="AT64" s="62"/>
      <c r="AU64" s="11"/>
      <c r="AV64" s="10"/>
      <c r="AW64" s="11"/>
      <c r="AX64" s="11"/>
      <c r="AY64" s="11"/>
      <c r="AZ64" s="11"/>
      <c r="BA64" s="11"/>
      <c r="BB64" s="59"/>
      <c r="BC64" s="59"/>
      <c r="BD64" s="59"/>
      <c r="BE64" s="59"/>
      <c r="BF64" s="59"/>
      <c r="BG64" s="59"/>
      <c r="BH64" s="138"/>
      <c r="BI64" s="138"/>
      <c r="BJ64" s="138"/>
      <c r="BK64" s="231"/>
      <c r="BL64" s="231"/>
      <c r="BM64" s="231"/>
      <c r="BN64" s="232"/>
      <c r="BO64" s="19"/>
      <c r="BP64" s="23"/>
      <c r="BQ64" s="23"/>
      <c r="BR64" s="23"/>
      <c r="BS64" s="43"/>
    </row>
    <row r="65" spans="1:72" ht="13.5" customHeight="1" x14ac:dyDescent="0.15">
      <c r="A65" s="48" t="s">
        <v>4738</v>
      </c>
      <c r="B65" s="9" t="s">
        <v>4739</v>
      </c>
      <c r="C65" s="9"/>
      <c r="D65" s="9"/>
      <c r="E65" s="9"/>
      <c r="F65" s="10" t="s">
        <v>4743</v>
      </c>
      <c r="G65" s="10" t="s">
        <v>4751</v>
      </c>
      <c r="H65" s="5" t="s">
        <v>4745</v>
      </c>
      <c r="I65" s="11" t="s">
        <v>223</v>
      </c>
      <c r="J65" s="357" t="s">
        <v>4737</v>
      </c>
      <c r="K65" s="353"/>
      <c r="L65" s="221">
        <v>21</v>
      </c>
      <c r="M65" s="221"/>
      <c r="N65" s="222" t="str">
        <f t="shared" si="0"/>
        <v>U7 Mixte</v>
      </c>
      <c r="O65" s="729">
        <v>21</v>
      </c>
      <c r="P65" s="729"/>
      <c r="Q65" s="730" t="str">
        <f t="shared" si="1"/>
        <v>U7 Mixte</v>
      </c>
      <c r="R65" s="731"/>
      <c r="S65" s="731"/>
      <c r="T65" s="731"/>
      <c r="U65" s="731"/>
      <c r="V65" s="731"/>
      <c r="W65" s="731"/>
      <c r="X65" s="731" t="s">
        <v>192</v>
      </c>
      <c r="Y65" s="731"/>
      <c r="Z65" s="731"/>
      <c r="AA65" s="731"/>
      <c r="AB65" s="12" t="s">
        <v>4810</v>
      </c>
      <c r="AC65" s="12"/>
      <c r="AD65" s="12"/>
      <c r="AE65" s="12"/>
      <c r="AF65" s="12"/>
      <c r="AG65" s="369"/>
      <c r="AH65" s="370"/>
      <c r="AI65" s="18">
        <v>45474</v>
      </c>
      <c r="AJ65" s="18">
        <v>45324</v>
      </c>
      <c r="AK65" s="13">
        <v>2028</v>
      </c>
      <c r="AL65" s="689">
        <v>44538</v>
      </c>
      <c r="AM65" s="19" t="s">
        <v>4752</v>
      </c>
      <c r="AN65" s="38"/>
      <c r="AO65" s="10"/>
      <c r="AP65" s="40"/>
      <c r="AQ65" s="10" t="s">
        <v>4746</v>
      </c>
      <c r="AR65" s="350" t="s">
        <v>4747</v>
      </c>
      <c r="AS65" s="62"/>
      <c r="AT65" s="62"/>
      <c r="AU65" s="11"/>
      <c r="AV65" s="10"/>
      <c r="AW65" s="11"/>
      <c r="AX65" s="11"/>
      <c r="AY65" s="11"/>
      <c r="AZ65" s="11"/>
      <c r="BA65" s="11"/>
      <c r="BB65" s="59"/>
      <c r="BC65" s="59"/>
      <c r="BD65" s="59"/>
      <c r="BE65" s="59"/>
      <c r="BF65" s="59"/>
      <c r="BG65" s="59"/>
      <c r="BH65" s="138"/>
      <c r="BI65" s="138"/>
      <c r="BJ65" s="138"/>
      <c r="BK65" s="231"/>
      <c r="BL65" s="231"/>
      <c r="BM65" s="231"/>
      <c r="BN65" s="232"/>
      <c r="BO65" s="19"/>
      <c r="BP65" s="23"/>
      <c r="BQ65" s="23"/>
      <c r="BR65" s="23"/>
      <c r="BS65" s="43"/>
    </row>
    <row r="66" spans="1:72" s="150" customFormat="1" ht="13.5" customHeight="1" x14ac:dyDescent="0.15">
      <c r="A66" s="48" t="s">
        <v>4633</v>
      </c>
      <c r="B66" s="9" t="s">
        <v>1434</v>
      </c>
      <c r="C66" s="9"/>
      <c r="D66" s="9"/>
      <c r="E66" s="9"/>
      <c r="F66" s="112" t="s">
        <v>107</v>
      </c>
      <c r="G66" s="10" t="s">
        <v>4635</v>
      </c>
      <c r="H66" s="5" t="s">
        <v>4636</v>
      </c>
      <c r="I66" s="11" t="s">
        <v>4637</v>
      </c>
      <c r="J66" s="357" t="s">
        <v>4632</v>
      </c>
      <c r="K66" s="353"/>
      <c r="L66" s="221">
        <v>21</v>
      </c>
      <c r="M66" s="221"/>
      <c r="N66" s="222" t="str">
        <f t="shared" ref="N66:N129" si="2">VLOOKUP(L66,CAT_JOUEUR,2,FALSE)</f>
        <v>U7 Mixte</v>
      </c>
      <c r="O66" s="729">
        <v>21</v>
      </c>
      <c r="P66" s="729"/>
      <c r="Q66" s="730" t="str">
        <f t="shared" ref="Q66:Q129" si="3">VLOOKUP(O66,CAT_JOUEUR,2,FALSE)</f>
        <v>U7 Mixte</v>
      </c>
      <c r="R66" s="731"/>
      <c r="S66" s="731"/>
      <c r="T66" s="731"/>
      <c r="U66" s="731"/>
      <c r="V66" s="731"/>
      <c r="W66" s="731"/>
      <c r="X66" s="731" t="s">
        <v>192</v>
      </c>
      <c r="Y66" s="731"/>
      <c r="Z66" s="731"/>
      <c r="AA66" s="731"/>
      <c r="AB66" s="217" t="s">
        <v>2805</v>
      </c>
      <c r="AC66" s="12"/>
      <c r="AD66" s="12"/>
      <c r="AE66" s="12"/>
      <c r="AF66" s="12"/>
      <c r="AG66" s="369"/>
      <c r="AH66" s="370"/>
      <c r="AI66" s="216"/>
      <c r="AJ66" s="18">
        <v>45247</v>
      </c>
      <c r="AK66" s="13">
        <v>2028</v>
      </c>
      <c r="AL66" s="18">
        <v>44259</v>
      </c>
      <c r="AM66" s="19" t="s">
        <v>4638</v>
      </c>
      <c r="AN66" s="38"/>
      <c r="AO66" s="10"/>
      <c r="AP66" s="40"/>
      <c r="AQ66" s="20" t="s">
        <v>4639</v>
      </c>
      <c r="AR66" s="47" t="s">
        <v>4640</v>
      </c>
      <c r="AS66" s="62"/>
      <c r="AT66" s="62"/>
      <c r="AU66" s="11"/>
      <c r="AV66" s="10"/>
      <c r="AW66" s="11"/>
      <c r="AX66" s="11"/>
      <c r="AY66" s="11"/>
      <c r="AZ66" s="11"/>
      <c r="BA66" s="11"/>
      <c r="BB66" s="59"/>
      <c r="BC66" s="59"/>
      <c r="BD66" s="59"/>
      <c r="BE66" s="59"/>
      <c r="BF66" s="59"/>
      <c r="BG66" s="59"/>
      <c r="BH66" s="138"/>
      <c r="BI66" s="138"/>
      <c r="BJ66" s="138"/>
      <c r="BK66" s="231"/>
      <c r="BL66" s="231"/>
      <c r="BM66" s="231"/>
      <c r="BN66" s="232"/>
      <c r="BO66" s="19"/>
      <c r="BP66" s="23"/>
      <c r="BQ66" s="23"/>
      <c r="BR66" s="23"/>
      <c r="BS66" s="43"/>
      <c r="BT66"/>
    </row>
    <row r="67" spans="1:72" s="150" customFormat="1" ht="13.5" customHeight="1" x14ac:dyDescent="0.15">
      <c r="A67" s="48" t="s">
        <v>5217</v>
      </c>
      <c r="B67" s="9" t="s">
        <v>2335</v>
      </c>
      <c r="C67" s="9"/>
      <c r="D67" s="9"/>
      <c r="E67" s="9"/>
      <c r="F67" s="112" t="s">
        <v>107</v>
      </c>
      <c r="G67" s="11" t="s">
        <v>5219</v>
      </c>
      <c r="H67" s="5" t="s">
        <v>1079</v>
      </c>
      <c r="I67" s="11" t="s">
        <v>1080</v>
      </c>
      <c r="J67" s="357" t="s">
        <v>5215</v>
      </c>
      <c r="K67" s="353"/>
      <c r="L67" s="221">
        <v>212</v>
      </c>
      <c r="M67" s="221"/>
      <c r="N67" s="222" t="str">
        <f t="shared" si="2"/>
        <v>Contact famille</v>
      </c>
      <c r="O67" s="729">
        <v>212</v>
      </c>
      <c r="P67" s="729"/>
      <c r="Q67" s="730" t="str">
        <f t="shared" si="3"/>
        <v>Contact famille</v>
      </c>
      <c r="R67" s="732"/>
      <c r="S67" s="732"/>
      <c r="T67" s="732"/>
      <c r="U67" s="732"/>
      <c r="V67" s="732"/>
      <c r="W67" s="732" t="s">
        <v>313</v>
      </c>
      <c r="X67" s="732"/>
      <c r="Y67" s="732"/>
      <c r="Z67" s="732"/>
      <c r="AA67" s="732"/>
      <c r="AB67" s="12"/>
      <c r="AC67" s="155"/>
      <c r="AD67" s="155"/>
      <c r="AE67" s="155"/>
      <c r="AF67" s="12"/>
      <c r="AG67" s="386"/>
      <c r="AH67" s="392"/>
      <c r="AI67" s="18" t="s">
        <v>242</v>
      </c>
      <c r="AJ67" s="18" t="s">
        <v>242</v>
      </c>
      <c r="AK67" s="13" t="s">
        <v>242</v>
      </c>
      <c r="AL67" s="13" t="s">
        <v>242</v>
      </c>
      <c r="AM67" s="46" t="s">
        <v>244</v>
      </c>
      <c r="AN67" s="10"/>
      <c r="AO67" s="11"/>
      <c r="AP67" s="53"/>
      <c r="AQ67" s="20">
        <v>661618531</v>
      </c>
      <c r="AR67" s="848" t="s">
        <v>5224</v>
      </c>
      <c r="AS67" s="62"/>
      <c r="AT67" s="62"/>
      <c r="AU67" s="10"/>
      <c r="AV67" s="10"/>
      <c r="AW67" s="13"/>
      <c r="AX67" s="11"/>
      <c r="AY67" s="11"/>
      <c r="AZ67" s="11"/>
      <c r="BA67" s="11"/>
      <c r="BB67" s="59"/>
      <c r="BC67" s="59"/>
      <c r="BD67" s="59"/>
      <c r="BE67" s="59"/>
      <c r="BF67" s="59"/>
      <c r="BG67" s="59"/>
      <c r="BH67" s="138"/>
      <c r="BI67" s="138"/>
      <c r="BJ67" s="138"/>
      <c r="BK67" s="231"/>
      <c r="BL67" s="231"/>
      <c r="BM67" s="231"/>
      <c r="BN67" s="232"/>
      <c r="BO67" s="11"/>
      <c r="BP67" s="11"/>
      <c r="BQ67" s="11"/>
      <c r="BR67" s="11"/>
      <c r="BS67" s="394"/>
      <c r="BT67"/>
    </row>
    <row r="68" spans="1:72" s="150" customFormat="1" ht="13.5" customHeight="1" x14ac:dyDescent="0.15">
      <c r="A68" s="48" t="s">
        <v>5217</v>
      </c>
      <c r="B68" s="9" t="s">
        <v>5218</v>
      </c>
      <c r="C68" s="9"/>
      <c r="D68" s="9"/>
      <c r="E68" s="9"/>
      <c r="F68" s="112" t="s">
        <v>107</v>
      </c>
      <c r="G68" s="11" t="s">
        <v>5219</v>
      </c>
      <c r="H68" s="5" t="s">
        <v>1079</v>
      </c>
      <c r="I68" s="11" t="s">
        <v>1080</v>
      </c>
      <c r="J68" s="357" t="s">
        <v>5215</v>
      </c>
      <c r="K68" s="353"/>
      <c r="L68" s="221">
        <v>18</v>
      </c>
      <c r="M68" s="221"/>
      <c r="N68" s="222" t="str">
        <f t="shared" si="2"/>
        <v>U 9 Dames</v>
      </c>
      <c r="O68" s="729">
        <v>18</v>
      </c>
      <c r="P68" s="729"/>
      <c r="Q68" s="730" t="str">
        <f t="shared" si="3"/>
        <v>U 9 Dames</v>
      </c>
      <c r="R68" s="732"/>
      <c r="S68" s="732"/>
      <c r="T68" s="732"/>
      <c r="U68" s="732"/>
      <c r="V68" s="732"/>
      <c r="W68" s="732" t="s">
        <v>192</v>
      </c>
      <c r="X68" s="732"/>
      <c r="Y68" s="732"/>
      <c r="Z68" s="732"/>
      <c r="AA68" s="732"/>
      <c r="AB68" s="217" t="s">
        <v>2805</v>
      </c>
      <c r="AC68" s="155"/>
      <c r="AD68" s="155"/>
      <c r="AE68" s="155"/>
      <c r="AF68" s="12"/>
      <c r="AG68" s="386" t="s">
        <v>5173</v>
      </c>
      <c r="AH68" s="392"/>
      <c r="AI68" s="432"/>
      <c r="AJ68" s="18">
        <v>45863</v>
      </c>
      <c r="AK68" s="13">
        <v>2030</v>
      </c>
      <c r="AL68" s="18">
        <v>43335</v>
      </c>
      <c r="AM68" s="5" t="s">
        <v>5220</v>
      </c>
      <c r="AN68" s="10"/>
      <c r="AO68" s="11"/>
      <c r="AP68" s="53" t="s">
        <v>5221</v>
      </c>
      <c r="AQ68" s="10" t="s">
        <v>5222</v>
      </c>
      <c r="AR68" s="529" t="s">
        <v>5223</v>
      </c>
      <c r="AS68" s="62"/>
      <c r="AT68" s="62"/>
      <c r="AU68" s="10"/>
      <c r="AV68" s="10"/>
      <c r="AW68" s="13"/>
      <c r="AX68" s="11"/>
      <c r="AY68" s="11"/>
      <c r="AZ68" s="11"/>
      <c r="BA68" s="11"/>
      <c r="BB68" s="59"/>
      <c r="BC68" s="59"/>
      <c r="BD68" s="59"/>
      <c r="BE68" s="59"/>
      <c r="BF68" s="59"/>
      <c r="BG68" s="59"/>
      <c r="BH68" s="138"/>
      <c r="BI68" s="138"/>
      <c r="BJ68" s="138"/>
      <c r="BK68" s="231"/>
      <c r="BL68" s="231"/>
      <c r="BM68" s="231"/>
      <c r="BN68" s="232"/>
      <c r="BO68" s="11"/>
      <c r="BP68" s="11"/>
      <c r="BQ68" s="11"/>
      <c r="BR68" s="11"/>
      <c r="BS68" s="394"/>
      <c r="BT68"/>
    </row>
    <row r="69" spans="1:72" s="150" customFormat="1" ht="13.5" customHeight="1" x14ac:dyDescent="0.15">
      <c r="A69" s="48" t="s">
        <v>701</v>
      </c>
      <c r="B69" s="9" t="s">
        <v>702</v>
      </c>
      <c r="C69" s="9"/>
      <c r="D69" s="9"/>
      <c r="E69" s="9"/>
      <c r="F69" s="10" t="s">
        <v>107</v>
      </c>
      <c r="G69" s="11" t="s">
        <v>703</v>
      </c>
      <c r="H69" s="5" t="s">
        <v>704</v>
      </c>
      <c r="I69" s="11" t="s">
        <v>705</v>
      </c>
      <c r="J69" s="357" t="s">
        <v>706</v>
      </c>
      <c r="K69" s="353"/>
      <c r="L69" s="221">
        <v>980</v>
      </c>
      <c r="M69" s="221"/>
      <c r="N69" s="222" t="str">
        <f t="shared" si="2"/>
        <v>sponsor, veut garder licence</v>
      </c>
      <c r="O69" s="729">
        <v>1</v>
      </c>
      <c r="P69" s="729"/>
      <c r="Q69" s="730" t="str">
        <f t="shared" si="3"/>
        <v>Officiel H</v>
      </c>
      <c r="R69" s="731"/>
      <c r="S69" s="731"/>
      <c r="T69" s="731"/>
      <c r="U69" s="731"/>
      <c r="V69" s="731"/>
      <c r="W69" s="731"/>
      <c r="X69" s="731"/>
      <c r="Y69" s="731"/>
      <c r="Z69" s="731"/>
      <c r="AA69" s="731"/>
      <c r="AB69" s="12"/>
      <c r="AC69" s="12" t="s">
        <v>3090</v>
      </c>
      <c r="AD69" s="12"/>
      <c r="AE69" s="12"/>
      <c r="AF69" s="12"/>
      <c r="AG69" s="376"/>
      <c r="AH69" s="370"/>
      <c r="AI69" s="18">
        <v>28430</v>
      </c>
      <c r="AJ69" s="18">
        <v>28430</v>
      </c>
      <c r="AK69" s="14" t="s">
        <v>210</v>
      </c>
      <c r="AL69" s="18">
        <v>22841</v>
      </c>
      <c r="AM69" s="19" t="s">
        <v>244</v>
      </c>
      <c r="AN69" s="19"/>
      <c r="AO69" s="10" t="s">
        <v>1450</v>
      </c>
      <c r="AP69" s="40"/>
      <c r="AQ69" s="27" t="s">
        <v>1451</v>
      </c>
      <c r="AR69" s="29" t="s">
        <v>1452</v>
      </c>
      <c r="AS69" s="61"/>
      <c r="AT69" s="61"/>
      <c r="AU69" s="24"/>
      <c r="AV69" s="10"/>
      <c r="AW69" s="11"/>
      <c r="AX69" s="11"/>
      <c r="AY69" s="11"/>
      <c r="AZ69" s="11" t="s">
        <v>1455</v>
      </c>
      <c r="BA69" s="11"/>
      <c r="BB69" s="59" t="s">
        <v>292</v>
      </c>
      <c r="BC69" s="59" t="s">
        <v>292</v>
      </c>
      <c r="BD69" s="59" t="s">
        <v>1168</v>
      </c>
      <c r="BE69" s="59" t="s">
        <v>1455</v>
      </c>
      <c r="BF69" s="59"/>
      <c r="BG69" s="59"/>
      <c r="BH69" s="138"/>
      <c r="BI69" s="138"/>
      <c r="BJ69" s="138"/>
      <c r="BK69" s="231"/>
      <c r="BL69" s="231"/>
      <c r="BM69" s="231"/>
      <c r="BN69" s="232"/>
      <c r="BO69" s="19"/>
      <c r="BP69" s="23" t="s">
        <v>1456</v>
      </c>
      <c r="BQ69" s="23"/>
      <c r="BR69" s="23"/>
      <c r="BS69" s="43"/>
      <c r="BT69"/>
    </row>
    <row r="70" spans="1:72" ht="13.5" customHeight="1" x14ac:dyDescent="0.15">
      <c r="A70" s="48" t="s">
        <v>707</v>
      </c>
      <c r="B70" s="9" t="s">
        <v>708</v>
      </c>
      <c r="C70" s="9"/>
      <c r="D70" s="9"/>
      <c r="E70" s="9"/>
      <c r="F70" s="10" t="s">
        <v>107</v>
      </c>
      <c r="G70" s="11" t="s">
        <v>703</v>
      </c>
      <c r="H70" s="5" t="s">
        <v>704</v>
      </c>
      <c r="I70" s="11" t="s">
        <v>705</v>
      </c>
      <c r="J70" s="357" t="s">
        <v>706</v>
      </c>
      <c r="K70" s="353"/>
      <c r="L70" s="221">
        <v>980</v>
      </c>
      <c r="M70" s="221"/>
      <c r="N70" s="222" t="str">
        <f t="shared" si="2"/>
        <v>sponsor, veut garder licence</v>
      </c>
      <c r="O70" s="729">
        <v>19</v>
      </c>
      <c r="P70" s="729"/>
      <c r="Q70" s="730" t="str">
        <f t="shared" si="3"/>
        <v>Vétérans - Dames</v>
      </c>
      <c r="R70" s="731"/>
      <c r="S70" s="731"/>
      <c r="T70" s="731"/>
      <c r="U70" s="731"/>
      <c r="V70" s="731"/>
      <c r="W70" s="731"/>
      <c r="X70" s="731"/>
      <c r="Y70" s="731"/>
      <c r="Z70" s="731"/>
      <c r="AA70" s="731"/>
      <c r="AB70" s="12" t="s">
        <v>2939</v>
      </c>
      <c r="AC70" s="12" t="s">
        <v>4094</v>
      </c>
      <c r="AD70" s="12"/>
      <c r="AE70" s="12"/>
      <c r="AF70" s="12"/>
      <c r="AG70" s="376"/>
      <c r="AH70" s="370"/>
      <c r="AI70" s="18">
        <v>34895</v>
      </c>
      <c r="AJ70" s="18">
        <v>31017</v>
      </c>
      <c r="AK70" s="14" t="s">
        <v>210</v>
      </c>
      <c r="AL70" s="18">
        <v>23869</v>
      </c>
      <c r="AM70" s="19" t="s">
        <v>244</v>
      </c>
      <c r="AN70" s="19"/>
      <c r="AO70" s="10" t="s">
        <v>1464</v>
      </c>
      <c r="AP70" s="40"/>
      <c r="AQ70" s="27" t="s">
        <v>1465</v>
      </c>
      <c r="AR70" s="25" t="s">
        <v>1466</v>
      </c>
      <c r="AS70" s="62"/>
      <c r="AT70" s="62"/>
      <c r="AU70" s="24"/>
      <c r="AV70" s="10"/>
      <c r="AW70" s="11"/>
      <c r="AX70" s="11"/>
      <c r="AY70" s="11"/>
      <c r="AZ70" s="11" t="s">
        <v>1455</v>
      </c>
      <c r="BA70" s="11"/>
      <c r="BB70" s="59" t="s">
        <v>292</v>
      </c>
      <c r="BC70" s="59" t="s">
        <v>292</v>
      </c>
      <c r="BD70" s="59" t="s">
        <v>1168</v>
      </c>
      <c r="BE70" s="59" t="s">
        <v>1455</v>
      </c>
      <c r="BF70" s="59"/>
      <c r="BG70" s="59"/>
      <c r="BH70" s="138"/>
      <c r="BI70" s="138"/>
      <c r="BJ70" s="138"/>
      <c r="BK70" s="231"/>
      <c r="BL70" s="231"/>
      <c r="BM70" s="231"/>
      <c r="BN70" s="232"/>
      <c r="BO70" s="19"/>
      <c r="BP70" s="23" t="s">
        <v>1467</v>
      </c>
      <c r="BQ70" s="23"/>
      <c r="BR70" s="23"/>
      <c r="BS70" s="43"/>
    </row>
    <row r="71" spans="1:72" s="150" customFormat="1" ht="13.5" customHeight="1" x14ac:dyDescent="0.15">
      <c r="A71" s="48" t="s">
        <v>3861</v>
      </c>
      <c r="B71" s="9" t="s">
        <v>3862</v>
      </c>
      <c r="C71" s="9"/>
      <c r="D71" s="9"/>
      <c r="E71" s="9"/>
      <c r="F71" s="10" t="s">
        <v>107</v>
      </c>
      <c r="G71" s="10" t="s">
        <v>5271</v>
      </c>
      <c r="H71" s="5" t="s">
        <v>3618</v>
      </c>
      <c r="I71" s="11" t="s">
        <v>223</v>
      </c>
      <c r="J71" s="357" t="s">
        <v>2010</v>
      </c>
      <c r="K71" s="353"/>
      <c r="L71" s="221">
        <v>212</v>
      </c>
      <c r="M71" s="221"/>
      <c r="N71" s="222" t="str">
        <f t="shared" si="2"/>
        <v>Contact famille</v>
      </c>
      <c r="O71" s="729">
        <v>212</v>
      </c>
      <c r="P71" s="729"/>
      <c r="Q71" s="730" t="str">
        <f t="shared" si="3"/>
        <v>Contact famille</v>
      </c>
      <c r="R71" s="731"/>
      <c r="S71" s="731"/>
      <c r="T71" s="731"/>
      <c r="U71" s="731"/>
      <c r="V71" s="731" t="s">
        <v>313</v>
      </c>
      <c r="W71" s="731"/>
      <c r="X71" s="731" t="s">
        <v>313</v>
      </c>
      <c r="Y71" s="731"/>
      <c r="Z71" s="731"/>
      <c r="AA71" s="731"/>
      <c r="AB71" s="12"/>
      <c r="AC71" s="12"/>
      <c r="AD71" s="12"/>
      <c r="AE71" s="155"/>
      <c r="AF71" s="12"/>
      <c r="AG71" s="386"/>
      <c r="AH71" s="370"/>
      <c r="AI71" s="18" t="s">
        <v>242</v>
      </c>
      <c r="AJ71" s="18" t="s">
        <v>242</v>
      </c>
      <c r="AK71" s="427" t="s">
        <v>242</v>
      </c>
      <c r="AL71" s="18" t="s">
        <v>242</v>
      </c>
      <c r="AM71" s="18" t="s">
        <v>244</v>
      </c>
      <c r="AN71" s="38"/>
      <c r="AO71" s="10"/>
      <c r="AP71" s="40"/>
      <c r="AQ71" s="20">
        <v>691474110</v>
      </c>
      <c r="AR71" s="47" t="s">
        <v>3865</v>
      </c>
      <c r="AS71" s="62"/>
      <c r="AT71" s="62"/>
      <c r="AU71" s="11"/>
      <c r="AV71" s="10"/>
      <c r="AW71" s="11"/>
      <c r="AX71" s="11"/>
      <c r="AY71" s="11"/>
      <c r="AZ71" s="11"/>
      <c r="BA71" s="11"/>
      <c r="BB71" s="59"/>
      <c r="BC71" s="59"/>
      <c r="BD71" s="59"/>
      <c r="BE71" s="59"/>
      <c r="BF71" s="59"/>
      <c r="BG71" s="59"/>
      <c r="BH71" s="138"/>
      <c r="BI71" s="138"/>
      <c r="BJ71" s="138"/>
      <c r="BK71" s="231"/>
      <c r="BL71" s="231"/>
      <c r="BM71" s="231"/>
      <c r="BN71" s="232"/>
      <c r="BO71" s="19"/>
      <c r="BP71" s="23"/>
      <c r="BQ71" s="23"/>
      <c r="BR71" s="23"/>
      <c r="BS71" s="43"/>
      <c r="BT71"/>
    </row>
    <row r="72" spans="1:72" s="150" customFormat="1" ht="13.5" customHeight="1" x14ac:dyDescent="0.15">
      <c r="A72" s="48" t="s">
        <v>3831</v>
      </c>
      <c r="B72" s="9" t="s">
        <v>3833</v>
      </c>
      <c r="C72" s="9"/>
      <c r="D72" s="9"/>
      <c r="E72" s="9"/>
      <c r="F72" s="10" t="s">
        <v>1489</v>
      </c>
      <c r="G72" s="10" t="s">
        <v>3834</v>
      </c>
      <c r="H72" s="5" t="s">
        <v>3835</v>
      </c>
      <c r="I72" s="11" t="s">
        <v>360</v>
      </c>
      <c r="J72" s="357" t="s">
        <v>1081</v>
      </c>
      <c r="K72" s="353"/>
      <c r="L72" s="221">
        <v>212</v>
      </c>
      <c r="M72" s="221"/>
      <c r="N72" s="222" t="str">
        <f t="shared" si="2"/>
        <v>Contact famille</v>
      </c>
      <c r="O72" s="729">
        <v>212</v>
      </c>
      <c r="P72" s="729"/>
      <c r="Q72" s="730" t="str">
        <f t="shared" si="3"/>
        <v>Contact famille</v>
      </c>
      <c r="R72" s="731"/>
      <c r="S72" s="731"/>
      <c r="T72" s="731"/>
      <c r="U72" s="731"/>
      <c r="V72" s="731"/>
      <c r="W72" s="731" t="s">
        <v>313</v>
      </c>
      <c r="X72" s="731"/>
      <c r="Y72" s="731"/>
      <c r="Z72" s="731"/>
      <c r="AA72" s="731"/>
      <c r="AB72" s="12"/>
      <c r="AC72" s="12"/>
      <c r="AD72" s="12"/>
      <c r="AE72" s="12"/>
      <c r="AF72" s="12"/>
      <c r="AG72" s="369"/>
      <c r="AH72" s="370"/>
      <c r="AI72" s="18" t="s">
        <v>242</v>
      </c>
      <c r="AJ72" s="18" t="s">
        <v>242</v>
      </c>
      <c r="AK72" s="13" t="s">
        <v>242</v>
      </c>
      <c r="AL72" s="18"/>
      <c r="AM72" s="19" t="s">
        <v>244</v>
      </c>
      <c r="AN72" s="38"/>
      <c r="AO72" s="10" t="s">
        <v>252</v>
      </c>
      <c r="AP72" s="40"/>
      <c r="AQ72" s="20">
        <v>621546945</v>
      </c>
      <c r="AR72" s="47" t="s">
        <v>3838</v>
      </c>
      <c r="AS72" s="62"/>
      <c r="AT72" s="62"/>
      <c r="AU72" s="11"/>
      <c r="AV72" s="10"/>
      <c r="AW72" s="11"/>
      <c r="AX72" s="11"/>
      <c r="AY72" s="11"/>
      <c r="AZ72" s="11"/>
      <c r="BA72" s="11"/>
      <c r="BB72" s="59"/>
      <c r="BC72" s="59"/>
      <c r="BD72" s="59"/>
      <c r="BE72" s="59"/>
      <c r="BF72" s="59"/>
      <c r="BG72" s="59"/>
      <c r="BH72" s="138"/>
      <c r="BI72" s="138"/>
      <c r="BJ72" s="138"/>
      <c r="BK72" s="231"/>
      <c r="BL72" s="231"/>
      <c r="BM72" s="231"/>
      <c r="BN72" s="232"/>
      <c r="BO72" s="19"/>
      <c r="BP72" s="23"/>
      <c r="BQ72" s="23"/>
      <c r="BR72" s="23"/>
      <c r="BS72" s="43"/>
      <c r="BT72"/>
    </row>
    <row r="73" spans="1:72" ht="13.5" customHeight="1" x14ac:dyDescent="0.15">
      <c r="A73" s="48" t="s">
        <v>4969</v>
      </c>
      <c r="B73" s="9" t="s">
        <v>836</v>
      </c>
      <c r="C73" s="9"/>
      <c r="D73" s="9"/>
      <c r="E73" s="9"/>
      <c r="F73" s="112" t="s">
        <v>107</v>
      </c>
      <c r="G73" s="10" t="s">
        <v>5052</v>
      </c>
      <c r="H73" s="5" t="s">
        <v>617</v>
      </c>
      <c r="I73" s="11" t="s">
        <v>618</v>
      </c>
      <c r="J73" s="357" t="s">
        <v>893</v>
      </c>
      <c r="K73" s="353"/>
      <c r="L73" s="221">
        <v>212</v>
      </c>
      <c r="M73" s="221"/>
      <c r="N73" s="222" t="str">
        <f t="shared" si="2"/>
        <v>Contact famille</v>
      </c>
      <c r="O73" s="729">
        <v>212</v>
      </c>
      <c r="P73" s="729"/>
      <c r="Q73" s="730" t="str">
        <f t="shared" si="3"/>
        <v>Contact famille</v>
      </c>
      <c r="R73" s="731"/>
      <c r="S73" s="731"/>
      <c r="T73" s="731"/>
      <c r="U73" s="731" t="s">
        <v>313</v>
      </c>
      <c r="V73" s="731"/>
      <c r="W73" s="731"/>
      <c r="X73" s="731"/>
      <c r="Y73" s="731"/>
      <c r="Z73" s="731"/>
      <c r="AA73" s="731"/>
      <c r="AB73" s="12"/>
      <c r="AC73" s="12"/>
      <c r="AD73" s="12"/>
      <c r="AE73" s="12"/>
      <c r="AF73" s="12"/>
      <c r="AG73" s="369"/>
      <c r="AH73" s="370"/>
      <c r="AI73" s="18" t="s">
        <v>242</v>
      </c>
      <c r="AJ73" s="18" t="s">
        <v>242</v>
      </c>
      <c r="AK73" s="13" t="s">
        <v>242</v>
      </c>
      <c r="AL73" s="18" t="s">
        <v>242</v>
      </c>
      <c r="AM73" s="19" t="s">
        <v>244</v>
      </c>
      <c r="AN73" s="38"/>
      <c r="AO73" s="10"/>
      <c r="AP73" s="40"/>
      <c r="AQ73" s="20">
        <v>661699000</v>
      </c>
      <c r="AR73" s="21" t="s">
        <v>4974</v>
      </c>
      <c r="AS73" s="62"/>
      <c r="AT73" s="62"/>
      <c r="AU73" s="11"/>
      <c r="AV73" s="10"/>
      <c r="AW73" s="11"/>
      <c r="AX73" s="11"/>
      <c r="AY73" s="11"/>
      <c r="AZ73" s="11"/>
      <c r="BA73" s="11"/>
      <c r="BB73" s="59"/>
      <c r="BC73" s="59"/>
      <c r="BD73" s="59"/>
      <c r="BE73" s="59"/>
      <c r="BF73" s="59"/>
      <c r="BG73" s="59"/>
      <c r="BH73" s="138"/>
      <c r="BI73" s="138"/>
      <c r="BJ73" s="138"/>
      <c r="BK73" s="231"/>
      <c r="BL73" s="231"/>
      <c r="BM73" s="231"/>
      <c r="BN73" s="232"/>
      <c r="BO73" s="19"/>
      <c r="BP73" s="23"/>
      <c r="BQ73" s="23"/>
      <c r="BR73" s="23"/>
      <c r="BS73" s="43"/>
    </row>
    <row r="74" spans="1:72" s="150" customFormat="1" ht="13.5" customHeight="1" x14ac:dyDescent="0.15">
      <c r="A74" s="48" t="s">
        <v>4724</v>
      </c>
      <c r="B74" s="9" t="s">
        <v>1671</v>
      </c>
      <c r="C74" s="9"/>
      <c r="D74" s="9"/>
      <c r="E74" s="9"/>
      <c r="F74" s="10" t="s">
        <v>4725</v>
      </c>
      <c r="G74" s="10" t="s">
        <v>4726</v>
      </c>
      <c r="H74" s="5" t="s">
        <v>4729</v>
      </c>
      <c r="I74" s="11" t="s">
        <v>360</v>
      </c>
      <c r="J74" s="357" t="s">
        <v>4719</v>
      </c>
      <c r="K74" s="353"/>
      <c r="L74" s="221">
        <v>212</v>
      </c>
      <c r="M74" s="221"/>
      <c r="N74" s="222" t="str">
        <f t="shared" si="2"/>
        <v>Contact famille</v>
      </c>
      <c r="O74" s="729">
        <v>212</v>
      </c>
      <c r="P74" s="729"/>
      <c r="Q74" s="730" t="str">
        <f t="shared" si="3"/>
        <v>Contact famille</v>
      </c>
      <c r="R74" s="731"/>
      <c r="S74" s="731"/>
      <c r="T74" s="731"/>
      <c r="U74" s="731"/>
      <c r="V74" s="731"/>
      <c r="W74" s="731"/>
      <c r="X74" s="731" t="s">
        <v>313</v>
      </c>
      <c r="Y74" s="731"/>
      <c r="Z74" s="731"/>
      <c r="AA74" s="731"/>
      <c r="AB74" s="12"/>
      <c r="AC74" s="12"/>
      <c r="AD74" s="12"/>
      <c r="AE74" s="12"/>
      <c r="AF74" s="12"/>
      <c r="AG74" s="369"/>
      <c r="AH74" s="370"/>
      <c r="AI74" s="18" t="s">
        <v>242</v>
      </c>
      <c r="AJ74" s="18" t="s">
        <v>242</v>
      </c>
      <c r="AK74" s="427" t="s">
        <v>242</v>
      </c>
      <c r="AL74" s="18">
        <v>31067</v>
      </c>
      <c r="AM74" s="19" t="s">
        <v>4732</v>
      </c>
      <c r="AN74" s="38"/>
      <c r="AO74" s="10"/>
      <c r="AP74" s="40"/>
      <c r="AQ74" s="20">
        <v>621488144</v>
      </c>
      <c r="AR74" s="47" t="s">
        <v>4736</v>
      </c>
      <c r="AS74" s="62"/>
      <c r="AT74" s="62"/>
      <c r="AU74" s="11"/>
      <c r="AV74" s="10"/>
      <c r="AW74" s="11"/>
      <c r="AX74" s="11"/>
      <c r="AY74" s="11"/>
      <c r="AZ74" s="11"/>
      <c r="BA74" s="11"/>
      <c r="BB74" s="59"/>
      <c r="BC74" s="59"/>
      <c r="BD74" s="59"/>
      <c r="BE74" s="59"/>
      <c r="BF74" s="59"/>
      <c r="BG74" s="59"/>
      <c r="BH74" s="138"/>
      <c r="BI74" s="138"/>
      <c r="BJ74" s="138"/>
      <c r="BK74" s="231"/>
      <c r="BL74" s="231"/>
      <c r="BM74" s="231"/>
      <c r="BN74" s="232"/>
      <c r="BO74" s="19"/>
      <c r="BP74" s="23"/>
      <c r="BQ74" s="23"/>
      <c r="BR74" s="23"/>
      <c r="BS74" s="43"/>
      <c r="BT74"/>
    </row>
    <row r="75" spans="1:72" ht="13.5" customHeight="1" x14ac:dyDescent="0.15">
      <c r="A75" s="48" t="s">
        <v>4720</v>
      </c>
      <c r="B75" s="9" t="s">
        <v>4721</v>
      </c>
      <c r="C75" s="9"/>
      <c r="D75" s="9"/>
      <c r="E75" s="9"/>
      <c r="F75" s="10" t="s">
        <v>263</v>
      </c>
      <c r="G75" s="10" t="s">
        <v>4726</v>
      </c>
      <c r="H75" s="5" t="s">
        <v>4727</v>
      </c>
      <c r="I75" s="11" t="s">
        <v>360</v>
      </c>
      <c r="J75" s="357" t="s">
        <v>4719</v>
      </c>
      <c r="K75" s="353"/>
      <c r="L75" s="221">
        <v>21</v>
      </c>
      <c r="M75" s="221"/>
      <c r="N75" s="222" t="str">
        <f t="shared" si="2"/>
        <v>U7 Mixte</v>
      </c>
      <c r="O75" s="729">
        <v>21</v>
      </c>
      <c r="P75" s="729"/>
      <c r="Q75" s="730" t="str">
        <f t="shared" si="3"/>
        <v>U7 Mixte</v>
      </c>
      <c r="R75" s="731"/>
      <c r="S75" s="731"/>
      <c r="T75" s="731"/>
      <c r="U75" s="731"/>
      <c r="V75" s="731"/>
      <c r="W75" s="731"/>
      <c r="X75" s="731" t="s">
        <v>192</v>
      </c>
      <c r="Y75" s="731"/>
      <c r="Z75" s="731"/>
      <c r="AA75" s="731"/>
      <c r="AB75" s="12" t="s">
        <v>4786</v>
      </c>
      <c r="AC75" s="12"/>
      <c r="AD75" s="12"/>
      <c r="AE75" s="12"/>
      <c r="AF75" s="12"/>
      <c r="AG75" s="369"/>
      <c r="AH75" s="370"/>
      <c r="AI75" s="18">
        <v>45359</v>
      </c>
      <c r="AJ75" s="18">
        <v>45308</v>
      </c>
      <c r="AK75" s="13">
        <v>2029</v>
      </c>
      <c r="AL75" s="18">
        <v>44569</v>
      </c>
      <c r="AM75" s="19" t="s">
        <v>4730</v>
      </c>
      <c r="AN75" s="38"/>
      <c r="AO75" s="10"/>
      <c r="AP75" s="40" t="s">
        <v>4733</v>
      </c>
      <c r="AQ75" s="10" t="s">
        <v>4734</v>
      </c>
      <c r="AR75" s="47" t="s">
        <v>4735</v>
      </c>
      <c r="AS75" s="62"/>
      <c r="AT75" s="62"/>
      <c r="AU75" s="11"/>
      <c r="AV75" s="10"/>
      <c r="AW75" s="11"/>
      <c r="AX75" s="11"/>
      <c r="AY75" s="11"/>
      <c r="AZ75" s="11"/>
      <c r="BA75" s="11"/>
      <c r="BB75" s="59"/>
      <c r="BC75" s="59"/>
      <c r="BD75" s="59"/>
      <c r="BE75" s="59"/>
      <c r="BF75" s="59"/>
      <c r="BG75" s="59"/>
      <c r="BH75" s="138"/>
      <c r="BI75" s="138"/>
      <c r="BJ75" s="138"/>
      <c r="BK75" s="231"/>
      <c r="BL75" s="231"/>
      <c r="BM75" s="231"/>
      <c r="BN75" s="232"/>
      <c r="BO75" s="19"/>
      <c r="BP75" s="23"/>
      <c r="BQ75" s="23"/>
      <c r="BR75" s="23"/>
      <c r="BS75" s="43"/>
    </row>
    <row r="76" spans="1:72" ht="13.5" customHeight="1" x14ac:dyDescent="0.15">
      <c r="A76" s="48" t="s">
        <v>1459</v>
      </c>
      <c r="B76" s="9" t="s">
        <v>1460</v>
      </c>
      <c r="C76" s="9"/>
      <c r="D76" s="9"/>
      <c r="E76" s="9"/>
      <c r="F76" s="112" t="s">
        <v>107</v>
      </c>
      <c r="G76" s="112" t="s">
        <v>1461</v>
      </c>
      <c r="H76" s="113" t="s">
        <v>354</v>
      </c>
      <c r="I76" s="110" t="s">
        <v>283</v>
      </c>
      <c r="J76" s="357" t="s">
        <v>320</v>
      </c>
      <c r="K76" s="353"/>
      <c r="L76" s="221">
        <v>9</v>
      </c>
      <c r="M76" s="221"/>
      <c r="N76" s="222" t="str">
        <f t="shared" si="2"/>
        <v>Vétérans - Hommes</v>
      </c>
      <c r="O76" s="729">
        <v>9</v>
      </c>
      <c r="P76" s="729"/>
      <c r="Q76" s="730" t="str">
        <f t="shared" si="3"/>
        <v>Vétérans - Hommes</v>
      </c>
      <c r="R76" s="731"/>
      <c r="S76" s="731"/>
      <c r="T76" s="731"/>
      <c r="U76" s="731"/>
      <c r="V76" s="731"/>
      <c r="W76" s="731"/>
      <c r="X76" s="731"/>
      <c r="Y76" s="731"/>
      <c r="Z76" s="731"/>
      <c r="AA76" s="731"/>
      <c r="AB76" s="12" t="s">
        <v>5005</v>
      </c>
      <c r="AC76" s="12"/>
      <c r="AD76" s="12"/>
      <c r="AE76" s="12"/>
      <c r="AF76" s="12"/>
      <c r="AG76" s="369"/>
      <c r="AH76" s="370"/>
      <c r="AI76" s="18">
        <v>45629</v>
      </c>
      <c r="AJ76" s="18">
        <v>45556</v>
      </c>
      <c r="AK76" s="13" t="s">
        <v>5006</v>
      </c>
      <c r="AL76" s="18">
        <v>21705</v>
      </c>
      <c r="AM76" s="46" t="s">
        <v>4884</v>
      </c>
      <c r="AN76" s="38"/>
      <c r="AO76" s="10"/>
      <c r="AP76" s="40"/>
      <c r="AQ76" s="20">
        <v>621707761</v>
      </c>
      <c r="AR76" s="379" t="s">
        <v>4885</v>
      </c>
      <c r="AS76" s="62"/>
      <c r="AT76" s="62"/>
      <c r="AU76" s="11"/>
      <c r="AV76" s="10"/>
      <c r="AW76" s="11"/>
      <c r="AX76" s="11"/>
      <c r="AY76" s="11"/>
      <c r="AZ76" s="11"/>
      <c r="BA76" s="11"/>
      <c r="BB76" s="59"/>
      <c r="BC76" s="59"/>
      <c r="BD76" s="59"/>
      <c r="BE76" s="59"/>
      <c r="BF76" s="59"/>
      <c r="BG76" s="59"/>
      <c r="BH76" s="138"/>
      <c r="BI76" s="138"/>
      <c r="BJ76" s="138"/>
      <c r="BK76" s="231"/>
      <c r="BL76" s="231"/>
      <c r="BM76" s="231"/>
      <c r="BN76" s="232"/>
      <c r="BO76" s="19"/>
      <c r="BP76" s="23"/>
      <c r="BQ76" s="23"/>
      <c r="BR76" s="23"/>
      <c r="BS76" s="43"/>
      <c r="BT76" s="150"/>
    </row>
    <row r="77" spans="1:72" ht="13.5" customHeight="1" x14ac:dyDescent="0.15">
      <c r="A77" s="48" t="s">
        <v>1459</v>
      </c>
      <c r="B77" s="9" t="s">
        <v>2703</v>
      </c>
      <c r="C77" s="9"/>
      <c r="D77" s="9"/>
      <c r="E77" s="9"/>
      <c r="F77" s="10" t="s">
        <v>107</v>
      </c>
      <c r="G77" s="10" t="s">
        <v>4163</v>
      </c>
      <c r="H77" s="5" t="s">
        <v>4164</v>
      </c>
      <c r="I77" s="11" t="s">
        <v>4165</v>
      </c>
      <c r="J77" s="357" t="s">
        <v>320</v>
      </c>
      <c r="K77" s="353"/>
      <c r="L77" s="221">
        <v>12</v>
      </c>
      <c r="M77" s="221"/>
      <c r="N77" s="222" t="str">
        <f t="shared" si="2"/>
        <v>Dames</v>
      </c>
      <c r="O77" s="729">
        <v>12</v>
      </c>
      <c r="P77" s="729"/>
      <c r="Q77" s="730" t="str">
        <f t="shared" si="3"/>
        <v>Dames</v>
      </c>
      <c r="R77" s="731"/>
      <c r="S77" s="731"/>
      <c r="T77" s="731"/>
      <c r="U77" s="731"/>
      <c r="V77" s="731"/>
      <c r="W77" s="731"/>
      <c r="X77" s="731"/>
      <c r="Y77" s="731"/>
      <c r="Z77" s="731"/>
      <c r="AA77" s="731"/>
      <c r="AB77" s="12" t="s">
        <v>4174</v>
      </c>
      <c r="AC77" s="12"/>
      <c r="AD77" s="12"/>
      <c r="AE77" s="12"/>
      <c r="AF77" s="12"/>
      <c r="AG77" s="369"/>
      <c r="AH77" s="370"/>
      <c r="AI77" s="18">
        <v>44575</v>
      </c>
      <c r="AJ77" s="18">
        <v>44873</v>
      </c>
      <c r="AK77" s="612">
        <v>2023</v>
      </c>
      <c r="AL77" s="18">
        <v>34013</v>
      </c>
      <c r="AM77" s="19" t="s">
        <v>4166</v>
      </c>
      <c r="AN77" s="38"/>
      <c r="AO77" s="10"/>
      <c r="AP77" s="40"/>
      <c r="AQ77" s="20">
        <v>691746426</v>
      </c>
      <c r="AR77" s="47" t="s">
        <v>4162</v>
      </c>
      <c r="AS77" s="62"/>
      <c r="AT77" s="62"/>
      <c r="AU77" s="11"/>
      <c r="AV77" s="10"/>
      <c r="AW77" s="11"/>
      <c r="AX77" s="11"/>
      <c r="AY77" s="11"/>
      <c r="AZ77" s="11"/>
      <c r="BA77" s="11"/>
      <c r="BB77" s="59"/>
      <c r="BC77" s="59"/>
      <c r="BD77" s="59"/>
      <c r="BE77" s="59"/>
      <c r="BF77" s="59"/>
      <c r="BG77" s="59"/>
      <c r="BH77" s="138"/>
      <c r="BI77" s="138"/>
      <c r="BJ77" s="138"/>
      <c r="BK77" s="231"/>
      <c r="BL77" s="231"/>
      <c r="BM77" s="231"/>
      <c r="BN77" s="232"/>
      <c r="BO77" s="19"/>
      <c r="BP77" s="23"/>
      <c r="BQ77" s="23"/>
      <c r="BR77" s="23"/>
      <c r="BS77" s="43"/>
    </row>
    <row r="78" spans="1:72" ht="13.5" customHeight="1" x14ac:dyDescent="0.15">
      <c r="A78" s="48" t="s">
        <v>709</v>
      </c>
      <c r="B78" s="9" t="s">
        <v>5023</v>
      </c>
      <c r="C78" s="9"/>
      <c r="D78" s="9"/>
      <c r="E78" s="9"/>
      <c r="F78" s="112" t="s">
        <v>107</v>
      </c>
      <c r="G78" s="10" t="s">
        <v>682</v>
      </c>
      <c r="H78" s="5" t="s">
        <v>683</v>
      </c>
      <c r="I78" s="11" t="s">
        <v>241</v>
      </c>
      <c r="J78" s="357" t="s">
        <v>5021</v>
      </c>
      <c r="K78" s="353"/>
      <c r="L78" s="221">
        <v>212</v>
      </c>
      <c r="M78" s="221"/>
      <c r="N78" s="222" t="str">
        <f t="shared" si="2"/>
        <v>Contact famille</v>
      </c>
      <c r="O78" s="729">
        <v>212</v>
      </c>
      <c r="P78" s="729"/>
      <c r="Q78" s="730" t="str">
        <f t="shared" si="3"/>
        <v>Contact famille</v>
      </c>
      <c r="R78" s="731"/>
      <c r="S78" s="731"/>
      <c r="T78" s="731"/>
      <c r="U78" s="731"/>
      <c r="V78" s="731"/>
      <c r="W78" s="731"/>
      <c r="X78" s="731" t="s">
        <v>313</v>
      </c>
      <c r="Y78" s="731"/>
      <c r="Z78" s="731"/>
      <c r="AA78" s="731"/>
      <c r="AB78" s="12"/>
      <c r="AC78" s="12"/>
      <c r="AD78" s="12"/>
      <c r="AE78" s="12"/>
      <c r="AF78" s="12"/>
      <c r="AG78" s="369"/>
      <c r="AH78" s="370"/>
      <c r="AI78" s="18" t="s">
        <v>242</v>
      </c>
      <c r="AJ78" s="18" t="s">
        <v>242</v>
      </c>
      <c r="AK78" s="13" t="s">
        <v>242</v>
      </c>
      <c r="AL78" s="18" t="s">
        <v>242</v>
      </c>
      <c r="AM78" s="19" t="s">
        <v>244</v>
      </c>
      <c r="AN78" s="38"/>
      <c r="AO78" s="10"/>
      <c r="AP78" s="40"/>
      <c r="AQ78" s="10"/>
      <c r="AR78" s="21"/>
      <c r="AS78" s="62"/>
      <c r="AT78" s="62"/>
      <c r="AU78" s="11"/>
      <c r="AV78" s="10"/>
      <c r="AW78" s="13"/>
      <c r="AX78" s="11"/>
      <c r="AY78" s="11"/>
      <c r="AZ78" s="11"/>
      <c r="BA78" s="11"/>
      <c r="BB78" s="59"/>
      <c r="BC78" s="59"/>
      <c r="BD78" s="59"/>
      <c r="BE78" s="59"/>
      <c r="BF78" s="59"/>
      <c r="BG78" s="59"/>
      <c r="BH78" s="138"/>
      <c r="BI78" s="138"/>
      <c r="BJ78" s="138"/>
      <c r="BK78" s="231"/>
      <c r="BL78" s="231"/>
      <c r="BM78" s="231"/>
      <c r="BN78" s="232"/>
      <c r="BO78" s="19"/>
      <c r="BP78" s="23"/>
      <c r="BQ78" s="23"/>
      <c r="BR78" s="23"/>
      <c r="BS78" s="43"/>
    </row>
    <row r="79" spans="1:72" ht="13.5" customHeight="1" x14ac:dyDescent="0.15">
      <c r="A79" s="48" t="s">
        <v>3956</v>
      </c>
      <c r="B79" s="9" t="s">
        <v>3884</v>
      </c>
      <c r="C79" s="9"/>
      <c r="D79" s="9"/>
      <c r="E79" s="9"/>
      <c r="F79" s="112" t="s">
        <v>107</v>
      </c>
      <c r="G79" s="10" t="s">
        <v>3959</v>
      </c>
      <c r="H79" s="5" t="s">
        <v>110</v>
      </c>
      <c r="I79" s="11" t="s">
        <v>111</v>
      </c>
      <c r="J79" s="357" t="s">
        <v>2697</v>
      </c>
      <c r="K79" s="353"/>
      <c r="L79" s="221">
        <v>212</v>
      </c>
      <c r="M79" s="221"/>
      <c r="N79" s="222" t="str">
        <f t="shared" si="2"/>
        <v>Contact famille</v>
      </c>
      <c r="O79" s="729">
        <v>212</v>
      </c>
      <c r="P79" s="729"/>
      <c r="Q79" s="730" t="str">
        <f t="shared" si="3"/>
        <v>Contact famille</v>
      </c>
      <c r="R79" s="731"/>
      <c r="S79" s="731"/>
      <c r="T79" s="731" t="s">
        <v>313</v>
      </c>
      <c r="U79" s="731" t="s">
        <v>313</v>
      </c>
      <c r="V79" s="731"/>
      <c r="W79" s="731"/>
      <c r="X79" s="731"/>
      <c r="Y79" s="731"/>
      <c r="Z79" s="731"/>
      <c r="AA79" s="731"/>
      <c r="AB79" s="12"/>
      <c r="AC79" s="12"/>
      <c r="AD79" s="12"/>
      <c r="AE79" s="12"/>
      <c r="AF79" s="12"/>
      <c r="AG79" s="369"/>
      <c r="AH79" s="370"/>
      <c r="AI79" s="18" t="s">
        <v>242</v>
      </c>
      <c r="AJ79" s="18" t="s">
        <v>242</v>
      </c>
      <c r="AK79" s="13" t="s">
        <v>242</v>
      </c>
      <c r="AL79" s="18" t="s">
        <v>242</v>
      </c>
      <c r="AM79" s="19" t="s">
        <v>244</v>
      </c>
      <c r="AN79" s="38"/>
      <c r="AO79" s="10" t="s">
        <v>3961</v>
      </c>
      <c r="AP79" s="40"/>
      <c r="AQ79" s="64">
        <v>621753140</v>
      </c>
      <c r="AR79" s="47" t="s">
        <v>3965</v>
      </c>
      <c r="AS79" s="62"/>
      <c r="AT79" s="62"/>
      <c r="AU79" s="11"/>
      <c r="AV79" s="10"/>
      <c r="AW79" s="11"/>
      <c r="AX79" s="11"/>
      <c r="AY79" s="11"/>
      <c r="AZ79" s="11"/>
      <c r="BA79" s="11"/>
      <c r="BB79" s="59"/>
      <c r="BC79" s="59"/>
      <c r="BD79" s="59"/>
      <c r="BE79" s="59"/>
      <c r="BF79" s="59"/>
      <c r="BG79" s="59"/>
      <c r="BH79" s="138"/>
      <c r="BI79" s="138"/>
      <c r="BJ79" s="138"/>
      <c r="BK79" s="231"/>
      <c r="BL79" s="231"/>
      <c r="BM79" s="231"/>
      <c r="BN79" s="232"/>
      <c r="BO79" s="19"/>
      <c r="BP79" s="23"/>
      <c r="BQ79" s="23"/>
      <c r="BR79" s="23"/>
      <c r="BS79" s="43"/>
    </row>
    <row r="80" spans="1:72" ht="13.5" customHeight="1" x14ac:dyDescent="0.15">
      <c r="A80" s="48" t="s">
        <v>3956</v>
      </c>
      <c r="B80" s="9" t="s">
        <v>2066</v>
      </c>
      <c r="C80" s="9"/>
      <c r="D80" s="9"/>
      <c r="E80" s="9"/>
      <c r="F80" s="112" t="s">
        <v>107</v>
      </c>
      <c r="G80" s="10" t="s">
        <v>3959</v>
      </c>
      <c r="H80" s="5" t="s">
        <v>110</v>
      </c>
      <c r="I80" s="11" t="s">
        <v>111</v>
      </c>
      <c r="J80" s="357" t="s">
        <v>2697</v>
      </c>
      <c r="K80" s="353"/>
      <c r="L80" s="221">
        <v>5</v>
      </c>
      <c r="M80" s="221"/>
      <c r="N80" s="222" t="str">
        <f t="shared" si="2"/>
        <v>U 15 Hommes</v>
      </c>
      <c r="O80" s="729">
        <v>5</v>
      </c>
      <c r="P80" s="729"/>
      <c r="Q80" s="730" t="str">
        <f t="shared" si="3"/>
        <v>U 15 Hommes</v>
      </c>
      <c r="R80" s="731"/>
      <c r="S80" s="731"/>
      <c r="T80" s="731" t="s">
        <v>192</v>
      </c>
      <c r="U80" s="731"/>
      <c r="V80" s="731"/>
      <c r="W80" s="731"/>
      <c r="X80" s="731"/>
      <c r="Y80" s="731"/>
      <c r="Z80" s="731"/>
      <c r="AA80" s="731"/>
      <c r="AB80" s="12" t="s">
        <v>3976</v>
      </c>
      <c r="AC80" s="12"/>
      <c r="AD80" s="12"/>
      <c r="AE80" s="12"/>
      <c r="AF80" s="12"/>
      <c r="AG80" s="369"/>
      <c r="AH80" s="370"/>
      <c r="AI80" s="18">
        <v>44622</v>
      </c>
      <c r="AJ80" s="18">
        <v>44584</v>
      </c>
      <c r="AK80" s="13">
        <v>2028</v>
      </c>
      <c r="AL80" s="18">
        <v>41499</v>
      </c>
      <c r="AM80" s="19" t="s">
        <v>3967</v>
      </c>
      <c r="AN80" s="38"/>
      <c r="AO80" s="10" t="s">
        <v>3961</v>
      </c>
      <c r="AP80" s="40" t="s">
        <v>3962</v>
      </c>
      <c r="AQ80" s="10" t="s">
        <v>3963</v>
      </c>
      <c r="AR80" s="47" t="s">
        <v>3964</v>
      </c>
      <c r="AS80" s="62"/>
      <c r="AT80" s="62"/>
      <c r="AU80" s="11"/>
      <c r="AV80" s="10"/>
      <c r="AW80" s="11"/>
      <c r="AX80" s="11"/>
      <c r="AY80" s="11"/>
      <c r="AZ80" s="11"/>
      <c r="BA80" s="11"/>
      <c r="BB80" s="59"/>
      <c r="BC80" s="59"/>
      <c r="BD80" s="59"/>
      <c r="BE80" s="59"/>
      <c r="BF80" s="59"/>
      <c r="BG80" s="59"/>
      <c r="BH80" s="138"/>
      <c r="BI80" s="138"/>
      <c r="BJ80" s="138"/>
      <c r="BK80" s="231"/>
      <c r="BL80" s="231"/>
      <c r="BM80" s="231"/>
      <c r="BN80" s="232"/>
      <c r="BO80" s="19"/>
      <c r="BP80" s="23"/>
      <c r="BQ80" s="23"/>
      <c r="BR80" s="23"/>
      <c r="BS80" s="43"/>
      <c r="BT80" s="150"/>
    </row>
    <row r="81" spans="1:72" ht="13.5" customHeight="1" x14ac:dyDescent="0.15">
      <c r="A81" s="48" t="s">
        <v>3956</v>
      </c>
      <c r="B81" s="9" t="s">
        <v>3957</v>
      </c>
      <c r="C81" s="9"/>
      <c r="D81" s="9"/>
      <c r="E81" s="9"/>
      <c r="F81" s="112" t="s">
        <v>107</v>
      </c>
      <c r="G81" s="10" t="s">
        <v>3959</v>
      </c>
      <c r="H81" s="5" t="s">
        <v>110</v>
      </c>
      <c r="I81" s="11" t="s">
        <v>111</v>
      </c>
      <c r="J81" s="357" t="s">
        <v>2697</v>
      </c>
      <c r="K81" s="353"/>
      <c r="L81" s="221">
        <v>6</v>
      </c>
      <c r="M81" s="221"/>
      <c r="N81" s="222" t="str">
        <f t="shared" si="2"/>
        <v>U 13 Hommes</v>
      </c>
      <c r="O81" s="729">
        <v>6</v>
      </c>
      <c r="P81" s="729"/>
      <c r="Q81" s="730" t="str">
        <f t="shared" si="3"/>
        <v>U 13 Hommes</v>
      </c>
      <c r="R81" s="731"/>
      <c r="S81" s="731"/>
      <c r="T81" s="731"/>
      <c r="U81" s="731" t="s">
        <v>192</v>
      </c>
      <c r="V81" s="731"/>
      <c r="W81" s="731"/>
      <c r="X81" s="731"/>
      <c r="Y81" s="731"/>
      <c r="Z81" s="731"/>
      <c r="AA81" s="731"/>
      <c r="AB81" s="12" t="s">
        <v>3968</v>
      </c>
      <c r="AC81" s="12"/>
      <c r="AD81" s="12"/>
      <c r="AE81" s="155"/>
      <c r="AF81" s="12"/>
      <c r="AG81" s="369"/>
      <c r="AH81" s="370"/>
      <c r="AI81" s="18">
        <v>44587</v>
      </c>
      <c r="AJ81" s="18">
        <v>44584</v>
      </c>
      <c r="AK81" s="13">
        <v>2027</v>
      </c>
      <c r="AL81" s="18">
        <v>42187</v>
      </c>
      <c r="AM81" s="19" t="s">
        <v>3960</v>
      </c>
      <c r="AN81" s="38"/>
      <c r="AO81" s="10" t="s">
        <v>3961</v>
      </c>
      <c r="AP81" s="40" t="s">
        <v>3962</v>
      </c>
      <c r="AQ81" s="10" t="s">
        <v>3963</v>
      </c>
      <c r="AR81" s="47" t="s">
        <v>3964</v>
      </c>
      <c r="AS81" s="62"/>
      <c r="AT81" s="62"/>
      <c r="AU81" s="11"/>
      <c r="AV81" s="10"/>
      <c r="AW81" s="11"/>
      <c r="AX81" s="11"/>
      <c r="AY81" s="11"/>
      <c r="AZ81" s="11"/>
      <c r="BA81" s="11"/>
      <c r="BB81" s="59"/>
      <c r="BC81" s="59"/>
      <c r="BD81" s="59"/>
      <c r="BE81" s="59"/>
      <c r="BF81" s="59"/>
      <c r="BG81" s="59"/>
      <c r="BH81" s="138"/>
      <c r="BI81" s="138"/>
      <c r="BJ81" s="138"/>
      <c r="BK81" s="231"/>
      <c r="BL81" s="231"/>
      <c r="BM81" s="231"/>
      <c r="BN81" s="232"/>
      <c r="BO81" s="19"/>
      <c r="BP81" s="23"/>
      <c r="BQ81" s="23"/>
      <c r="BR81" s="23"/>
      <c r="BS81" s="43"/>
    </row>
    <row r="82" spans="1:72" s="150" customFormat="1" ht="13.5" customHeight="1" x14ac:dyDescent="0.15">
      <c r="A82" s="48" t="s">
        <v>4568</v>
      </c>
      <c r="B82" s="9" t="s">
        <v>1133</v>
      </c>
      <c r="C82" s="9"/>
      <c r="D82" s="9"/>
      <c r="E82" s="9"/>
      <c r="F82" s="112" t="s">
        <v>107</v>
      </c>
      <c r="G82" s="40" t="s">
        <v>4571</v>
      </c>
      <c r="H82" s="52" t="s">
        <v>4572</v>
      </c>
      <c r="I82" s="53" t="s">
        <v>4573</v>
      </c>
      <c r="J82" s="357" t="s">
        <v>2671</v>
      </c>
      <c r="K82" s="353"/>
      <c r="L82" s="221">
        <v>212</v>
      </c>
      <c r="M82" s="221"/>
      <c r="N82" s="222" t="str">
        <f t="shared" si="2"/>
        <v>Contact famille</v>
      </c>
      <c r="O82" s="729">
        <v>212</v>
      </c>
      <c r="P82" s="729"/>
      <c r="Q82" s="730" t="str">
        <f t="shared" si="3"/>
        <v>Contact famille</v>
      </c>
      <c r="R82" s="731"/>
      <c r="S82" s="731"/>
      <c r="T82" s="731"/>
      <c r="U82" s="731" t="s">
        <v>313</v>
      </c>
      <c r="V82" s="731"/>
      <c r="W82" s="731" t="s">
        <v>313</v>
      </c>
      <c r="X82" s="731"/>
      <c r="Y82" s="731"/>
      <c r="Z82" s="731"/>
      <c r="AA82" s="731"/>
      <c r="AB82" s="12"/>
      <c r="AC82" s="12"/>
      <c r="AD82" s="12"/>
      <c r="AE82" s="12"/>
      <c r="AF82" s="12"/>
      <c r="AG82" s="369"/>
      <c r="AH82" s="370"/>
      <c r="AI82" s="18" t="s">
        <v>242</v>
      </c>
      <c r="AJ82" s="18" t="s">
        <v>242</v>
      </c>
      <c r="AK82" s="13" t="s">
        <v>242</v>
      </c>
      <c r="AL82" s="18" t="s">
        <v>242</v>
      </c>
      <c r="AM82" s="19" t="s">
        <v>244</v>
      </c>
      <c r="AN82" s="38"/>
      <c r="AO82" s="10"/>
      <c r="AP82" s="40"/>
      <c r="AQ82" s="20">
        <v>621683434</v>
      </c>
      <c r="AR82" s="47" t="s">
        <v>4577</v>
      </c>
      <c r="AS82" s="62"/>
      <c r="AT82" s="62"/>
      <c r="AU82" s="11"/>
      <c r="AV82" s="10"/>
      <c r="AW82" s="11"/>
      <c r="AX82" s="11"/>
      <c r="AY82" s="11"/>
      <c r="AZ82" s="11"/>
      <c r="BA82" s="11"/>
      <c r="BB82" s="59"/>
      <c r="BC82" s="59"/>
      <c r="BD82" s="59"/>
      <c r="BE82" s="59"/>
      <c r="BF82" s="59"/>
      <c r="BG82" s="59"/>
      <c r="BH82" s="138"/>
      <c r="BI82" s="138"/>
      <c r="BJ82" s="138"/>
      <c r="BK82" s="231"/>
      <c r="BL82" s="231"/>
      <c r="BM82" s="231"/>
      <c r="BN82" s="232"/>
      <c r="BO82" s="19"/>
      <c r="BP82" s="23"/>
      <c r="BQ82" s="23"/>
      <c r="BR82" s="23"/>
      <c r="BS82" s="43"/>
      <c r="BT82"/>
    </row>
    <row r="83" spans="1:72" ht="13.5" customHeight="1" x14ac:dyDescent="0.15">
      <c r="A83" s="48" t="s">
        <v>4568</v>
      </c>
      <c r="B83" s="9" t="s">
        <v>271</v>
      </c>
      <c r="C83" s="9"/>
      <c r="D83" s="9"/>
      <c r="E83" s="9"/>
      <c r="F83" s="112" t="s">
        <v>107</v>
      </c>
      <c r="G83" s="40" t="s">
        <v>4571</v>
      </c>
      <c r="H83" s="52" t="s">
        <v>4572</v>
      </c>
      <c r="I83" s="53" t="s">
        <v>4573</v>
      </c>
      <c r="J83" s="357" t="s">
        <v>2671</v>
      </c>
      <c r="K83" s="353"/>
      <c r="L83" s="221">
        <v>6</v>
      </c>
      <c r="M83" s="221"/>
      <c r="N83" s="222" t="str">
        <f t="shared" si="2"/>
        <v>U 13 Hommes</v>
      </c>
      <c r="O83" s="729">
        <v>6</v>
      </c>
      <c r="P83" s="729"/>
      <c r="Q83" s="730" t="str">
        <f t="shared" si="3"/>
        <v>U 13 Hommes</v>
      </c>
      <c r="R83" s="731"/>
      <c r="S83" s="731"/>
      <c r="T83" s="731"/>
      <c r="U83" s="731" t="s">
        <v>192</v>
      </c>
      <c r="V83" s="731"/>
      <c r="W83" s="731"/>
      <c r="X83" s="731"/>
      <c r="Y83" s="731"/>
      <c r="Z83" s="731"/>
      <c r="AA83" s="731"/>
      <c r="AB83" s="12" t="s">
        <v>5120</v>
      </c>
      <c r="AC83" s="12"/>
      <c r="AD83" s="12"/>
      <c r="AE83" s="12"/>
      <c r="AF83" s="12"/>
      <c r="AG83" s="369"/>
      <c r="AH83" s="370"/>
      <c r="AI83" s="18">
        <v>45776</v>
      </c>
      <c r="AJ83" s="18">
        <v>45684</v>
      </c>
      <c r="AK83" s="13">
        <v>2027</v>
      </c>
      <c r="AL83" s="393">
        <v>42298</v>
      </c>
      <c r="AM83" s="46" t="s">
        <v>5288</v>
      </c>
      <c r="AN83" s="38"/>
      <c r="AO83" s="10"/>
      <c r="AP83" s="40" t="s">
        <v>4575</v>
      </c>
      <c r="AQ83" s="40" t="s">
        <v>4576</v>
      </c>
      <c r="AR83" s="68" t="s">
        <v>5051</v>
      </c>
      <c r="AS83" s="62"/>
      <c r="AT83" s="62"/>
      <c r="AU83" s="11"/>
      <c r="AV83" s="10"/>
      <c r="AW83" s="13"/>
      <c r="AX83" s="11"/>
      <c r="AY83" s="11"/>
      <c r="AZ83" s="11"/>
      <c r="BA83" s="11"/>
      <c r="BB83" s="59"/>
      <c r="BC83" s="59"/>
      <c r="BD83" s="59"/>
      <c r="BE83" s="59"/>
      <c r="BF83" s="59"/>
      <c r="BG83" s="59"/>
      <c r="BH83" s="138"/>
      <c r="BI83" s="138"/>
      <c r="BJ83" s="138"/>
      <c r="BK83" s="231"/>
      <c r="BL83" s="231"/>
      <c r="BM83" s="231"/>
      <c r="BN83" s="232"/>
      <c r="BO83" s="19"/>
      <c r="BP83" s="23"/>
      <c r="BQ83" s="23"/>
      <c r="BR83" s="23"/>
      <c r="BS83" s="43"/>
      <c r="BT83" s="150"/>
    </row>
    <row r="84" spans="1:72" ht="13.5" customHeight="1" x14ac:dyDescent="0.15">
      <c r="A84" s="48" t="s">
        <v>4568</v>
      </c>
      <c r="B84" s="9" t="s">
        <v>753</v>
      </c>
      <c r="C84" s="9"/>
      <c r="D84" s="9"/>
      <c r="E84" s="9"/>
      <c r="F84" s="112" t="s">
        <v>107</v>
      </c>
      <c r="G84" s="40" t="s">
        <v>4571</v>
      </c>
      <c r="H84" s="52" t="s">
        <v>4572</v>
      </c>
      <c r="I84" s="53" t="s">
        <v>4573</v>
      </c>
      <c r="J84" s="357" t="s">
        <v>2671</v>
      </c>
      <c r="K84" s="353"/>
      <c r="L84" s="221">
        <v>8</v>
      </c>
      <c r="M84" s="221"/>
      <c r="N84" s="222" t="str">
        <f t="shared" si="2"/>
        <v xml:space="preserve">U 9 Hommes </v>
      </c>
      <c r="O84" s="729">
        <v>8</v>
      </c>
      <c r="P84" s="729"/>
      <c r="Q84" s="730" t="str">
        <f t="shared" si="3"/>
        <v xml:space="preserve">U 9 Hommes </v>
      </c>
      <c r="R84" s="731"/>
      <c r="S84" s="731"/>
      <c r="T84" s="731"/>
      <c r="U84" s="731"/>
      <c r="V84" s="731"/>
      <c r="W84" s="731" t="s">
        <v>192</v>
      </c>
      <c r="X84" s="731"/>
      <c r="Y84" s="731"/>
      <c r="Z84" s="731"/>
      <c r="AA84" s="731"/>
      <c r="AB84" s="12" t="s">
        <v>4672</v>
      </c>
      <c r="AC84" s="12"/>
      <c r="AD84" s="12"/>
      <c r="AE84" s="12"/>
      <c r="AF84" s="12"/>
      <c r="AG84" s="369"/>
      <c r="AH84" s="370"/>
      <c r="AI84" s="18">
        <v>45278</v>
      </c>
      <c r="AJ84" s="18">
        <v>45213</v>
      </c>
      <c r="AK84" s="615">
        <v>2025</v>
      </c>
      <c r="AL84" s="18">
        <v>43286</v>
      </c>
      <c r="AM84" s="46" t="s">
        <v>4574</v>
      </c>
      <c r="AN84" s="38"/>
      <c r="AO84" s="10"/>
      <c r="AP84" s="40" t="s">
        <v>4575</v>
      </c>
      <c r="AQ84" s="40" t="s">
        <v>4576</v>
      </c>
      <c r="AR84" s="47" t="s">
        <v>4577</v>
      </c>
      <c r="AS84" s="62"/>
      <c r="AT84" s="62"/>
      <c r="AU84" s="11"/>
      <c r="AV84" s="10"/>
      <c r="AW84" s="11"/>
      <c r="AX84" s="11"/>
      <c r="AY84" s="11"/>
      <c r="AZ84" s="11"/>
      <c r="BA84" s="11"/>
      <c r="BB84" s="59"/>
      <c r="BC84" s="59"/>
      <c r="BD84" s="59"/>
      <c r="BE84" s="59"/>
      <c r="BF84" s="59"/>
      <c r="BG84" s="59"/>
      <c r="BH84" s="138"/>
      <c r="BI84" s="138"/>
      <c r="BJ84" s="138"/>
      <c r="BK84" s="231"/>
      <c r="BL84" s="231"/>
      <c r="BM84" s="231"/>
      <c r="BN84" s="232"/>
      <c r="BO84" s="19"/>
      <c r="BP84" s="23"/>
      <c r="BQ84" s="23"/>
      <c r="BR84" s="23"/>
      <c r="BS84" s="43"/>
    </row>
    <row r="85" spans="1:72" ht="13.5" customHeight="1" x14ac:dyDescent="0.15">
      <c r="A85" s="48" t="s">
        <v>1604</v>
      </c>
      <c r="B85" s="9" t="s">
        <v>1605</v>
      </c>
      <c r="C85" s="9"/>
      <c r="D85" s="9"/>
      <c r="E85" s="9"/>
      <c r="F85" s="10" t="s">
        <v>107</v>
      </c>
      <c r="G85" s="10" t="s">
        <v>1606</v>
      </c>
      <c r="H85" s="5" t="s">
        <v>1129</v>
      </c>
      <c r="I85" s="11" t="s">
        <v>274</v>
      </c>
      <c r="J85" s="357" t="s">
        <v>1607</v>
      </c>
      <c r="K85" s="353"/>
      <c r="L85" s="221">
        <v>212</v>
      </c>
      <c r="M85" s="221"/>
      <c r="N85" s="222" t="str">
        <f t="shared" si="2"/>
        <v>Contact famille</v>
      </c>
      <c r="O85" s="729">
        <v>212</v>
      </c>
      <c r="P85" s="729"/>
      <c r="Q85" s="730" t="str">
        <f t="shared" si="3"/>
        <v>Contact famille</v>
      </c>
      <c r="R85" s="731"/>
      <c r="S85" s="731"/>
      <c r="T85" s="731" t="s">
        <v>313</v>
      </c>
      <c r="U85" s="731" t="s">
        <v>313</v>
      </c>
      <c r="V85" s="731"/>
      <c r="W85" s="731"/>
      <c r="X85" s="731"/>
      <c r="Y85" s="731"/>
      <c r="Z85" s="731"/>
      <c r="AA85" s="731"/>
      <c r="AB85" s="12"/>
      <c r="AC85" s="217" t="s">
        <v>2805</v>
      </c>
      <c r="AD85" s="217" t="s">
        <v>2805</v>
      </c>
      <c r="AE85" s="12"/>
      <c r="AF85" s="12"/>
      <c r="AG85" s="386" t="s">
        <v>5173</v>
      </c>
      <c r="AH85" s="370"/>
      <c r="AI85" s="18" t="s">
        <v>242</v>
      </c>
      <c r="AJ85" s="18" t="s">
        <v>242</v>
      </c>
      <c r="AK85" s="13" t="s">
        <v>242</v>
      </c>
      <c r="AL85" s="13" t="s">
        <v>242</v>
      </c>
      <c r="AM85" s="225"/>
      <c r="AN85" s="19"/>
      <c r="AO85" s="10"/>
      <c r="AP85" s="40"/>
      <c r="AQ85" s="10" t="s">
        <v>1609</v>
      </c>
      <c r="AR85" s="21" t="s">
        <v>1610</v>
      </c>
      <c r="AS85" s="62"/>
      <c r="AT85" s="62"/>
      <c r="AU85" s="11"/>
      <c r="AV85" s="10"/>
      <c r="AW85" s="11"/>
      <c r="AX85" s="11"/>
      <c r="AY85" s="11"/>
      <c r="AZ85" s="11" t="s">
        <v>420</v>
      </c>
      <c r="BA85" s="11"/>
      <c r="BB85" s="59" t="s">
        <v>2813</v>
      </c>
      <c r="BC85" s="59" t="s">
        <v>3151</v>
      </c>
      <c r="BD85" s="59"/>
      <c r="BE85" s="59" t="s">
        <v>419</v>
      </c>
      <c r="BF85" s="59"/>
      <c r="BG85" s="59"/>
      <c r="BH85" s="138"/>
      <c r="BI85" s="138"/>
      <c r="BJ85" s="138"/>
      <c r="BK85" s="231"/>
      <c r="BL85" s="231"/>
      <c r="BM85" s="231"/>
      <c r="BN85" s="232"/>
      <c r="BO85" s="19"/>
      <c r="BP85" s="23"/>
      <c r="BQ85" s="23"/>
      <c r="BR85" s="23"/>
      <c r="BS85" s="43"/>
    </row>
    <row r="86" spans="1:72" ht="13.5" customHeight="1" x14ac:dyDescent="0.15">
      <c r="A86" s="48" t="s">
        <v>4296</v>
      </c>
      <c r="B86" s="9" t="s">
        <v>854</v>
      </c>
      <c r="C86" s="9"/>
      <c r="D86" s="9"/>
      <c r="E86" s="9"/>
      <c r="F86" s="112" t="s">
        <v>107</v>
      </c>
      <c r="G86" s="10" t="s">
        <v>4302</v>
      </c>
      <c r="H86" s="5" t="s">
        <v>4303</v>
      </c>
      <c r="I86" s="11" t="s">
        <v>800</v>
      </c>
      <c r="J86" s="357" t="s">
        <v>1144</v>
      </c>
      <c r="K86" s="353"/>
      <c r="L86" s="221">
        <v>212</v>
      </c>
      <c r="M86" s="221"/>
      <c r="N86" s="222" t="str">
        <f t="shared" si="2"/>
        <v>Contact famille</v>
      </c>
      <c r="O86" s="729">
        <v>212</v>
      </c>
      <c r="P86" s="729"/>
      <c r="Q86" s="730" t="str">
        <f t="shared" si="3"/>
        <v>Contact famille</v>
      </c>
      <c r="R86" s="731"/>
      <c r="S86" s="731"/>
      <c r="T86" s="731"/>
      <c r="U86" s="731"/>
      <c r="V86" s="731"/>
      <c r="W86" s="731"/>
      <c r="X86" s="731"/>
      <c r="Y86" s="731"/>
      <c r="Z86" s="731"/>
      <c r="AA86" s="731"/>
      <c r="AB86" s="12"/>
      <c r="AC86" s="12"/>
      <c r="AD86" s="12"/>
      <c r="AE86" s="12"/>
      <c r="AF86" s="12"/>
      <c r="AG86" s="369"/>
      <c r="AH86" s="370"/>
      <c r="AI86" s="18" t="s">
        <v>242</v>
      </c>
      <c r="AJ86" s="18" t="s">
        <v>242</v>
      </c>
      <c r="AK86" s="13" t="s">
        <v>242</v>
      </c>
      <c r="AL86" s="13" t="s">
        <v>242</v>
      </c>
      <c r="AM86" s="46" t="s">
        <v>244</v>
      </c>
      <c r="AN86" s="38"/>
      <c r="AO86" s="10"/>
      <c r="AP86" s="40"/>
      <c r="AQ86" s="20">
        <v>691434545</v>
      </c>
      <c r="AR86" s="47" t="s">
        <v>4306</v>
      </c>
      <c r="AS86" s="62"/>
      <c r="AT86" s="62"/>
      <c r="AU86" s="11"/>
      <c r="AV86" s="10"/>
      <c r="AW86" s="11"/>
      <c r="AX86" s="11"/>
      <c r="AY86" s="11"/>
      <c r="AZ86" s="11"/>
      <c r="BA86" s="11"/>
      <c r="BB86" s="59"/>
      <c r="BC86" s="59"/>
      <c r="BD86" s="59"/>
      <c r="BE86" s="59"/>
      <c r="BF86" s="59"/>
      <c r="BG86" s="59"/>
      <c r="BH86" s="138"/>
      <c r="BI86" s="138"/>
      <c r="BJ86" s="138"/>
      <c r="BK86" s="231"/>
      <c r="BL86" s="231"/>
      <c r="BM86" s="231"/>
      <c r="BN86" s="232"/>
      <c r="BO86" s="19"/>
      <c r="BP86" s="23"/>
      <c r="BQ86" s="23"/>
      <c r="BR86" s="23"/>
      <c r="BS86" s="43"/>
    </row>
    <row r="87" spans="1:72" ht="13.5" customHeight="1" x14ac:dyDescent="0.15">
      <c r="A87" s="48" t="s">
        <v>4296</v>
      </c>
      <c r="B87" s="9" t="s">
        <v>4298</v>
      </c>
      <c r="C87" s="9"/>
      <c r="D87" s="9"/>
      <c r="E87" s="9"/>
      <c r="F87" s="112" t="s">
        <v>4299</v>
      </c>
      <c r="G87" s="10" t="s">
        <v>4300</v>
      </c>
      <c r="H87" s="5" t="s">
        <v>4301</v>
      </c>
      <c r="I87" s="11" t="s">
        <v>2347</v>
      </c>
      <c r="J87" s="357" t="s">
        <v>1144</v>
      </c>
      <c r="K87" s="353"/>
      <c r="L87" s="221">
        <v>3</v>
      </c>
      <c r="M87" s="221"/>
      <c r="N87" s="222" t="str">
        <f t="shared" si="2"/>
        <v>U 21 Hommes</v>
      </c>
      <c r="O87" s="729">
        <v>3</v>
      </c>
      <c r="P87" s="729"/>
      <c r="Q87" s="730" t="str">
        <f t="shared" si="3"/>
        <v>U 21 Hommes</v>
      </c>
      <c r="R87" s="731"/>
      <c r="S87" s="731"/>
      <c r="T87" s="731"/>
      <c r="U87" s="731"/>
      <c r="V87" s="731"/>
      <c r="W87" s="731"/>
      <c r="X87" s="731"/>
      <c r="Y87" s="731"/>
      <c r="Z87" s="731"/>
      <c r="AA87" s="731"/>
      <c r="AB87" s="12" t="s">
        <v>4321</v>
      </c>
      <c r="AC87" s="12"/>
      <c r="AD87" s="12"/>
      <c r="AE87" s="12"/>
      <c r="AF87" s="12"/>
      <c r="AG87" s="369"/>
      <c r="AH87" s="370"/>
      <c r="AI87" s="18">
        <v>44984</v>
      </c>
      <c r="AJ87" s="18">
        <v>44965</v>
      </c>
      <c r="AK87" s="36">
        <v>2024</v>
      </c>
      <c r="AL87" s="18">
        <v>39914</v>
      </c>
      <c r="AM87" s="19" t="s">
        <v>4304</v>
      </c>
      <c r="AN87" s="38"/>
      <c r="AO87" s="10"/>
      <c r="AP87" s="40"/>
      <c r="AQ87" s="20">
        <v>661600600</v>
      </c>
      <c r="AR87" s="47" t="s">
        <v>4305</v>
      </c>
      <c r="AS87" s="62"/>
      <c r="AT87" s="62"/>
      <c r="AU87" s="11"/>
      <c r="AV87" s="10"/>
      <c r="AW87" s="11"/>
      <c r="AX87" s="11"/>
      <c r="AY87" s="11"/>
      <c r="AZ87" s="11"/>
      <c r="BA87" s="11"/>
      <c r="BB87" s="59"/>
      <c r="BC87" s="59"/>
      <c r="BD87" s="59"/>
      <c r="BE87" s="59"/>
      <c r="BF87" s="59"/>
      <c r="BG87" s="59"/>
      <c r="BH87" s="138"/>
      <c r="BI87" s="138"/>
      <c r="BJ87" s="138"/>
      <c r="BK87" s="231"/>
      <c r="BL87" s="231"/>
      <c r="BM87" s="231"/>
      <c r="BN87" s="232"/>
      <c r="BO87" s="19"/>
      <c r="BP87" s="23"/>
      <c r="BQ87" s="23"/>
      <c r="BR87" s="23"/>
      <c r="BS87" s="43"/>
      <c r="BT87" s="150"/>
    </row>
    <row r="88" spans="1:72" ht="13.5" customHeight="1" x14ac:dyDescent="0.15">
      <c r="A88" s="48" t="s">
        <v>1731</v>
      </c>
      <c r="B88" s="9" t="s">
        <v>2398</v>
      </c>
      <c r="C88" s="9"/>
      <c r="D88" s="9"/>
      <c r="E88" s="9"/>
      <c r="F88" s="10" t="s">
        <v>107</v>
      </c>
      <c r="G88" s="10" t="s">
        <v>3670</v>
      </c>
      <c r="H88" s="5" t="s">
        <v>3673</v>
      </c>
      <c r="I88" s="11" t="s">
        <v>3672</v>
      </c>
      <c r="J88" s="357" t="s">
        <v>1715</v>
      </c>
      <c r="K88" s="353"/>
      <c r="L88" s="221">
        <v>212</v>
      </c>
      <c r="M88" s="221"/>
      <c r="N88" s="222" t="str">
        <f t="shared" si="2"/>
        <v>Contact famille</v>
      </c>
      <c r="O88" s="729">
        <v>212</v>
      </c>
      <c r="P88" s="729"/>
      <c r="Q88" s="730" t="str">
        <f t="shared" si="3"/>
        <v>Contact famille</v>
      </c>
      <c r="R88" s="731"/>
      <c r="S88" s="731"/>
      <c r="T88" s="731"/>
      <c r="U88" s="731"/>
      <c r="V88" s="731" t="s">
        <v>313</v>
      </c>
      <c r="W88" s="731"/>
      <c r="X88" s="731"/>
      <c r="Y88" s="731"/>
      <c r="Z88" s="731"/>
      <c r="AA88" s="731"/>
      <c r="AB88" s="12"/>
      <c r="AC88" s="12"/>
      <c r="AD88" s="12"/>
      <c r="AE88" s="12"/>
      <c r="AF88" s="12"/>
      <c r="AG88" s="369"/>
      <c r="AH88" s="370"/>
      <c r="AI88" s="45" t="s">
        <v>242</v>
      </c>
      <c r="AJ88" s="45" t="s">
        <v>242</v>
      </c>
      <c r="AK88" s="13" t="s">
        <v>242</v>
      </c>
      <c r="AL88" s="18" t="s">
        <v>242</v>
      </c>
      <c r="AM88" s="19" t="s">
        <v>244</v>
      </c>
      <c r="AN88" s="38"/>
      <c r="AO88" s="10"/>
      <c r="AP88" s="40"/>
      <c r="AQ88" s="10" t="s">
        <v>3666</v>
      </c>
      <c r="AR88" s="47" t="s">
        <v>3669</v>
      </c>
      <c r="AS88" s="62"/>
      <c r="AT88" s="62"/>
      <c r="AU88" s="11"/>
      <c r="AV88" s="10"/>
      <c r="AW88" s="11"/>
      <c r="AX88" s="11"/>
      <c r="AY88" s="11"/>
      <c r="AZ88" s="11"/>
      <c r="BA88" s="11"/>
      <c r="BB88" s="59"/>
      <c r="BC88" s="59"/>
      <c r="BD88" s="59"/>
      <c r="BE88" s="59"/>
      <c r="BF88" s="59"/>
      <c r="BG88" s="59"/>
      <c r="BH88" s="138"/>
      <c r="BI88" s="138"/>
      <c r="BJ88" s="138"/>
      <c r="BK88" s="231"/>
      <c r="BL88" s="231"/>
      <c r="BM88" s="231"/>
      <c r="BN88" s="232"/>
      <c r="BO88" s="19"/>
      <c r="BP88" s="23"/>
      <c r="BQ88" s="23"/>
      <c r="BR88" s="23"/>
      <c r="BS88" s="43"/>
      <c r="BT88" s="150"/>
    </row>
    <row r="89" spans="1:72" s="150" customFormat="1" ht="13.5" customHeight="1" x14ac:dyDescent="0.15">
      <c r="A89" s="48" t="s">
        <v>1731</v>
      </c>
      <c r="B89" s="9" t="s">
        <v>1247</v>
      </c>
      <c r="C89" s="9"/>
      <c r="D89" s="9"/>
      <c r="E89" s="9"/>
      <c r="F89" s="10" t="s">
        <v>107</v>
      </c>
      <c r="G89" s="10" t="s">
        <v>3670</v>
      </c>
      <c r="H89" s="5" t="s">
        <v>3671</v>
      </c>
      <c r="I89" s="11" t="s">
        <v>3672</v>
      </c>
      <c r="J89" s="357" t="s">
        <v>1715</v>
      </c>
      <c r="K89" s="353"/>
      <c r="L89" s="221">
        <v>7</v>
      </c>
      <c r="M89" s="221"/>
      <c r="N89" s="222" t="str">
        <f t="shared" si="2"/>
        <v>U 11 Hommes</v>
      </c>
      <c r="O89" s="729">
        <v>7</v>
      </c>
      <c r="P89" s="729"/>
      <c r="Q89" s="730" t="str">
        <f t="shared" si="3"/>
        <v>U 11 Hommes</v>
      </c>
      <c r="R89" s="731"/>
      <c r="S89" s="731"/>
      <c r="T89" s="731"/>
      <c r="U89" s="731"/>
      <c r="V89" s="731" t="s">
        <v>192</v>
      </c>
      <c r="W89" s="731"/>
      <c r="X89" s="731"/>
      <c r="Y89" s="731"/>
      <c r="Z89" s="731"/>
      <c r="AA89" s="731"/>
      <c r="AB89" s="12" t="s">
        <v>3713</v>
      </c>
      <c r="AC89" s="12"/>
      <c r="AD89" s="12"/>
      <c r="AE89" s="12"/>
      <c r="AF89" s="12"/>
      <c r="AG89" s="369"/>
      <c r="AH89" s="370"/>
      <c r="AI89" s="18">
        <v>44344</v>
      </c>
      <c r="AJ89" s="18">
        <v>44275</v>
      </c>
      <c r="AK89" s="36">
        <v>2024</v>
      </c>
      <c r="AL89" s="18">
        <v>42792</v>
      </c>
      <c r="AM89" s="19" t="s">
        <v>3664</v>
      </c>
      <c r="AN89" s="38"/>
      <c r="AO89" s="10"/>
      <c r="AP89" s="40" t="s">
        <v>3665</v>
      </c>
      <c r="AQ89" s="10" t="s">
        <v>3668</v>
      </c>
      <c r="AR89" s="47" t="s">
        <v>3669</v>
      </c>
      <c r="AS89" s="62"/>
      <c r="AT89" s="62"/>
      <c r="AU89" s="11"/>
      <c r="AV89" s="10"/>
      <c r="AW89" s="11"/>
      <c r="AX89" s="11"/>
      <c r="AY89" s="11"/>
      <c r="AZ89" s="11"/>
      <c r="BA89" s="11"/>
      <c r="BB89" s="59"/>
      <c r="BC89" s="59"/>
      <c r="BD89" s="59"/>
      <c r="BE89" s="59"/>
      <c r="BF89" s="59"/>
      <c r="BG89" s="59"/>
      <c r="BH89" s="138"/>
      <c r="BI89" s="138"/>
      <c r="BJ89" s="138"/>
      <c r="BK89" s="231"/>
      <c r="BL89" s="231"/>
      <c r="BM89" s="231"/>
      <c r="BN89" s="232"/>
      <c r="BO89" s="19"/>
      <c r="BP89" s="23"/>
      <c r="BQ89" s="23"/>
      <c r="BR89" s="23"/>
      <c r="BS89" s="43"/>
    </row>
    <row r="90" spans="1:72" ht="13.5" customHeight="1" x14ac:dyDescent="0.15">
      <c r="A90" s="49" t="s">
        <v>741</v>
      </c>
      <c r="B90" s="9" t="s">
        <v>742</v>
      </c>
      <c r="C90" s="9"/>
      <c r="D90" s="9"/>
      <c r="E90" s="9"/>
      <c r="F90" s="10" t="s">
        <v>107</v>
      </c>
      <c r="G90" s="10" t="s">
        <v>743</v>
      </c>
      <c r="H90" s="5" t="s">
        <v>273</v>
      </c>
      <c r="I90" s="11" t="s">
        <v>274</v>
      </c>
      <c r="J90" s="357" t="s">
        <v>320</v>
      </c>
      <c r="K90" s="353"/>
      <c r="L90" s="221">
        <v>150</v>
      </c>
      <c r="M90" s="221"/>
      <c r="N90" s="814" t="str">
        <f t="shared" si="2"/>
        <v>comité</v>
      </c>
      <c r="O90" s="729">
        <v>1</v>
      </c>
      <c r="P90" s="729"/>
      <c r="Q90" s="730" t="str">
        <f t="shared" si="3"/>
        <v>Officiel H</v>
      </c>
      <c r="R90" s="731"/>
      <c r="S90" s="731"/>
      <c r="T90" s="731"/>
      <c r="U90" s="731"/>
      <c r="V90" s="731"/>
      <c r="W90" s="731"/>
      <c r="X90" s="731"/>
      <c r="Y90" s="731"/>
      <c r="Z90" s="731"/>
      <c r="AA90" s="731"/>
      <c r="AB90" s="12"/>
      <c r="AC90" s="12" t="s">
        <v>3093</v>
      </c>
      <c r="AD90" s="12" t="s">
        <v>3093</v>
      </c>
      <c r="AE90" s="12"/>
      <c r="AF90" s="12"/>
      <c r="AG90" s="376"/>
      <c r="AH90" s="370"/>
      <c r="AI90" s="18">
        <v>37172</v>
      </c>
      <c r="AJ90" s="18">
        <v>37172</v>
      </c>
      <c r="AK90" s="14" t="s">
        <v>210</v>
      </c>
      <c r="AL90" s="18">
        <v>22077</v>
      </c>
      <c r="AM90" s="19" t="s">
        <v>2749</v>
      </c>
      <c r="AN90" s="38" t="s">
        <v>2757</v>
      </c>
      <c r="AO90" s="10" t="s">
        <v>1748</v>
      </c>
      <c r="AP90" s="40" t="s">
        <v>1749</v>
      </c>
      <c r="AQ90" s="27" t="s">
        <v>1750</v>
      </c>
      <c r="AR90" s="54" t="s">
        <v>5146</v>
      </c>
      <c r="AS90" s="61"/>
      <c r="AT90" s="61"/>
      <c r="AU90" s="10"/>
      <c r="AV90" s="811" t="s">
        <v>2750</v>
      </c>
      <c r="AW90" s="5"/>
      <c r="AX90" s="53" t="s">
        <v>5003</v>
      </c>
      <c r="AY90" s="53" t="s">
        <v>4998</v>
      </c>
      <c r="AZ90" s="11" t="s">
        <v>2811</v>
      </c>
      <c r="BA90" s="11"/>
      <c r="BB90" s="59" t="s">
        <v>2813</v>
      </c>
      <c r="BC90" s="59" t="s">
        <v>292</v>
      </c>
      <c r="BD90" s="59" t="s">
        <v>1168</v>
      </c>
      <c r="BE90" s="59">
        <v>50</v>
      </c>
      <c r="BF90" s="59"/>
      <c r="BG90" s="59"/>
      <c r="BH90" s="138"/>
      <c r="BI90" s="138"/>
      <c r="BJ90" s="138"/>
      <c r="BK90" s="231"/>
      <c r="BL90" s="231"/>
      <c r="BM90" s="231"/>
      <c r="BN90" s="232"/>
      <c r="BO90" s="19"/>
      <c r="BP90" s="23" t="s">
        <v>1751</v>
      </c>
      <c r="BQ90" s="23"/>
      <c r="BR90" s="23"/>
      <c r="BS90" s="43"/>
    </row>
    <row r="91" spans="1:72" ht="13.5" customHeight="1" x14ac:dyDescent="0.15">
      <c r="A91" s="48" t="s">
        <v>4229</v>
      </c>
      <c r="B91" s="9" t="s">
        <v>4231</v>
      </c>
      <c r="C91" s="9"/>
      <c r="D91" s="9"/>
      <c r="E91" s="9"/>
      <c r="F91" s="10" t="s">
        <v>4234</v>
      </c>
      <c r="G91" s="10" t="s">
        <v>4236</v>
      </c>
      <c r="H91" s="5" t="s">
        <v>1095</v>
      </c>
      <c r="I91" s="11" t="s">
        <v>241</v>
      </c>
      <c r="J91" s="357" t="s">
        <v>747</v>
      </c>
      <c r="K91" s="353"/>
      <c r="L91" s="221">
        <v>212</v>
      </c>
      <c r="M91" s="221"/>
      <c r="N91" s="222" t="str">
        <f t="shared" si="2"/>
        <v>Contact famille</v>
      </c>
      <c r="O91" s="729">
        <v>212</v>
      </c>
      <c r="P91" s="729"/>
      <c r="Q91" s="730" t="str">
        <f t="shared" si="3"/>
        <v>Contact famille</v>
      </c>
      <c r="R91" s="731"/>
      <c r="S91" s="731"/>
      <c r="T91" s="731"/>
      <c r="U91" s="731" t="s">
        <v>313</v>
      </c>
      <c r="V91" s="731"/>
      <c r="W91" s="731"/>
      <c r="X91" s="731"/>
      <c r="Y91" s="731"/>
      <c r="Z91" s="731"/>
      <c r="AA91" s="731"/>
      <c r="AB91" s="12"/>
      <c r="AC91" s="12"/>
      <c r="AD91" s="12"/>
      <c r="AE91" s="12"/>
      <c r="AF91" s="12"/>
      <c r="AG91" s="369"/>
      <c r="AH91" s="370"/>
      <c r="AI91" s="18" t="s">
        <v>242</v>
      </c>
      <c r="AJ91" s="18" t="s">
        <v>242</v>
      </c>
      <c r="AK91" s="13" t="s">
        <v>242</v>
      </c>
      <c r="AL91" s="13" t="s">
        <v>242</v>
      </c>
      <c r="AM91" s="46" t="s">
        <v>4238</v>
      </c>
      <c r="AN91" s="38"/>
      <c r="AO91" s="10"/>
      <c r="AP91" s="40"/>
      <c r="AQ91" s="20">
        <v>661664066</v>
      </c>
      <c r="AR91" s="47" t="s">
        <v>4243</v>
      </c>
      <c r="AS91" s="62"/>
      <c r="AT91" s="62"/>
      <c r="AU91" s="11"/>
      <c r="AV91" s="10"/>
      <c r="AW91" s="11"/>
      <c r="AX91" s="11"/>
      <c r="AY91" s="11"/>
      <c r="AZ91" s="11"/>
      <c r="BA91" s="11"/>
      <c r="BB91" s="59"/>
      <c r="BC91" s="59"/>
      <c r="BD91" s="59"/>
      <c r="BE91" s="59"/>
      <c r="BF91" s="59"/>
      <c r="BG91" s="59"/>
      <c r="BH91" s="138"/>
      <c r="BI91" s="138"/>
      <c r="BJ91" s="138"/>
      <c r="BK91" s="231"/>
      <c r="BL91" s="231"/>
      <c r="BM91" s="231"/>
      <c r="BN91" s="232"/>
      <c r="BO91" s="19"/>
      <c r="BP91" s="23"/>
      <c r="BQ91" s="23"/>
      <c r="BR91" s="23"/>
      <c r="BS91" s="43"/>
    </row>
    <row r="92" spans="1:72" s="150" customFormat="1" ht="13.5" customHeight="1" x14ac:dyDescent="0.15">
      <c r="A92" s="48" t="s">
        <v>4229</v>
      </c>
      <c r="B92" s="9" t="s">
        <v>4230</v>
      </c>
      <c r="C92" s="9"/>
      <c r="D92" s="9"/>
      <c r="E92" s="9"/>
      <c r="F92" s="10" t="s">
        <v>4234</v>
      </c>
      <c r="G92" s="10" t="s">
        <v>4235</v>
      </c>
      <c r="H92" s="5" t="s">
        <v>273</v>
      </c>
      <c r="I92" s="11" t="s">
        <v>274</v>
      </c>
      <c r="J92" s="357" t="s">
        <v>747</v>
      </c>
      <c r="K92" s="353"/>
      <c r="L92" s="221">
        <v>6</v>
      </c>
      <c r="M92" s="221"/>
      <c r="N92" s="222" t="str">
        <f t="shared" si="2"/>
        <v>U 13 Hommes</v>
      </c>
      <c r="O92" s="729">
        <v>6</v>
      </c>
      <c r="P92" s="729"/>
      <c r="Q92" s="730" t="str">
        <f t="shared" si="3"/>
        <v>U 13 Hommes</v>
      </c>
      <c r="R92" s="731"/>
      <c r="S92" s="731"/>
      <c r="T92" s="731"/>
      <c r="U92" s="731" t="s">
        <v>192</v>
      </c>
      <c r="V92" s="731"/>
      <c r="W92" s="731"/>
      <c r="X92" s="731"/>
      <c r="Y92" s="731"/>
      <c r="Z92" s="731"/>
      <c r="AA92" s="731"/>
      <c r="AB92" s="12" t="s">
        <v>4256</v>
      </c>
      <c r="AC92" s="12"/>
      <c r="AD92" s="12"/>
      <c r="AE92" s="12"/>
      <c r="AF92" s="12"/>
      <c r="AG92" s="369"/>
      <c r="AH92" s="370"/>
      <c r="AI92" s="18">
        <v>44939</v>
      </c>
      <c r="AJ92" s="18">
        <v>44936</v>
      </c>
      <c r="AK92" s="13">
        <v>2026</v>
      </c>
      <c r="AL92" s="18">
        <v>41826</v>
      </c>
      <c r="AM92" s="19" t="s">
        <v>4237</v>
      </c>
      <c r="AN92" s="38"/>
      <c r="AO92" s="10"/>
      <c r="AP92" s="40" t="s">
        <v>4240</v>
      </c>
      <c r="AQ92" s="10" t="s">
        <v>4241</v>
      </c>
      <c r="AR92" s="47" t="s">
        <v>4242</v>
      </c>
      <c r="AS92" s="62"/>
      <c r="AT92" s="62"/>
      <c r="AU92" s="11"/>
      <c r="AV92" s="10"/>
      <c r="AW92" s="11"/>
      <c r="AX92" s="11"/>
      <c r="AY92" s="11"/>
      <c r="AZ92" s="11"/>
      <c r="BA92" s="11"/>
      <c r="BB92" s="59"/>
      <c r="BC92" s="59"/>
      <c r="BD92" s="59"/>
      <c r="BE92" s="59"/>
      <c r="BF92" s="59"/>
      <c r="BG92" s="59"/>
      <c r="BH92" s="138"/>
      <c r="BI92" s="138"/>
      <c r="BJ92" s="138"/>
      <c r="BK92" s="231"/>
      <c r="BL92" s="231"/>
      <c r="BM92" s="231"/>
      <c r="BN92" s="232"/>
      <c r="BO92" s="19"/>
      <c r="BP92" s="23"/>
      <c r="BQ92" s="23"/>
      <c r="BR92" s="23"/>
      <c r="BS92" s="43"/>
      <c r="BT92"/>
    </row>
    <row r="93" spans="1:72" ht="12.75" customHeight="1" x14ac:dyDescent="0.15">
      <c r="A93" s="48" t="s">
        <v>748</v>
      </c>
      <c r="B93" s="9" t="s">
        <v>749</v>
      </c>
      <c r="C93" s="9"/>
      <c r="D93" s="9"/>
      <c r="E93" s="9"/>
      <c r="F93" s="10" t="s">
        <v>107</v>
      </c>
      <c r="G93" s="10" t="s">
        <v>4013</v>
      </c>
      <c r="H93" s="5" t="s">
        <v>4014</v>
      </c>
      <c r="I93" s="11" t="s">
        <v>360</v>
      </c>
      <c r="J93" s="357" t="s">
        <v>751</v>
      </c>
      <c r="K93" s="353"/>
      <c r="L93" s="221">
        <v>11</v>
      </c>
      <c r="M93" s="221"/>
      <c r="N93" s="222" t="str">
        <f t="shared" si="2"/>
        <v>Officiel D</v>
      </c>
      <c r="O93" s="729">
        <v>11</v>
      </c>
      <c r="P93" s="729"/>
      <c r="Q93" s="730" t="str">
        <f t="shared" si="3"/>
        <v>Officiel D</v>
      </c>
      <c r="R93" s="731"/>
      <c r="S93" s="731"/>
      <c r="T93" s="731"/>
      <c r="U93" s="731"/>
      <c r="V93" s="731"/>
      <c r="W93" s="731"/>
      <c r="X93" s="731"/>
      <c r="Y93" s="731"/>
      <c r="Z93" s="731"/>
      <c r="AA93" s="731"/>
      <c r="AB93" s="12"/>
      <c r="AC93" s="12" t="s">
        <v>3094</v>
      </c>
      <c r="AD93" s="12"/>
      <c r="AE93" s="12"/>
      <c r="AF93" s="12"/>
      <c r="AG93" s="369"/>
      <c r="AH93" s="370"/>
      <c r="AI93" s="18">
        <v>41456</v>
      </c>
      <c r="AJ93" s="18">
        <v>41456</v>
      </c>
      <c r="AK93" s="14" t="s">
        <v>210</v>
      </c>
      <c r="AL93" s="18">
        <v>19084</v>
      </c>
      <c r="AM93" s="19" t="s">
        <v>244</v>
      </c>
      <c r="AN93" s="19"/>
      <c r="AO93" s="10"/>
      <c r="AP93" s="40"/>
      <c r="AQ93" s="27"/>
      <c r="AR93" s="32" t="s">
        <v>1754</v>
      </c>
      <c r="AS93" s="61"/>
      <c r="AT93" s="61"/>
      <c r="AU93" s="5"/>
      <c r="AV93" s="10"/>
      <c r="AW93" s="13" t="s">
        <v>3969</v>
      </c>
      <c r="AX93" s="11"/>
      <c r="AY93" s="11"/>
      <c r="AZ93" s="11" t="s">
        <v>420</v>
      </c>
      <c r="BA93" s="11"/>
      <c r="BB93" s="59" t="s">
        <v>315</v>
      </c>
      <c r="BC93" s="59" t="s">
        <v>292</v>
      </c>
      <c r="BD93" s="59" t="s">
        <v>421</v>
      </c>
      <c r="BE93" s="59" t="s">
        <v>419</v>
      </c>
      <c r="BF93" s="59"/>
      <c r="BG93" s="59"/>
      <c r="BH93" s="138"/>
      <c r="BI93" s="138"/>
      <c r="BJ93" s="138"/>
      <c r="BK93" s="231"/>
      <c r="BL93" s="231"/>
      <c r="BM93" s="231"/>
      <c r="BN93" s="232"/>
      <c r="BO93" s="19"/>
      <c r="BP93" s="23" t="s">
        <v>372</v>
      </c>
      <c r="BQ93" s="23"/>
      <c r="BR93" s="23"/>
      <c r="BS93" s="43"/>
    </row>
    <row r="94" spans="1:72" s="150" customFormat="1" ht="12.75" customHeight="1" x14ac:dyDescent="0.15">
      <c r="A94" s="48" t="s">
        <v>4814</v>
      </c>
      <c r="B94" s="9" t="s">
        <v>1113</v>
      </c>
      <c r="C94" s="9"/>
      <c r="D94" s="9"/>
      <c r="E94" s="9"/>
      <c r="F94" s="112" t="s">
        <v>107</v>
      </c>
      <c r="G94" s="10" t="s">
        <v>4816</v>
      </c>
      <c r="H94" s="5" t="s">
        <v>1666</v>
      </c>
      <c r="I94" s="11" t="s">
        <v>274</v>
      </c>
      <c r="J94" s="357" t="s">
        <v>1580</v>
      </c>
      <c r="K94" s="353"/>
      <c r="L94" s="221">
        <v>212</v>
      </c>
      <c r="M94" s="221"/>
      <c r="N94" s="222" t="str">
        <f t="shared" si="2"/>
        <v>Contact famille</v>
      </c>
      <c r="O94" s="729">
        <v>212</v>
      </c>
      <c r="P94" s="729"/>
      <c r="Q94" s="730" t="str">
        <f t="shared" si="3"/>
        <v>Contact famille</v>
      </c>
      <c r="R94" s="731"/>
      <c r="S94" s="731"/>
      <c r="T94" s="731" t="s">
        <v>313</v>
      </c>
      <c r="U94" s="731"/>
      <c r="V94" s="731" t="s">
        <v>313</v>
      </c>
      <c r="W94" s="731"/>
      <c r="X94" s="731"/>
      <c r="Y94" s="731"/>
      <c r="Z94" s="731"/>
      <c r="AA94" s="731"/>
      <c r="AB94" s="12"/>
      <c r="AC94" s="12"/>
      <c r="AD94" s="12"/>
      <c r="AE94" s="12"/>
      <c r="AF94" s="12"/>
      <c r="AG94" s="369"/>
      <c r="AH94" s="370"/>
      <c r="AI94" s="18" t="s">
        <v>242</v>
      </c>
      <c r="AJ94" s="18" t="s">
        <v>242</v>
      </c>
      <c r="AK94" s="13" t="s">
        <v>242</v>
      </c>
      <c r="AL94" s="18" t="s">
        <v>242</v>
      </c>
      <c r="AM94" s="19" t="s">
        <v>244</v>
      </c>
      <c r="AN94" s="38"/>
      <c r="AO94" s="10"/>
      <c r="AP94" s="40"/>
      <c r="AQ94" s="20">
        <v>661723316</v>
      </c>
      <c r="AR94" s="21" t="s">
        <v>4820</v>
      </c>
      <c r="AS94" s="62"/>
      <c r="AT94" s="62"/>
      <c r="AU94" s="11"/>
      <c r="AV94" s="10"/>
      <c r="AW94" s="11"/>
      <c r="AX94" s="11"/>
      <c r="AY94" s="11"/>
      <c r="AZ94" s="11"/>
      <c r="BA94" s="11"/>
      <c r="BB94" s="59"/>
      <c r="BC94" s="59"/>
      <c r="BD94" s="59"/>
      <c r="BE94" s="59"/>
      <c r="BF94" s="59"/>
      <c r="BG94" s="59"/>
      <c r="BH94" s="138"/>
      <c r="BI94" s="138"/>
      <c r="BJ94" s="138"/>
      <c r="BK94" s="231"/>
      <c r="BL94" s="231"/>
      <c r="BM94" s="231"/>
      <c r="BN94" s="232"/>
      <c r="BO94" s="19"/>
      <c r="BP94" s="23"/>
      <c r="BQ94" s="23"/>
      <c r="BR94" s="23"/>
      <c r="BS94" s="43"/>
    </row>
    <row r="95" spans="1:72" ht="12.75" customHeight="1" x14ac:dyDescent="0.15">
      <c r="A95" s="48" t="s">
        <v>4327</v>
      </c>
      <c r="B95" s="9" t="s">
        <v>4330</v>
      </c>
      <c r="C95" s="9"/>
      <c r="D95" s="9"/>
      <c r="E95" s="9"/>
      <c r="F95" s="10" t="s">
        <v>4333</v>
      </c>
      <c r="G95" s="10" t="s">
        <v>4335</v>
      </c>
      <c r="H95" s="5" t="s">
        <v>1235</v>
      </c>
      <c r="I95" s="11" t="s">
        <v>223</v>
      </c>
      <c r="J95" s="357" t="s">
        <v>4326</v>
      </c>
      <c r="K95" s="353"/>
      <c r="L95" s="221">
        <v>212</v>
      </c>
      <c r="M95" s="221"/>
      <c r="N95" s="222" t="str">
        <f t="shared" si="2"/>
        <v>Contact famille</v>
      </c>
      <c r="O95" s="729">
        <v>212</v>
      </c>
      <c r="P95" s="729"/>
      <c r="Q95" s="730" t="str">
        <f t="shared" si="3"/>
        <v>Contact famille</v>
      </c>
      <c r="R95" s="731"/>
      <c r="S95" s="731"/>
      <c r="T95" s="731"/>
      <c r="U95" s="731"/>
      <c r="V95" s="731"/>
      <c r="W95" s="731" t="s">
        <v>313</v>
      </c>
      <c r="X95" s="731" t="s">
        <v>313</v>
      </c>
      <c r="Y95" s="731"/>
      <c r="Z95" s="731"/>
      <c r="AA95" s="731"/>
      <c r="AB95" s="12"/>
      <c r="AC95" s="12"/>
      <c r="AD95" s="12"/>
      <c r="AE95" s="12"/>
      <c r="AF95" s="12"/>
      <c r="AG95" s="369"/>
      <c r="AH95" s="370"/>
      <c r="AI95" s="18" t="s">
        <v>242</v>
      </c>
      <c r="AJ95" s="18" t="s">
        <v>242</v>
      </c>
      <c r="AK95" s="13" t="s">
        <v>242</v>
      </c>
      <c r="AL95" s="18" t="s">
        <v>242</v>
      </c>
      <c r="AM95" s="19" t="s">
        <v>244</v>
      </c>
      <c r="AN95" s="38"/>
      <c r="AO95" s="10"/>
      <c r="AP95" s="40"/>
      <c r="AQ95" s="20">
        <v>691673898</v>
      </c>
      <c r="AR95" s="47" t="s">
        <v>4341</v>
      </c>
      <c r="AS95" s="62"/>
      <c r="AT95" s="62"/>
      <c r="AU95" s="11"/>
      <c r="AV95" s="10"/>
      <c r="AW95" s="11"/>
      <c r="AX95" s="11"/>
      <c r="AY95" s="11"/>
      <c r="AZ95" s="11"/>
      <c r="BA95" s="11"/>
      <c r="BB95" s="59"/>
      <c r="BC95" s="59"/>
      <c r="BD95" s="59"/>
      <c r="BE95" s="59"/>
      <c r="BF95" s="59"/>
      <c r="BG95" s="59"/>
      <c r="BH95" s="138"/>
      <c r="BI95" s="138"/>
      <c r="BJ95" s="138"/>
      <c r="BK95" s="231"/>
      <c r="BL95" s="231"/>
      <c r="BM95" s="231"/>
      <c r="BN95" s="232"/>
      <c r="BO95" s="19"/>
      <c r="BP95" s="23"/>
      <c r="BQ95" s="23"/>
      <c r="BR95" s="23"/>
      <c r="BS95" s="43"/>
      <c r="BT95" s="150"/>
    </row>
    <row r="96" spans="1:72" ht="12.75" customHeight="1" x14ac:dyDescent="0.15">
      <c r="A96" s="48" t="s">
        <v>4327</v>
      </c>
      <c r="B96" s="9" t="s">
        <v>4329</v>
      </c>
      <c r="C96" s="9"/>
      <c r="D96" s="9"/>
      <c r="E96" s="9"/>
      <c r="F96" s="10" t="s">
        <v>4332</v>
      </c>
      <c r="G96" s="10" t="s">
        <v>4335</v>
      </c>
      <c r="H96" s="5" t="s">
        <v>1235</v>
      </c>
      <c r="I96" s="11" t="s">
        <v>223</v>
      </c>
      <c r="J96" s="357" t="s">
        <v>4326</v>
      </c>
      <c r="K96" s="353"/>
      <c r="L96" s="221">
        <v>8</v>
      </c>
      <c r="M96" s="221"/>
      <c r="N96" s="222" t="str">
        <f t="shared" si="2"/>
        <v xml:space="preserve">U 9 Hommes </v>
      </c>
      <c r="O96" s="729">
        <v>8</v>
      </c>
      <c r="P96" s="729"/>
      <c r="Q96" s="730" t="str">
        <f t="shared" si="3"/>
        <v xml:space="preserve">U 9 Hommes </v>
      </c>
      <c r="R96" s="731"/>
      <c r="S96" s="731"/>
      <c r="T96" s="731"/>
      <c r="U96" s="731"/>
      <c r="V96" s="731"/>
      <c r="W96" s="731" t="s">
        <v>192</v>
      </c>
      <c r="X96" s="731"/>
      <c r="Y96" s="731"/>
      <c r="Z96" s="731"/>
      <c r="AA96" s="731"/>
      <c r="AB96" s="12" t="s">
        <v>4343</v>
      </c>
      <c r="AC96" s="12"/>
      <c r="AD96" s="12"/>
      <c r="AE96" s="12"/>
      <c r="AF96" s="12"/>
      <c r="AG96" s="369"/>
      <c r="AH96" s="370"/>
      <c r="AI96" s="18">
        <v>45036</v>
      </c>
      <c r="AJ96" s="18">
        <v>44994</v>
      </c>
      <c r="AK96" s="13">
        <v>2030</v>
      </c>
      <c r="AL96" s="18">
        <v>43143</v>
      </c>
      <c r="AM96" s="19" t="s">
        <v>4336</v>
      </c>
      <c r="AN96" s="38"/>
      <c r="AO96" s="10"/>
      <c r="AP96" s="40" t="s">
        <v>4338</v>
      </c>
      <c r="AQ96" s="10" t="s">
        <v>4339</v>
      </c>
      <c r="AR96" s="47" t="s">
        <v>4340</v>
      </c>
      <c r="AS96" s="62"/>
      <c r="AT96" s="62"/>
      <c r="AU96" s="11"/>
      <c r="AV96" s="10"/>
      <c r="AW96" s="11"/>
      <c r="AX96" s="11"/>
      <c r="AY96" s="11"/>
      <c r="AZ96" s="11"/>
      <c r="BA96" s="11"/>
      <c r="BB96" s="59"/>
      <c r="BC96" s="59"/>
      <c r="BD96" s="59"/>
      <c r="BE96" s="59"/>
      <c r="BF96" s="59"/>
      <c r="BG96" s="59"/>
      <c r="BH96" s="138"/>
      <c r="BI96" s="138"/>
      <c r="BJ96" s="138"/>
      <c r="BK96" s="231"/>
      <c r="BL96" s="231"/>
      <c r="BM96" s="231"/>
      <c r="BN96" s="232"/>
      <c r="BO96" s="19"/>
      <c r="BP96" s="23"/>
      <c r="BQ96" s="23"/>
      <c r="BR96" s="23"/>
      <c r="BS96" s="43"/>
    </row>
    <row r="97" spans="1:72" ht="12.75" customHeight="1" x14ac:dyDescent="0.15">
      <c r="A97" s="48" t="s">
        <v>4327</v>
      </c>
      <c r="B97" s="9" t="s">
        <v>1692</v>
      </c>
      <c r="C97" s="751"/>
      <c r="F97" s="10" t="s">
        <v>4332</v>
      </c>
      <c r="G97" s="10" t="s">
        <v>4335</v>
      </c>
      <c r="H97" s="5" t="s">
        <v>1235</v>
      </c>
      <c r="I97" s="11" t="s">
        <v>223</v>
      </c>
      <c r="J97" s="357" t="s">
        <v>4326</v>
      </c>
      <c r="K97" s="353"/>
      <c r="L97" s="221">
        <v>21</v>
      </c>
      <c r="M97" s="221"/>
      <c r="N97" s="222" t="str">
        <f t="shared" si="2"/>
        <v>U7 Mixte</v>
      </c>
      <c r="O97" s="729">
        <v>21</v>
      </c>
      <c r="P97" s="729"/>
      <c r="Q97" s="730" t="str">
        <f t="shared" si="3"/>
        <v>U7 Mixte</v>
      </c>
      <c r="R97" s="731"/>
      <c r="S97" s="731"/>
      <c r="T97" s="731"/>
      <c r="U97" s="731"/>
      <c r="V97" s="731"/>
      <c r="W97" s="731"/>
      <c r="X97" s="731" t="s">
        <v>192</v>
      </c>
      <c r="Y97" s="731"/>
      <c r="Z97" s="731"/>
      <c r="AA97" s="731"/>
      <c r="AB97" s="12" t="s">
        <v>4344</v>
      </c>
      <c r="AC97" s="12"/>
      <c r="AD97" s="12"/>
      <c r="AE97" s="12"/>
      <c r="AF97" s="12"/>
      <c r="AG97" s="369"/>
      <c r="AH97" s="370"/>
      <c r="AI97" s="18">
        <v>45036</v>
      </c>
      <c r="AJ97" s="18">
        <v>44994</v>
      </c>
      <c r="AK97" s="13">
        <v>2028</v>
      </c>
      <c r="AL97" s="18">
        <v>44206</v>
      </c>
      <c r="AM97" s="19" t="s">
        <v>4337</v>
      </c>
      <c r="AN97" s="38"/>
      <c r="AO97" s="10"/>
      <c r="AP97" s="40" t="s">
        <v>4338</v>
      </c>
      <c r="AQ97" s="10" t="s">
        <v>4339</v>
      </c>
      <c r="AR97" s="47" t="s">
        <v>4340</v>
      </c>
      <c r="AS97" s="62"/>
      <c r="AT97" s="62"/>
      <c r="AU97" s="11"/>
      <c r="AV97" s="10"/>
      <c r="AW97" s="11"/>
      <c r="AX97" s="11"/>
      <c r="AY97" s="11"/>
      <c r="AZ97" s="11"/>
      <c r="BA97" s="11"/>
      <c r="BB97" s="59"/>
      <c r="BC97" s="59"/>
      <c r="BD97" s="59"/>
      <c r="BE97" s="59"/>
      <c r="BF97" s="59"/>
      <c r="BG97" s="59"/>
      <c r="BH97" s="138"/>
      <c r="BI97" s="138"/>
      <c r="BJ97" s="138"/>
      <c r="BK97" s="231"/>
      <c r="BL97" s="231"/>
      <c r="BM97" s="231"/>
      <c r="BN97" s="232"/>
      <c r="BO97" s="19"/>
      <c r="BP97" s="23"/>
      <c r="BQ97" s="23"/>
      <c r="BR97" s="23"/>
      <c r="BS97" s="43"/>
    </row>
    <row r="98" spans="1:72" ht="12.75" customHeight="1" x14ac:dyDescent="0.15">
      <c r="A98" s="48" t="s">
        <v>5185</v>
      </c>
      <c r="B98" s="9" t="s">
        <v>5647</v>
      </c>
      <c r="C98" s="9"/>
      <c r="D98" s="9"/>
      <c r="E98" s="9"/>
      <c r="F98" s="112" t="s">
        <v>107</v>
      </c>
      <c r="G98" s="11" t="s">
        <v>5186</v>
      </c>
      <c r="H98" s="5" t="s">
        <v>5187</v>
      </c>
      <c r="I98" s="11" t="s">
        <v>223</v>
      </c>
      <c r="J98" s="357" t="s">
        <v>5166</v>
      </c>
      <c r="K98" s="353"/>
      <c r="L98" s="221">
        <v>212</v>
      </c>
      <c r="M98" s="221"/>
      <c r="N98" s="222" t="str">
        <f t="shared" si="2"/>
        <v>Contact famille</v>
      </c>
      <c r="O98" s="729">
        <v>212</v>
      </c>
      <c r="P98" s="729"/>
      <c r="Q98" s="730" t="str">
        <f t="shared" si="3"/>
        <v>Contact famille</v>
      </c>
      <c r="R98" s="732"/>
      <c r="S98" s="732"/>
      <c r="T98" s="732"/>
      <c r="U98" s="732"/>
      <c r="V98" s="732"/>
      <c r="W98" s="732"/>
      <c r="X98" s="732"/>
      <c r="Y98" s="732"/>
      <c r="Z98" s="732"/>
      <c r="AA98" s="732" t="s">
        <v>313</v>
      </c>
      <c r="AB98" s="12"/>
      <c r="AC98" s="155"/>
      <c r="AD98" s="155"/>
      <c r="AE98" s="155"/>
      <c r="AF98" s="12"/>
      <c r="AG98" s="386"/>
      <c r="AH98" s="392"/>
      <c r="AI98" s="18" t="s">
        <v>242</v>
      </c>
      <c r="AJ98" s="18" t="s">
        <v>242</v>
      </c>
      <c r="AK98" s="13" t="s">
        <v>242</v>
      </c>
      <c r="AL98" s="13" t="s">
        <v>242</v>
      </c>
      <c r="AM98" s="46" t="s">
        <v>244</v>
      </c>
      <c r="AN98" s="10"/>
      <c r="AO98" s="11"/>
      <c r="AP98" s="53"/>
      <c r="AQ98" s="20">
        <v>661501101</v>
      </c>
      <c r="AR98" s="68" t="s">
        <v>5189</v>
      </c>
      <c r="AS98" s="62"/>
      <c r="AT98" s="62"/>
      <c r="AU98" s="10"/>
      <c r="AV98" s="10"/>
      <c r="AW98" s="13"/>
      <c r="AX98" s="11"/>
      <c r="AY98" s="11"/>
      <c r="AZ98" s="11"/>
      <c r="BA98" s="11"/>
      <c r="BB98" s="59"/>
      <c r="BC98" s="59"/>
      <c r="BD98" s="59"/>
      <c r="BE98" s="59"/>
      <c r="BF98" s="59"/>
      <c r="BG98" s="59"/>
      <c r="BH98" s="138"/>
      <c r="BI98" s="138"/>
      <c r="BJ98" s="138"/>
      <c r="BK98" s="231"/>
      <c r="BL98" s="231"/>
      <c r="BM98" s="231"/>
      <c r="BN98" s="232"/>
      <c r="BO98" s="11"/>
      <c r="BP98" s="11"/>
      <c r="BQ98" s="11"/>
      <c r="BR98" s="11"/>
      <c r="BS98" s="394"/>
    </row>
    <row r="99" spans="1:72" ht="12.75" customHeight="1" x14ac:dyDescent="0.15">
      <c r="A99" s="48" t="s">
        <v>5185</v>
      </c>
      <c r="B99" s="496"/>
      <c r="C99" s="496"/>
      <c r="D99" s="9"/>
      <c r="E99" s="9"/>
      <c r="F99" s="112" t="s">
        <v>107</v>
      </c>
      <c r="G99" s="11" t="s">
        <v>5186</v>
      </c>
      <c r="H99" s="5" t="s">
        <v>5187</v>
      </c>
      <c r="I99" s="11" t="s">
        <v>223</v>
      </c>
      <c r="J99" s="357" t="s">
        <v>5166</v>
      </c>
      <c r="K99" s="353"/>
      <c r="L99" s="221">
        <v>212</v>
      </c>
      <c r="M99" s="221"/>
      <c r="N99" s="222" t="str">
        <f t="shared" si="2"/>
        <v>Contact famille</v>
      </c>
      <c r="O99" s="729">
        <v>212</v>
      </c>
      <c r="P99" s="729"/>
      <c r="Q99" s="730" t="str">
        <f t="shared" si="3"/>
        <v>Contact famille</v>
      </c>
      <c r="R99" s="732"/>
      <c r="S99" s="732"/>
      <c r="T99" s="732"/>
      <c r="U99" s="732"/>
      <c r="V99" s="732"/>
      <c r="W99" s="732"/>
      <c r="X99" s="732"/>
      <c r="Y99" s="732"/>
      <c r="Z99" s="732"/>
      <c r="AA99" s="732" t="s">
        <v>313</v>
      </c>
      <c r="AB99" s="12"/>
      <c r="AC99" s="155"/>
      <c r="AD99" s="155"/>
      <c r="AE99" s="155"/>
      <c r="AF99" s="12"/>
      <c r="AG99" s="386"/>
      <c r="AH99" s="392"/>
      <c r="AI99" s="18" t="s">
        <v>242</v>
      </c>
      <c r="AJ99" s="18" t="s">
        <v>242</v>
      </c>
      <c r="AK99" s="13" t="s">
        <v>242</v>
      </c>
      <c r="AL99" s="18" t="s">
        <v>242</v>
      </c>
      <c r="AM99" s="19" t="s">
        <v>244</v>
      </c>
      <c r="AN99" s="10"/>
      <c r="AO99" s="11"/>
      <c r="AP99" s="53"/>
      <c r="AQ99" s="226"/>
      <c r="AR99" s="11"/>
      <c r="AS99" s="62"/>
      <c r="AT99" s="62"/>
      <c r="AU99" s="10"/>
      <c r="AV99" s="10"/>
      <c r="AW99" s="13"/>
      <c r="AX99" s="11"/>
      <c r="AY99" s="11"/>
      <c r="AZ99" s="11"/>
      <c r="BA99" s="11"/>
      <c r="BB99" s="59"/>
      <c r="BC99" s="59"/>
      <c r="BD99" s="59"/>
      <c r="BE99" s="59"/>
      <c r="BF99" s="59"/>
      <c r="BG99" s="59"/>
      <c r="BH99" s="138"/>
      <c r="BI99" s="138"/>
      <c r="BJ99" s="138"/>
      <c r="BK99" s="231"/>
      <c r="BL99" s="231"/>
      <c r="BM99" s="231"/>
      <c r="BN99" s="232"/>
      <c r="BO99" s="11"/>
      <c r="BP99" s="11"/>
      <c r="BQ99" s="11"/>
      <c r="BR99" s="11"/>
      <c r="BS99" s="394"/>
    </row>
    <row r="100" spans="1:72" s="150" customFormat="1" ht="12.75" customHeight="1" x14ac:dyDescent="0.15">
      <c r="A100" s="48" t="s">
        <v>5185</v>
      </c>
      <c r="B100" s="9" t="s">
        <v>1048</v>
      </c>
      <c r="C100" s="9"/>
      <c r="D100" s="9"/>
      <c r="E100" s="9"/>
      <c r="F100" s="112" t="s">
        <v>107</v>
      </c>
      <c r="G100" s="11" t="s">
        <v>5186</v>
      </c>
      <c r="H100" s="5" t="s">
        <v>5187</v>
      </c>
      <c r="I100" s="11" t="s">
        <v>223</v>
      </c>
      <c r="J100" s="357" t="s">
        <v>5166</v>
      </c>
      <c r="K100" s="353"/>
      <c r="L100" s="221">
        <v>15</v>
      </c>
      <c r="M100" s="221"/>
      <c r="N100" s="222" t="str">
        <f t="shared" si="2"/>
        <v>U 13 Dames</v>
      </c>
      <c r="O100" s="729">
        <v>15</v>
      </c>
      <c r="P100" s="729"/>
      <c r="Q100" s="730" t="str">
        <f t="shared" si="3"/>
        <v>U 13 Dames</v>
      </c>
      <c r="R100" s="732"/>
      <c r="S100" s="732"/>
      <c r="T100" s="732"/>
      <c r="U100" s="732"/>
      <c r="V100" s="732"/>
      <c r="W100" s="732"/>
      <c r="X100" s="732"/>
      <c r="Y100" s="732"/>
      <c r="Z100" s="732"/>
      <c r="AA100" s="732" t="s">
        <v>192</v>
      </c>
      <c r="AB100" s="12" t="s">
        <v>5284</v>
      </c>
      <c r="AC100" s="155"/>
      <c r="AD100" s="155"/>
      <c r="AE100" s="155"/>
      <c r="AF100" s="12"/>
      <c r="AG100" s="386" t="s">
        <v>5173</v>
      </c>
      <c r="AH100" s="392"/>
      <c r="AI100" s="18">
        <v>45916</v>
      </c>
      <c r="AJ100" s="18">
        <v>45840</v>
      </c>
      <c r="AK100" s="13">
        <v>2029</v>
      </c>
      <c r="AL100" s="18">
        <v>41750</v>
      </c>
      <c r="AM100" s="5" t="s">
        <v>5188</v>
      </c>
      <c r="AN100" s="10"/>
      <c r="AO100" s="11"/>
      <c r="AP100" s="53"/>
      <c r="AQ100" s="20">
        <v>661501100</v>
      </c>
      <c r="AR100" s="68" t="s">
        <v>5189</v>
      </c>
      <c r="AS100" s="62"/>
      <c r="AT100" s="62"/>
      <c r="AU100" s="10"/>
      <c r="AV100" s="10"/>
      <c r="AW100" s="13"/>
      <c r="AX100" s="11"/>
      <c r="AY100" s="11"/>
      <c r="AZ100" s="11"/>
      <c r="BA100" s="11"/>
      <c r="BB100" s="59"/>
      <c r="BC100" s="59"/>
      <c r="BD100" s="59"/>
      <c r="BE100" s="59"/>
      <c r="BF100" s="59"/>
      <c r="BG100" s="59"/>
      <c r="BH100" s="138"/>
      <c r="BI100" s="138"/>
      <c r="BJ100" s="138"/>
      <c r="BK100" s="231"/>
      <c r="BL100" s="231"/>
      <c r="BM100" s="231"/>
      <c r="BN100" s="232"/>
      <c r="BO100" s="11"/>
      <c r="BP100" s="11"/>
      <c r="BQ100" s="11"/>
      <c r="BR100" s="11"/>
      <c r="BS100" s="394"/>
      <c r="BT100"/>
    </row>
    <row r="101" spans="1:72" ht="12.75" customHeight="1" x14ac:dyDescent="0.15">
      <c r="A101" s="48" t="s">
        <v>764</v>
      </c>
      <c r="B101" s="9" t="s">
        <v>765</v>
      </c>
      <c r="C101" s="9"/>
      <c r="D101" s="9"/>
      <c r="E101" s="9"/>
      <c r="F101" s="10" t="s">
        <v>263</v>
      </c>
      <c r="G101" s="10" t="s">
        <v>767</v>
      </c>
      <c r="H101" s="5" t="s">
        <v>769</v>
      </c>
      <c r="I101" s="11" t="s">
        <v>770</v>
      </c>
      <c r="J101" s="357" t="s">
        <v>772</v>
      </c>
      <c r="K101" s="353"/>
      <c r="L101" s="221">
        <v>150</v>
      </c>
      <c r="M101" s="221"/>
      <c r="N101" s="814" t="str">
        <f t="shared" si="2"/>
        <v>comité</v>
      </c>
      <c r="O101" s="729">
        <v>12</v>
      </c>
      <c r="P101" s="729"/>
      <c r="Q101" s="730" t="str">
        <f t="shared" si="3"/>
        <v>Dames</v>
      </c>
      <c r="R101" s="731"/>
      <c r="S101" s="731"/>
      <c r="T101" s="731"/>
      <c r="U101" s="731"/>
      <c r="V101" s="731"/>
      <c r="W101" s="731"/>
      <c r="X101" s="731"/>
      <c r="Y101" s="731"/>
      <c r="Z101" s="731"/>
      <c r="AA101" s="731"/>
      <c r="AB101" s="12" t="s">
        <v>2953</v>
      </c>
      <c r="AC101" s="12"/>
      <c r="AD101" s="12" t="s">
        <v>2953</v>
      </c>
      <c r="AE101" s="12"/>
      <c r="AF101" s="12"/>
      <c r="AG101" s="371"/>
      <c r="AH101" s="372"/>
      <c r="AI101" s="18">
        <v>38259</v>
      </c>
      <c r="AJ101" s="18">
        <v>38259</v>
      </c>
      <c r="AK101" s="71">
        <v>2030</v>
      </c>
      <c r="AL101" s="18">
        <v>36634</v>
      </c>
      <c r="AM101" s="19" t="s">
        <v>1775</v>
      </c>
      <c r="AN101" s="19"/>
      <c r="AO101" s="10" t="s">
        <v>620</v>
      </c>
      <c r="AP101" s="40" t="s">
        <v>252</v>
      </c>
      <c r="AQ101" s="27" t="s">
        <v>1776</v>
      </c>
      <c r="AR101" s="29" t="s">
        <v>1777</v>
      </c>
      <c r="AS101" s="61"/>
      <c r="AT101" s="61"/>
      <c r="AU101" s="24"/>
      <c r="AV101" s="811" t="s">
        <v>4996</v>
      </c>
      <c r="AW101" s="11"/>
      <c r="AX101" s="11"/>
      <c r="AY101" s="11"/>
      <c r="AZ101" s="11" t="s">
        <v>209</v>
      </c>
      <c r="BA101" s="11"/>
      <c r="BB101" s="59" t="s">
        <v>2813</v>
      </c>
      <c r="BC101" s="59" t="s">
        <v>3151</v>
      </c>
      <c r="BD101" s="59"/>
      <c r="BE101" s="59"/>
      <c r="BF101" s="59"/>
      <c r="BG101" s="59"/>
      <c r="BH101" s="138"/>
      <c r="BI101" s="138"/>
      <c r="BJ101" s="138"/>
      <c r="BK101" s="231"/>
      <c r="BL101" s="231"/>
      <c r="BM101" s="231"/>
      <c r="BN101" s="232"/>
      <c r="BO101" s="19"/>
      <c r="BP101" s="23" t="s">
        <v>349</v>
      </c>
      <c r="BQ101" s="23"/>
      <c r="BR101" s="23"/>
      <c r="BS101" s="43"/>
    </row>
    <row r="102" spans="1:72" s="150" customFormat="1" ht="12.75" customHeight="1" x14ac:dyDescent="0.15">
      <c r="A102" s="48" t="s">
        <v>764</v>
      </c>
      <c r="B102" s="9" t="s">
        <v>775</v>
      </c>
      <c r="C102" s="9"/>
      <c r="D102" s="9"/>
      <c r="E102" s="9"/>
      <c r="F102" s="10" t="s">
        <v>263</v>
      </c>
      <c r="G102" s="10" t="s">
        <v>3716</v>
      </c>
      <c r="H102" s="5" t="s">
        <v>769</v>
      </c>
      <c r="I102" s="11" t="s">
        <v>770</v>
      </c>
      <c r="J102" s="357" t="s">
        <v>772</v>
      </c>
      <c r="K102" s="353"/>
      <c r="L102" s="221">
        <v>12</v>
      </c>
      <c r="M102" s="221"/>
      <c r="N102" s="222" t="str">
        <f t="shared" si="2"/>
        <v>Dames</v>
      </c>
      <c r="O102" s="729">
        <v>12</v>
      </c>
      <c r="P102" s="729"/>
      <c r="Q102" s="730" t="str">
        <f t="shared" si="3"/>
        <v>Dames</v>
      </c>
      <c r="R102" s="731"/>
      <c r="S102" s="731"/>
      <c r="T102" s="731"/>
      <c r="U102" s="731"/>
      <c r="V102" s="731"/>
      <c r="W102" s="731"/>
      <c r="X102" s="731"/>
      <c r="Y102" s="731"/>
      <c r="Z102" s="731"/>
      <c r="AA102" s="731"/>
      <c r="AB102" s="12" t="s">
        <v>2954</v>
      </c>
      <c r="AC102" s="12" t="s">
        <v>2954</v>
      </c>
      <c r="AD102" s="12" t="s">
        <v>2954</v>
      </c>
      <c r="AE102" s="12"/>
      <c r="AF102" s="12"/>
      <c r="AG102" s="376"/>
      <c r="AH102" s="370"/>
      <c r="AI102" s="18">
        <v>36986</v>
      </c>
      <c r="AJ102" s="18">
        <v>36986</v>
      </c>
      <c r="AK102" s="71">
        <v>2029</v>
      </c>
      <c r="AL102" s="18">
        <v>32547</v>
      </c>
      <c r="AM102" s="19" t="s">
        <v>3341</v>
      </c>
      <c r="AN102" s="19"/>
      <c r="AO102" s="10" t="s">
        <v>620</v>
      </c>
      <c r="AP102" s="41"/>
      <c r="AQ102" s="27" t="s">
        <v>1778</v>
      </c>
      <c r="AR102" s="26" t="s">
        <v>1779</v>
      </c>
      <c r="AS102" s="62"/>
      <c r="AT102" s="62"/>
      <c r="AU102" s="24"/>
      <c r="AV102" s="10"/>
      <c r="AW102" s="5"/>
      <c r="AX102" s="11"/>
      <c r="AY102" s="11"/>
      <c r="AZ102" s="11" t="s">
        <v>209</v>
      </c>
      <c r="BA102" s="11"/>
      <c r="BB102" s="59" t="s">
        <v>2813</v>
      </c>
      <c r="BC102" s="59" t="s">
        <v>3151</v>
      </c>
      <c r="BD102" s="59"/>
      <c r="BE102" s="59">
        <v>50</v>
      </c>
      <c r="BF102" s="59"/>
      <c r="BG102" s="59"/>
      <c r="BH102" s="138"/>
      <c r="BI102" s="138"/>
      <c r="BJ102" s="138"/>
      <c r="BK102" s="231"/>
      <c r="BL102" s="231"/>
      <c r="BM102" s="231"/>
      <c r="BN102" s="232"/>
      <c r="BO102" s="19"/>
      <c r="BP102" s="23" t="s">
        <v>349</v>
      </c>
      <c r="BQ102" s="23"/>
      <c r="BR102" s="23"/>
      <c r="BS102" s="43"/>
      <c r="BT102"/>
    </row>
    <row r="103" spans="1:72" s="150" customFormat="1" ht="12.75" customHeight="1" x14ac:dyDescent="0.15">
      <c r="A103" s="48" t="s">
        <v>3531</v>
      </c>
      <c r="B103" s="9" t="s">
        <v>3532</v>
      </c>
      <c r="C103" s="9"/>
      <c r="D103" s="9"/>
      <c r="E103" s="9"/>
      <c r="F103" s="10" t="s">
        <v>107</v>
      </c>
      <c r="G103" s="10" t="s">
        <v>3533</v>
      </c>
      <c r="H103" s="5" t="s">
        <v>3534</v>
      </c>
      <c r="I103" s="11" t="s">
        <v>3535</v>
      </c>
      <c r="J103" s="357" t="s">
        <v>1344</v>
      </c>
      <c r="K103" s="353"/>
      <c r="L103" s="221">
        <v>212</v>
      </c>
      <c r="M103" s="221"/>
      <c r="N103" s="222" t="str">
        <f t="shared" si="2"/>
        <v>Contact famille</v>
      </c>
      <c r="O103" s="729">
        <v>212</v>
      </c>
      <c r="P103" s="729"/>
      <c r="Q103" s="730" t="str">
        <f t="shared" si="3"/>
        <v>Contact famille</v>
      </c>
      <c r="R103" s="731"/>
      <c r="S103" s="731"/>
      <c r="T103" s="731"/>
      <c r="U103" s="731"/>
      <c r="V103" s="731"/>
      <c r="W103" s="731" t="s">
        <v>313</v>
      </c>
      <c r="X103" s="731"/>
      <c r="Y103" s="731"/>
      <c r="Z103" s="731"/>
      <c r="AA103" s="731"/>
      <c r="AB103" s="12"/>
      <c r="AC103" s="12"/>
      <c r="AD103" s="12"/>
      <c r="AE103" s="12"/>
      <c r="AF103" s="12"/>
      <c r="AG103" s="369"/>
      <c r="AH103" s="370"/>
      <c r="AI103" s="45" t="s">
        <v>242</v>
      </c>
      <c r="AJ103" s="45" t="s">
        <v>242</v>
      </c>
      <c r="AK103" s="13" t="s">
        <v>242</v>
      </c>
      <c r="AL103" s="18" t="s">
        <v>242</v>
      </c>
      <c r="AM103" s="19" t="s">
        <v>244</v>
      </c>
      <c r="AN103" s="38"/>
      <c r="AO103" s="10"/>
      <c r="AP103" s="40"/>
      <c r="AQ103" s="10" t="s">
        <v>3538</v>
      </c>
      <c r="AR103" s="21" t="s">
        <v>3541</v>
      </c>
      <c r="AS103" s="62"/>
      <c r="AT103" s="62"/>
      <c r="AU103" s="11"/>
      <c r="AV103" s="10"/>
      <c r="AW103" s="11"/>
      <c r="AX103" s="11"/>
      <c r="AY103" s="11"/>
      <c r="AZ103" s="11"/>
      <c r="BA103" s="11"/>
      <c r="BB103" s="59"/>
      <c r="BC103" s="59"/>
      <c r="BD103" s="59"/>
      <c r="BE103" s="59"/>
      <c r="BF103" s="59"/>
      <c r="BG103" s="59"/>
      <c r="BH103" s="138"/>
      <c r="BI103" s="138"/>
      <c r="BJ103" s="138"/>
      <c r="BK103" s="231"/>
      <c r="BL103" s="231"/>
      <c r="BM103" s="231"/>
      <c r="BN103" s="232"/>
      <c r="BO103" s="19"/>
      <c r="BP103" s="23"/>
      <c r="BQ103" s="23"/>
      <c r="BR103" s="23"/>
      <c r="BS103" s="43"/>
      <c r="BT103"/>
    </row>
    <row r="104" spans="1:72" ht="12.75" customHeight="1" x14ac:dyDescent="0.15">
      <c r="A104" s="48" t="s">
        <v>4740</v>
      </c>
      <c r="B104" s="9" t="s">
        <v>514</v>
      </c>
      <c r="C104" s="9"/>
      <c r="D104" s="9"/>
      <c r="E104" s="9"/>
      <c r="F104" s="10" t="s">
        <v>4744</v>
      </c>
      <c r="G104" s="10" t="s">
        <v>4751</v>
      </c>
      <c r="H104" s="5" t="s">
        <v>4745</v>
      </c>
      <c r="I104" s="11" t="s">
        <v>223</v>
      </c>
      <c r="J104" s="357" t="s">
        <v>4737</v>
      </c>
      <c r="K104" s="353"/>
      <c r="L104" s="221">
        <v>212</v>
      </c>
      <c r="M104" s="221"/>
      <c r="N104" s="222" t="str">
        <f t="shared" si="2"/>
        <v>Contact famille</v>
      </c>
      <c r="O104" s="729">
        <v>212</v>
      </c>
      <c r="P104" s="729"/>
      <c r="Q104" s="730" t="str">
        <f t="shared" si="3"/>
        <v>Contact famille</v>
      </c>
      <c r="R104" s="731"/>
      <c r="S104" s="731"/>
      <c r="T104" s="731"/>
      <c r="U104" s="731"/>
      <c r="V104" s="731"/>
      <c r="W104" s="731"/>
      <c r="X104" s="731" t="s">
        <v>313</v>
      </c>
      <c r="Y104" s="731"/>
      <c r="Z104" s="731"/>
      <c r="AA104" s="731"/>
      <c r="AB104" s="12"/>
      <c r="AC104" s="12"/>
      <c r="AD104" s="12"/>
      <c r="AE104" s="12"/>
      <c r="AF104" s="12"/>
      <c r="AG104" s="369"/>
      <c r="AH104" s="370"/>
      <c r="AI104" s="18" t="s">
        <v>242</v>
      </c>
      <c r="AJ104" s="18" t="s">
        <v>242</v>
      </c>
      <c r="AK104" s="13" t="s">
        <v>242</v>
      </c>
      <c r="AL104" s="13" t="s">
        <v>242</v>
      </c>
      <c r="AM104" s="46" t="s">
        <v>244</v>
      </c>
      <c r="AN104" s="38"/>
      <c r="AO104" s="10"/>
      <c r="AP104" s="40"/>
      <c r="AQ104" s="20">
        <v>671156198</v>
      </c>
      <c r="AR104" s="21"/>
      <c r="AS104" s="62"/>
      <c r="AT104" s="62"/>
      <c r="AU104" s="11"/>
      <c r="AV104" s="10"/>
      <c r="AW104" s="11"/>
      <c r="AX104" s="11"/>
      <c r="AY104" s="11"/>
      <c r="AZ104" s="11"/>
      <c r="BA104" s="11"/>
      <c r="BB104" s="59"/>
      <c r="BC104" s="59"/>
      <c r="BD104" s="59"/>
      <c r="BE104" s="59"/>
      <c r="BF104" s="59"/>
      <c r="BG104" s="59"/>
      <c r="BH104" s="138"/>
      <c r="BI104" s="138"/>
      <c r="BJ104" s="138"/>
      <c r="BK104" s="231"/>
      <c r="BL104" s="231"/>
      <c r="BM104" s="231"/>
      <c r="BN104" s="232"/>
      <c r="BO104" s="19"/>
      <c r="BP104" s="23"/>
      <c r="BQ104" s="23"/>
      <c r="BR104" s="23"/>
      <c r="BS104" s="43"/>
    </row>
    <row r="105" spans="1:72" ht="12.75" customHeight="1" x14ac:dyDescent="0.15">
      <c r="A105" s="48" t="s">
        <v>4989</v>
      </c>
      <c r="B105" s="9" t="s">
        <v>1413</v>
      </c>
      <c r="C105" s="9"/>
      <c r="D105" s="9"/>
      <c r="E105" s="9"/>
      <c r="F105" s="112" t="s">
        <v>107</v>
      </c>
      <c r="G105" s="10" t="s">
        <v>4991</v>
      </c>
      <c r="H105" s="5" t="s">
        <v>4373</v>
      </c>
      <c r="I105" s="11" t="s">
        <v>936</v>
      </c>
      <c r="J105" s="357" t="s">
        <v>4982</v>
      </c>
      <c r="K105" s="353"/>
      <c r="L105" s="221">
        <v>212</v>
      </c>
      <c r="M105" s="221"/>
      <c r="N105" s="222" t="str">
        <f t="shared" si="2"/>
        <v>Contact famille</v>
      </c>
      <c r="O105" s="729">
        <v>212</v>
      </c>
      <c r="P105" s="729"/>
      <c r="Q105" s="730" t="str">
        <f t="shared" si="3"/>
        <v>Contact famille</v>
      </c>
      <c r="R105" s="731"/>
      <c r="S105" s="731"/>
      <c r="T105" s="731"/>
      <c r="U105" s="731"/>
      <c r="V105" s="731" t="s">
        <v>313</v>
      </c>
      <c r="W105" s="731"/>
      <c r="X105" s="731"/>
      <c r="Y105" s="731"/>
      <c r="Z105" s="731"/>
      <c r="AA105" s="731"/>
      <c r="AB105" s="12"/>
      <c r="AC105" s="12"/>
      <c r="AD105" s="12"/>
      <c r="AE105" s="12"/>
      <c r="AF105" s="12"/>
      <c r="AG105" s="369"/>
      <c r="AH105" s="370"/>
      <c r="AI105" s="18" t="s">
        <v>242</v>
      </c>
      <c r="AJ105" s="18" t="s">
        <v>242</v>
      </c>
      <c r="AK105" s="13" t="s">
        <v>242</v>
      </c>
      <c r="AL105" s="13" t="s">
        <v>242</v>
      </c>
      <c r="AM105" s="46" t="s">
        <v>244</v>
      </c>
      <c r="AN105" s="38"/>
      <c r="AO105" s="10"/>
      <c r="AP105" s="40"/>
      <c r="AQ105" s="10"/>
      <c r="AR105" s="21"/>
      <c r="AS105" s="62"/>
      <c r="AT105" s="62"/>
      <c r="AU105" s="11"/>
      <c r="AV105" s="10"/>
      <c r="AW105" s="11"/>
      <c r="AX105" s="11"/>
      <c r="AY105" s="11"/>
      <c r="AZ105" s="11"/>
      <c r="BA105" s="11"/>
      <c r="BB105" s="59"/>
      <c r="BC105" s="59"/>
      <c r="BD105" s="59"/>
      <c r="BE105" s="59"/>
      <c r="BF105" s="59"/>
      <c r="BG105" s="59"/>
      <c r="BH105" s="138"/>
      <c r="BI105" s="138"/>
      <c r="BJ105" s="138"/>
      <c r="BK105" s="231"/>
      <c r="BL105" s="231"/>
      <c r="BM105" s="231"/>
      <c r="BN105" s="232"/>
      <c r="BO105" s="19"/>
      <c r="BP105" s="23"/>
      <c r="BQ105" s="23"/>
      <c r="BR105" s="23"/>
      <c r="BS105" s="43"/>
    </row>
    <row r="106" spans="1:72" ht="12.75" customHeight="1" x14ac:dyDescent="0.15">
      <c r="A106" s="48" t="s">
        <v>4989</v>
      </c>
      <c r="B106" s="9" t="s">
        <v>1032</v>
      </c>
      <c r="C106" s="9"/>
      <c r="D106" s="9"/>
      <c r="E106" s="9"/>
      <c r="F106" s="112" t="s">
        <v>107</v>
      </c>
      <c r="G106" s="10" t="s">
        <v>4991</v>
      </c>
      <c r="H106" s="5" t="s">
        <v>4373</v>
      </c>
      <c r="I106" s="11" t="s">
        <v>936</v>
      </c>
      <c r="J106" s="357" t="s">
        <v>4982</v>
      </c>
      <c r="K106" s="353"/>
      <c r="L106" s="221">
        <v>17</v>
      </c>
      <c r="M106" s="221"/>
      <c r="N106" s="222" t="str">
        <f t="shared" si="2"/>
        <v>U 11 Dames</v>
      </c>
      <c r="O106" s="729">
        <v>17</v>
      </c>
      <c r="P106" s="729"/>
      <c r="Q106" s="730" t="str">
        <f t="shared" si="3"/>
        <v>U 11 Dames</v>
      </c>
      <c r="R106" s="731"/>
      <c r="S106" s="731"/>
      <c r="T106" s="731"/>
      <c r="U106" s="731"/>
      <c r="V106" s="731" t="s">
        <v>192</v>
      </c>
      <c r="W106" s="731"/>
      <c r="X106" s="731"/>
      <c r="Y106" s="731"/>
      <c r="Z106" s="731"/>
      <c r="AA106" s="731"/>
      <c r="AB106" s="217" t="s">
        <v>2805</v>
      </c>
      <c r="AC106" s="12"/>
      <c r="AD106" s="12"/>
      <c r="AE106" s="12"/>
      <c r="AF106" s="12"/>
      <c r="AG106" s="373"/>
      <c r="AH106" s="370"/>
      <c r="AI106" s="18"/>
      <c r="AJ106" s="18">
        <v>45614</v>
      </c>
      <c r="AK106" s="13">
        <v>2026</v>
      </c>
      <c r="AL106" s="18">
        <v>42965</v>
      </c>
      <c r="AM106" s="19" t="s">
        <v>4992</v>
      </c>
      <c r="AN106" s="38"/>
      <c r="AO106" s="10"/>
      <c r="AP106" s="40"/>
      <c r="AQ106" s="10" t="s">
        <v>4993</v>
      </c>
      <c r="AR106" s="47" t="s">
        <v>4994</v>
      </c>
      <c r="AS106" s="62"/>
      <c r="AT106" s="62"/>
      <c r="AU106" s="11"/>
      <c r="AV106" s="10"/>
      <c r="AW106" s="11"/>
      <c r="AX106" s="11"/>
      <c r="AY106" s="11"/>
      <c r="AZ106" s="11"/>
      <c r="BA106" s="11"/>
      <c r="BB106" s="59"/>
      <c r="BC106" s="59"/>
      <c r="BD106" s="59"/>
      <c r="BE106" s="59"/>
      <c r="BF106" s="59"/>
      <c r="BG106" s="59"/>
      <c r="BH106" s="138"/>
      <c r="BI106" s="138"/>
      <c r="BJ106" s="138"/>
      <c r="BK106" s="231"/>
      <c r="BL106" s="231"/>
      <c r="BM106" s="231"/>
      <c r="BN106" s="232"/>
      <c r="BO106" s="19"/>
      <c r="BP106" s="23"/>
      <c r="BQ106" s="23"/>
      <c r="BR106" s="23"/>
      <c r="BS106" s="43"/>
    </row>
    <row r="107" spans="1:72" ht="12.75" customHeight="1" x14ac:dyDescent="0.15">
      <c r="A107" s="48" t="s">
        <v>4199</v>
      </c>
      <c r="B107" s="9" t="s">
        <v>4200</v>
      </c>
      <c r="C107" s="9"/>
      <c r="D107" s="9"/>
      <c r="E107" s="9"/>
      <c r="F107" s="112" t="s">
        <v>107</v>
      </c>
      <c r="G107" s="10" t="s">
        <v>4266</v>
      </c>
      <c r="H107" s="5" t="s">
        <v>4201</v>
      </c>
      <c r="I107" s="11" t="s">
        <v>241</v>
      </c>
      <c r="J107" s="357" t="s">
        <v>2157</v>
      </c>
      <c r="K107" s="353"/>
      <c r="L107" s="221">
        <v>212</v>
      </c>
      <c r="M107" s="221"/>
      <c r="N107" s="222" t="str">
        <f t="shared" si="2"/>
        <v>Contact famille</v>
      </c>
      <c r="O107" s="729">
        <v>212</v>
      </c>
      <c r="P107" s="729"/>
      <c r="Q107" s="730" t="str">
        <f t="shared" si="3"/>
        <v>Contact famille</v>
      </c>
      <c r="R107" s="731"/>
      <c r="S107" s="731"/>
      <c r="T107" s="731"/>
      <c r="U107" s="731"/>
      <c r="V107" s="731"/>
      <c r="W107" s="731" t="s">
        <v>313</v>
      </c>
      <c r="X107" s="731"/>
      <c r="Y107" s="731"/>
      <c r="Z107" s="731"/>
      <c r="AA107" s="731"/>
      <c r="AB107" s="12"/>
      <c r="AC107" s="12" t="s">
        <v>252</v>
      </c>
      <c r="AD107" s="12"/>
      <c r="AE107" s="12"/>
      <c r="AF107" s="12"/>
      <c r="AG107" s="369"/>
      <c r="AH107" s="370"/>
      <c r="AI107" s="18" t="s">
        <v>242</v>
      </c>
      <c r="AJ107" s="18" t="s">
        <v>242</v>
      </c>
      <c r="AK107" s="13" t="s">
        <v>242</v>
      </c>
      <c r="AL107" s="18" t="s">
        <v>242</v>
      </c>
      <c r="AM107" s="19" t="s">
        <v>244</v>
      </c>
      <c r="AN107" s="38"/>
      <c r="AO107" s="10"/>
      <c r="AP107" s="40"/>
      <c r="AQ107" s="20">
        <v>691207199</v>
      </c>
      <c r="AR107" s="47" t="s">
        <v>4204</v>
      </c>
      <c r="AS107" s="62"/>
      <c r="AT107" s="62"/>
      <c r="AU107" s="11"/>
      <c r="AV107" s="10"/>
      <c r="AW107" s="11"/>
      <c r="AX107" s="11"/>
      <c r="AY107" s="11"/>
      <c r="AZ107" s="11"/>
      <c r="BA107" s="11"/>
      <c r="BB107" s="59"/>
      <c r="BC107" s="59"/>
      <c r="BD107" s="59"/>
      <c r="BE107" s="59"/>
      <c r="BF107" s="59"/>
      <c r="BG107" s="59"/>
      <c r="BH107" s="138"/>
      <c r="BI107" s="138"/>
      <c r="BJ107" s="138"/>
      <c r="BK107" s="231"/>
      <c r="BL107" s="231"/>
      <c r="BM107" s="231"/>
      <c r="BN107" s="232"/>
      <c r="BO107" s="19"/>
      <c r="BP107" s="23"/>
      <c r="BQ107" s="23"/>
      <c r="BR107" s="23"/>
      <c r="BS107" s="43"/>
    </row>
    <row r="108" spans="1:72" ht="12.75" customHeight="1" x14ac:dyDescent="0.15">
      <c r="A108" s="48" t="s">
        <v>3125</v>
      </c>
      <c r="B108" s="9" t="s">
        <v>212</v>
      </c>
      <c r="C108" s="9"/>
      <c r="D108" s="9"/>
      <c r="E108" s="9"/>
      <c r="F108" s="10" t="s">
        <v>616</v>
      </c>
      <c r="G108" s="10" t="s">
        <v>3126</v>
      </c>
      <c r="H108" s="5" t="s">
        <v>1336</v>
      </c>
      <c r="I108" s="11" t="s">
        <v>241</v>
      </c>
      <c r="J108" s="357" t="s">
        <v>3124</v>
      </c>
      <c r="K108" s="353"/>
      <c r="L108" s="221">
        <v>3</v>
      </c>
      <c r="M108" s="221"/>
      <c r="N108" s="222" t="str">
        <f t="shared" si="2"/>
        <v>U 21 Hommes</v>
      </c>
      <c r="O108" s="729">
        <v>3</v>
      </c>
      <c r="P108" s="729"/>
      <c r="Q108" s="730" t="str">
        <f t="shared" si="3"/>
        <v>U 21 Hommes</v>
      </c>
      <c r="R108" s="731"/>
      <c r="S108" s="731"/>
      <c r="T108" s="731"/>
      <c r="U108" s="731"/>
      <c r="V108" s="731"/>
      <c r="W108" s="731"/>
      <c r="X108" s="731"/>
      <c r="Y108" s="731"/>
      <c r="Z108" s="731"/>
      <c r="AA108" s="731"/>
      <c r="AB108" s="12" t="s">
        <v>3221</v>
      </c>
      <c r="AC108" s="12"/>
      <c r="AD108" s="12" t="s">
        <v>252</v>
      </c>
      <c r="AE108" s="12"/>
      <c r="AF108" s="12"/>
      <c r="AG108" s="369"/>
      <c r="AH108" s="370"/>
      <c r="AI108" s="18">
        <v>43822</v>
      </c>
      <c r="AJ108" s="18">
        <v>43758</v>
      </c>
      <c r="AK108" s="612">
        <v>2022</v>
      </c>
      <c r="AL108" s="18">
        <v>39207</v>
      </c>
      <c r="AM108" s="19" t="s">
        <v>3131</v>
      </c>
      <c r="AN108" s="38"/>
      <c r="AO108" s="10"/>
      <c r="AP108" s="40" t="s">
        <v>252</v>
      </c>
      <c r="AQ108" s="10" t="s">
        <v>3132</v>
      </c>
      <c r="AR108" s="47" t="s">
        <v>3135</v>
      </c>
      <c r="AS108" s="62"/>
      <c r="AT108" s="62"/>
      <c r="AU108" s="11"/>
      <c r="AV108" s="10"/>
      <c r="AW108" s="11"/>
      <c r="AX108" s="11"/>
      <c r="AY108" s="11"/>
      <c r="AZ108" s="11" t="s">
        <v>533</v>
      </c>
      <c r="BA108" s="11"/>
      <c r="BB108" s="69" t="s">
        <v>3163</v>
      </c>
      <c r="BC108" s="59"/>
      <c r="BD108" s="59"/>
      <c r="BE108" s="67" t="s">
        <v>347</v>
      </c>
      <c r="BF108" s="59"/>
      <c r="BG108" s="59"/>
      <c r="BH108" s="138"/>
      <c r="BI108" s="138"/>
      <c r="BJ108" s="138"/>
      <c r="BK108" s="231"/>
      <c r="BL108" s="231"/>
      <c r="BM108" s="231"/>
      <c r="BN108" s="232"/>
      <c r="BO108" s="19"/>
      <c r="BP108" s="23"/>
      <c r="BQ108" s="23"/>
      <c r="BR108" s="23"/>
      <c r="BS108" s="43"/>
    </row>
    <row r="109" spans="1:72" ht="12.75" customHeight="1" x14ac:dyDescent="0.15">
      <c r="A109" s="48" t="s">
        <v>3129</v>
      </c>
      <c r="B109" s="9" t="s">
        <v>3130</v>
      </c>
      <c r="C109" s="9"/>
      <c r="D109" s="9"/>
      <c r="E109" s="9"/>
      <c r="F109" s="10" t="s">
        <v>616</v>
      </c>
      <c r="G109" s="10" t="s">
        <v>3126</v>
      </c>
      <c r="H109" s="5" t="s">
        <v>1336</v>
      </c>
      <c r="I109" s="11" t="s">
        <v>241</v>
      </c>
      <c r="J109" s="357" t="s">
        <v>3124</v>
      </c>
      <c r="K109" s="353"/>
      <c r="L109" s="221">
        <v>212</v>
      </c>
      <c r="M109" s="221"/>
      <c r="N109" s="222" t="str">
        <f t="shared" si="2"/>
        <v>Contact famille</v>
      </c>
      <c r="O109" s="729">
        <v>212</v>
      </c>
      <c r="P109" s="729"/>
      <c r="Q109" s="730" t="str">
        <f t="shared" si="3"/>
        <v>Contact famille</v>
      </c>
      <c r="R109" s="731"/>
      <c r="S109" s="731"/>
      <c r="T109" s="731"/>
      <c r="U109" s="731"/>
      <c r="V109" s="731"/>
      <c r="W109" s="731"/>
      <c r="X109" s="731"/>
      <c r="Y109" s="731"/>
      <c r="Z109" s="731"/>
      <c r="AA109" s="731"/>
      <c r="AB109" s="12"/>
      <c r="AC109" s="12"/>
      <c r="AD109" s="12"/>
      <c r="AE109" s="12"/>
      <c r="AF109" s="12"/>
      <c r="AG109" s="369"/>
      <c r="AH109" s="370"/>
      <c r="AI109" s="18" t="s">
        <v>242</v>
      </c>
      <c r="AJ109" s="18" t="s">
        <v>242</v>
      </c>
      <c r="AK109" s="13" t="s">
        <v>242</v>
      </c>
      <c r="AL109" s="18" t="s">
        <v>242</v>
      </c>
      <c r="AM109" s="19" t="s">
        <v>244</v>
      </c>
      <c r="AN109" s="38"/>
      <c r="AO109" s="10"/>
      <c r="AP109" s="40"/>
      <c r="AQ109" s="10" t="s">
        <v>3134</v>
      </c>
      <c r="AR109" s="47" t="s">
        <v>3135</v>
      </c>
      <c r="AS109" s="62"/>
      <c r="AT109" s="62"/>
      <c r="AU109" s="11"/>
      <c r="AV109" s="10"/>
      <c r="AW109" s="11"/>
      <c r="AX109" s="11"/>
      <c r="AY109" s="11"/>
      <c r="AZ109" s="11" t="s">
        <v>533</v>
      </c>
      <c r="BA109" s="11"/>
      <c r="BB109" s="69" t="s">
        <v>3163</v>
      </c>
      <c r="BC109" s="59"/>
      <c r="BD109" s="59"/>
      <c r="BE109" s="59"/>
      <c r="BF109" s="59"/>
      <c r="BG109" s="59"/>
      <c r="BH109" s="138"/>
      <c r="BI109" s="138"/>
      <c r="BJ109" s="138"/>
      <c r="BK109" s="231"/>
      <c r="BL109" s="231"/>
      <c r="BM109" s="231"/>
      <c r="BN109" s="232"/>
      <c r="BO109" s="19"/>
      <c r="BP109" s="23"/>
      <c r="BQ109" s="23"/>
      <c r="BR109" s="23"/>
      <c r="BS109" s="43"/>
      <c r="BT109" s="150"/>
    </row>
    <row r="110" spans="1:72" s="457" customFormat="1" ht="12.75" customHeight="1" x14ac:dyDescent="0.15">
      <c r="A110" s="48" t="s">
        <v>4079</v>
      </c>
      <c r="B110" s="9" t="s">
        <v>4082</v>
      </c>
      <c r="C110" s="9"/>
      <c r="D110" s="9"/>
      <c r="E110" s="9"/>
      <c r="F110" s="10" t="s">
        <v>4085</v>
      </c>
      <c r="G110" s="10" t="s">
        <v>4086</v>
      </c>
      <c r="H110" s="5" t="s">
        <v>4087</v>
      </c>
      <c r="I110" s="11" t="s">
        <v>994</v>
      </c>
      <c r="J110" s="357" t="s">
        <v>1323</v>
      </c>
      <c r="K110" s="353"/>
      <c r="L110" s="221">
        <v>212</v>
      </c>
      <c r="M110" s="221"/>
      <c r="N110" s="222" t="str">
        <f t="shared" si="2"/>
        <v>Contact famille</v>
      </c>
      <c r="O110" s="729">
        <v>212</v>
      </c>
      <c r="P110" s="729"/>
      <c r="Q110" s="730" t="str">
        <f t="shared" si="3"/>
        <v>Contact famille</v>
      </c>
      <c r="R110" s="731"/>
      <c r="S110" s="731"/>
      <c r="T110" s="731"/>
      <c r="U110" s="731"/>
      <c r="V110" s="731"/>
      <c r="W110" s="731"/>
      <c r="X110" s="731"/>
      <c r="Y110" s="731"/>
      <c r="Z110" s="731"/>
      <c r="AA110" s="731"/>
      <c r="AB110" s="12"/>
      <c r="AC110" s="12"/>
      <c r="AD110" s="12"/>
      <c r="AE110" s="12"/>
      <c r="AF110" s="12"/>
      <c r="AG110" s="369"/>
      <c r="AH110" s="370"/>
      <c r="AI110" s="18" t="s">
        <v>242</v>
      </c>
      <c r="AJ110" s="18" t="s">
        <v>242</v>
      </c>
      <c r="AK110" s="13" t="s">
        <v>242</v>
      </c>
      <c r="AL110" s="13" t="s">
        <v>242</v>
      </c>
      <c r="AM110" s="46" t="s">
        <v>244</v>
      </c>
      <c r="AN110" s="38"/>
      <c r="AO110" s="10"/>
      <c r="AP110" s="40"/>
      <c r="AQ110" s="20">
        <v>621618604</v>
      </c>
      <c r="AR110" s="47"/>
      <c r="AS110" s="62"/>
      <c r="AT110" s="62"/>
      <c r="AU110" s="11"/>
      <c r="AV110" s="10"/>
      <c r="AW110" s="11"/>
      <c r="AX110" s="11"/>
      <c r="AY110" s="11"/>
      <c r="AZ110" s="11"/>
      <c r="BA110" s="11"/>
      <c r="BB110" s="59"/>
      <c r="BC110" s="59"/>
      <c r="BD110" s="59"/>
      <c r="BE110" s="59"/>
      <c r="BF110" s="59"/>
      <c r="BG110" s="59"/>
      <c r="BH110" s="138"/>
      <c r="BI110" s="138"/>
      <c r="BJ110" s="138"/>
      <c r="BK110" s="231"/>
      <c r="BL110" s="231"/>
      <c r="BM110" s="231"/>
      <c r="BN110" s="232"/>
      <c r="BO110" s="19"/>
      <c r="BP110" s="23"/>
      <c r="BQ110" s="23"/>
      <c r="BR110" s="23"/>
      <c r="BS110" s="43"/>
      <c r="BT110"/>
    </row>
    <row r="111" spans="1:72" s="150" customFormat="1" ht="12.75" customHeight="1" x14ac:dyDescent="0.15">
      <c r="A111" s="48" t="s">
        <v>4079</v>
      </c>
      <c r="B111" s="9" t="s">
        <v>4081</v>
      </c>
      <c r="C111" s="9"/>
      <c r="D111" s="9"/>
      <c r="E111" s="9"/>
      <c r="F111" s="10" t="s">
        <v>4084</v>
      </c>
      <c r="G111" s="10" t="s">
        <v>4086</v>
      </c>
      <c r="H111" s="5" t="s">
        <v>4087</v>
      </c>
      <c r="I111" s="11" t="s">
        <v>994</v>
      </c>
      <c r="J111" s="357" t="s">
        <v>1323</v>
      </c>
      <c r="K111" s="353"/>
      <c r="L111" s="221">
        <v>12</v>
      </c>
      <c r="M111" s="221"/>
      <c r="N111" s="222" t="str">
        <f t="shared" si="2"/>
        <v>Dames</v>
      </c>
      <c r="O111" s="729">
        <v>12</v>
      </c>
      <c r="P111" s="729"/>
      <c r="Q111" s="730" t="str">
        <f t="shared" si="3"/>
        <v>Dames</v>
      </c>
      <c r="R111" s="731"/>
      <c r="S111" s="731"/>
      <c r="T111" s="731"/>
      <c r="U111" s="731"/>
      <c r="V111" s="731"/>
      <c r="W111" s="731"/>
      <c r="X111" s="731"/>
      <c r="Y111" s="731"/>
      <c r="Z111" s="731"/>
      <c r="AA111" s="731"/>
      <c r="AB111" s="12" t="s">
        <v>4117</v>
      </c>
      <c r="AC111" s="12"/>
      <c r="AD111" s="12"/>
      <c r="AE111" s="12"/>
      <c r="AF111" s="12"/>
      <c r="AG111" s="369"/>
      <c r="AH111" s="370"/>
      <c r="AI111" s="18">
        <v>44833</v>
      </c>
      <c r="AJ111" s="18">
        <v>44816</v>
      </c>
      <c r="AK111" s="36">
        <v>2024</v>
      </c>
      <c r="AL111" s="18">
        <v>40030</v>
      </c>
      <c r="AM111" s="19" t="s">
        <v>4088</v>
      </c>
      <c r="AN111" s="38"/>
      <c r="AO111" s="10"/>
      <c r="AP111" s="40"/>
      <c r="AQ111" s="20">
        <v>691369017</v>
      </c>
      <c r="AR111" s="47" t="s">
        <v>4089</v>
      </c>
      <c r="AS111" s="62"/>
      <c r="AT111" s="62"/>
      <c r="AU111" s="11"/>
      <c r="AV111" s="10"/>
      <c r="AW111" s="11"/>
      <c r="AX111" s="11"/>
      <c r="AY111" s="11"/>
      <c r="AZ111" s="11"/>
      <c r="BA111" s="11"/>
      <c r="BB111" s="59"/>
      <c r="BC111" s="59"/>
      <c r="BD111" s="59"/>
      <c r="BE111" s="59"/>
      <c r="BF111" s="59"/>
      <c r="BG111" s="59"/>
      <c r="BH111" s="138"/>
      <c r="BI111" s="138"/>
      <c r="BJ111" s="138"/>
      <c r="BK111" s="231"/>
      <c r="BL111" s="231"/>
      <c r="BM111" s="231"/>
      <c r="BN111" s="232"/>
      <c r="BO111" s="19"/>
      <c r="BP111" s="23"/>
      <c r="BQ111" s="23"/>
      <c r="BR111" s="23"/>
      <c r="BS111" s="43"/>
      <c r="BT111"/>
    </row>
    <row r="112" spans="1:72" s="150" customFormat="1" ht="12.75" customHeight="1" x14ac:dyDescent="0.15">
      <c r="A112" s="48" t="s">
        <v>776</v>
      </c>
      <c r="B112" s="9" t="s">
        <v>777</v>
      </c>
      <c r="C112" s="9"/>
      <c r="D112" s="9"/>
      <c r="E112" s="9"/>
      <c r="F112" s="10" t="s">
        <v>107</v>
      </c>
      <c r="G112" s="10" t="s">
        <v>778</v>
      </c>
      <c r="H112" s="5" t="s">
        <v>779</v>
      </c>
      <c r="I112" s="11" t="s">
        <v>780</v>
      </c>
      <c r="J112" s="357" t="s">
        <v>320</v>
      </c>
      <c r="K112" s="353"/>
      <c r="L112" s="221">
        <v>150</v>
      </c>
      <c r="M112" s="221"/>
      <c r="N112" s="814" t="str">
        <f t="shared" si="2"/>
        <v>comité</v>
      </c>
      <c r="O112" s="729">
        <v>9</v>
      </c>
      <c r="P112" s="729"/>
      <c r="Q112" s="730" t="str">
        <f t="shared" si="3"/>
        <v>Vétérans - Hommes</v>
      </c>
      <c r="R112" s="731"/>
      <c r="S112" s="731"/>
      <c r="T112" s="731"/>
      <c r="U112" s="731"/>
      <c r="V112" s="731"/>
      <c r="W112" s="731"/>
      <c r="X112" s="731"/>
      <c r="Y112" s="731"/>
      <c r="Z112" s="731"/>
      <c r="AA112" s="731"/>
      <c r="AB112" s="12" t="s">
        <v>2956</v>
      </c>
      <c r="AC112" s="12" t="s">
        <v>2956</v>
      </c>
      <c r="AD112" s="12" t="s">
        <v>2956</v>
      </c>
      <c r="AE112" s="12"/>
      <c r="AF112" s="12"/>
      <c r="AG112" s="371"/>
      <c r="AH112" s="370"/>
      <c r="AI112" s="18">
        <v>38966</v>
      </c>
      <c r="AJ112" s="18">
        <v>38966</v>
      </c>
      <c r="AK112" s="14" t="s">
        <v>210</v>
      </c>
      <c r="AL112" s="18">
        <v>21435</v>
      </c>
      <c r="AM112" s="19" t="s">
        <v>1780</v>
      </c>
      <c r="AN112" s="38" t="s">
        <v>2758</v>
      </c>
      <c r="AO112" s="10"/>
      <c r="AP112" s="64" t="s">
        <v>1781</v>
      </c>
      <c r="AQ112" s="27" t="s">
        <v>1782</v>
      </c>
      <c r="AR112" s="33" t="s">
        <v>1783</v>
      </c>
      <c r="AS112" s="235"/>
      <c r="AT112" s="235"/>
      <c r="AU112" s="10" t="s">
        <v>1727</v>
      </c>
      <c r="AV112" s="811" t="s">
        <v>4996</v>
      </c>
      <c r="AW112" s="5"/>
      <c r="AX112" s="11"/>
      <c r="AY112" s="53" t="s">
        <v>4997</v>
      </c>
      <c r="AZ112" s="11" t="s">
        <v>2811</v>
      </c>
      <c r="BA112" s="11"/>
      <c r="BB112" s="59" t="s">
        <v>2813</v>
      </c>
      <c r="BC112" s="59" t="s">
        <v>292</v>
      </c>
      <c r="BD112" s="59" t="s">
        <v>1168</v>
      </c>
      <c r="BE112" s="59">
        <v>50</v>
      </c>
      <c r="BF112" s="59"/>
      <c r="BG112" s="59"/>
      <c r="BH112" s="138"/>
      <c r="BI112" s="138"/>
      <c r="BJ112" s="138"/>
      <c r="BK112" s="231"/>
      <c r="BL112" s="231"/>
      <c r="BM112" s="231"/>
      <c r="BN112" s="232"/>
      <c r="BO112" s="19"/>
      <c r="BP112" s="23" t="s">
        <v>1784</v>
      </c>
      <c r="BQ112" s="23"/>
      <c r="BR112" s="23"/>
      <c r="BS112" s="43"/>
    </row>
    <row r="113" spans="1:72" s="150" customFormat="1" ht="12.75" customHeight="1" x14ac:dyDescent="0.15">
      <c r="A113" s="48" t="s">
        <v>3866</v>
      </c>
      <c r="B113" s="9" t="s">
        <v>3867</v>
      </c>
      <c r="C113" s="9"/>
      <c r="D113" s="9"/>
      <c r="E113" s="9"/>
      <c r="F113" s="10" t="s">
        <v>107</v>
      </c>
      <c r="G113" s="10" t="s">
        <v>3870</v>
      </c>
      <c r="H113" s="5" t="s">
        <v>2538</v>
      </c>
      <c r="I113" s="11" t="s">
        <v>2347</v>
      </c>
      <c r="J113" s="357" t="s">
        <v>1697</v>
      </c>
      <c r="K113" s="353"/>
      <c r="L113" s="221">
        <v>5</v>
      </c>
      <c r="M113" s="221"/>
      <c r="N113" s="222" t="str">
        <f t="shared" si="2"/>
        <v>U 15 Hommes</v>
      </c>
      <c r="O113" s="729">
        <v>5</v>
      </c>
      <c r="P113" s="729"/>
      <c r="Q113" s="730" t="str">
        <f t="shared" si="3"/>
        <v>U 15 Hommes</v>
      </c>
      <c r="R113" s="731"/>
      <c r="S113" s="731"/>
      <c r="T113" s="731" t="s">
        <v>192</v>
      </c>
      <c r="U113" s="731"/>
      <c r="V113" s="731"/>
      <c r="W113" s="731"/>
      <c r="X113" s="731"/>
      <c r="Y113" s="731"/>
      <c r="Z113" s="731"/>
      <c r="AA113" s="731"/>
      <c r="AB113" s="12" t="s">
        <v>3929</v>
      </c>
      <c r="AC113" s="12"/>
      <c r="AD113" s="12"/>
      <c r="AE113" s="12"/>
      <c r="AF113" s="12"/>
      <c r="AG113" s="369"/>
      <c r="AH113" s="370"/>
      <c r="AI113" s="18">
        <v>44557</v>
      </c>
      <c r="AJ113" s="18">
        <v>44494</v>
      </c>
      <c r="AK113" s="36">
        <v>2024</v>
      </c>
      <c r="AL113" s="18">
        <v>41140</v>
      </c>
      <c r="AM113" s="19" t="s">
        <v>3871</v>
      </c>
      <c r="AN113" s="38"/>
      <c r="AO113" s="10" t="s">
        <v>3872</v>
      </c>
      <c r="AP113" s="40"/>
      <c r="AQ113" s="20">
        <v>621196555</v>
      </c>
      <c r="AR113" s="47" t="s">
        <v>3873</v>
      </c>
      <c r="AS113" s="62"/>
      <c r="AT113" s="62"/>
      <c r="AU113" s="11"/>
      <c r="AV113" s="10"/>
      <c r="AW113" s="11"/>
      <c r="AX113" s="11"/>
      <c r="AY113" s="11"/>
      <c r="AZ113" s="11"/>
      <c r="BA113" s="11"/>
      <c r="BB113" s="59"/>
      <c r="BC113" s="59"/>
      <c r="BD113" s="59"/>
      <c r="BE113" s="59"/>
      <c r="BF113" s="59"/>
      <c r="BG113" s="59"/>
      <c r="BH113" s="138"/>
      <c r="BI113" s="138"/>
      <c r="BJ113" s="138"/>
      <c r="BK113" s="231"/>
      <c r="BL113" s="231"/>
      <c r="BM113" s="231"/>
      <c r="BN113" s="232" t="s">
        <v>3663</v>
      </c>
      <c r="BO113" s="19"/>
      <c r="BP113" s="23"/>
      <c r="BQ113" s="23"/>
      <c r="BR113" s="23"/>
      <c r="BS113" s="43"/>
      <c r="BT113"/>
    </row>
    <row r="114" spans="1:72" s="150" customFormat="1" ht="12.75" customHeight="1" x14ac:dyDescent="0.15">
      <c r="A114" s="48" t="s">
        <v>3868</v>
      </c>
      <c r="B114" s="9" t="s">
        <v>3869</v>
      </c>
      <c r="C114" s="9"/>
      <c r="D114" s="9"/>
      <c r="E114" s="9"/>
      <c r="F114" s="10" t="s">
        <v>107</v>
      </c>
      <c r="G114" s="10" t="s">
        <v>3870</v>
      </c>
      <c r="H114" s="5" t="s">
        <v>2538</v>
      </c>
      <c r="I114" s="11" t="s">
        <v>2347</v>
      </c>
      <c r="J114" s="357" t="s">
        <v>1697</v>
      </c>
      <c r="K114" s="353"/>
      <c r="L114" s="221">
        <v>212</v>
      </c>
      <c r="M114" s="221"/>
      <c r="N114" s="222" t="str">
        <f t="shared" si="2"/>
        <v>Contact famille</v>
      </c>
      <c r="O114" s="729">
        <v>212</v>
      </c>
      <c r="P114" s="729"/>
      <c r="Q114" s="730" t="str">
        <f t="shared" si="3"/>
        <v>Contact famille</v>
      </c>
      <c r="R114" s="731"/>
      <c r="S114" s="731"/>
      <c r="T114" s="731" t="s">
        <v>313</v>
      </c>
      <c r="U114" s="731"/>
      <c r="V114" s="731"/>
      <c r="W114" s="731"/>
      <c r="X114" s="731"/>
      <c r="Y114" s="731"/>
      <c r="Z114" s="731"/>
      <c r="AA114" s="731"/>
      <c r="AB114" s="12"/>
      <c r="AC114" s="12"/>
      <c r="AD114" s="12"/>
      <c r="AE114" s="12"/>
      <c r="AF114" s="12"/>
      <c r="AG114" s="369"/>
      <c r="AH114" s="370"/>
      <c r="AI114" s="18" t="s">
        <v>242</v>
      </c>
      <c r="AJ114" s="18" t="s">
        <v>242</v>
      </c>
      <c r="AK114" s="13" t="s">
        <v>242</v>
      </c>
      <c r="AL114" s="18" t="s">
        <v>242</v>
      </c>
      <c r="AM114" s="19" t="s">
        <v>244</v>
      </c>
      <c r="AN114" s="38"/>
      <c r="AO114" s="10" t="s">
        <v>3872</v>
      </c>
      <c r="AP114" s="40"/>
      <c r="AQ114" s="20">
        <v>621196555</v>
      </c>
      <c r="AR114" s="47" t="s">
        <v>3873</v>
      </c>
      <c r="AS114" s="62"/>
      <c r="AT114" s="62"/>
      <c r="AU114" s="11"/>
      <c r="AV114" s="10"/>
      <c r="AW114" s="11"/>
      <c r="AX114" s="11"/>
      <c r="AY114" s="11"/>
      <c r="AZ114" s="11"/>
      <c r="BA114" s="11"/>
      <c r="BB114" s="59"/>
      <c r="BC114" s="59"/>
      <c r="BD114" s="59"/>
      <c r="BE114" s="59"/>
      <c r="BF114" s="59"/>
      <c r="BG114" s="59"/>
      <c r="BH114" s="138"/>
      <c r="BI114" s="138"/>
      <c r="BJ114" s="138"/>
      <c r="BK114" s="231"/>
      <c r="BL114" s="231"/>
      <c r="BM114" s="231"/>
      <c r="BN114" s="232"/>
      <c r="BO114" s="19"/>
      <c r="BP114" s="23"/>
      <c r="BQ114" s="23"/>
      <c r="BR114" s="23"/>
      <c r="BS114" s="43"/>
    </row>
    <row r="115" spans="1:72" ht="12.75" customHeight="1" x14ac:dyDescent="0.15">
      <c r="A115" s="48" t="s">
        <v>4594</v>
      </c>
      <c r="B115" s="9" t="s">
        <v>1434</v>
      </c>
      <c r="C115" s="9"/>
      <c r="D115" s="9"/>
      <c r="E115" s="9"/>
      <c r="F115" s="112" t="s">
        <v>107</v>
      </c>
      <c r="G115" s="10" t="s">
        <v>1648</v>
      </c>
      <c r="H115" s="5" t="s">
        <v>293</v>
      </c>
      <c r="I115" s="11" t="s">
        <v>294</v>
      </c>
      <c r="J115" s="357" t="s">
        <v>4593</v>
      </c>
      <c r="K115" s="353"/>
      <c r="L115" s="221">
        <v>212</v>
      </c>
      <c r="M115" s="221"/>
      <c r="N115" s="222" t="str">
        <f t="shared" si="2"/>
        <v>Contact famille</v>
      </c>
      <c r="O115" s="729">
        <v>212</v>
      </c>
      <c r="P115" s="729"/>
      <c r="Q115" s="730" t="str">
        <f t="shared" si="3"/>
        <v>Contact famille</v>
      </c>
      <c r="R115" s="731"/>
      <c r="S115" s="731"/>
      <c r="T115" s="731"/>
      <c r="U115" s="731"/>
      <c r="V115" s="731"/>
      <c r="W115" s="731"/>
      <c r="X115" s="731" t="s">
        <v>313</v>
      </c>
      <c r="Y115" s="731"/>
      <c r="Z115" s="731"/>
      <c r="AA115" s="731"/>
      <c r="AB115" s="12"/>
      <c r="AC115" s="12"/>
      <c r="AD115" s="12"/>
      <c r="AE115" s="12"/>
      <c r="AF115" s="12"/>
      <c r="AG115" s="369"/>
      <c r="AH115" s="370"/>
      <c r="AI115" s="18" t="s">
        <v>242</v>
      </c>
      <c r="AJ115" s="18" t="s">
        <v>242</v>
      </c>
      <c r="AK115" s="13" t="s">
        <v>242</v>
      </c>
      <c r="AL115" s="13" t="s">
        <v>242</v>
      </c>
      <c r="AM115" s="46" t="s">
        <v>244</v>
      </c>
      <c r="AN115" s="38"/>
      <c r="AO115" s="10"/>
      <c r="AP115" s="40"/>
      <c r="AQ115" s="10"/>
      <c r="AR115" s="21"/>
      <c r="AS115" s="62"/>
      <c r="AT115" s="62"/>
      <c r="AU115" s="11"/>
      <c r="AV115" s="10"/>
      <c r="AW115" s="11"/>
      <c r="AX115" s="11"/>
      <c r="AY115" s="11"/>
      <c r="AZ115" s="11"/>
      <c r="BA115" s="11"/>
      <c r="BB115" s="59"/>
      <c r="BC115" s="59"/>
      <c r="BD115" s="59"/>
      <c r="BE115" s="59"/>
      <c r="BF115" s="59"/>
      <c r="BG115" s="59"/>
      <c r="BH115" s="138"/>
      <c r="BI115" s="138"/>
      <c r="BJ115" s="138"/>
      <c r="BK115" s="231"/>
      <c r="BL115" s="231"/>
      <c r="BM115" s="231"/>
      <c r="BN115" s="232"/>
      <c r="BO115" s="19"/>
      <c r="BP115" s="23"/>
      <c r="BQ115" s="23"/>
      <c r="BR115" s="23"/>
      <c r="BS115" s="43"/>
    </row>
    <row r="116" spans="1:72" s="150" customFormat="1" ht="12.75" customHeight="1" x14ac:dyDescent="0.15">
      <c r="A116" s="48" t="s">
        <v>3934</v>
      </c>
      <c r="B116" s="9" t="s">
        <v>3937</v>
      </c>
      <c r="C116" s="9"/>
      <c r="D116" s="9"/>
      <c r="E116" s="9"/>
      <c r="F116" s="40" t="s">
        <v>3938</v>
      </c>
      <c r="G116" s="40" t="s">
        <v>3939</v>
      </c>
      <c r="H116" s="52" t="s">
        <v>3940</v>
      </c>
      <c r="I116" s="53" t="s">
        <v>1656</v>
      </c>
      <c r="J116" s="357" t="s">
        <v>3933</v>
      </c>
      <c r="K116" s="353"/>
      <c r="L116" s="221">
        <v>212</v>
      </c>
      <c r="M116" s="221"/>
      <c r="N116" s="222" t="str">
        <f t="shared" si="2"/>
        <v>Contact famille</v>
      </c>
      <c r="O116" s="729">
        <v>212</v>
      </c>
      <c r="P116" s="729"/>
      <c r="Q116" s="730" t="str">
        <f t="shared" si="3"/>
        <v>Contact famille</v>
      </c>
      <c r="R116" s="731"/>
      <c r="S116" s="731"/>
      <c r="T116" s="731"/>
      <c r="U116" s="731"/>
      <c r="V116" s="731"/>
      <c r="W116" s="731" t="s">
        <v>313</v>
      </c>
      <c r="X116" s="731"/>
      <c r="Y116" s="731"/>
      <c r="Z116" s="731"/>
      <c r="AA116" s="731"/>
      <c r="AB116" s="12"/>
      <c r="AC116" s="12"/>
      <c r="AD116" s="12"/>
      <c r="AE116" s="12"/>
      <c r="AF116" s="12"/>
      <c r="AG116" s="369"/>
      <c r="AH116" s="370"/>
      <c r="AI116" s="45" t="s">
        <v>242</v>
      </c>
      <c r="AJ116" s="45" t="s">
        <v>242</v>
      </c>
      <c r="AK116" s="427" t="s">
        <v>242</v>
      </c>
      <c r="AL116" s="45" t="s">
        <v>242</v>
      </c>
      <c r="AM116" s="45" t="s">
        <v>242</v>
      </c>
      <c r="AN116" s="38"/>
      <c r="AO116" s="10"/>
      <c r="AP116" s="40"/>
      <c r="AQ116" s="64">
        <v>691281557</v>
      </c>
      <c r="AR116" s="47" t="s">
        <v>3943</v>
      </c>
      <c r="AS116" s="62"/>
      <c r="AT116" s="62"/>
      <c r="AU116" s="11"/>
      <c r="AV116" s="10"/>
      <c r="AW116" s="11"/>
      <c r="AX116" s="11"/>
      <c r="AY116" s="11"/>
      <c r="AZ116" s="11"/>
      <c r="BA116" s="11"/>
      <c r="BB116" s="59"/>
      <c r="BC116" s="59"/>
      <c r="BD116" s="59"/>
      <c r="BE116" s="59"/>
      <c r="BF116" s="59"/>
      <c r="BG116" s="59"/>
      <c r="BH116" s="138"/>
      <c r="BI116" s="138"/>
      <c r="BJ116" s="138"/>
      <c r="BK116" s="231"/>
      <c r="BL116" s="231"/>
      <c r="BM116" s="231"/>
      <c r="BN116" s="232"/>
      <c r="BO116" s="19"/>
      <c r="BP116" s="23"/>
      <c r="BQ116" s="23"/>
      <c r="BR116" s="23"/>
      <c r="BS116" s="43"/>
    </row>
    <row r="117" spans="1:72" ht="12.75" customHeight="1" x14ac:dyDescent="0.15">
      <c r="A117" s="48" t="s">
        <v>3934</v>
      </c>
      <c r="B117" s="9" t="s">
        <v>3936</v>
      </c>
      <c r="C117" s="9"/>
      <c r="D117" s="9"/>
      <c r="E117" s="9"/>
      <c r="F117" s="40" t="s">
        <v>3938</v>
      </c>
      <c r="G117" s="40" t="s">
        <v>3939</v>
      </c>
      <c r="H117" s="52" t="s">
        <v>3940</v>
      </c>
      <c r="I117" s="53" t="s">
        <v>1656</v>
      </c>
      <c r="J117" s="357" t="s">
        <v>3933</v>
      </c>
      <c r="K117" s="353"/>
      <c r="L117" s="221">
        <v>18</v>
      </c>
      <c r="M117" s="221"/>
      <c r="N117" s="222" t="str">
        <f t="shared" si="2"/>
        <v>U 9 Dames</v>
      </c>
      <c r="O117" s="729">
        <v>18</v>
      </c>
      <c r="P117" s="729"/>
      <c r="Q117" s="730" t="str">
        <f t="shared" si="3"/>
        <v>U 9 Dames</v>
      </c>
      <c r="R117" s="731"/>
      <c r="S117" s="731"/>
      <c r="T117" s="731"/>
      <c r="U117" s="731"/>
      <c r="V117" s="731"/>
      <c r="W117" s="731" t="s">
        <v>192</v>
      </c>
      <c r="X117" s="731"/>
      <c r="Y117" s="731"/>
      <c r="Z117" s="731"/>
      <c r="AA117" s="731"/>
      <c r="AB117" s="12" t="s">
        <v>4001</v>
      </c>
      <c r="AC117" s="12"/>
      <c r="AD117" s="12"/>
      <c r="AE117" s="12"/>
      <c r="AF117" s="12"/>
      <c r="AG117" s="369"/>
      <c r="AH117" s="370"/>
      <c r="AI117" s="18">
        <v>44649</v>
      </c>
      <c r="AJ117" s="18">
        <v>44568</v>
      </c>
      <c r="AK117" s="615">
        <v>2025</v>
      </c>
      <c r="AL117" s="18">
        <v>43301</v>
      </c>
      <c r="AM117" s="46" t="s">
        <v>3941</v>
      </c>
      <c r="AN117" s="38"/>
      <c r="AO117" s="10"/>
      <c r="AP117" s="40" t="s">
        <v>3942</v>
      </c>
      <c r="AQ117" s="64" t="s">
        <v>4153</v>
      </c>
      <c r="AR117" s="47" t="s">
        <v>3943</v>
      </c>
      <c r="AS117" s="62"/>
      <c r="AT117" s="62"/>
      <c r="AU117" s="11"/>
      <c r="AV117" s="10"/>
      <c r="AW117" s="11"/>
      <c r="AX117" s="11"/>
      <c r="AY117" s="11"/>
      <c r="AZ117" s="11"/>
      <c r="BA117" s="11"/>
      <c r="BB117" s="59"/>
      <c r="BC117" s="59"/>
      <c r="BD117" s="59"/>
      <c r="BE117" s="59"/>
      <c r="BF117" s="59"/>
      <c r="BG117" s="59"/>
      <c r="BH117" s="138"/>
      <c r="BI117" s="138"/>
      <c r="BJ117" s="138"/>
      <c r="BK117" s="231"/>
      <c r="BL117" s="231"/>
      <c r="BM117" s="231"/>
      <c r="BN117" s="232"/>
      <c r="BO117" s="19"/>
      <c r="BP117" s="23"/>
      <c r="BQ117" s="23"/>
      <c r="BR117" s="23"/>
      <c r="BS117" s="43"/>
    </row>
    <row r="118" spans="1:72" s="150" customFormat="1" ht="12.75" customHeight="1" x14ac:dyDescent="0.15">
      <c r="A118" s="48" t="s">
        <v>4990</v>
      </c>
      <c r="B118" s="9" t="s">
        <v>1642</v>
      </c>
      <c r="C118" s="9"/>
      <c r="D118" s="9"/>
      <c r="E118" s="9"/>
      <c r="F118" s="112" t="s">
        <v>107</v>
      </c>
      <c r="G118" s="10" t="s">
        <v>4991</v>
      </c>
      <c r="H118" s="5" t="s">
        <v>4373</v>
      </c>
      <c r="I118" s="11" t="s">
        <v>936</v>
      </c>
      <c r="J118" s="357" t="s">
        <v>4982</v>
      </c>
      <c r="K118" s="353"/>
      <c r="L118" s="221">
        <v>210</v>
      </c>
      <c r="M118" s="221"/>
      <c r="N118" s="222" t="str">
        <f t="shared" si="2"/>
        <v>Contact famille M</v>
      </c>
      <c r="O118" s="729">
        <v>212</v>
      </c>
      <c r="P118" s="729"/>
      <c r="Q118" s="730" t="str">
        <f t="shared" si="3"/>
        <v>Contact famille</v>
      </c>
      <c r="R118" s="731"/>
      <c r="S118" s="731"/>
      <c r="T118" s="731"/>
      <c r="U118" s="731"/>
      <c r="V118" s="731" t="s">
        <v>313</v>
      </c>
      <c r="W118" s="731"/>
      <c r="X118" s="731"/>
      <c r="Y118" s="731"/>
      <c r="Z118" s="731"/>
      <c r="AA118" s="731"/>
      <c r="AB118" s="12"/>
      <c r="AC118" s="12"/>
      <c r="AD118" s="12"/>
      <c r="AE118" s="12"/>
      <c r="AF118" s="12"/>
      <c r="AG118" s="369"/>
      <c r="AH118" s="370"/>
      <c r="AI118" s="18" t="s">
        <v>242</v>
      </c>
      <c r="AJ118" s="18" t="s">
        <v>242</v>
      </c>
      <c r="AK118" s="13" t="s">
        <v>242</v>
      </c>
      <c r="AL118" s="18" t="s">
        <v>242</v>
      </c>
      <c r="AM118" s="19" t="s">
        <v>244</v>
      </c>
      <c r="AN118" s="38"/>
      <c r="AO118" s="10"/>
      <c r="AP118" s="40"/>
      <c r="AQ118" s="20">
        <v>691311820</v>
      </c>
      <c r="AR118" s="21" t="s">
        <v>4994</v>
      </c>
      <c r="AS118" s="62"/>
      <c r="AT118" s="62"/>
      <c r="AU118" s="11"/>
      <c r="AV118" s="10"/>
      <c r="AW118" s="11"/>
      <c r="AX118" s="11"/>
      <c r="AY118" s="11"/>
      <c r="AZ118" s="11"/>
      <c r="BA118" s="11"/>
      <c r="BB118" s="59"/>
      <c r="BC118" s="59"/>
      <c r="BD118" s="59"/>
      <c r="BE118" s="59"/>
      <c r="BF118" s="59"/>
      <c r="BG118" s="59"/>
      <c r="BH118" s="138"/>
      <c r="BI118" s="138"/>
      <c r="BJ118" s="138"/>
      <c r="BK118" s="231"/>
      <c r="BL118" s="231"/>
      <c r="BM118" s="231"/>
      <c r="BN118" s="232"/>
      <c r="BO118" s="19"/>
      <c r="BP118" s="23"/>
      <c r="BQ118" s="23"/>
      <c r="BR118" s="23"/>
      <c r="BS118" s="43"/>
      <c r="BT118"/>
    </row>
    <row r="119" spans="1:72" s="150" customFormat="1" ht="12.75" customHeight="1" x14ac:dyDescent="0.15">
      <c r="A119" s="48" t="s">
        <v>1786</v>
      </c>
      <c r="B119" s="9" t="s">
        <v>1367</v>
      </c>
      <c r="C119" s="9"/>
      <c r="D119" s="9"/>
      <c r="E119" s="9"/>
      <c r="F119" s="10" t="s">
        <v>107</v>
      </c>
      <c r="G119" s="10" t="s">
        <v>1787</v>
      </c>
      <c r="H119" s="5" t="s">
        <v>1788</v>
      </c>
      <c r="I119" s="11" t="s">
        <v>1789</v>
      </c>
      <c r="J119" s="357" t="s">
        <v>320</v>
      </c>
      <c r="K119" s="354"/>
      <c r="L119" s="221">
        <v>300</v>
      </c>
      <c r="M119" s="221"/>
      <c r="N119" s="222" t="str">
        <f t="shared" si="2"/>
        <v>Prêt, sortie Mersch75</v>
      </c>
      <c r="O119" s="729">
        <v>12</v>
      </c>
      <c r="P119" s="729"/>
      <c r="Q119" s="730" t="str">
        <f t="shared" si="3"/>
        <v>Dames</v>
      </c>
      <c r="R119" s="731"/>
      <c r="S119" s="731"/>
      <c r="T119" s="731"/>
      <c r="U119" s="731"/>
      <c r="V119" s="731"/>
      <c r="W119" s="731"/>
      <c r="X119" s="731"/>
      <c r="Y119" s="731"/>
      <c r="Z119" s="731"/>
      <c r="AA119" s="731"/>
      <c r="AB119" s="12" t="s">
        <v>2957</v>
      </c>
      <c r="AC119" s="12"/>
      <c r="AD119" s="12"/>
      <c r="AE119" s="12"/>
      <c r="AF119" s="12"/>
      <c r="AG119" s="369"/>
      <c r="AH119" s="370"/>
      <c r="AI119" s="18">
        <v>43542</v>
      </c>
      <c r="AJ119" s="18">
        <v>43536</v>
      </c>
      <c r="AK119" s="467">
        <v>2024</v>
      </c>
      <c r="AL119" s="18">
        <v>34451</v>
      </c>
      <c r="AM119" s="19" t="s">
        <v>1790</v>
      </c>
      <c r="AN119" s="19"/>
      <c r="AO119" s="10"/>
      <c r="AP119" s="40"/>
      <c r="AQ119" s="10" t="s">
        <v>1791</v>
      </c>
      <c r="AR119" s="21" t="s">
        <v>1792</v>
      </c>
      <c r="AS119" s="62"/>
      <c r="AT119" s="62"/>
      <c r="AU119" s="11"/>
      <c r="AV119" s="10"/>
      <c r="AW119" s="11"/>
      <c r="AX119" s="11"/>
      <c r="AY119" s="11"/>
      <c r="AZ119" s="11" t="s">
        <v>2792</v>
      </c>
      <c r="BA119" s="11"/>
      <c r="BB119" s="59" t="s">
        <v>2813</v>
      </c>
      <c r="BC119" s="59" t="s">
        <v>3151</v>
      </c>
      <c r="BD119" s="59"/>
      <c r="BE119" s="59">
        <v>50</v>
      </c>
      <c r="BF119" s="59"/>
      <c r="BG119" s="59" t="s">
        <v>3162</v>
      </c>
      <c r="BH119" s="138"/>
      <c r="BI119" s="138"/>
      <c r="BJ119" s="138"/>
      <c r="BK119" s="231"/>
      <c r="BL119" s="231"/>
      <c r="BM119" s="231"/>
      <c r="BN119" s="232"/>
      <c r="BO119" s="19"/>
      <c r="BP119" s="23"/>
      <c r="BQ119" s="23"/>
      <c r="BR119" s="23"/>
      <c r="BS119" s="43"/>
      <c r="BT119"/>
    </row>
    <row r="120" spans="1:72" ht="12.75" customHeight="1" x14ac:dyDescent="0.15">
      <c r="A120" s="48" t="s">
        <v>578</v>
      </c>
      <c r="B120" s="9" t="s">
        <v>579</v>
      </c>
      <c r="C120" s="9"/>
      <c r="D120" s="9"/>
      <c r="E120" s="9"/>
      <c r="F120" s="10" t="s">
        <v>107</v>
      </c>
      <c r="G120" s="10" t="s">
        <v>2133</v>
      </c>
      <c r="H120" s="5" t="s">
        <v>481</v>
      </c>
      <c r="I120" s="11" t="s">
        <v>223</v>
      </c>
      <c r="J120" s="357" t="s">
        <v>2409</v>
      </c>
      <c r="K120" s="353"/>
      <c r="L120" s="221">
        <v>212</v>
      </c>
      <c r="M120" s="221"/>
      <c r="N120" s="222" t="str">
        <f t="shared" si="2"/>
        <v>Contact famille</v>
      </c>
      <c r="O120" s="729">
        <v>212</v>
      </c>
      <c r="P120" s="729"/>
      <c r="Q120" s="730" t="str">
        <f t="shared" si="3"/>
        <v>Contact famille</v>
      </c>
      <c r="R120" s="731"/>
      <c r="S120" s="731"/>
      <c r="T120" s="731"/>
      <c r="U120" s="731"/>
      <c r="V120" s="731"/>
      <c r="W120" s="731"/>
      <c r="X120" s="731" t="s">
        <v>313</v>
      </c>
      <c r="Y120" s="731"/>
      <c r="Z120" s="731"/>
      <c r="AA120" s="731"/>
      <c r="AB120" s="12"/>
      <c r="AC120" s="12"/>
      <c r="AD120" s="12"/>
      <c r="AE120" s="12"/>
      <c r="AF120" s="12"/>
      <c r="AG120" s="369"/>
      <c r="AH120" s="370"/>
      <c r="AI120" s="18" t="s">
        <v>242</v>
      </c>
      <c r="AJ120" s="18" t="s">
        <v>242</v>
      </c>
      <c r="AK120" s="427" t="s">
        <v>242</v>
      </c>
      <c r="AL120" s="18" t="s">
        <v>242</v>
      </c>
      <c r="AM120" s="18" t="s">
        <v>244</v>
      </c>
      <c r="AN120" s="38"/>
      <c r="AO120" s="10"/>
      <c r="AP120" s="40"/>
      <c r="AQ120" s="20">
        <v>621466175</v>
      </c>
      <c r="AR120" s="21"/>
      <c r="AS120" s="62"/>
      <c r="AT120" s="62"/>
      <c r="AU120" s="11"/>
      <c r="AV120" s="10"/>
      <c r="AW120" s="11"/>
      <c r="AX120" s="11"/>
      <c r="AY120" s="11"/>
      <c r="AZ120" s="11"/>
      <c r="BA120" s="11"/>
      <c r="BB120" s="59"/>
      <c r="BC120" s="59"/>
      <c r="BD120" s="59"/>
      <c r="BE120" s="59"/>
      <c r="BF120" s="59"/>
      <c r="BG120" s="59"/>
      <c r="BH120" s="138"/>
      <c r="BI120" s="138"/>
      <c r="BJ120" s="138"/>
      <c r="BK120" s="231"/>
      <c r="BL120" s="231"/>
      <c r="BM120" s="231"/>
      <c r="BN120" s="232"/>
      <c r="BO120" s="19"/>
      <c r="BP120" s="23"/>
      <c r="BQ120" s="23"/>
      <c r="BR120" s="23"/>
      <c r="BS120" s="43"/>
    </row>
    <row r="121" spans="1:72" ht="12.75" customHeight="1" x14ac:dyDescent="0.15">
      <c r="A121" s="48" t="s">
        <v>4830</v>
      </c>
      <c r="B121" s="9" t="s">
        <v>467</v>
      </c>
      <c r="C121" s="9"/>
      <c r="D121" s="9"/>
      <c r="E121" s="9"/>
      <c r="F121" s="112" t="s">
        <v>107</v>
      </c>
      <c r="G121" s="10" t="s">
        <v>4831</v>
      </c>
      <c r="H121" s="5" t="s">
        <v>82</v>
      </c>
      <c r="I121" s="11" t="s">
        <v>4832</v>
      </c>
      <c r="J121" s="357" t="s">
        <v>320</v>
      </c>
      <c r="K121" s="353"/>
      <c r="L121" s="221">
        <v>3</v>
      </c>
      <c r="M121" s="221"/>
      <c r="N121" s="222" t="str">
        <f t="shared" si="2"/>
        <v>U 21 Hommes</v>
      </c>
      <c r="O121" s="729">
        <v>3</v>
      </c>
      <c r="P121" s="729"/>
      <c r="Q121" s="730" t="str">
        <f t="shared" si="3"/>
        <v>U 21 Hommes</v>
      </c>
      <c r="R121" s="731"/>
      <c r="S121" s="731"/>
      <c r="T121" s="731"/>
      <c r="U121" s="731"/>
      <c r="V121" s="731"/>
      <c r="W121" s="731"/>
      <c r="X121" s="731"/>
      <c r="Y121" s="731"/>
      <c r="Z121" s="731"/>
      <c r="AA121" s="731"/>
      <c r="AB121" s="12" t="s">
        <v>4847</v>
      </c>
      <c r="AC121" s="12"/>
      <c r="AD121" s="12"/>
      <c r="AE121" s="12"/>
      <c r="AF121" s="12"/>
      <c r="AG121" s="369"/>
      <c r="AH121" s="370"/>
      <c r="AI121" s="18">
        <v>43032</v>
      </c>
      <c r="AJ121" s="18">
        <v>45505</v>
      </c>
      <c r="AK121" s="13">
        <v>2026</v>
      </c>
      <c r="AL121" s="18">
        <v>39054</v>
      </c>
      <c r="AM121" s="19" t="s">
        <v>4833</v>
      </c>
      <c r="AN121" s="38"/>
      <c r="AO121" s="10"/>
      <c r="AP121" s="40"/>
      <c r="AQ121" s="20">
        <v>621489964</v>
      </c>
      <c r="AR121" s="47" t="s">
        <v>4834</v>
      </c>
      <c r="AS121" s="62"/>
      <c r="AT121" s="62"/>
      <c r="AU121" s="11"/>
      <c r="AV121" s="10"/>
      <c r="AW121" s="11"/>
      <c r="AX121" s="11"/>
      <c r="AY121" s="11"/>
      <c r="AZ121" s="11"/>
      <c r="BA121" s="11"/>
      <c r="BB121" s="59"/>
      <c r="BC121" s="59"/>
      <c r="BD121" s="59"/>
      <c r="BE121" s="59"/>
      <c r="BF121" s="59"/>
      <c r="BG121" s="59"/>
      <c r="BH121" s="138"/>
      <c r="BI121" s="138"/>
      <c r="BJ121" s="138"/>
      <c r="BK121" s="231"/>
      <c r="BL121" s="231"/>
      <c r="BM121" s="231"/>
      <c r="BN121" s="232"/>
      <c r="BO121" s="19"/>
      <c r="BP121" s="23"/>
      <c r="BQ121" s="23"/>
      <c r="BR121" s="23"/>
      <c r="BS121" s="43"/>
    </row>
    <row r="122" spans="1:72" s="150" customFormat="1" ht="12.75" customHeight="1" x14ac:dyDescent="0.15">
      <c r="A122" s="48" t="s">
        <v>3881</v>
      </c>
      <c r="B122" s="9" t="s">
        <v>3884</v>
      </c>
      <c r="C122" s="9"/>
      <c r="D122" s="9"/>
      <c r="E122" s="9"/>
      <c r="F122" s="10" t="s">
        <v>107</v>
      </c>
      <c r="G122" s="10" t="s">
        <v>3885</v>
      </c>
      <c r="H122" s="5" t="s">
        <v>612</v>
      </c>
      <c r="I122" s="11" t="s">
        <v>613</v>
      </c>
      <c r="J122" s="357" t="s">
        <v>1062</v>
      </c>
      <c r="K122" s="353"/>
      <c r="L122" s="221">
        <v>212</v>
      </c>
      <c r="M122" s="221"/>
      <c r="N122" s="222" t="str">
        <f t="shared" si="2"/>
        <v>Contact famille</v>
      </c>
      <c r="O122" s="729">
        <v>212</v>
      </c>
      <c r="P122" s="729"/>
      <c r="Q122" s="730" t="str">
        <f t="shared" si="3"/>
        <v>Contact famille</v>
      </c>
      <c r="R122" s="731"/>
      <c r="S122" s="731"/>
      <c r="T122" s="731"/>
      <c r="U122" s="731"/>
      <c r="V122" s="731" t="s">
        <v>313</v>
      </c>
      <c r="W122" s="731" t="s">
        <v>313</v>
      </c>
      <c r="X122" s="731"/>
      <c r="Y122" s="731"/>
      <c r="Z122" s="731"/>
      <c r="AA122" s="731"/>
      <c r="AB122" s="12"/>
      <c r="AC122" s="12"/>
      <c r="AD122" s="12"/>
      <c r="AE122" s="12"/>
      <c r="AF122" s="12"/>
      <c r="AG122" s="369"/>
      <c r="AH122" s="370"/>
      <c r="AI122" s="18" t="s">
        <v>242</v>
      </c>
      <c r="AJ122" s="18" t="s">
        <v>242</v>
      </c>
      <c r="AK122" s="13" t="s">
        <v>242</v>
      </c>
      <c r="AL122" s="18" t="s">
        <v>242</v>
      </c>
      <c r="AM122" s="19" t="s">
        <v>244</v>
      </c>
      <c r="AN122" s="38"/>
      <c r="AO122" s="10"/>
      <c r="AP122" s="40"/>
      <c r="AQ122" s="64">
        <v>691525137</v>
      </c>
      <c r="AR122" s="47" t="s">
        <v>3890</v>
      </c>
      <c r="AS122" s="62"/>
      <c r="AT122" s="62"/>
      <c r="AU122" s="11"/>
      <c r="AV122" s="10"/>
      <c r="AW122" s="11"/>
      <c r="AX122" s="11"/>
      <c r="AY122" s="11"/>
      <c r="AZ122" s="11"/>
      <c r="BA122" s="11"/>
      <c r="BB122" s="59"/>
      <c r="BC122" s="59"/>
      <c r="BD122" s="59"/>
      <c r="BE122" s="59"/>
      <c r="BF122" s="59"/>
      <c r="BG122" s="59"/>
      <c r="BH122" s="138"/>
      <c r="BI122" s="138"/>
      <c r="BJ122" s="138"/>
      <c r="BK122" s="231"/>
      <c r="BL122" s="231"/>
      <c r="BM122" s="231"/>
      <c r="BN122" s="232"/>
      <c r="BO122" s="19"/>
      <c r="BP122" s="23"/>
      <c r="BQ122" s="23"/>
      <c r="BR122" s="23"/>
      <c r="BS122" s="43"/>
      <c r="BT122"/>
    </row>
    <row r="123" spans="1:72" s="150" customFormat="1" ht="12.75" customHeight="1" x14ac:dyDescent="0.15">
      <c r="A123" s="48" t="s">
        <v>3881</v>
      </c>
      <c r="B123" s="9" t="s">
        <v>4292</v>
      </c>
      <c r="C123" s="9"/>
      <c r="D123" s="9"/>
      <c r="E123" s="9"/>
      <c r="F123" s="10" t="s">
        <v>4293</v>
      </c>
      <c r="G123" s="10" t="s">
        <v>3885</v>
      </c>
      <c r="H123" s="5" t="s">
        <v>612</v>
      </c>
      <c r="I123" s="11" t="s">
        <v>613</v>
      </c>
      <c r="J123" s="357" t="s">
        <v>1062</v>
      </c>
      <c r="K123" s="353"/>
      <c r="L123" s="221">
        <v>17</v>
      </c>
      <c r="M123" s="221"/>
      <c r="N123" s="222" t="str">
        <f t="shared" si="2"/>
        <v>U 11 Dames</v>
      </c>
      <c r="O123" s="729">
        <v>17</v>
      </c>
      <c r="P123" s="729"/>
      <c r="Q123" s="730" t="str">
        <f t="shared" si="3"/>
        <v>U 11 Dames</v>
      </c>
      <c r="R123" s="731"/>
      <c r="S123" s="731"/>
      <c r="T123" s="731"/>
      <c r="U123" s="731"/>
      <c r="V123" s="731" t="s">
        <v>192</v>
      </c>
      <c r="W123" s="731"/>
      <c r="X123" s="731"/>
      <c r="Y123" s="731"/>
      <c r="Z123" s="731"/>
      <c r="AA123" s="731"/>
      <c r="AB123" s="12" t="s">
        <v>4324</v>
      </c>
      <c r="AC123" s="12"/>
      <c r="AD123" s="12"/>
      <c r="AE123" s="12"/>
      <c r="AF123" s="12"/>
      <c r="AG123" s="369"/>
      <c r="AH123" s="370"/>
      <c r="AI123" s="18">
        <v>44992</v>
      </c>
      <c r="AJ123" s="18">
        <v>44964</v>
      </c>
      <c r="AK123" s="13">
        <v>2028</v>
      </c>
      <c r="AL123" s="18">
        <v>42538</v>
      </c>
      <c r="AM123" s="19" t="s">
        <v>4294</v>
      </c>
      <c r="AN123" s="38"/>
      <c r="AO123" s="10"/>
      <c r="AP123" s="40" t="s">
        <v>3887</v>
      </c>
      <c r="AQ123" s="10" t="s">
        <v>3888</v>
      </c>
      <c r="AR123" s="47" t="s">
        <v>3889</v>
      </c>
      <c r="AS123" s="62"/>
      <c r="AT123" s="62"/>
      <c r="AU123" s="11"/>
      <c r="AV123" s="10"/>
      <c r="AW123" s="11"/>
      <c r="AX123" s="11"/>
      <c r="AY123" s="11"/>
      <c r="AZ123" s="11"/>
      <c r="BA123" s="11"/>
      <c r="BB123" s="59"/>
      <c r="BC123" s="59"/>
      <c r="BD123" s="59"/>
      <c r="BE123" s="59"/>
      <c r="BF123" s="59"/>
      <c r="BG123" s="59"/>
      <c r="BH123" s="138"/>
      <c r="BI123" s="138"/>
      <c r="BJ123" s="138"/>
      <c r="BK123" s="231"/>
      <c r="BL123" s="231"/>
      <c r="BM123" s="231"/>
      <c r="BN123" s="232"/>
      <c r="BO123" s="19"/>
      <c r="BP123" s="23"/>
      <c r="BQ123" s="23"/>
      <c r="BR123" s="23"/>
      <c r="BS123" s="43"/>
      <c r="BT123"/>
    </row>
    <row r="124" spans="1:72" s="150" customFormat="1" ht="12.75" customHeight="1" x14ac:dyDescent="0.15">
      <c r="A124" s="48" t="s">
        <v>3881</v>
      </c>
      <c r="B124" s="9" t="s">
        <v>3883</v>
      </c>
      <c r="C124" s="9"/>
      <c r="D124" s="9"/>
      <c r="E124" s="9"/>
      <c r="F124" s="10" t="s">
        <v>107</v>
      </c>
      <c r="G124" s="10" t="s">
        <v>3885</v>
      </c>
      <c r="H124" s="5" t="s">
        <v>612</v>
      </c>
      <c r="I124" s="11" t="s">
        <v>613</v>
      </c>
      <c r="J124" s="357" t="s">
        <v>1062</v>
      </c>
      <c r="K124" s="353"/>
      <c r="L124" s="221">
        <v>8</v>
      </c>
      <c r="M124" s="221"/>
      <c r="N124" s="222" t="str">
        <f t="shared" si="2"/>
        <v xml:space="preserve">U 9 Hommes </v>
      </c>
      <c r="O124" s="729">
        <v>8</v>
      </c>
      <c r="P124" s="729"/>
      <c r="Q124" s="730" t="str">
        <f t="shared" si="3"/>
        <v xml:space="preserve">U 9 Hommes </v>
      </c>
      <c r="R124" s="731"/>
      <c r="S124" s="731"/>
      <c r="T124" s="731"/>
      <c r="U124" s="731"/>
      <c r="V124" s="731"/>
      <c r="W124" s="731" t="s">
        <v>192</v>
      </c>
      <c r="X124" s="731"/>
      <c r="Y124" s="731"/>
      <c r="Z124" s="731"/>
      <c r="AA124" s="731"/>
      <c r="AB124" s="12" t="s">
        <v>3930</v>
      </c>
      <c r="AC124" s="12"/>
      <c r="AD124" s="12"/>
      <c r="AE124" s="12"/>
      <c r="AF124" s="12"/>
      <c r="AG124" s="369"/>
      <c r="AH124" s="370"/>
      <c r="AI124" s="18">
        <v>44557</v>
      </c>
      <c r="AJ124" s="18">
        <v>44515</v>
      </c>
      <c r="AK124" s="13">
        <v>2026</v>
      </c>
      <c r="AL124" s="18">
        <v>43588</v>
      </c>
      <c r="AM124" s="19" t="s">
        <v>3886</v>
      </c>
      <c r="AN124" s="38"/>
      <c r="AO124" s="10"/>
      <c r="AP124" s="40" t="s">
        <v>3887</v>
      </c>
      <c r="AQ124" s="10" t="s">
        <v>3888</v>
      </c>
      <c r="AR124" s="47" t="s">
        <v>3889</v>
      </c>
      <c r="AS124" s="62"/>
      <c r="AT124" s="62"/>
      <c r="AU124" s="11"/>
      <c r="AV124" s="10"/>
      <c r="AW124" s="11"/>
      <c r="AX124" s="11"/>
      <c r="AY124" s="11"/>
      <c r="AZ124" s="11"/>
      <c r="BA124" s="11"/>
      <c r="BB124" s="59"/>
      <c r="BC124" s="59"/>
      <c r="BD124" s="59"/>
      <c r="BE124" s="59"/>
      <c r="BF124" s="59"/>
      <c r="BG124" s="59"/>
      <c r="BH124" s="138"/>
      <c r="BI124" s="138"/>
      <c r="BJ124" s="138"/>
      <c r="BK124" s="231"/>
      <c r="BL124" s="231"/>
      <c r="BM124" s="231"/>
      <c r="BN124" s="232"/>
      <c r="BO124" s="19"/>
      <c r="BP124" s="23"/>
      <c r="BQ124" s="23"/>
      <c r="BR124" s="23"/>
      <c r="BS124" s="43"/>
      <c r="BT124"/>
    </row>
    <row r="125" spans="1:72" ht="13.5" customHeight="1" x14ac:dyDescent="0.15">
      <c r="A125" s="48" t="s">
        <v>5089</v>
      </c>
      <c r="B125" s="9" t="s">
        <v>5093</v>
      </c>
      <c r="C125" s="9"/>
      <c r="D125" s="9"/>
      <c r="E125" s="9"/>
      <c r="F125" s="11" t="s">
        <v>1489</v>
      </c>
      <c r="G125" s="11" t="s">
        <v>5091</v>
      </c>
      <c r="H125" s="5" t="s">
        <v>5092</v>
      </c>
      <c r="I125" s="11" t="s">
        <v>558</v>
      </c>
      <c r="J125" s="357" t="s">
        <v>1067</v>
      </c>
      <c r="K125" s="353"/>
      <c r="L125" s="221">
        <v>212</v>
      </c>
      <c r="M125" s="221"/>
      <c r="N125" s="222" t="str">
        <f t="shared" si="2"/>
        <v>Contact famille</v>
      </c>
      <c r="O125" s="729">
        <v>212</v>
      </c>
      <c r="P125" s="729"/>
      <c r="Q125" s="730" t="str">
        <f t="shared" si="3"/>
        <v>Contact famille</v>
      </c>
      <c r="R125" s="732"/>
      <c r="S125" s="732"/>
      <c r="T125" s="732"/>
      <c r="U125" s="732"/>
      <c r="V125" s="732"/>
      <c r="W125" s="732" t="s">
        <v>313</v>
      </c>
      <c r="X125" s="732"/>
      <c r="Y125" s="732"/>
      <c r="Z125" s="732"/>
      <c r="AA125" s="732"/>
      <c r="AB125" s="12"/>
      <c r="AC125" s="155"/>
      <c r="AD125" s="155"/>
      <c r="AE125" s="155"/>
      <c r="AF125" s="12"/>
      <c r="AG125" s="386"/>
      <c r="AH125" s="392"/>
      <c r="AI125" s="18" t="s">
        <v>242</v>
      </c>
      <c r="AJ125" s="18" t="s">
        <v>242</v>
      </c>
      <c r="AK125" s="13" t="s">
        <v>242</v>
      </c>
      <c r="AL125" s="13" t="s">
        <v>242</v>
      </c>
      <c r="AM125" s="46" t="s">
        <v>244</v>
      </c>
      <c r="AN125" s="10"/>
      <c r="AO125" s="11"/>
      <c r="AP125" s="53"/>
      <c r="AQ125" s="20">
        <v>621599686</v>
      </c>
      <c r="AR125" s="68" t="s">
        <v>5099</v>
      </c>
      <c r="AS125" s="62"/>
      <c r="AT125" s="62"/>
      <c r="AU125" s="10"/>
      <c r="AV125" s="10"/>
      <c r="AW125" s="13"/>
      <c r="AX125" s="11"/>
      <c r="AY125" s="11"/>
      <c r="AZ125" s="11"/>
      <c r="BA125" s="11"/>
      <c r="BB125" s="59"/>
      <c r="BC125" s="59"/>
      <c r="BD125" s="59"/>
      <c r="BE125" s="59"/>
      <c r="BF125" s="59"/>
      <c r="BG125" s="59"/>
      <c r="BH125" s="138"/>
      <c r="BI125" s="138"/>
      <c r="BJ125" s="138"/>
      <c r="BK125" s="231"/>
      <c r="BL125" s="231"/>
      <c r="BM125" s="231"/>
      <c r="BN125" s="232"/>
      <c r="BO125" s="11"/>
      <c r="BP125" s="11"/>
      <c r="BQ125" s="11"/>
      <c r="BR125" s="11"/>
      <c r="BS125" s="394"/>
    </row>
    <row r="126" spans="1:72" s="150" customFormat="1" ht="12.75" customHeight="1" x14ac:dyDescent="0.15">
      <c r="A126" s="48" t="s">
        <v>5089</v>
      </c>
      <c r="B126" s="9" t="s">
        <v>5090</v>
      </c>
      <c r="C126" s="9"/>
      <c r="D126" s="9"/>
      <c r="E126" s="9"/>
      <c r="F126" s="11" t="s">
        <v>1489</v>
      </c>
      <c r="G126" s="11" t="s">
        <v>5091</v>
      </c>
      <c r="H126" s="5" t="s">
        <v>5092</v>
      </c>
      <c r="I126" s="11" t="s">
        <v>558</v>
      </c>
      <c r="J126" s="357" t="s">
        <v>1067</v>
      </c>
      <c r="K126" s="353"/>
      <c r="L126" s="221">
        <v>18</v>
      </c>
      <c r="M126" s="221"/>
      <c r="N126" s="222" t="str">
        <f t="shared" si="2"/>
        <v>U 9 Dames</v>
      </c>
      <c r="O126" s="729">
        <v>18</v>
      </c>
      <c r="P126" s="729"/>
      <c r="Q126" s="730" t="str">
        <f t="shared" si="3"/>
        <v>U 9 Dames</v>
      </c>
      <c r="R126" s="732"/>
      <c r="S126" s="732"/>
      <c r="T126" s="732"/>
      <c r="U126" s="732"/>
      <c r="V126" s="732"/>
      <c r="W126" s="732" t="s">
        <v>192</v>
      </c>
      <c r="X126" s="732"/>
      <c r="Y126" s="732"/>
      <c r="Z126" s="732"/>
      <c r="AA126" s="732"/>
      <c r="AB126" s="12" t="s">
        <v>5122</v>
      </c>
      <c r="AC126" s="155"/>
      <c r="AD126" s="155"/>
      <c r="AE126" s="155"/>
      <c r="AF126" s="12"/>
      <c r="AG126" s="369"/>
      <c r="AH126" s="392"/>
      <c r="AI126" s="18">
        <v>45782</v>
      </c>
      <c r="AJ126" s="18">
        <v>45742</v>
      </c>
      <c r="AK126" s="13">
        <v>2028</v>
      </c>
      <c r="AL126" s="18">
        <v>44213</v>
      </c>
      <c r="AM126" s="5" t="s">
        <v>5096</v>
      </c>
      <c r="AN126" s="10"/>
      <c r="AO126" s="11"/>
      <c r="AP126" s="53" t="s">
        <v>5097</v>
      </c>
      <c r="AQ126" s="10" t="s">
        <v>5098</v>
      </c>
      <c r="AR126" s="68" t="s">
        <v>5099</v>
      </c>
      <c r="AS126" s="62"/>
      <c r="AT126" s="62"/>
      <c r="AU126" s="10"/>
      <c r="AV126" s="10"/>
      <c r="AW126" s="13"/>
      <c r="AX126" s="11"/>
      <c r="AY126" s="11"/>
      <c r="AZ126" s="11"/>
      <c r="BA126" s="11"/>
      <c r="BB126" s="59"/>
      <c r="BC126" s="59"/>
      <c r="BD126" s="59"/>
      <c r="BE126" s="59"/>
      <c r="BF126" s="59"/>
      <c r="BG126" s="59"/>
      <c r="BH126" s="138"/>
      <c r="BI126" s="138"/>
      <c r="BJ126" s="138"/>
      <c r="BK126" s="231"/>
      <c r="BL126" s="231"/>
      <c r="BM126" s="231"/>
      <c r="BN126" s="232"/>
      <c r="BO126" s="11"/>
      <c r="BP126" s="11"/>
      <c r="BQ126" s="11"/>
      <c r="BR126" s="11"/>
      <c r="BS126" s="394"/>
      <c r="BT126"/>
    </row>
    <row r="127" spans="1:72" ht="12.75" customHeight="1" x14ac:dyDescent="0.15">
      <c r="A127" s="48" t="s">
        <v>792</v>
      </c>
      <c r="B127" s="9" t="s">
        <v>588</v>
      </c>
      <c r="C127" s="9"/>
      <c r="D127" s="9"/>
      <c r="E127" s="9"/>
      <c r="F127" s="112" t="s">
        <v>107</v>
      </c>
      <c r="G127" s="11" t="s">
        <v>589</v>
      </c>
      <c r="H127" s="5" t="s">
        <v>670</v>
      </c>
      <c r="I127" s="11" t="s">
        <v>223</v>
      </c>
      <c r="J127" s="357" t="s">
        <v>320</v>
      </c>
      <c r="K127" s="353"/>
      <c r="L127" s="221">
        <v>12</v>
      </c>
      <c r="M127" s="221"/>
      <c r="N127" s="222" t="str">
        <f t="shared" si="2"/>
        <v>Dames</v>
      </c>
      <c r="O127" s="729">
        <v>12</v>
      </c>
      <c r="P127" s="729"/>
      <c r="Q127" s="730" t="str">
        <f t="shared" si="3"/>
        <v>Dames</v>
      </c>
      <c r="R127" s="732"/>
      <c r="S127" s="732"/>
      <c r="T127" s="732"/>
      <c r="U127" s="732"/>
      <c r="V127" s="732"/>
      <c r="W127" s="732"/>
      <c r="X127" s="732"/>
      <c r="Y127" s="732"/>
      <c r="Z127" s="732"/>
      <c r="AA127" s="732"/>
      <c r="AB127" s="12" t="s">
        <v>5282</v>
      </c>
      <c r="AC127" s="155"/>
      <c r="AD127" s="155"/>
      <c r="AE127" s="155"/>
      <c r="AF127" s="12"/>
      <c r="AG127" s="386" t="s">
        <v>5173</v>
      </c>
      <c r="AH127" s="392"/>
      <c r="AI127" s="18">
        <v>45912</v>
      </c>
      <c r="AJ127" s="18">
        <v>45895</v>
      </c>
      <c r="AK127" s="13">
        <v>2032</v>
      </c>
      <c r="AL127" s="18">
        <v>33701</v>
      </c>
      <c r="AM127" s="5" t="s">
        <v>5267</v>
      </c>
      <c r="AN127" s="10"/>
      <c r="AO127" s="11"/>
      <c r="AP127" s="53"/>
      <c r="AQ127" s="20">
        <v>691226319</v>
      </c>
      <c r="AR127" s="68" t="s">
        <v>1809</v>
      </c>
      <c r="AS127" s="62"/>
      <c r="AT127" s="62"/>
      <c r="AU127" s="10"/>
      <c r="AV127" s="10"/>
      <c r="AW127" s="13"/>
      <c r="AX127" s="11"/>
      <c r="AY127" s="11"/>
      <c r="AZ127" s="11"/>
      <c r="BA127" s="11"/>
      <c r="BB127" s="59"/>
      <c r="BC127" s="59"/>
      <c r="BD127" s="59"/>
      <c r="BE127" s="59"/>
      <c r="BF127" s="59"/>
      <c r="BG127" s="59"/>
      <c r="BH127" s="138"/>
      <c r="BI127" s="138"/>
      <c r="BJ127" s="138"/>
      <c r="BK127" s="231"/>
      <c r="BL127" s="231"/>
      <c r="BM127" s="231"/>
      <c r="BN127" s="232"/>
      <c r="BO127" s="11"/>
      <c r="BP127" s="11"/>
      <c r="BQ127" s="11"/>
      <c r="BR127" s="11"/>
      <c r="BS127" s="394"/>
      <c r="BT127" s="150"/>
    </row>
    <row r="128" spans="1:72" ht="12.75" customHeight="1" x14ac:dyDescent="0.15">
      <c r="A128" s="48" t="s">
        <v>792</v>
      </c>
      <c r="B128" s="9" t="s">
        <v>793</v>
      </c>
      <c r="C128" s="9"/>
      <c r="D128" s="9"/>
      <c r="E128" s="9"/>
      <c r="F128" s="10" t="s">
        <v>107</v>
      </c>
      <c r="G128" s="10" t="s">
        <v>2765</v>
      </c>
      <c r="H128" s="5" t="s">
        <v>670</v>
      </c>
      <c r="I128" s="11" t="s">
        <v>223</v>
      </c>
      <c r="J128" s="357" t="s">
        <v>320</v>
      </c>
      <c r="K128" s="353"/>
      <c r="L128" s="221">
        <v>9</v>
      </c>
      <c r="M128" s="221"/>
      <c r="N128" s="222" t="str">
        <f t="shared" si="2"/>
        <v>Vétérans - Hommes</v>
      </c>
      <c r="O128" s="729">
        <v>9</v>
      </c>
      <c r="P128" s="729"/>
      <c r="Q128" s="730" t="str">
        <f t="shared" si="3"/>
        <v>Vétérans - Hommes</v>
      </c>
      <c r="R128" s="731"/>
      <c r="S128" s="731"/>
      <c r="T128" s="731"/>
      <c r="U128" s="731"/>
      <c r="V128" s="731"/>
      <c r="W128" s="731"/>
      <c r="X128" s="731"/>
      <c r="Y128" s="731"/>
      <c r="Z128" s="731"/>
      <c r="AA128" s="731"/>
      <c r="AB128" s="12" t="s">
        <v>3919</v>
      </c>
      <c r="AC128" s="12"/>
      <c r="AD128" s="12"/>
      <c r="AE128" s="12"/>
      <c r="AF128" s="12"/>
      <c r="AG128" s="373"/>
      <c r="AH128" s="370"/>
      <c r="AI128" s="18">
        <v>44543</v>
      </c>
      <c r="AJ128" s="18">
        <v>44389</v>
      </c>
      <c r="AK128" s="13">
        <v>2028</v>
      </c>
      <c r="AL128" s="18">
        <v>30636</v>
      </c>
      <c r="AM128" s="19" t="s">
        <v>3789</v>
      </c>
      <c r="AN128" s="38"/>
      <c r="AO128" s="10"/>
      <c r="AP128" s="40"/>
      <c r="AQ128" s="20">
        <v>691531253</v>
      </c>
      <c r="AR128" s="47" t="s">
        <v>1805</v>
      </c>
      <c r="AS128" s="62"/>
      <c r="AT128" s="62"/>
      <c r="AU128" s="11"/>
      <c r="AV128" s="10"/>
      <c r="AW128" s="11"/>
      <c r="AX128" s="11"/>
      <c r="AY128" s="11"/>
      <c r="AZ128" s="11"/>
      <c r="BA128" s="11"/>
      <c r="BB128" s="59"/>
      <c r="BC128" s="59"/>
      <c r="BD128" s="59"/>
      <c r="BE128" s="59"/>
      <c r="BF128" s="59"/>
      <c r="BG128" s="59"/>
      <c r="BH128" s="138"/>
      <c r="BI128" s="138"/>
      <c r="BJ128" s="138"/>
      <c r="BK128" s="231"/>
      <c r="BL128" s="231"/>
      <c r="BM128" s="231"/>
      <c r="BN128" s="232"/>
      <c r="BO128" s="19"/>
      <c r="BP128" s="23"/>
      <c r="BQ128" s="23"/>
      <c r="BR128" s="23"/>
      <c r="BS128" s="43"/>
    </row>
    <row r="129" spans="1:72" ht="12.75" customHeight="1" x14ac:dyDescent="0.15">
      <c r="A129" s="50" t="s">
        <v>792</v>
      </c>
      <c r="B129" s="51" t="s">
        <v>796</v>
      </c>
      <c r="C129" s="51"/>
      <c r="D129" s="51"/>
      <c r="E129" s="51"/>
      <c r="F129" s="10" t="s">
        <v>107</v>
      </c>
      <c r="G129" s="30" t="s">
        <v>3687</v>
      </c>
      <c r="H129" s="5" t="s">
        <v>504</v>
      </c>
      <c r="I129" s="24" t="s">
        <v>3765</v>
      </c>
      <c r="J129" s="357" t="s">
        <v>320</v>
      </c>
      <c r="K129" s="353"/>
      <c r="L129" s="221">
        <v>150</v>
      </c>
      <c r="M129" s="221"/>
      <c r="N129" s="814" t="str">
        <f t="shared" si="2"/>
        <v>comité</v>
      </c>
      <c r="O129" s="729">
        <v>9</v>
      </c>
      <c r="P129" s="729"/>
      <c r="Q129" s="730" t="str">
        <f t="shared" si="3"/>
        <v>Vétérans - Hommes</v>
      </c>
      <c r="R129" s="731"/>
      <c r="S129" s="731"/>
      <c r="T129" s="731"/>
      <c r="U129" s="731"/>
      <c r="V129" s="731"/>
      <c r="W129" s="731"/>
      <c r="X129" s="731"/>
      <c r="Y129" s="731"/>
      <c r="Z129" s="731"/>
      <c r="AA129" s="731"/>
      <c r="AB129" s="55" t="s">
        <v>2958</v>
      </c>
      <c r="AC129" s="55"/>
      <c r="AD129" s="55"/>
      <c r="AE129" s="55"/>
      <c r="AF129" s="55"/>
      <c r="AG129" s="376"/>
      <c r="AH129" s="370"/>
      <c r="AI129" s="18">
        <v>40739</v>
      </c>
      <c r="AJ129" s="18">
        <v>40795</v>
      </c>
      <c r="AK129" s="34">
        <v>2027</v>
      </c>
      <c r="AL129" s="18">
        <v>29993</v>
      </c>
      <c r="AM129" s="19" t="s">
        <v>1806</v>
      </c>
      <c r="AN129" s="38" t="s">
        <v>2756</v>
      </c>
      <c r="AO129" s="10"/>
      <c r="AP129" s="40" t="s">
        <v>3527</v>
      </c>
      <c r="AQ129" s="27" t="s">
        <v>1807</v>
      </c>
      <c r="AR129" s="28" t="s">
        <v>1808</v>
      </c>
      <c r="AS129" s="61"/>
      <c r="AT129" s="61"/>
      <c r="AU129" s="24"/>
      <c r="AV129" s="811" t="s">
        <v>5639</v>
      </c>
      <c r="AW129" s="11"/>
      <c r="AX129" s="11"/>
      <c r="AY129" s="11"/>
      <c r="AZ129" s="11" t="s">
        <v>1455</v>
      </c>
      <c r="BA129" s="11"/>
      <c r="BB129" s="59" t="s">
        <v>292</v>
      </c>
      <c r="BC129" s="59" t="s">
        <v>292</v>
      </c>
      <c r="BD129" s="59" t="s">
        <v>1168</v>
      </c>
      <c r="BE129" s="59" t="s">
        <v>1455</v>
      </c>
      <c r="BF129" s="59"/>
      <c r="BG129" s="59"/>
      <c r="BH129" s="138"/>
      <c r="BI129" s="138"/>
      <c r="BJ129" s="138"/>
      <c r="BK129" s="231"/>
      <c r="BL129" s="231"/>
      <c r="BM129" s="231"/>
      <c r="BN129" s="232"/>
      <c r="BO129" s="19"/>
      <c r="BP129" s="23" t="s">
        <v>1141</v>
      </c>
      <c r="BQ129" s="23"/>
      <c r="BR129" s="23"/>
      <c r="BS129" s="43"/>
    </row>
    <row r="130" spans="1:72" ht="12.75" customHeight="1" x14ac:dyDescent="0.15">
      <c r="A130" s="452" t="s">
        <v>821</v>
      </c>
      <c r="B130" s="453" t="s">
        <v>2766</v>
      </c>
      <c r="C130" s="453"/>
      <c r="D130" s="453"/>
      <c r="E130" s="453"/>
      <c r="F130" s="454" t="s">
        <v>107</v>
      </c>
      <c r="G130" s="454" t="s">
        <v>2765</v>
      </c>
      <c r="H130" s="360" t="s">
        <v>590</v>
      </c>
      <c r="I130" s="16" t="s">
        <v>223</v>
      </c>
      <c r="J130" s="458" t="s">
        <v>320</v>
      </c>
      <c r="K130" s="472"/>
      <c r="L130" s="473">
        <v>202</v>
      </c>
      <c r="M130" s="473"/>
      <c r="N130" s="459" t="str">
        <f t="shared" ref="N130:N193" si="4">VLOOKUP(L130,CAT_JOUEUR,2,FALSE)</f>
        <v>Membre honoraire</v>
      </c>
      <c r="O130" s="736">
        <v>202</v>
      </c>
      <c r="P130" s="736"/>
      <c r="Q130" s="730" t="str">
        <f t="shared" ref="Q130:Q193" si="5">VLOOKUP(O130,CAT_JOUEUR,2,FALSE)</f>
        <v>Membre honoraire</v>
      </c>
      <c r="R130" s="737"/>
      <c r="S130" s="737"/>
      <c r="T130" s="737"/>
      <c r="U130" s="737"/>
      <c r="V130" s="737"/>
      <c r="W130" s="737"/>
      <c r="X130" s="737"/>
      <c r="Y130" s="737"/>
      <c r="Z130" s="737"/>
      <c r="AA130" s="737"/>
      <c r="AB130" s="474"/>
      <c r="AC130" s="474"/>
      <c r="AD130" s="474"/>
      <c r="AE130" s="474"/>
      <c r="AF130" s="474"/>
      <c r="AG130" s="371" t="s">
        <v>5190</v>
      </c>
      <c r="AH130" s="475"/>
      <c r="AI130" s="455">
        <v>38177</v>
      </c>
      <c r="AJ130" s="455">
        <v>38177</v>
      </c>
      <c r="AK130" s="476" t="s">
        <v>210</v>
      </c>
      <c r="AL130" s="455">
        <v>18857</v>
      </c>
      <c r="AM130" s="456" t="s">
        <v>2737</v>
      </c>
      <c r="AN130" s="477" t="s">
        <v>2756</v>
      </c>
      <c r="AO130" s="454" t="s">
        <v>596</v>
      </c>
      <c r="AP130" s="478">
        <v>42424390</v>
      </c>
      <c r="AQ130" s="479" t="s">
        <v>1810</v>
      </c>
      <c r="AR130" s="480" t="s">
        <v>1811</v>
      </c>
      <c r="AS130" s="240"/>
      <c r="AT130" s="240"/>
      <c r="AU130" s="481"/>
      <c r="AV130" s="454"/>
      <c r="AW130" s="240" t="s">
        <v>3969</v>
      </c>
      <c r="AX130" s="16"/>
      <c r="AY130" s="16"/>
      <c r="AZ130" s="16" t="s">
        <v>2811</v>
      </c>
      <c r="BA130" s="16"/>
      <c r="BB130" s="461" t="s">
        <v>2813</v>
      </c>
      <c r="BC130" s="461" t="s">
        <v>292</v>
      </c>
      <c r="BD130" s="461" t="s">
        <v>1168</v>
      </c>
      <c r="BE130" s="461" t="s">
        <v>347</v>
      </c>
      <c r="BF130" s="461"/>
      <c r="BG130" s="461"/>
      <c r="BH130" s="462"/>
      <c r="BI130" s="462"/>
      <c r="BJ130" s="462"/>
      <c r="BK130" s="463"/>
      <c r="BL130" s="463"/>
      <c r="BM130" s="463"/>
      <c r="BN130" s="464"/>
      <c r="BO130" s="456"/>
      <c r="BP130" s="482" t="s">
        <v>1812</v>
      </c>
      <c r="BQ130" s="482"/>
      <c r="BR130" s="482"/>
      <c r="BS130" s="483"/>
      <c r="BT130" s="457"/>
    </row>
    <row r="131" spans="1:72" ht="12.75" customHeight="1" x14ac:dyDescent="0.15">
      <c r="A131" s="48" t="s">
        <v>822</v>
      </c>
      <c r="B131" s="9" t="s">
        <v>506</v>
      </c>
      <c r="C131" s="9"/>
      <c r="D131" s="9"/>
      <c r="E131" s="9"/>
      <c r="F131" s="10" t="s">
        <v>107</v>
      </c>
      <c r="G131" s="10" t="s">
        <v>825</v>
      </c>
      <c r="H131" s="5" t="s">
        <v>670</v>
      </c>
      <c r="I131" s="11" t="s">
        <v>223</v>
      </c>
      <c r="J131" s="357" t="s">
        <v>827</v>
      </c>
      <c r="K131" s="353"/>
      <c r="L131" s="221">
        <v>1</v>
      </c>
      <c r="M131" s="221"/>
      <c r="N131" s="222" t="str">
        <f t="shared" si="4"/>
        <v>Officiel H</v>
      </c>
      <c r="O131" s="729">
        <v>1</v>
      </c>
      <c r="P131" s="729"/>
      <c r="Q131" s="730" t="str">
        <f t="shared" si="5"/>
        <v>Officiel H</v>
      </c>
      <c r="R131" s="731"/>
      <c r="S131" s="731"/>
      <c r="T131" s="731"/>
      <c r="U131" s="731"/>
      <c r="V131" s="731"/>
      <c r="W131" s="731"/>
      <c r="X131" s="731"/>
      <c r="Y131" s="731"/>
      <c r="Z131" s="731"/>
      <c r="AA131" s="731"/>
      <c r="AB131" s="12"/>
      <c r="AC131" s="12" t="s">
        <v>5209</v>
      </c>
      <c r="AD131" s="12" t="s">
        <v>5209</v>
      </c>
      <c r="AE131" s="12"/>
      <c r="AF131" s="12"/>
      <c r="AG131" s="371"/>
      <c r="AH131" s="370"/>
      <c r="AI131" s="18">
        <v>33263</v>
      </c>
      <c r="AJ131" s="18">
        <v>33263</v>
      </c>
      <c r="AK131" s="14" t="s">
        <v>210</v>
      </c>
      <c r="AL131" s="18">
        <v>24945</v>
      </c>
      <c r="AM131" s="19" t="s">
        <v>244</v>
      </c>
      <c r="AN131" s="19"/>
      <c r="AO131" s="10" t="s">
        <v>1814</v>
      </c>
      <c r="AP131" s="40" t="s">
        <v>1815</v>
      </c>
      <c r="AQ131" s="27" t="s">
        <v>1816</v>
      </c>
      <c r="AR131" s="29" t="s">
        <v>1817</v>
      </c>
      <c r="AS131" s="61"/>
      <c r="AT131" s="61"/>
      <c r="AU131" s="24"/>
      <c r="AV131" s="10"/>
      <c r="AW131" s="13" t="s">
        <v>3969</v>
      </c>
      <c r="AX131" s="11"/>
      <c r="AY131" s="11"/>
      <c r="AZ131" s="11" t="s">
        <v>420</v>
      </c>
      <c r="BA131" s="11"/>
      <c r="BB131" s="59" t="s">
        <v>2813</v>
      </c>
      <c r="BC131" s="59" t="s">
        <v>292</v>
      </c>
      <c r="BD131" s="59" t="s">
        <v>1168</v>
      </c>
      <c r="BE131" s="59">
        <v>50</v>
      </c>
      <c r="BF131" s="59"/>
      <c r="BG131" s="59"/>
      <c r="BH131" s="138"/>
      <c r="BI131" s="138"/>
      <c r="BJ131" s="138"/>
      <c r="BK131" s="231"/>
      <c r="BL131" s="231"/>
      <c r="BM131" s="231"/>
      <c r="BN131" s="232"/>
      <c r="BO131" s="19"/>
      <c r="BP131" s="23" t="s">
        <v>1456</v>
      </c>
      <c r="BQ131" s="23"/>
      <c r="BR131" s="23"/>
      <c r="BS131" s="43"/>
    </row>
    <row r="132" spans="1:72" s="150" customFormat="1" ht="12.75" customHeight="1" x14ac:dyDescent="0.15">
      <c r="A132" s="48" t="s">
        <v>822</v>
      </c>
      <c r="B132" s="9" t="s">
        <v>824</v>
      </c>
      <c r="C132" s="9"/>
      <c r="D132" s="9"/>
      <c r="E132" s="9"/>
      <c r="F132" s="10" t="s">
        <v>107</v>
      </c>
      <c r="G132" s="10" t="s">
        <v>825</v>
      </c>
      <c r="H132" s="5" t="s">
        <v>670</v>
      </c>
      <c r="I132" s="11" t="s">
        <v>223</v>
      </c>
      <c r="J132" s="357" t="s">
        <v>827</v>
      </c>
      <c r="K132" s="353"/>
      <c r="L132" s="221">
        <v>2</v>
      </c>
      <c r="M132" s="221"/>
      <c r="N132" s="222" t="str">
        <f t="shared" si="4"/>
        <v>Seniors - Hommes</v>
      </c>
      <c r="O132" s="729">
        <v>2</v>
      </c>
      <c r="P132" s="729"/>
      <c r="Q132" s="730" t="str">
        <f t="shared" si="5"/>
        <v>Seniors - Hommes</v>
      </c>
      <c r="R132" s="731"/>
      <c r="S132" s="731"/>
      <c r="T132" s="731"/>
      <c r="U132" s="731"/>
      <c r="V132" s="731"/>
      <c r="W132" s="731"/>
      <c r="X132" s="731"/>
      <c r="Y132" s="731"/>
      <c r="Z132" s="731"/>
      <c r="AA132" s="731"/>
      <c r="AB132" s="12" t="s">
        <v>2959</v>
      </c>
      <c r="AC132" s="12"/>
      <c r="AD132" s="12"/>
      <c r="AE132" s="12"/>
      <c r="AF132" s="12"/>
      <c r="AG132" s="371"/>
      <c r="AH132" s="370"/>
      <c r="AI132" s="18">
        <v>39525</v>
      </c>
      <c r="AJ132" s="18">
        <v>39525</v>
      </c>
      <c r="AK132" s="71">
        <v>2032</v>
      </c>
      <c r="AL132" s="18">
        <v>37321</v>
      </c>
      <c r="AM132" s="19" t="s">
        <v>1813</v>
      </c>
      <c r="AN132" s="19"/>
      <c r="AO132" s="10" t="s">
        <v>1814</v>
      </c>
      <c r="AP132" s="40"/>
      <c r="AQ132" s="27" t="s">
        <v>4641</v>
      </c>
      <c r="AR132" s="29" t="s">
        <v>1817</v>
      </c>
      <c r="AS132" s="61"/>
      <c r="AT132" s="61"/>
      <c r="AU132" s="5"/>
      <c r="AV132" s="10"/>
      <c r="AW132" s="11"/>
      <c r="AX132" s="11"/>
      <c r="AY132" s="11"/>
      <c r="AZ132" s="11" t="s">
        <v>420</v>
      </c>
      <c r="BA132" s="11"/>
      <c r="BB132" s="59" t="s">
        <v>2813</v>
      </c>
      <c r="BC132" s="59" t="s">
        <v>292</v>
      </c>
      <c r="BD132" s="59" t="s">
        <v>1168</v>
      </c>
      <c r="BE132" s="59">
        <v>150</v>
      </c>
      <c r="BF132" s="59"/>
      <c r="BG132" s="59"/>
      <c r="BH132" s="138"/>
      <c r="BI132" s="138"/>
      <c r="BJ132" s="138"/>
      <c r="BK132" s="231"/>
      <c r="BL132" s="231"/>
      <c r="BM132" s="231"/>
      <c r="BN132" s="232"/>
      <c r="BO132" s="19" t="s">
        <v>295</v>
      </c>
      <c r="BP132" s="23">
        <v>1</v>
      </c>
      <c r="BQ132" s="23"/>
      <c r="BR132" s="23"/>
      <c r="BS132" s="43"/>
      <c r="BT132"/>
    </row>
    <row r="133" spans="1:72" s="150" customFormat="1" ht="12.75" customHeight="1" x14ac:dyDescent="0.15">
      <c r="A133" s="48" t="s">
        <v>4103</v>
      </c>
      <c r="B133" s="9" t="s">
        <v>4104</v>
      </c>
      <c r="C133" s="9"/>
      <c r="D133" s="9"/>
      <c r="E133" s="9"/>
      <c r="F133" s="112" t="s">
        <v>107</v>
      </c>
      <c r="G133" s="10" t="s">
        <v>4105</v>
      </c>
      <c r="H133" s="5" t="s">
        <v>670</v>
      </c>
      <c r="I133" s="11" t="s">
        <v>223</v>
      </c>
      <c r="J133" s="357" t="s">
        <v>320</v>
      </c>
      <c r="K133" s="353"/>
      <c r="L133" s="221">
        <v>12</v>
      </c>
      <c r="M133" s="221"/>
      <c r="N133" s="222" t="str">
        <f t="shared" si="4"/>
        <v>Dames</v>
      </c>
      <c r="O133" s="729">
        <v>12</v>
      </c>
      <c r="P133" s="729"/>
      <c r="Q133" s="730" t="str">
        <f t="shared" si="5"/>
        <v>Dames</v>
      </c>
      <c r="R133" s="731"/>
      <c r="S133" s="731"/>
      <c r="T133" s="731"/>
      <c r="U133" s="731"/>
      <c r="V133" s="731"/>
      <c r="W133" s="731"/>
      <c r="X133" s="731"/>
      <c r="Y133" s="731"/>
      <c r="Z133" s="731"/>
      <c r="AA133" s="731"/>
      <c r="AB133" s="12" t="s">
        <v>4132</v>
      </c>
      <c r="AC133" s="12"/>
      <c r="AD133" s="12"/>
      <c r="AE133" s="12"/>
      <c r="AF133" s="12"/>
      <c r="AG133" s="369"/>
      <c r="AH133" s="370"/>
      <c r="AI133" s="18">
        <v>44851</v>
      </c>
      <c r="AJ133" s="18">
        <v>44829</v>
      </c>
      <c r="AK133" s="13">
        <v>2036</v>
      </c>
      <c r="AL133" s="18">
        <v>35294</v>
      </c>
      <c r="AM133" s="19" t="s">
        <v>4106</v>
      </c>
      <c r="AN133" s="38"/>
      <c r="AO133" s="10" t="s">
        <v>252</v>
      </c>
      <c r="AP133" s="40"/>
      <c r="AQ133" s="20">
        <v>621508500</v>
      </c>
      <c r="AR133" s="47" t="s">
        <v>4107</v>
      </c>
      <c r="AS133" s="62"/>
      <c r="AT133" s="62"/>
      <c r="AU133" s="11"/>
      <c r="AV133" s="10"/>
      <c r="AW133" s="11"/>
      <c r="AX133" s="11"/>
      <c r="AY133" s="11"/>
      <c r="AZ133" s="11"/>
      <c r="BA133" s="11"/>
      <c r="BB133" s="59"/>
      <c r="BC133" s="59"/>
      <c r="BD133" s="59"/>
      <c r="BE133" s="59"/>
      <c r="BF133" s="59"/>
      <c r="BG133" s="59"/>
      <c r="BH133" s="138"/>
      <c r="BI133" s="138"/>
      <c r="BJ133" s="138"/>
      <c r="BK133" s="231"/>
      <c r="BL133" s="231"/>
      <c r="BM133" s="231"/>
      <c r="BN133" s="232"/>
      <c r="BO133" s="19"/>
      <c r="BP133" s="23"/>
      <c r="BQ133" s="23"/>
      <c r="BR133" s="23"/>
      <c r="BS133" s="43"/>
      <c r="BT133"/>
    </row>
    <row r="134" spans="1:72" s="150" customFormat="1" ht="12.75" customHeight="1" x14ac:dyDescent="0.15">
      <c r="A134" s="48" t="s">
        <v>4167</v>
      </c>
      <c r="B134" s="9" t="s">
        <v>4170</v>
      </c>
      <c r="C134" s="9"/>
      <c r="D134" s="9"/>
      <c r="E134" s="9"/>
      <c r="F134" s="10" t="s">
        <v>4171</v>
      </c>
      <c r="G134" s="10" t="s">
        <v>4172</v>
      </c>
      <c r="H134" s="5" t="s">
        <v>1666</v>
      </c>
      <c r="I134" s="11" t="s">
        <v>274</v>
      </c>
      <c r="J134" s="357" t="s">
        <v>2717</v>
      </c>
      <c r="K134" s="353"/>
      <c r="L134" s="221">
        <v>212</v>
      </c>
      <c r="M134" s="221"/>
      <c r="N134" s="222" t="str">
        <f t="shared" si="4"/>
        <v>Contact famille</v>
      </c>
      <c r="O134" s="729">
        <v>212</v>
      </c>
      <c r="P134" s="729"/>
      <c r="Q134" s="730" t="str">
        <f t="shared" si="5"/>
        <v>Contact famille</v>
      </c>
      <c r="R134" s="731"/>
      <c r="S134" s="731"/>
      <c r="T134" s="731"/>
      <c r="U134" s="731"/>
      <c r="V134" s="731"/>
      <c r="W134" s="731" t="s">
        <v>313</v>
      </c>
      <c r="X134" s="731" t="s">
        <v>313</v>
      </c>
      <c r="Y134" s="731"/>
      <c r="Z134" s="731"/>
      <c r="AA134" s="731"/>
      <c r="AB134" s="12"/>
      <c r="AC134" s="12" t="s">
        <v>252</v>
      </c>
      <c r="AD134" s="12"/>
      <c r="AE134" s="12"/>
      <c r="AF134" s="12"/>
      <c r="AG134" s="369"/>
      <c r="AH134" s="370"/>
      <c r="AI134" s="18" t="s">
        <v>242</v>
      </c>
      <c r="AJ134" s="18" t="s">
        <v>242</v>
      </c>
      <c r="AK134" s="13" t="s">
        <v>242</v>
      </c>
      <c r="AL134" s="13" t="s">
        <v>242</v>
      </c>
      <c r="AM134" s="46" t="s">
        <v>244</v>
      </c>
      <c r="AN134" s="38"/>
      <c r="AO134" s="10"/>
      <c r="AP134" s="40"/>
      <c r="AQ134" s="20">
        <v>621482493</v>
      </c>
      <c r="AR134" s="47" t="s">
        <v>4173</v>
      </c>
      <c r="AS134" s="62"/>
      <c r="AT134" s="62"/>
      <c r="AU134" s="11"/>
      <c r="AV134" s="10"/>
      <c r="AW134" s="11"/>
      <c r="AX134" s="11"/>
      <c r="AY134" s="11"/>
      <c r="AZ134" s="11"/>
      <c r="BA134" s="11"/>
      <c r="BB134" s="59"/>
      <c r="BC134" s="59"/>
      <c r="BD134" s="59"/>
      <c r="BE134" s="59"/>
      <c r="BF134" s="59"/>
      <c r="BG134" s="59"/>
      <c r="BH134" s="138"/>
      <c r="BI134" s="138"/>
      <c r="BJ134" s="138"/>
      <c r="BK134" s="231"/>
      <c r="BL134" s="231"/>
      <c r="BM134" s="231"/>
      <c r="BN134" s="232"/>
      <c r="BO134" s="19"/>
      <c r="BP134" s="23"/>
      <c r="BQ134" s="23"/>
      <c r="BR134" s="23"/>
      <c r="BS134" s="43"/>
      <c r="BT134"/>
    </row>
    <row r="135" spans="1:72" s="150" customFormat="1" ht="12.75" customHeight="1" x14ac:dyDescent="0.15">
      <c r="A135" s="48" t="s">
        <v>4167</v>
      </c>
      <c r="B135" s="9" t="s">
        <v>4168</v>
      </c>
      <c r="C135" s="9"/>
      <c r="D135" s="9"/>
      <c r="E135" s="9"/>
      <c r="F135" s="10" t="s">
        <v>4171</v>
      </c>
      <c r="G135" s="10" t="s">
        <v>4172</v>
      </c>
      <c r="H135" s="5" t="s">
        <v>1666</v>
      </c>
      <c r="I135" s="11" t="s">
        <v>274</v>
      </c>
      <c r="J135" s="357" t="s">
        <v>2717</v>
      </c>
      <c r="K135" s="353"/>
      <c r="L135" s="221">
        <v>7</v>
      </c>
      <c r="M135" s="221"/>
      <c r="N135" s="222" t="str">
        <f t="shared" si="4"/>
        <v>U 11 Hommes</v>
      </c>
      <c r="O135" s="729">
        <v>7</v>
      </c>
      <c r="P135" s="729"/>
      <c r="Q135" s="730" t="str">
        <f t="shared" si="5"/>
        <v>U 11 Hommes</v>
      </c>
      <c r="R135" s="731"/>
      <c r="S135" s="731"/>
      <c r="T135" s="731"/>
      <c r="U135" s="731"/>
      <c r="V135" s="731"/>
      <c r="W135" s="731"/>
      <c r="X135" s="731" t="s">
        <v>192</v>
      </c>
      <c r="Y135" s="731"/>
      <c r="Z135" s="731"/>
      <c r="AA135" s="731"/>
      <c r="AB135" s="12" t="s">
        <v>4272</v>
      </c>
      <c r="AC135" s="12"/>
      <c r="AD135" s="12"/>
      <c r="AE135" s="12"/>
      <c r="AF135" s="12"/>
      <c r="AG135" s="369"/>
      <c r="AH135" s="370"/>
      <c r="AI135" s="18">
        <v>44957</v>
      </c>
      <c r="AJ135" s="18">
        <v>44877</v>
      </c>
      <c r="AK135" s="13">
        <v>2029</v>
      </c>
      <c r="AL135" s="18">
        <v>43094</v>
      </c>
      <c r="AM135" s="19" t="s">
        <v>4612</v>
      </c>
      <c r="AN135" s="38"/>
      <c r="AO135" s="10"/>
      <c r="AP135" s="40" t="s">
        <v>252</v>
      </c>
      <c r="AQ135" s="20">
        <v>621482493</v>
      </c>
      <c r="AR135" s="47" t="s">
        <v>4173</v>
      </c>
      <c r="AS135" s="62"/>
      <c r="AT135" s="62"/>
      <c r="AU135" s="11"/>
      <c r="AV135" s="10"/>
      <c r="AW135" s="11"/>
      <c r="AX135" s="11"/>
      <c r="AY135" s="11"/>
      <c r="AZ135" s="11"/>
      <c r="BA135" s="11"/>
      <c r="BB135" s="59"/>
      <c r="BC135" s="59"/>
      <c r="BD135" s="59"/>
      <c r="BE135" s="59"/>
      <c r="BF135" s="59"/>
      <c r="BG135" s="59"/>
      <c r="BH135" s="138"/>
      <c r="BI135" s="138"/>
      <c r="BJ135" s="138"/>
      <c r="BK135" s="231"/>
      <c r="BL135" s="231"/>
      <c r="BM135" s="231"/>
      <c r="BN135" s="232"/>
      <c r="BO135" s="19"/>
      <c r="BP135" s="23"/>
      <c r="BQ135" s="23"/>
      <c r="BR135" s="23"/>
      <c r="BS135" s="43"/>
      <c r="BT135"/>
    </row>
    <row r="136" spans="1:72" ht="12.75" customHeight="1" x14ac:dyDescent="0.15">
      <c r="A136" s="48" t="s">
        <v>4167</v>
      </c>
      <c r="B136" s="9" t="s">
        <v>4643</v>
      </c>
      <c r="C136" s="9"/>
      <c r="D136" s="9"/>
      <c r="E136" s="9"/>
      <c r="F136" s="10" t="s">
        <v>4171</v>
      </c>
      <c r="G136" s="10" t="s">
        <v>4172</v>
      </c>
      <c r="H136" s="5" t="s">
        <v>1666</v>
      </c>
      <c r="I136" s="11" t="s">
        <v>274</v>
      </c>
      <c r="J136" s="357" t="s">
        <v>2717</v>
      </c>
      <c r="K136" s="353"/>
      <c r="L136" s="221">
        <v>21</v>
      </c>
      <c r="M136" s="221"/>
      <c r="N136" s="222" t="str">
        <f t="shared" si="4"/>
        <v>U7 Mixte</v>
      </c>
      <c r="O136" s="729">
        <v>21</v>
      </c>
      <c r="P136" s="729"/>
      <c r="Q136" s="730" t="str">
        <f t="shared" si="5"/>
        <v>U7 Mixte</v>
      </c>
      <c r="R136" s="731"/>
      <c r="S136" s="731"/>
      <c r="T136" s="731"/>
      <c r="U136" s="731"/>
      <c r="V136" s="731"/>
      <c r="W136" s="731"/>
      <c r="X136" s="731" t="s">
        <v>192</v>
      </c>
      <c r="Y136" s="731"/>
      <c r="Z136" s="731"/>
      <c r="AA136" s="731"/>
      <c r="AB136" s="12" t="s">
        <v>4790</v>
      </c>
      <c r="AC136" s="12"/>
      <c r="AD136" s="12"/>
      <c r="AE136" s="12"/>
      <c r="AF136" s="12"/>
      <c r="AG136" s="369"/>
      <c r="AH136" s="370"/>
      <c r="AI136" s="18">
        <v>45343</v>
      </c>
      <c r="AJ136" s="18">
        <v>45250</v>
      </c>
      <c r="AK136" s="13">
        <v>2028</v>
      </c>
      <c r="AL136" s="18">
        <v>44345</v>
      </c>
      <c r="AM136" s="19" t="s">
        <v>4644</v>
      </c>
      <c r="AN136" s="38"/>
      <c r="AO136" s="10"/>
      <c r="AP136" s="40"/>
      <c r="AQ136" s="20">
        <v>621482493</v>
      </c>
      <c r="AR136" s="47" t="s">
        <v>4173</v>
      </c>
      <c r="AS136" s="62"/>
      <c r="AT136" s="62"/>
      <c r="AU136" s="11"/>
      <c r="AV136" s="10"/>
      <c r="AW136" s="11"/>
      <c r="AX136" s="11"/>
      <c r="AY136" s="11"/>
      <c r="AZ136" s="11"/>
      <c r="BA136" s="11"/>
      <c r="BB136" s="59"/>
      <c r="BC136" s="59"/>
      <c r="BD136" s="59"/>
      <c r="BE136" s="59"/>
      <c r="BF136" s="59"/>
      <c r="BG136" s="59"/>
      <c r="BH136" s="138"/>
      <c r="BI136" s="138"/>
      <c r="BJ136" s="138"/>
      <c r="BK136" s="231"/>
      <c r="BL136" s="231"/>
      <c r="BM136" s="231"/>
      <c r="BN136" s="232"/>
      <c r="BO136" s="19"/>
      <c r="BP136" s="23"/>
      <c r="BQ136" s="23"/>
      <c r="BR136" s="23"/>
      <c r="BS136" s="43"/>
      <c r="BT136" s="150"/>
    </row>
    <row r="137" spans="1:72" ht="12.75" customHeight="1" x14ac:dyDescent="0.15">
      <c r="A137" s="48" t="s">
        <v>4167</v>
      </c>
      <c r="B137" s="9" t="s">
        <v>4169</v>
      </c>
      <c r="C137" s="9"/>
      <c r="D137" s="9"/>
      <c r="E137" s="9"/>
      <c r="F137" s="10" t="s">
        <v>4171</v>
      </c>
      <c r="G137" s="10" t="s">
        <v>4172</v>
      </c>
      <c r="H137" s="5" t="s">
        <v>1666</v>
      </c>
      <c r="I137" s="11" t="s">
        <v>274</v>
      </c>
      <c r="J137" s="357" t="s">
        <v>2717</v>
      </c>
      <c r="K137" s="353"/>
      <c r="L137" s="221">
        <v>8</v>
      </c>
      <c r="M137" s="221"/>
      <c r="N137" s="222" t="str">
        <f t="shared" si="4"/>
        <v xml:space="preserve">U 9 Hommes </v>
      </c>
      <c r="O137" s="729">
        <v>8</v>
      </c>
      <c r="P137" s="729"/>
      <c r="Q137" s="730" t="str">
        <f t="shared" si="5"/>
        <v xml:space="preserve">U 9 Hommes </v>
      </c>
      <c r="R137" s="731"/>
      <c r="S137" s="731"/>
      <c r="T137" s="731"/>
      <c r="U137" s="731"/>
      <c r="V137" s="731"/>
      <c r="W137" s="731" t="s">
        <v>192</v>
      </c>
      <c r="X137" s="731"/>
      <c r="Y137" s="731"/>
      <c r="Z137" s="731"/>
      <c r="AA137" s="731"/>
      <c r="AB137" s="12" t="s">
        <v>4271</v>
      </c>
      <c r="AC137" s="12"/>
      <c r="AD137" s="12"/>
      <c r="AE137" s="12"/>
      <c r="AF137" s="12"/>
      <c r="AG137" s="369"/>
      <c r="AH137" s="370"/>
      <c r="AI137" s="18">
        <v>44957</v>
      </c>
      <c r="AJ137" s="18">
        <v>44877</v>
      </c>
      <c r="AK137" s="13">
        <v>2026</v>
      </c>
      <c r="AL137" s="18">
        <v>43810</v>
      </c>
      <c r="AM137" s="19" t="s">
        <v>4613</v>
      </c>
      <c r="AN137" s="38"/>
      <c r="AO137" s="10"/>
      <c r="AP137" s="40"/>
      <c r="AQ137" s="20">
        <v>621482493</v>
      </c>
      <c r="AR137" s="47" t="s">
        <v>4173</v>
      </c>
      <c r="AS137" s="62"/>
      <c r="AT137" s="62"/>
      <c r="AU137" s="11"/>
      <c r="AV137" s="10"/>
      <c r="AW137" s="11"/>
      <c r="AX137" s="11"/>
      <c r="AY137" s="11"/>
      <c r="AZ137" s="11"/>
      <c r="BA137" s="11"/>
      <c r="BB137" s="59"/>
      <c r="BC137" s="59"/>
      <c r="BD137" s="59"/>
      <c r="BE137" s="59"/>
      <c r="BF137" s="59"/>
      <c r="BG137" s="59"/>
      <c r="BH137" s="138"/>
      <c r="BI137" s="138"/>
      <c r="BJ137" s="138"/>
      <c r="BK137" s="231"/>
      <c r="BL137" s="231"/>
      <c r="BM137" s="231"/>
      <c r="BN137" s="232"/>
      <c r="BO137" s="19"/>
      <c r="BP137" s="23"/>
      <c r="BQ137" s="23"/>
      <c r="BR137" s="23"/>
      <c r="BS137" s="43"/>
      <c r="BT137" s="150"/>
    </row>
    <row r="138" spans="1:72" s="150" customFormat="1" ht="12.75" customHeight="1" x14ac:dyDescent="0.15">
      <c r="A138" s="48" t="s">
        <v>4348</v>
      </c>
      <c r="B138" s="9" t="s">
        <v>4349</v>
      </c>
      <c r="C138" s="9"/>
      <c r="D138" s="9"/>
      <c r="E138" s="9"/>
      <c r="F138" s="10" t="s">
        <v>4085</v>
      </c>
      <c r="G138" s="10" t="s">
        <v>4350</v>
      </c>
      <c r="H138" s="5" t="s">
        <v>670</v>
      </c>
      <c r="I138" s="11" t="s">
        <v>223</v>
      </c>
      <c r="J138" s="357" t="s">
        <v>4345</v>
      </c>
      <c r="K138" s="353"/>
      <c r="L138" s="221">
        <v>212</v>
      </c>
      <c r="M138" s="221"/>
      <c r="N138" s="222" t="str">
        <f t="shared" si="4"/>
        <v>Contact famille</v>
      </c>
      <c r="O138" s="729">
        <v>212</v>
      </c>
      <c r="P138" s="729"/>
      <c r="Q138" s="730" t="str">
        <f t="shared" si="5"/>
        <v>Contact famille</v>
      </c>
      <c r="R138" s="731"/>
      <c r="S138" s="731"/>
      <c r="T138" s="731"/>
      <c r="U138" s="731"/>
      <c r="V138" s="731"/>
      <c r="W138" s="731" t="s">
        <v>313</v>
      </c>
      <c r="X138" s="731"/>
      <c r="Y138" s="731"/>
      <c r="Z138" s="731"/>
      <c r="AA138" s="731"/>
      <c r="AB138" s="12"/>
      <c r="AC138" s="12"/>
      <c r="AD138" s="12"/>
      <c r="AE138" s="12"/>
      <c r="AF138" s="12"/>
      <c r="AG138" s="369"/>
      <c r="AH138" s="370"/>
      <c r="AI138" s="18" t="s">
        <v>242</v>
      </c>
      <c r="AJ138" s="18" t="s">
        <v>242</v>
      </c>
      <c r="AK138" s="13" t="s">
        <v>242</v>
      </c>
      <c r="AL138" s="13" t="s">
        <v>242</v>
      </c>
      <c r="AM138" s="46" t="s">
        <v>244</v>
      </c>
      <c r="AN138" s="38"/>
      <c r="AO138" s="10"/>
      <c r="AP138" s="40"/>
      <c r="AQ138" s="20">
        <v>691243337</v>
      </c>
      <c r="AR138" s="47" t="s">
        <v>4355</v>
      </c>
      <c r="AS138" s="62"/>
      <c r="AT138" s="62"/>
      <c r="AU138" s="11"/>
      <c r="AV138" s="10"/>
      <c r="AW138" s="11"/>
      <c r="AX138" s="11"/>
      <c r="AY138" s="11"/>
      <c r="AZ138" s="11"/>
      <c r="BA138" s="11"/>
      <c r="BB138" s="59"/>
      <c r="BC138" s="59"/>
      <c r="BD138" s="59"/>
      <c r="BE138" s="59"/>
      <c r="BF138" s="59"/>
      <c r="BG138" s="59"/>
      <c r="BH138" s="138"/>
      <c r="BI138" s="138"/>
      <c r="BJ138" s="138"/>
      <c r="BK138" s="231"/>
      <c r="BL138" s="231"/>
      <c r="BM138" s="231"/>
      <c r="BN138" s="232"/>
      <c r="BO138" s="19"/>
      <c r="BP138" s="23"/>
      <c r="BQ138" s="23"/>
      <c r="BR138" s="23"/>
      <c r="BS138" s="43"/>
    </row>
    <row r="139" spans="1:72" ht="12.5" customHeight="1" x14ac:dyDescent="0.15">
      <c r="A139" s="48" t="s">
        <v>1822</v>
      </c>
      <c r="B139" s="9" t="s">
        <v>5415</v>
      </c>
      <c r="C139" s="9"/>
      <c r="D139" s="9"/>
      <c r="E139" s="9"/>
      <c r="F139" s="112" t="s">
        <v>107</v>
      </c>
      <c r="G139" s="11" t="s">
        <v>5411</v>
      </c>
      <c r="H139" s="5" t="s">
        <v>5412</v>
      </c>
      <c r="I139" s="11" t="s">
        <v>629</v>
      </c>
      <c r="J139" s="357" t="s">
        <v>320</v>
      </c>
      <c r="K139" s="353"/>
      <c r="L139" s="221">
        <v>2</v>
      </c>
      <c r="M139" s="221"/>
      <c r="N139" s="222" t="str">
        <f t="shared" si="4"/>
        <v>Seniors - Hommes</v>
      </c>
      <c r="O139" s="729">
        <v>2</v>
      </c>
      <c r="P139" s="729"/>
      <c r="Q139" s="730" t="str">
        <f t="shared" si="5"/>
        <v>Seniors - Hommes</v>
      </c>
      <c r="R139" s="732"/>
      <c r="S139" s="732"/>
      <c r="T139" s="732"/>
      <c r="U139" s="732"/>
      <c r="V139" s="732"/>
      <c r="W139" s="732"/>
      <c r="X139" s="732"/>
      <c r="Y139" s="732"/>
      <c r="Z139" s="732"/>
      <c r="AA139" s="732"/>
      <c r="AB139" s="12" t="s">
        <v>5433</v>
      </c>
      <c r="AC139" s="155"/>
      <c r="AD139" s="155"/>
      <c r="AE139" s="155"/>
      <c r="AF139" s="12"/>
      <c r="AG139" s="386" t="s">
        <v>5173</v>
      </c>
      <c r="AH139" s="392"/>
      <c r="AI139" s="18">
        <v>46036</v>
      </c>
      <c r="AJ139" s="18">
        <v>46028</v>
      </c>
      <c r="AK139" s="13">
        <v>2032</v>
      </c>
      <c r="AL139" s="18">
        <v>33659</v>
      </c>
      <c r="AM139" s="5" t="s">
        <v>5413</v>
      </c>
      <c r="AN139" s="10"/>
      <c r="AO139" s="11"/>
      <c r="AP139" s="53"/>
      <c r="AQ139" s="20">
        <v>691251992</v>
      </c>
      <c r="AR139" s="68" t="s">
        <v>5414</v>
      </c>
      <c r="AS139" s="62"/>
      <c r="AT139" s="62"/>
      <c r="AU139" s="10"/>
      <c r="AV139" s="10"/>
      <c r="AW139" s="13"/>
      <c r="AX139" s="11"/>
      <c r="AY139" s="11"/>
      <c r="AZ139" s="11"/>
      <c r="BA139" s="11"/>
      <c r="BB139" s="59"/>
      <c r="BC139" s="59"/>
      <c r="BD139" s="59"/>
      <c r="BE139" s="59"/>
      <c r="BF139" s="59"/>
      <c r="BG139" s="59"/>
      <c r="BH139" s="138"/>
      <c r="BI139" s="138"/>
      <c r="BJ139" s="138"/>
      <c r="BK139" s="231"/>
      <c r="BL139" s="231"/>
      <c r="BM139" s="231"/>
      <c r="BN139" s="232"/>
      <c r="BO139" s="11"/>
      <c r="BP139" s="11"/>
      <c r="BQ139" s="11"/>
      <c r="BR139" s="11"/>
      <c r="BS139" s="394"/>
    </row>
    <row r="140" spans="1:72" s="150" customFormat="1" ht="12.75" customHeight="1" x14ac:dyDescent="0.15">
      <c r="A140" s="48" t="s">
        <v>1824</v>
      </c>
      <c r="B140" s="9" t="s">
        <v>3954</v>
      </c>
      <c r="C140" s="9"/>
      <c r="D140" s="9"/>
      <c r="E140" s="9"/>
      <c r="F140" s="10" t="s">
        <v>107</v>
      </c>
      <c r="G140" s="10" t="s">
        <v>375</v>
      </c>
      <c r="H140" s="5" t="s">
        <v>376</v>
      </c>
      <c r="I140" s="11" t="s">
        <v>241</v>
      </c>
      <c r="J140" s="357" t="s">
        <v>377</v>
      </c>
      <c r="K140" s="353"/>
      <c r="L140" s="221">
        <v>15</v>
      </c>
      <c r="M140" s="221"/>
      <c r="N140" s="222" t="str">
        <f t="shared" si="4"/>
        <v>U 13 Dames</v>
      </c>
      <c r="O140" s="729">
        <v>15</v>
      </c>
      <c r="P140" s="729"/>
      <c r="Q140" s="730" t="str">
        <f t="shared" si="5"/>
        <v>U 13 Dames</v>
      </c>
      <c r="R140" s="731"/>
      <c r="S140" s="731"/>
      <c r="T140" s="731"/>
      <c r="U140" s="731"/>
      <c r="V140" s="731"/>
      <c r="W140" s="731"/>
      <c r="X140" s="731"/>
      <c r="Y140" s="731"/>
      <c r="Z140" s="731"/>
      <c r="AA140" s="731" t="s">
        <v>192</v>
      </c>
      <c r="AB140" s="12" t="s">
        <v>3975</v>
      </c>
      <c r="AC140" s="12"/>
      <c r="AD140" s="12"/>
      <c r="AE140" s="12"/>
      <c r="AF140" s="12"/>
      <c r="AG140" s="369"/>
      <c r="AH140" s="370"/>
      <c r="AI140" s="18">
        <v>44622</v>
      </c>
      <c r="AJ140" s="18">
        <v>44584</v>
      </c>
      <c r="AK140" s="13">
        <v>2027</v>
      </c>
      <c r="AL140" s="18">
        <v>42326</v>
      </c>
      <c r="AM140" s="19" t="s">
        <v>3955</v>
      </c>
      <c r="AN140" s="38"/>
      <c r="AO140" s="10"/>
      <c r="AP140" s="40" t="s">
        <v>1827</v>
      </c>
      <c r="AQ140" s="10" t="s">
        <v>1828</v>
      </c>
      <c r="AR140" s="21" t="s">
        <v>1829</v>
      </c>
      <c r="AS140" s="62"/>
      <c r="AT140" s="62"/>
      <c r="AU140" s="11"/>
      <c r="AV140" s="10"/>
      <c r="AW140" s="11"/>
      <c r="AX140" s="11"/>
      <c r="AY140" s="11"/>
      <c r="AZ140" s="11"/>
      <c r="BA140" s="11"/>
      <c r="BB140" s="59"/>
      <c r="BC140" s="59"/>
      <c r="BD140" s="59"/>
      <c r="BE140" s="59"/>
      <c r="BF140" s="59"/>
      <c r="BG140" s="59"/>
      <c r="BH140" s="138"/>
      <c r="BI140" s="138"/>
      <c r="BJ140" s="138"/>
      <c r="BK140" s="231"/>
      <c r="BL140" s="231"/>
      <c r="BM140" s="231"/>
      <c r="BN140" s="232"/>
      <c r="BO140" s="19"/>
      <c r="BP140" s="23"/>
      <c r="BQ140" s="23"/>
      <c r="BR140" s="23"/>
      <c r="BS140" s="43"/>
      <c r="BT140"/>
    </row>
    <row r="141" spans="1:72" ht="12.75" customHeight="1" x14ac:dyDescent="0.15">
      <c r="A141" s="48" t="s">
        <v>1824</v>
      </c>
      <c r="B141" s="9" t="s">
        <v>1825</v>
      </c>
      <c r="C141" s="9"/>
      <c r="D141" s="9"/>
      <c r="E141" s="9"/>
      <c r="F141" s="10" t="s">
        <v>107</v>
      </c>
      <c r="G141" s="10" t="s">
        <v>375</v>
      </c>
      <c r="H141" s="5" t="s">
        <v>376</v>
      </c>
      <c r="I141" s="11" t="s">
        <v>241</v>
      </c>
      <c r="J141" s="357" t="s">
        <v>377</v>
      </c>
      <c r="K141" s="353"/>
      <c r="L141" s="221">
        <v>14</v>
      </c>
      <c r="M141" s="221"/>
      <c r="N141" s="222" t="str">
        <f t="shared" si="4"/>
        <v>U 17 Dames</v>
      </c>
      <c r="O141" s="729">
        <v>14</v>
      </c>
      <c r="P141" s="729"/>
      <c r="Q141" s="730" t="str">
        <f t="shared" si="5"/>
        <v>U 17 Dames</v>
      </c>
      <c r="R141" s="731"/>
      <c r="S141" s="731"/>
      <c r="T141" s="731"/>
      <c r="U141" s="731"/>
      <c r="V141" s="731"/>
      <c r="W141" s="731"/>
      <c r="X141" s="731"/>
      <c r="Y141" s="731" t="s">
        <v>192</v>
      </c>
      <c r="Z141" s="731"/>
      <c r="AA141" s="731"/>
      <c r="AB141" s="12" t="s">
        <v>2961</v>
      </c>
      <c r="AC141" s="12"/>
      <c r="AD141" s="12"/>
      <c r="AE141" s="12"/>
      <c r="AF141" s="12"/>
      <c r="AG141" s="369"/>
      <c r="AH141" s="370"/>
      <c r="AI141" s="18">
        <v>43507</v>
      </c>
      <c r="AJ141" s="18">
        <v>43500</v>
      </c>
      <c r="AK141" s="612">
        <v>2023</v>
      </c>
      <c r="AL141" s="18">
        <v>40775</v>
      </c>
      <c r="AM141" s="19" t="s">
        <v>1826</v>
      </c>
      <c r="AN141" s="19"/>
      <c r="AO141" s="10"/>
      <c r="AP141" s="40" t="s">
        <v>1827</v>
      </c>
      <c r="AQ141" s="10" t="s">
        <v>1828</v>
      </c>
      <c r="AR141" s="21" t="s">
        <v>1829</v>
      </c>
      <c r="AS141" s="62"/>
      <c r="AT141" s="62"/>
      <c r="AU141" s="11"/>
      <c r="AV141" s="10"/>
      <c r="AW141" s="11"/>
      <c r="AX141" s="11"/>
      <c r="AY141" s="11"/>
      <c r="AZ141" s="11" t="s">
        <v>209</v>
      </c>
      <c r="BA141" s="11"/>
      <c r="BB141" s="59" t="s">
        <v>2813</v>
      </c>
      <c r="BC141" s="59" t="s">
        <v>292</v>
      </c>
      <c r="BD141" s="59"/>
      <c r="BE141" s="59">
        <v>100</v>
      </c>
      <c r="BF141" s="59"/>
      <c r="BG141" s="59"/>
      <c r="BH141" s="138"/>
      <c r="BI141" s="138"/>
      <c r="BJ141" s="138"/>
      <c r="BK141" s="231"/>
      <c r="BL141" s="231"/>
      <c r="BM141" s="231"/>
      <c r="BN141" s="232"/>
      <c r="BO141" s="19"/>
      <c r="BP141" s="23"/>
      <c r="BQ141" s="23"/>
      <c r="BR141" s="23"/>
      <c r="BS141" s="43"/>
      <c r="BT141" s="150"/>
    </row>
    <row r="142" spans="1:72" s="150" customFormat="1" ht="12.75" customHeight="1" x14ac:dyDescent="0.15">
      <c r="A142" s="48" t="s">
        <v>5077</v>
      </c>
      <c r="B142" s="9" t="s">
        <v>5078</v>
      </c>
      <c r="C142" s="9"/>
      <c r="D142" s="9"/>
      <c r="E142" s="9"/>
      <c r="F142" s="11" t="s">
        <v>1681</v>
      </c>
      <c r="G142" s="11" t="s">
        <v>5079</v>
      </c>
      <c r="H142" s="5" t="s">
        <v>4729</v>
      </c>
      <c r="I142" s="11" t="s">
        <v>558</v>
      </c>
      <c r="J142" s="357" t="s">
        <v>5073</v>
      </c>
      <c r="K142" s="353"/>
      <c r="L142" s="221">
        <v>212</v>
      </c>
      <c r="M142" s="221"/>
      <c r="N142" s="222" t="str">
        <f t="shared" si="4"/>
        <v>Contact famille</v>
      </c>
      <c r="O142" s="729">
        <v>212</v>
      </c>
      <c r="P142" s="729"/>
      <c r="Q142" s="730" t="str">
        <f t="shared" si="5"/>
        <v>Contact famille</v>
      </c>
      <c r="R142" s="732"/>
      <c r="S142" s="732"/>
      <c r="T142" s="732"/>
      <c r="U142" s="732"/>
      <c r="V142" s="732"/>
      <c r="W142" s="732"/>
      <c r="X142" s="732" t="s">
        <v>313</v>
      </c>
      <c r="Y142" s="732"/>
      <c r="Z142" s="732"/>
      <c r="AA142" s="732"/>
      <c r="AB142" s="12"/>
      <c r="AC142" s="155"/>
      <c r="AD142" s="155"/>
      <c r="AE142" s="155"/>
      <c r="AF142" s="12"/>
      <c r="AG142" s="386"/>
      <c r="AH142" s="392"/>
      <c r="AI142" s="18" t="s">
        <v>242</v>
      </c>
      <c r="AJ142" s="18" t="s">
        <v>242</v>
      </c>
      <c r="AK142" s="13" t="s">
        <v>242</v>
      </c>
      <c r="AL142" s="18" t="s">
        <v>242</v>
      </c>
      <c r="AM142" s="19" t="s">
        <v>244</v>
      </c>
      <c r="AN142" s="10"/>
      <c r="AO142" s="11"/>
      <c r="AP142" s="53"/>
      <c r="AQ142" s="20">
        <v>691394449</v>
      </c>
      <c r="AR142" s="68" t="s">
        <v>5082</v>
      </c>
      <c r="AS142" s="62"/>
      <c r="AT142" s="62"/>
      <c r="AU142" s="10"/>
      <c r="AV142" s="10"/>
      <c r="AW142" s="13"/>
      <c r="AX142" s="11"/>
      <c r="AY142" s="11"/>
      <c r="AZ142" s="11"/>
      <c r="BA142" s="11"/>
      <c r="BB142" s="59"/>
      <c r="BC142" s="59"/>
      <c r="BD142" s="59"/>
      <c r="BE142" s="59"/>
      <c r="BF142" s="59"/>
      <c r="BG142" s="59"/>
      <c r="BH142" s="138"/>
      <c r="BI142" s="138"/>
      <c r="BJ142" s="138"/>
      <c r="BK142" s="231"/>
      <c r="BL142" s="231"/>
      <c r="BM142" s="231"/>
      <c r="BN142" s="232"/>
      <c r="BO142" s="11"/>
      <c r="BP142" s="11"/>
      <c r="BQ142" s="11"/>
      <c r="BR142" s="11"/>
      <c r="BS142" s="394"/>
      <c r="BT142"/>
    </row>
    <row r="143" spans="1:72" s="150" customFormat="1" ht="12.75" customHeight="1" x14ac:dyDescent="0.15">
      <c r="A143" s="48" t="s">
        <v>2847</v>
      </c>
      <c r="B143" s="9" t="s">
        <v>2828</v>
      </c>
      <c r="C143" s="9"/>
      <c r="D143" s="9"/>
      <c r="E143" s="9"/>
      <c r="F143" s="10" t="s">
        <v>2829</v>
      </c>
      <c r="G143" s="10" t="s">
        <v>2827</v>
      </c>
      <c r="H143" s="5" t="s">
        <v>1496</v>
      </c>
      <c r="I143" s="11" t="s">
        <v>1497</v>
      </c>
      <c r="J143" s="357" t="s">
        <v>2824</v>
      </c>
      <c r="K143" s="353"/>
      <c r="L143" s="221">
        <v>212</v>
      </c>
      <c r="M143" s="221"/>
      <c r="N143" s="222" t="str">
        <f t="shared" si="4"/>
        <v>Contact famille</v>
      </c>
      <c r="O143" s="729">
        <v>212</v>
      </c>
      <c r="P143" s="729"/>
      <c r="Q143" s="730" t="str">
        <f t="shared" si="5"/>
        <v>Contact famille</v>
      </c>
      <c r="R143" s="731"/>
      <c r="S143" s="731"/>
      <c r="T143" s="731"/>
      <c r="U143" s="731"/>
      <c r="V143" s="731"/>
      <c r="W143" s="731"/>
      <c r="X143" s="731"/>
      <c r="Y143" s="731"/>
      <c r="Z143" s="731"/>
      <c r="AA143" s="731"/>
      <c r="AB143" s="12"/>
      <c r="AC143" s="12"/>
      <c r="AD143" s="12"/>
      <c r="AE143" s="12"/>
      <c r="AF143" s="12"/>
      <c r="AG143" s="369"/>
      <c r="AH143" s="370"/>
      <c r="AI143" s="45" t="s">
        <v>242</v>
      </c>
      <c r="AJ143" s="45" t="s">
        <v>242</v>
      </c>
      <c r="AK143" s="13" t="s">
        <v>242</v>
      </c>
      <c r="AL143" s="13" t="s">
        <v>242</v>
      </c>
      <c r="AM143" s="854" t="s">
        <v>244</v>
      </c>
      <c r="AN143" s="38"/>
      <c r="AO143" s="10"/>
      <c r="AP143" s="584"/>
      <c r="AQ143" s="846" t="s">
        <v>2834</v>
      </c>
      <c r="AR143" s="380" t="s">
        <v>2836</v>
      </c>
      <c r="AS143" s="62"/>
      <c r="AT143" s="62"/>
      <c r="AU143" s="11"/>
      <c r="AV143" s="10"/>
      <c r="AW143" s="11"/>
      <c r="AX143" s="11"/>
      <c r="AY143" s="11"/>
      <c r="AZ143" s="11" t="s">
        <v>533</v>
      </c>
      <c r="BA143" s="11"/>
      <c r="BB143" s="59"/>
      <c r="BC143" s="59" t="s">
        <v>292</v>
      </c>
      <c r="BD143" s="59"/>
      <c r="BE143" s="59" t="s">
        <v>988</v>
      </c>
      <c r="BF143" s="59"/>
      <c r="BG143" s="59"/>
      <c r="BH143" s="138"/>
      <c r="BI143" s="138"/>
      <c r="BJ143" s="138"/>
      <c r="BK143" s="231"/>
      <c r="BL143" s="231"/>
      <c r="BM143" s="231"/>
      <c r="BN143" s="232"/>
      <c r="BO143" s="19"/>
      <c r="BP143" s="23"/>
      <c r="BQ143" s="23"/>
      <c r="BR143" s="23"/>
      <c r="BS143" s="43"/>
      <c r="BT143"/>
    </row>
    <row r="144" spans="1:72" s="63" customFormat="1" ht="12.75" customHeight="1" x14ac:dyDescent="0.15">
      <c r="A144" s="351" t="s">
        <v>2847</v>
      </c>
      <c r="B144" s="348" t="s">
        <v>2826</v>
      </c>
      <c r="C144" s="348"/>
      <c r="D144" s="348"/>
      <c r="E144" s="348"/>
      <c r="F144" s="10" t="s">
        <v>107</v>
      </c>
      <c r="G144" s="10" t="s">
        <v>2827</v>
      </c>
      <c r="H144" s="5" t="s">
        <v>1496</v>
      </c>
      <c r="I144" s="11" t="s">
        <v>1497</v>
      </c>
      <c r="J144" s="357" t="s">
        <v>2824</v>
      </c>
      <c r="K144" s="353"/>
      <c r="L144" s="221">
        <v>3</v>
      </c>
      <c r="M144" s="221"/>
      <c r="N144" s="222" t="str">
        <f t="shared" si="4"/>
        <v>U 21 Hommes</v>
      </c>
      <c r="O144" s="729">
        <v>3</v>
      </c>
      <c r="P144" s="729"/>
      <c r="Q144" s="730" t="str">
        <f t="shared" si="5"/>
        <v>U 21 Hommes</v>
      </c>
      <c r="R144" s="731"/>
      <c r="S144" s="731"/>
      <c r="T144" s="731"/>
      <c r="U144" s="731"/>
      <c r="V144" s="731"/>
      <c r="W144" s="731"/>
      <c r="X144" s="731"/>
      <c r="Y144" s="731"/>
      <c r="Z144" s="731"/>
      <c r="AA144" s="731"/>
      <c r="AB144" s="12" t="s">
        <v>2859</v>
      </c>
      <c r="AC144" s="12"/>
      <c r="AD144" s="12"/>
      <c r="AE144" s="12"/>
      <c r="AF144" s="12"/>
      <c r="AG144" s="369"/>
      <c r="AH144" s="370"/>
      <c r="AI144" s="18">
        <v>43741</v>
      </c>
      <c r="AJ144" s="18">
        <v>43737</v>
      </c>
      <c r="AK144" s="36">
        <v>2024</v>
      </c>
      <c r="AL144" s="18">
        <v>39855</v>
      </c>
      <c r="AM144" s="19" t="s">
        <v>2832</v>
      </c>
      <c r="AN144" s="38"/>
      <c r="AO144" s="10"/>
      <c r="AP144" s="40"/>
      <c r="AQ144" s="585" t="s">
        <v>2833</v>
      </c>
      <c r="AR144" s="350" t="s">
        <v>2835</v>
      </c>
      <c r="AS144" s="62"/>
      <c r="AT144" s="62"/>
      <c r="AU144" s="11"/>
      <c r="AV144" s="10"/>
      <c r="AW144" s="11"/>
      <c r="AX144" s="11"/>
      <c r="AY144" s="11"/>
      <c r="AZ144" s="11" t="s">
        <v>533</v>
      </c>
      <c r="BA144" s="11"/>
      <c r="BB144" s="59"/>
      <c r="BC144" s="59" t="s">
        <v>292</v>
      </c>
      <c r="BD144" s="59" t="s">
        <v>1168</v>
      </c>
      <c r="BE144" s="59">
        <v>50</v>
      </c>
      <c r="BF144" s="59"/>
      <c r="BG144" s="59"/>
      <c r="BH144" s="138"/>
      <c r="BI144" s="138"/>
      <c r="BJ144" s="138"/>
      <c r="BK144" s="231"/>
      <c r="BL144" s="231"/>
      <c r="BM144" s="231"/>
      <c r="BN144" s="232"/>
      <c r="BO144" s="19"/>
      <c r="BP144" s="23"/>
      <c r="BQ144" s="23"/>
      <c r="BR144" s="23"/>
      <c r="BS144" s="43"/>
      <c r="BT144"/>
    </row>
    <row r="145" spans="1:72" ht="12.75" customHeight="1" x14ac:dyDescent="0.15">
      <c r="A145" s="48" t="s">
        <v>4897</v>
      </c>
      <c r="B145" s="9" t="s">
        <v>4898</v>
      </c>
      <c r="C145" s="9"/>
      <c r="D145" s="9"/>
      <c r="E145" s="9"/>
      <c r="F145" s="112" t="s">
        <v>107</v>
      </c>
      <c r="G145" s="10" t="s">
        <v>4890</v>
      </c>
      <c r="H145" s="5" t="s">
        <v>4891</v>
      </c>
      <c r="I145" s="11" t="s">
        <v>2455</v>
      </c>
      <c r="J145" s="357" t="s">
        <v>4887</v>
      </c>
      <c r="K145" s="353"/>
      <c r="L145" s="221">
        <v>212</v>
      </c>
      <c r="M145" s="221"/>
      <c r="N145" s="222" t="str">
        <f t="shared" si="4"/>
        <v>Contact famille</v>
      </c>
      <c r="O145" s="729">
        <v>212</v>
      </c>
      <c r="P145" s="729"/>
      <c r="Q145" s="730" t="str">
        <f t="shared" si="5"/>
        <v>Contact famille</v>
      </c>
      <c r="R145" s="731"/>
      <c r="S145" s="731"/>
      <c r="T145" s="731"/>
      <c r="U145" s="731"/>
      <c r="V145" s="731"/>
      <c r="W145" s="731"/>
      <c r="X145" s="731"/>
      <c r="Y145" s="731"/>
      <c r="Z145" s="731"/>
      <c r="AA145" s="731"/>
      <c r="AB145" s="12"/>
      <c r="AC145" s="12"/>
      <c r="AD145" s="12"/>
      <c r="AE145" s="12"/>
      <c r="AF145" s="12"/>
      <c r="AG145" s="369"/>
      <c r="AH145" s="370"/>
      <c r="AI145" s="18" t="s">
        <v>242</v>
      </c>
      <c r="AJ145" s="18" t="s">
        <v>242</v>
      </c>
      <c r="AK145" s="13" t="s">
        <v>242</v>
      </c>
      <c r="AL145" s="18" t="s">
        <v>242</v>
      </c>
      <c r="AM145" s="19" t="s">
        <v>244</v>
      </c>
      <c r="AN145" s="38"/>
      <c r="AO145" s="10"/>
      <c r="AP145" s="40"/>
      <c r="AQ145" s="20">
        <v>691150969</v>
      </c>
      <c r="AR145" s="47" t="s">
        <v>4896</v>
      </c>
      <c r="AS145" s="62"/>
      <c r="AT145" s="62"/>
      <c r="AU145" s="11"/>
      <c r="AV145" s="10"/>
      <c r="AW145" s="11"/>
      <c r="AX145" s="11"/>
      <c r="AY145" s="11"/>
      <c r="AZ145" s="11"/>
      <c r="BA145" s="11"/>
      <c r="BB145" s="59"/>
      <c r="BC145" s="59"/>
      <c r="BD145" s="59"/>
      <c r="BE145" s="59"/>
      <c r="BF145" s="59"/>
      <c r="BG145" s="59"/>
      <c r="BH145" s="138"/>
      <c r="BI145" s="138"/>
      <c r="BJ145" s="138"/>
      <c r="BK145" s="231"/>
      <c r="BL145" s="231"/>
      <c r="BM145" s="231"/>
      <c r="BN145" s="232"/>
      <c r="BO145" s="19"/>
      <c r="BP145" s="23"/>
      <c r="BQ145" s="23"/>
      <c r="BR145" s="23"/>
      <c r="BS145" s="43"/>
      <c r="BT145" s="150"/>
    </row>
    <row r="146" spans="1:72" ht="12.75" customHeight="1" x14ac:dyDescent="0.15">
      <c r="A146" s="48" t="s">
        <v>4822</v>
      </c>
      <c r="B146" s="9" t="s">
        <v>212</v>
      </c>
      <c r="C146" s="9"/>
      <c r="D146" s="9"/>
      <c r="E146" s="9"/>
      <c r="F146" s="112" t="s">
        <v>107</v>
      </c>
      <c r="G146" s="10" t="s">
        <v>4825</v>
      </c>
      <c r="H146" s="5" t="s">
        <v>4826</v>
      </c>
      <c r="I146" s="11" t="s">
        <v>274</v>
      </c>
      <c r="J146" s="357" t="s">
        <v>763</v>
      </c>
      <c r="K146" s="353"/>
      <c r="L146" s="221">
        <v>212</v>
      </c>
      <c r="M146" s="221"/>
      <c r="N146" s="222" t="str">
        <f t="shared" si="4"/>
        <v>Contact famille</v>
      </c>
      <c r="O146" s="729">
        <v>212</v>
      </c>
      <c r="P146" s="729"/>
      <c r="Q146" s="730" t="str">
        <f t="shared" si="5"/>
        <v>Contact famille</v>
      </c>
      <c r="R146" s="731"/>
      <c r="S146" s="731"/>
      <c r="T146" s="731" t="s">
        <v>313</v>
      </c>
      <c r="U146" s="731"/>
      <c r="V146" s="731"/>
      <c r="W146" s="731"/>
      <c r="X146" s="731"/>
      <c r="Y146" s="731"/>
      <c r="Z146" s="731"/>
      <c r="AA146" s="731"/>
      <c r="AB146" s="12"/>
      <c r="AC146" s="12"/>
      <c r="AD146" s="12"/>
      <c r="AE146" s="12"/>
      <c r="AF146" s="12"/>
      <c r="AG146" s="369"/>
      <c r="AH146" s="370"/>
      <c r="AI146" s="18" t="s">
        <v>242</v>
      </c>
      <c r="AJ146" s="18" t="s">
        <v>242</v>
      </c>
      <c r="AK146" s="13" t="s">
        <v>242</v>
      </c>
      <c r="AL146" s="18" t="s">
        <v>242</v>
      </c>
      <c r="AM146" s="19" t="s">
        <v>244</v>
      </c>
      <c r="AN146" s="38"/>
      <c r="AO146" s="10"/>
      <c r="AP146" s="40"/>
      <c r="AQ146" s="20">
        <v>691903263</v>
      </c>
      <c r="AR146" s="47" t="s">
        <v>4828</v>
      </c>
      <c r="AS146" s="62"/>
      <c r="AT146" s="62"/>
      <c r="AU146" s="11"/>
      <c r="AV146" s="10"/>
      <c r="AW146" s="11"/>
      <c r="AX146" s="11"/>
      <c r="AY146" s="11"/>
      <c r="AZ146" s="11"/>
      <c r="BA146" s="11"/>
      <c r="BB146" s="59"/>
      <c r="BC146" s="59"/>
      <c r="BD146" s="59"/>
      <c r="BE146" s="59"/>
      <c r="BF146" s="59"/>
      <c r="BG146" s="59"/>
      <c r="BH146" s="138"/>
      <c r="BI146" s="138"/>
      <c r="BJ146" s="138"/>
      <c r="BK146" s="231"/>
      <c r="BL146" s="231"/>
      <c r="BM146" s="231"/>
      <c r="BN146" s="232"/>
      <c r="BO146" s="19"/>
      <c r="BP146" s="23"/>
      <c r="BQ146" s="23"/>
      <c r="BR146" s="23"/>
      <c r="BS146" s="43"/>
    </row>
    <row r="147" spans="1:72" ht="12.75" customHeight="1" x14ac:dyDescent="0.15">
      <c r="A147" s="48" t="s">
        <v>4822</v>
      </c>
      <c r="B147" s="9" t="s">
        <v>3867</v>
      </c>
      <c r="C147" s="9"/>
      <c r="D147" s="9"/>
      <c r="E147" s="9"/>
      <c r="F147" s="112" t="s">
        <v>107</v>
      </c>
      <c r="G147" s="10" t="s">
        <v>4825</v>
      </c>
      <c r="H147" s="5" t="s">
        <v>4826</v>
      </c>
      <c r="I147" s="11" t="s">
        <v>274</v>
      </c>
      <c r="J147" s="357" t="s">
        <v>763</v>
      </c>
      <c r="K147" s="353"/>
      <c r="L147" s="221">
        <v>5</v>
      </c>
      <c r="M147" s="221"/>
      <c r="N147" s="222" t="str">
        <f t="shared" si="4"/>
        <v>U 15 Hommes</v>
      </c>
      <c r="O147" s="729">
        <v>5</v>
      </c>
      <c r="P147" s="729"/>
      <c r="Q147" s="730" t="str">
        <f t="shared" si="5"/>
        <v>U 15 Hommes</v>
      </c>
      <c r="R147" s="731"/>
      <c r="S147" s="731"/>
      <c r="T147" s="731" t="s">
        <v>192</v>
      </c>
      <c r="U147" s="731"/>
      <c r="V147" s="731"/>
      <c r="W147" s="731"/>
      <c r="X147" s="731"/>
      <c r="Y147" s="731"/>
      <c r="Z147" s="731"/>
      <c r="AA147" s="731"/>
      <c r="AB147" s="12" t="s">
        <v>4869</v>
      </c>
      <c r="AC147" s="12"/>
      <c r="AD147" s="12"/>
      <c r="AE147" s="12"/>
      <c r="AF147" s="12"/>
      <c r="AG147" s="369"/>
      <c r="AH147" s="370"/>
      <c r="AI147" s="18">
        <v>45544</v>
      </c>
      <c r="AJ147" s="18">
        <v>45505</v>
      </c>
      <c r="AK147" s="13">
        <v>2028</v>
      </c>
      <c r="AL147" s="18">
        <v>41338</v>
      </c>
      <c r="AM147" s="5" t="s">
        <v>4829</v>
      </c>
      <c r="AN147" s="38"/>
      <c r="AO147" s="10"/>
      <c r="AP147" s="40"/>
      <c r="AQ147" s="10" t="s">
        <v>4827</v>
      </c>
      <c r="AR147" s="47" t="s">
        <v>4828</v>
      </c>
      <c r="AS147" s="62"/>
      <c r="AT147" s="62"/>
      <c r="AU147" s="11"/>
      <c r="AV147" s="10"/>
      <c r="AW147" s="11"/>
      <c r="AX147" s="11"/>
      <c r="AY147" s="11"/>
      <c r="AZ147" s="11"/>
      <c r="BA147" s="11"/>
      <c r="BB147" s="59"/>
      <c r="BC147" s="59"/>
      <c r="BD147" s="59"/>
      <c r="BE147" s="59"/>
      <c r="BF147" s="59"/>
      <c r="BG147" s="59"/>
      <c r="BH147" s="138"/>
      <c r="BI147" s="138"/>
      <c r="BJ147" s="138"/>
      <c r="BK147" s="231"/>
      <c r="BL147" s="231"/>
      <c r="BM147" s="231"/>
      <c r="BN147" s="232"/>
      <c r="BO147" s="19"/>
      <c r="BP147" s="23"/>
      <c r="BQ147" s="23"/>
      <c r="BR147" s="23"/>
      <c r="BS147" s="43"/>
    </row>
    <row r="148" spans="1:72" ht="12.75" customHeight="1" x14ac:dyDescent="0.15">
      <c r="A148" s="48" t="s">
        <v>4310</v>
      </c>
      <c r="B148" s="9" t="s">
        <v>4313</v>
      </c>
      <c r="C148" s="9"/>
      <c r="D148" s="9"/>
      <c r="E148" s="9"/>
      <c r="F148" s="10" t="s">
        <v>490</v>
      </c>
      <c r="G148" s="10" t="s">
        <v>4315</v>
      </c>
      <c r="H148" s="5" t="s">
        <v>110</v>
      </c>
      <c r="I148" s="11" t="s">
        <v>111</v>
      </c>
      <c r="J148" s="357" t="s">
        <v>4309</v>
      </c>
      <c r="K148" s="353"/>
      <c r="L148" s="221">
        <v>212</v>
      </c>
      <c r="M148" s="221"/>
      <c r="N148" s="222" t="str">
        <f t="shared" si="4"/>
        <v>Contact famille</v>
      </c>
      <c r="O148" s="729">
        <v>212</v>
      </c>
      <c r="P148" s="729"/>
      <c r="Q148" s="730" t="str">
        <f t="shared" si="5"/>
        <v>Contact famille</v>
      </c>
      <c r="R148" s="731"/>
      <c r="S148" s="731"/>
      <c r="T148" s="731"/>
      <c r="U148" s="731"/>
      <c r="V148" s="731"/>
      <c r="W148" s="731" t="s">
        <v>313</v>
      </c>
      <c r="X148" s="731"/>
      <c r="Y148" s="731"/>
      <c r="Z148" s="731"/>
      <c r="AA148" s="731"/>
      <c r="AB148" s="12"/>
      <c r="AC148" s="12"/>
      <c r="AD148" s="12"/>
      <c r="AE148" s="12"/>
      <c r="AF148" s="12"/>
      <c r="AG148" s="369"/>
      <c r="AH148" s="370"/>
      <c r="AI148" s="18" t="s">
        <v>242</v>
      </c>
      <c r="AJ148" s="18" t="s">
        <v>242</v>
      </c>
      <c r="AK148" s="13" t="s">
        <v>242</v>
      </c>
      <c r="AL148" s="18" t="s">
        <v>242</v>
      </c>
      <c r="AM148" s="19" t="s">
        <v>244</v>
      </c>
      <c r="AN148" s="38"/>
      <c r="AO148" s="10"/>
      <c r="AP148" s="40"/>
      <c r="AQ148" s="20">
        <v>661451382</v>
      </c>
      <c r="AR148" s="47" t="s">
        <v>4319</v>
      </c>
      <c r="AS148" s="62"/>
      <c r="AT148" s="62"/>
      <c r="AU148" s="11"/>
      <c r="AV148" s="10"/>
      <c r="AW148" s="11"/>
      <c r="AX148" s="11"/>
      <c r="AY148" s="11"/>
      <c r="AZ148" s="11"/>
      <c r="BA148" s="11"/>
      <c r="BB148" s="59"/>
      <c r="BC148" s="59"/>
      <c r="BD148" s="59"/>
      <c r="BE148" s="59"/>
      <c r="BF148" s="59"/>
      <c r="BG148" s="59"/>
      <c r="BH148" s="138"/>
      <c r="BI148" s="138"/>
      <c r="BJ148" s="138"/>
      <c r="BK148" s="231"/>
      <c r="BL148" s="231"/>
      <c r="BM148" s="231"/>
      <c r="BN148" s="232"/>
      <c r="BO148" s="19"/>
      <c r="BP148" s="23"/>
      <c r="BQ148" s="23"/>
      <c r="BR148" s="23"/>
      <c r="BS148" s="43"/>
    </row>
    <row r="149" spans="1:72" ht="12.75" customHeight="1" x14ac:dyDescent="0.15">
      <c r="A149" s="48" t="s">
        <v>4310</v>
      </c>
      <c r="B149" s="9" t="s">
        <v>4312</v>
      </c>
      <c r="C149" s="9"/>
      <c r="D149" s="9"/>
      <c r="E149" s="9"/>
      <c r="F149" s="10" t="s">
        <v>490</v>
      </c>
      <c r="G149" s="10" t="s">
        <v>4315</v>
      </c>
      <c r="H149" s="5" t="s">
        <v>110</v>
      </c>
      <c r="I149" s="11" t="s">
        <v>111</v>
      </c>
      <c r="J149" s="357" t="s">
        <v>4309</v>
      </c>
      <c r="K149" s="353"/>
      <c r="L149" s="221">
        <v>18</v>
      </c>
      <c r="M149" s="221"/>
      <c r="N149" s="222" t="str">
        <f t="shared" si="4"/>
        <v>U 9 Dames</v>
      </c>
      <c r="O149" s="729">
        <v>18</v>
      </c>
      <c r="P149" s="729"/>
      <c r="Q149" s="730" t="str">
        <f t="shared" si="5"/>
        <v>U 9 Dames</v>
      </c>
      <c r="R149" s="731"/>
      <c r="S149" s="731"/>
      <c r="T149" s="731"/>
      <c r="U149" s="731"/>
      <c r="V149" s="731"/>
      <c r="W149" s="731" t="s">
        <v>192</v>
      </c>
      <c r="X149" s="731"/>
      <c r="Y149" s="731"/>
      <c r="Z149" s="731"/>
      <c r="AA149" s="731"/>
      <c r="AB149" s="12" t="s">
        <v>4342</v>
      </c>
      <c r="AC149" s="12"/>
      <c r="AD149" s="12"/>
      <c r="AE149" s="12"/>
      <c r="AF149" s="12"/>
      <c r="AG149" s="369"/>
      <c r="AH149" s="370"/>
      <c r="AI149" s="18">
        <v>45008</v>
      </c>
      <c r="AJ149" s="18">
        <v>44981</v>
      </c>
      <c r="AK149" s="13">
        <v>2026</v>
      </c>
      <c r="AL149" s="18">
        <v>43704</v>
      </c>
      <c r="AM149" s="19" t="s">
        <v>4316</v>
      </c>
      <c r="AN149" s="38"/>
      <c r="AO149" s="10"/>
      <c r="AP149" s="40" t="s">
        <v>4317</v>
      </c>
      <c r="AQ149" s="10" t="s">
        <v>4318</v>
      </c>
      <c r="AR149" s="47" t="s">
        <v>4319</v>
      </c>
      <c r="AS149" s="62"/>
      <c r="AT149" s="62"/>
      <c r="AU149" s="11"/>
      <c r="AV149" s="10"/>
      <c r="AW149" s="11"/>
      <c r="AX149" s="11"/>
      <c r="AY149" s="11"/>
      <c r="AZ149" s="11"/>
      <c r="BA149" s="11"/>
      <c r="BB149" s="59"/>
      <c r="BC149" s="59"/>
      <c r="BD149" s="59"/>
      <c r="BE149" s="59"/>
      <c r="BF149" s="59"/>
      <c r="BG149" s="59"/>
      <c r="BH149" s="138"/>
      <c r="BI149" s="138"/>
      <c r="BJ149" s="138"/>
      <c r="BK149" s="231"/>
      <c r="BL149" s="231"/>
      <c r="BM149" s="231"/>
      <c r="BN149" s="232"/>
      <c r="BO149" s="19"/>
      <c r="BP149" s="23"/>
      <c r="BQ149" s="23"/>
      <c r="BR149" s="23"/>
      <c r="BS149" s="43"/>
    </row>
    <row r="150" spans="1:72" ht="12.75" customHeight="1" x14ac:dyDescent="0.15">
      <c r="A150" s="48" t="s">
        <v>5258</v>
      </c>
      <c r="B150" s="9" t="s">
        <v>2335</v>
      </c>
      <c r="C150" s="9"/>
      <c r="D150" s="9"/>
      <c r="E150" s="9"/>
      <c r="F150" s="112" t="s">
        <v>107</v>
      </c>
      <c r="G150" s="11" t="s">
        <v>5260</v>
      </c>
      <c r="H150" s="5" t="s">
        <v>5261</v>
      </c>
      <c r="I150" s="11" t="s">
        <v>5262</v>
      </c>
      <c r="J150" s="357" t="s">
        <v>5257</v>
      </c>
      <c r="K150" s="353"/>
      <c r="L150" s="221">
        <v>212</v>
      </c>
      <c r="M150" s="221"/>
      <c r="N150" s="222" t="str">
        <f t="shared" si="4"/>
        <v>Contact famille</v>
      </c>
      <c r="O150" s="729">
        <v>212</v>
      </c>
      <c r="P150" s="729"/>
      <c r="Q150" s="730" t="str">
        <f t="shared" si="5"/>
        <v>Contact famille</v>
      </c>
      <c r="R150" s="732"/>
      <c r="S150" s="732"/>
      <c r="T150" s="732"/>
      <c r="U150" s="732"/>
      <c r="V150" s="732" t="s">
        <v>313</v>
      </c>
      <c r="W150" s="732" t="s">
        <v>313</v>
      </c>
      <c r="X150" s="732"/>
      <c r="Y150" s="732"/>
      <c r="Z150" s="732"/>
      <c r="AA150" s="732"/>
      <c r="AB150" s="12"/>
      <c r="AC150" s="155"/>
      <c r="AD150" s="155"/>
      <c r="AE150" s="155"/>
      <c r="AF150" s="12"/>
      <c r="AG150" s="386"/>
      <c r="AH150" s="392"/>
      <c r="AI150" s="18" t="s">
        <v>242</v>
      </c>
      <c r="AJ150" s="18" t="s">
        <v>242</v>
      </c>
      <c r="AK150" s="13" t="s">
        <v>242</v>
      </c>
      <c r="AL150" s="13" t="s">
        <v>242</v>
      </c>
      <c r="AM150" s="46" t="s">
        <v>244</v>
      </c>
      <c r="AN150" s="10"/>
      <c r="AO150" s="11"/>
      <c r="AP150" s="53"/>
      <c r="AQ150" s="20">
        <v>621255430</v>
      </c>
      <c r="AR150" s="11"/>
      <c r="AS150" s="62"/>
      <c r="AT150" s="62"/>
      <c r="AU150" s="10"/>
      <c r="AV150" s="10"/>
      <c r="AW150" s="13"/>
      <c r="AX150" s="11"/>
      <c r="AY150" s="11"/>
      <c r="AZ150" s="11"/>
      <c r="BA150" s="11"/>
      <c r="BB150" s="59"/>
      <c r="BC150" s="59"/>
      <c r="BD150" s="59"/>
      <c r="BE150" s="59"/>
      <c r="BF150" s="59"/>
      <c r="BG150" s="59"/>
      <c r="BH150" s="138"/>
      <c r="BI150" s="138"/>
      <c r="BJ150" s="138"/>
      <c r="BK150" s="231"/>
      <c r="BL150" s="231"/>
      <c r="BM150" s="231"/>
      <c r="BN150" s="232"/>
      <c r="BO150" s="11"/>
      <c r="BP150" s="11"/>
      <c r="BQ150" s="11"/>
      <c r="BR150" s="11"/>
      <c r="BS150" s="394"/>
    </row>
    <row r="151" spans="1:72" ht="12.75" customHeight="1" x14ac:dyDescent="0.15">
      <c r="A151" s="48" t="s">
        <v>5258</v>
      </c>
      <c r="B151" s="9" t="s">
        <v>2066</v>
      </c>
      <c r="C151" s="9"/>
      <c r="D151" s="9"/>
      <c r="E151" s="9"/>
      <c r="F151" s="112" t="s">
        <v>107</v>
      </c>
      <c r="G151" s="11" t="s">
        <v>5260</v>
      </c>
      <c r="H151" s="5" t="s">
        <v>5261</v>
      </c>
      <c r="I151" s="11" t="s">
        <v>5262</v>
      </c>
      <c r="J151" s="357" t="s">
        <v>5257</v>
      </c>
      <c r="K151" s="353"/>
      <c r="L151" s="221">
        <v>7</v>
      </c>
      <c r="M151" s="221"/>
      <c r="N151" s="222" t="str">
        <f t="shared" si="4"/>
        <v>U 11 Hommes</v>
      </c>
      <c r="O151" s="729">
        <v>7</v>
      </c>
      <c r="P151" s="729"/>
      <c r="Q151" s="730" t="str">
        <f t="shared" si="5"/>
        <v>U 11 Hommes</v>
      </c>
      <c r="R151" s="732"/>
      <c r="S151" s="732"/>
      <c r="T151" s="732"/>
      <c r="U151" s="732"/>
      <c r="V151" s="732" t="s">
        <v>192</v>
      </c>
      <c r="W151" s="732"/>
      <c r="X151" s="732"/>
      <c r="Y151" s="732"/>
      <c r="Z151" s="732"/>
      <c r="AA151" s="732"/>
      <c r="AB151" s="12" t="s">
        <v>5285</v>
      </c>
      <c r="AC151" s="155"/>
      <c r="AD151" s="155"/>
      <c r="AE151" s="155"/>
      <c r="AF151" s="12"/>
      <c r="AG151" s="386" t="s">
        <v>5270</v>
      </c>
      <c r="AH151" s="392"/>
      <c r="AI151" s="18">
        <v>45908</v>
      </c>
      <c r="AJ151" s="18">
        <v>45889</v>
      </c>
      <c r="AK151" s="13">
        <v>2029</v>
      </c>
      <c r="AL151" s="18">
        <v>43046</v>
      </c>
      <c r="AM151" s="5" t="s">
        <v>5266</v>
      </c>
      <c r="AN151" s="10"/>
      <c r="AO151" s="11"/>
      <c r="AP151" s="53" t="s">
        <v>5263</v>
      </c>
      <c r="AQ151" s="10" t="s">
        <v>5264</v>
      </c>
      <c r="AR151" s="68" t="s">
        <v>5265</v>
      </c>
      <c r="AS151" s="62"/>
      <c r="AT151" s="62"/>
      <c r="AU151" s="10"/>
      <c r="AV151" s="10"/>
      <c r="AW151" s="13"/>
      <c r="AX151" s="11"/>
      <c r="AY151" s="11"/>
      <c r="AZ151" s="11"/>
      <c r="BA151" s="11"/>
      <c r="BB151" s="59"/>
      <c r="BC151" s="59"/>
      <c r="BD151" s="59"/>
      <c r="BE151" s="59"/>
      <c r="BF151" s="59"/>
      <c r="BG151" s="59"/>
      <c r="BH151" s="138"/>
      <c r="BI151" s="138"/>
      <c r="BJ151" s="138"/>
      <c r="BK151" s="231"/>
      <c r="BL151" s="231"/>
      <c r="BM151" s="231"/>
      <c r="BN151" s="232"/>
      <c r="BO151" s="11"/>
      <c r="BP151" s="11"/>
      <c r="BQ151" s="11"/>
      <c r="BR151" s="11"/>
      <c r="BS151" s="394"/>
    </row>
    <row r="152" spans="1:72" ht="12.75" customHeight="1" x14ac:dyDescent="0.15">
      <c r="A152" s="48" t="s">
        <v>5258</v>
      </c>
      <c r="B152" s="9" t="s">
        <v>5268</v>
      </c>
      <c r="C152" s="9"/>
      <c r="D152" s="9"/>
      <c r="E152" s="9"/>
      <c r="F152" s="112" t="s">
        <v>107</v>
      </c>
      <c r="G152" s="11" t="s">
        <v>5260</v>
      </c>
      <c r="H152" s="5" t="s">
        <v>5261</v>
      </c>
      <c r="I152" s="11" t="s">
        <v>5262</v>
      </c>
      <c r="J152" s="357" t="s">
        <v>5257</v>
      </c>
      <c r="K152" s="353"/>
      <c r="L152" s="221">
        <v>8</v>
      </c>
      <c r="M152" s="221"/>
      <c r="N152" s="222" t="str">
        <f t="shared" si="4"/>
        <v xml:space="preserve">U 9 Hommes </v>
      </c>
      <c r="O152" s="729">
        <v>8</v>
      </c>
      <c r="P152" s="729"/>
      <c r="Q152" s="730" t="str">
        <f t="shared" si="5"/>
        <v xml:space="preserve">U 9 Hommes </v>
      </c>
      <c r="R152" s="732"/>
      <c r="S152" s="732"/>
      <c r="T152" s="732"/>
      <c r="U152" s="732"/>
      <c r="V152" s="732"/>
      <c r="W152" s="732" t="s">
        <v>192</v>
      </c>
      <c r="X152" s="732"/>
      <c r="Y152" s="732"/>
      <c r="Z152" s="732"/>
      <c r="AA152" s="732"/>
      <c r="AB152" s="217" t="s">
        <v>2805</v>
      </c>
      <c r="AC152" s="155"/>
      <c r="AD152" s="155"/>
      <c r="AE152" s="155"/>
      <c r="AF152" s="12"/>
      <c r="AG152" s="386" t="s">
        <v>5173</v>
      </c>
      <c r="AH152" s="392"/>
      <c r="AI152" s="432"/>
      <c r="AJ152" s="18">
        <v>45902</v>
      </c>
      <c r="AK152" s="378"/>
      <c r="AL152" s="18">
        <v>43735</v>
      </c>
      <c r="AM152" s="52" t="s">
        <v>5269</v>
      </c>
      <c r="AN152" s="10"/>
      <c r="AO152" s="11"/>
      <c r="AP152" s="53" t="s">
        <v>5263</v>
      </c>
      <c r="AQ152" s="10" t="s">
        <v>5264</v>
      </c>
      <c r="AR152" s="68" t="s">
        <v>5265</v>
      </c>
      <c r="AS152" s="62"/>
      <c r="AT152" s="62"/>
      <c r="AU152" s="10"/>
      <c r="AV152" s="10"/>
      <c r="AW152" s="13"/>
      <c r="AX152" s="11"/>
      <c r="AY152" s="11"/>
      <c r="AZ152" s="11"/>
      <c r="BA152" s="11"/>
      <c r="BB152" s="59"/>
      <c r="BC152" s="59"/>
      <c r="BD152" s="59"/>
      <c r="BE152" s="59"/>
      <c r="BF152" s="59"/>
      <c r="BG152" s="59"/>
      <c r="BH152" s="138"/>
      <c r="BI152" s="138"/>
      <c r="BJ152" s="138"/>
      <c r="BK152" s="231"/>
      <c r="BL152" s="231"/>
      <c r="BM152" s="231"/>
      <c r="BN152" s="232"/>
      <c r="BO152" s="11"/>
      <c r="BP152" s="11"/>
      <c r="BQ152" s="11"/>
      <c r="BR152" s="11"/>
      <c r="BS152" s="394"/>
    </row>
    <row r="153" spans="1:72" ht="12.75" customHeight="1" x14ac:dyDescent="0.15">
      <c r="A153" s="48" t="s">
        <v>5259</v>
      </c>
      <c r="B153" s="9" t="s">
        <v>1012</v>
      </c>
      <c r="C153" s="9"/>
      <c r="D153" s="9"/>
      <c r="E153" s="9"/>
      <c r="F153" s="112" t="s">
        <v>107</v>
      </c>
      <c r="G153" s="11" t="s">
        <v>5260</v>
      </c>
      <c r="H153" s="5" t="s">
        <v>5261</v>
      </c>
      <c r="I153" s="11" t="s">
        <v>5262</v>
      </c>
      <c r="J153" s="357" t="s">
        <v>5257</v>
      </c>
      <c r="K153" s="353"/>
      <c r="L153" s="221">
        <v>212</v>
      </c>
      <c r="M153" s="221"/>
      <c r="N153" s="222" t="str">
        <f t="shared" si="4"/>
        <v>Contact famille</v>
      </c>
      <c r="O153" s="729">
        <v>212</v>
      </c>
      <c r="P153" s="729"/>
      <c r="Q153" s="730" t="str">
        <f t="shared" si="5"/>
        <v>Contact famille</v>
      </c>
      <c r="R153" s="732"/>
      <c r="S153" s="732"/>
      <c r="T153" s="732"/>
      <c r="U153" s="732"/>
      <c r="V153" s="732" t="s">
        <v>313</v>
      </c>
      <c r="W153" s="732" t="s">
        <v>313</v>
      </c>
      <c r="X153" s="732"/>
      <c r="Y153" s="732"/>
      <c r="Z153" s="732"/>
      <c r="AA153" s="732"/>
      <c r="AB153" s="12"/>
      <c r="AC153" s="155"/>
      <c r="AD153" s="155"/>
      <c r="AE153" s="155"/>
      <c r="AF153" s="12"/>
      <c r="AG153" s="386"/>
      <c r="AH153" s="392"/>
      <c r="AI153" s="18" t="s">
        <v>242</v>
      </c>
      <c r="AJ153" s="18" t="s">
        <v>242</v>
      </c>
      <c r="AK153" s="13" t="s">
        <v>242</v>
      </c>
      <c r="AL153" s="18" t="s">
        <v>242</v>
      </c>
      <c r="AM153" s="19" t="s">
        <v>244</v>
      </c>
      <c r="AN153" s="10"/>
      <c r="AO153" s="11"/>
      <c r="AQ153" s="20">
        <v>621785490</v>
      </c>
      <c r="AR153" s="11" t="s">
        <v>5265</v>
      </c>
      <c r="AS153" s="62"/>
      <c r="AT153" s="62"/>
      <c r="AU153" s="10"/>
      <c r="AV153" s="10"/>
      <c r="AW153" s="13"/>
      <c r="AX153" s="11"/>
      <c r="AY153" s="11"/>
      <c r="AZ153" s="11"/>
      <c r="BA153" s="11"/>
      <c r="BB153" s="59"/>
      <c r="BC153" s="59"/>
      <c r="BD153" s="59"/>
      <c r="BE153" s="59"/>
      <c r="BF153" s="59"/>
      <c r="BG153" s="59"/>
      <c r="BH153" s="138"/>
      <c r="BI153" s="138"/>
      <c r="BJ153" s="138"/>
      <c r="BK153" s="231"/>
      <c r="BL153" s="231"/>
      <c r="BM153" s="231"/>
      <c r="BN153" s="232"/>
      <c r="BO153" s="11"/>
      <c r="BP153" s="11"/>
      <c r="BQ153" s="11"/>
      <c r="BR153" s="11"/>
      <c r="BS153" s="394"/>
    </row>
    <row r="154" spans="1:72" ht="12.75" customHeight="1" x14ac:dyDescent="0.15">
      <c r="A154" s="48" t="s">
        <v>4722</v>
      </c>
      <c r="B154" s="9" t="s">
        <v>4723</v>
      </c>
      <c r="C154" s="9"/>
      <c r="D154" s="9"/>
      <c r="E154" s="9"/>
      <c r="F154" s="10" t="s">
        <v>263</v>
      </c>
      <c r="G154" s="10" t="s">
        <v>4726</v>
      </c>
      <c r="H154" s="5" t="s">
        <v>4728</v>
      </c>
      <c r="I154" s="11" t="s">
        <v>360</v>
      </c>
      <c r="J154" s="357" t="s">
        <v>4719</v>
      </c>
      <c r="K154" s="353"/>
      <c r="L154" s="221">
        <v>212</v>
      </c>
      <c r="M154" s="221"/>
      <c r="N154" s="222" t="str">
        <f t="shared" si="4"/>
        <v>Contact famille</v>
      </c>
      <c r="O154" s="729">
        <v>212</v>
      </c>
      <c r="P154" s="729"/>
      <c r="Q154" s="730" t="str">
        <f t="shared" si="5"/>
        <v>Contact famille</v>
      </c>
      <c r="R154" s="731"/>
      <c r="S154" s="731"/>
      <c r="T154" s="731"/>
      <c r="U154" s="731"/>
      <c r="V154" s="731"/>
      <c r="W154" s="731"/>
      <c r="X154" s="731" t="s">
        <v>313</v>
      </c>
      <c r="Y154" s="731"/>
      <c r="Z154" s="731"/>
      <c r="AA154" s="731"/>
      <c r="AB154" s="12"/>
      <c r="AC154" s="12"/>
      <c r="AD154" s="12"/>
      <c r="AE154" s="12"/>
      <c r="AF154" s="12"/>
      <c r="AG154" s="369"/>
      <c r="AH154" s="370"/>
      <c r="AI154" s="18" t="s">
        <v>242</v>
      </c>
      <c r="AJ154" s="18" t="s">
        <v>242</v>
      </c>
      <c r="AK154" s="427" t="s">
        <v>242</v>
      </c>
      <c r="AL154" s="18">
        <v>31114</v>
      </c>
      <c r="AM154" s="19" t="s">
        <v>4731</v>
      </c>
      <c r="AN154" s="38"/>
      <c r="AO154" s="40" t="s">
        <v>252</v>
      </c>
      <c r="AP154" s="40"/>
      <c r="AQ154" s="20">
        <v>621523369</v>
      </c>
      <c r="AR154" s="47" t="s">
        <v>4735</v>
      </c>
      <c r="AS154" s="62"/>
      <c r="AT154" s="62"/>
      <c r="AU154" s="11"/>
      <c r="AV154" s="10"/>
      <c r="AW154" s="11"/>
      <c r="AX154" s="11"/>
      <c r="AY154" s="11"/>
      <c r="AZ154" s="11"/>
      <c r="BA154" s="11"/>
      <c r="BB154" s="59"/>
      <c r="BC154" s="59"/>
      <c r="BD154" s="59"/>
      <c r="BE154" s="59"/>
      <c r="BF154" s="59"/>
      <c r="BG154" s="59"/>
      <c r="BH154" s="138"/>
      <c r="BI154" s="138"/>
      <c r="BJ154" s="138"/>
      <c r="BK154" s="231"/>
      <c r="BL154" s="231"/>
      <c r="BM154" s="231"/>
      <c r="BN154" s="232"/>
      <c r="BO154" s="19"/>
      <c r="BP154" s="23"/>
      <c r="BQ154" s="23"/>
      <c r="BR154" s="23"/>
      <c r="BS154" s="43"/>
      <c r="BT154" s="150"/>
    </row>
    <row r="155" spans="1:72" ht="12.75" customHeight="1" x14ac:dyDescent="0.15">
      <c r="A155" s="48" t="s">
        <v>3921</v>
      </c>
      <c r="B155" s="9" t="s">
        <v>866</v>
      </c>
      <c r="C155" s="9"/>
      <c r="D155" s="9"/>
      <c r="E155" s="9"/>
      <c r="F155" s="112" t="s">
        <v>107</v>
      </c>
      <c r="G155" s="10" t="s">
        <v>3923</v>
      </c>
      <c r="H155" s="5" t="s">
        <v>4268</v>
      </c>
      <c r="I155" s="11" t="s">
        <v>848</v>
      </c>
      <c r="J155" s="357" t="s">
        <v>757</v>
      </c>
      <c r="K155" s="353"/>
      <c r="L155" s="221">
        <v>212</v>
      </c>
      <c r="M155" s="221"/>
      <c r="N155" s="222" t="str">
        <f t="shared" si="4"/>
        <v>Contact famille</v>
      </c>
      <c r="O155" s="729">
        <v>212</v>
      </c>
      <c r="P155" s="729"/>
      <c r="Q155" s="730" t="str">
        <f t="shared" si="5"/>
        <v>Contact famille</v>
      </c>
      <c r="R155" s="731"/>
      <c r="S155" s="731"/>
      <c r="T155" s="731"/>
      <c r="U155" s="731"/>
      <c r="V155" s="731"/>
      <c r="W155" s="731" t="s">
        <v>313</v>
      </c>
      <c r="X155" s="731" t="s">
        <v>313</v>
      </c>
      <c r="Y155" s="731"/>
      <c r="Z155" s="731"/>
      <c r="AA155" s="731"/>
      <c r="AB155" s="12"/>
      <c r="AC155" s="12"/>
      <c r="AD155" s="12"/>
      <c r="AE155" s="12"/>
      <c r="AF155" s="12"/>
      <c r="AG155" s="369"/>
      <c r="AH155" s="370"/>
      <c r="AI155" s="18" t="s">
        <v>242</v>
      </c>
      <c r="AJ155" s="18" t="s">
        <v>242</v>
      </c>
      <c r="AK155" s="13" t="s">
        <v>242</v>
      </c>
      <c r="AL155" s="18" t="s">
        <v>242</v>
      </c>
      <c r="AM155" s="19" t="s">
        <v>244</v>
      </c>
      <c r="AN155" s="38"/>
      <c r="AO155" s="10"/>
      <c r="AP155" s="20"/>
      <c r="AQ155" s="20">
        <v>621624521</v>
      </c>
      <c r="AR155" s="47" t="s">
        <v>3928</v>
      </c>
      <c r="AS155" s="62"/>
      <c r="AT155" s="62"/>
      <c r="AU155" s="11"/>
      <c r="AV155" s="10"/>
      <c r="AW155" s="11"/>
      <c r="AX155" s="11"/>
      <c r="AY155" s="11"/>
      <c r="AZ155" s="11"/>
      <c r="BA155" s="11"/>
      <c r="BB155" s="59"/>
      <c r="BC155" s="59"/>
      <c r="BD155" s="59"/>
      <c r="BE155" s="59"/>
      <c r="BF155" s="59"/>
      <c r="BG155" s="59"/>
      <c r="BH155" s="138"/>
      <c r="BI155" s="138"/>
      <c r="BJ155" s="138"/>
      <c r="BK155" s="231"/>
      <c r="BL155" s="231"/>
      <c r="BM155" s="231"/>
      <c r="BN155" s="232"/>
      <c r="BO155" s="19"/>
      <c r="BP155" s="23"/>
      <c r="BQ155" s="23"/>
      <c r="BR155" s="23"/>
      <c r="BS155" s="43"/>
      <c r="BT155" s="150"/>
    </row>
    <row r="156" spans="1:72" ht="12.75" customHeight="1" x14ac:dyDescent="0.15">
      <c r="A156" s="48" t="s">
        <v>3921</v>
      </c>
      <c r="B156" s="9" t="s">
        <v>4267</v>
      </c>
      <c r="C156" s="9"/>
      <c r="D156" s="9"/>
      <c r="E156" s="9"/>
      <c r="F156" s="112" t="s">
        <v>107</v>
      </c>
      <c r="G156" s="10" t="s">
        <v>3923</v>
      </c>
      <c r="H156" s="5" t="s">
        <v>3234</v>
      </c>
      <c r="I156" s="11" t="s">
        <v>848</v>
      </c>
      <c r="J156" s="357" t="s">
        <v>757</v>
      </c>
      <c r="K156" s="353"/>
      <c r="L156" s="221">
        <v>21</v>
      </c>
      <c r="M156" s="221"/>
      <c r="N156" s="222" t="str">
        <f t="shared" si="4"/>
        <v>U7 Mixte</v>
      </c>
      <c r="O156" s="729">
        <v>21</v>
      </c>
      <c r="P156" s="729"/>
      <c r="Q156" s="730" t="str">
        <f t="shared" si="5"/>
        <v>U7 Mixte</v>
      </c>
      <c r="R156" s="731"/>
      <c r="S156" s="731"/>
      <c r="T156" s="731"/>
      <c r="U156" s="731"/>
      <c r="V156" s="731"/>
      <c r="W156" s="731"/>
      <c r="X156" s="731" t="s">
        <v>192</v>
      </c>
      <c r="Y156" s="731"/>
      <c r="Z156" s="731"/>
      <c r="AA156" s="731"/>
      <c r="AB156" s="12" t="s">
        <v>4295</v>
      </c>
      <c r="AC156" s="12"/>
      <c r="AD156" s="12"/>
      <c r="AE156" s="12"/>
      <c r="AF156" s="12"/>
      <c r="AG156" s="369"/>
      <c r="AH156" s="370"/>
      <c r="AI156" s="18">
        <v>44964</v>
      </c>
      <c r="AJ156" s="18">
        <v>44953</v>
      </c>
      <c r="AK156" s="13">
        <v>2027</v>
      </c>
      <c r="AL156" s="18">
        <v>44040</v>
      </c>
      <c r="AM156" s="19" t="s">
        <v>4269</v>
      </c>
      <c r="AN156" s="38"/>
      <c r="AO156" s="10"/>
      <c r="AP156" s="40" t="s">
        <v>4270</v>
      </c>
      <c r="AQ156" s="20" t="s">
        <v>3926</v>
      </c>
      <c r="AR156" s="47" t="s">
        <v>3927</v>
      </c>
      <c r="AS156" s="62"/>
      <c r="AT156" s="62"/>
      <c r="AU156" s="11"/>
      <c r="AV156" s="10"/>
      <c r="AW156" s="11"/>
      <c r="AX156" s="11"/>
      <c r="AY156" s="11"/>
      <c r="AZ156" s="11"/>
      <c r="BA156" s="11"/>
      <c r="BB156" s="59"/>
      <c r="BC156" s="59"/>
      <c r="BD156" s="59"/>
      <c r="BE156" s="59"/>
      <c r="BF156" s="59"/>
      <c r="BG156" s="59"/>
      <c r="BH156" s="138"/>
      <c r="BI156" s="138"/>
      <c r="BJ156" s="138"/>
      <c r="BK156" s="231"/>
      <c r="BL156" s="231"/>
      <c r="BM156" s="231"/>
      <c r="BN156" s="232"/>
      <c r="BO156" s="19"/>
      <c r="BP156" s="23"/>
      <c r="BQ156" s="23"/>
      <c r="BR156" s="23"/>
      <c r="BS156" s="43"/>
      <c r="BT156" s="150"/>
    </row>
    <row r="157" spans="1:72" ht="12.75" customHeight="1" x14ac:dyDescent="0.15">
      <c r="A157" s="48" t="s">
        <v>3921</v>
      </c>
      <c r="B157" s="9" t="s">
        <v>3922</v>
      </c>
      <c r="C157" s="9"/>
      <c r="D157" s="9"/>
      <c r="E157" s="9"/>
      <c r="F157" s="10" t="s">
        <v>107</v>
      </c>
      <c r="G157" s="10" t="s">
        <v>3923</v>
      </c>
      <c r="H157" s="5" t="s">
        <v>3234</v>
      </c>
      <c r="I157" s="11" t="s">
        <v>848</v>
      </c>
      <c r="J157" s="357" t="s">
        <v>757</v>
      </c>
      <c r="K157" s="353"/>
      <c r="L157" s="221">
        <v>18</v>
      </c>
      <c r="M157" s="221"/>
      <c r="N157" s="222" t="str">
        <f t="shared" si="4"/>
        <v>U 9 Dames</v>
      </c>
      <c r="O157" s="729">
        <v>18</v>
      </c>
      <c r="P157" s="729"/>
      <c r="Q157" s="730" t="str">
        <f t="shared" si="5"/>
        <v>U 9 Dames</v>
      </c>
      <c r="R157" s="731"/>
      <c r="S157" s="731"/>
      <c r="T157" s="731"/>
      <c r="U157" s="731"/>
      <c r="V157" s="731"/>
      <c r="W157" s="731" t="s">
        <v>192</v>
      </c>
      <c r="X157" s="731"/>
      <c r="Y157" s="731"/>
      <c r="Z157" s="731"/>
      <c r="AA157" s="731"/>
      <c r="AB157" s="12" t="s">
        <v>4002</v>
      </c>
      <c r="AC157" s="12"/>
      <c r="AD157" s="12"/>
      <c r="AE157" s="12"/>
      <c r="AF157" s="12"/>
      <c r="AG157" s="369"/>
      <c r="AH157" s="370"/>
      <c r="AI157" s="18">
        <v>44649</v>
      </c>
      <c r="AJ157" s="18">
        <v>44553</v>
      </c>
      <c r="AK157" s="615">
        <v>2025</v>
      </c>
      <c r="AL157" s="18">
        <v>43259</v>
      </c>
      <c r="AM157" s="19" t="s">
        <v>3924</v>
      </c>
      <c r="AN157" s="38"/>
      <c r="AO157" s="10"/>
      <c r="AP157" s="40" t="s">
        <v>3925</v>
      </c>
      <c r="AQ157" s="10" t="s">
        <v>3926</v>
      </c>
      <c r="AR157" s="47" t="s">
        <v>3927</v>
      </c>
      <c r="AS157" s="62"/>
      <c r="AT157" s="62"/>
      <c r="AU157" s="11"/>
      <c r="AV157" s="10"/>
      <c r="AW157" s="11"/>
      <c r="AX157" s="11"/>
      <c r="AY157" s="11"/>
      <c r="AZ157" s="11"/>
      <c r="BA157" s="11"/>
      <c r="BB157" s="59"/>
      <c r="BC157" s="59"/>
      <c r="BD157" s="59"/>
      <c r="BE157" s="59"/>
      <c r="BF157" s="59"/>
      <c r="BG157" s="59"/>
      <c r="BH157" s="138"/>
      <c r="BI157" s="138"/>
      <c r="BJ157" s="138"/>
      <c r="BK157" s="231"/>
      <c r="BL157" s="231"/>
      <c r="BM157" s="231"/>
      <c r="BN157" s="232"/>
      <c r="BO157" s="19"/>
      <c r="BP157" s="23"/>
      <c r="BQ157" s="23"/>
      <c r="BR157" s="23"/>
      <c r="BS157" s="43"/>
    </row>
    <row r="158" spans="1:72" ht="12.75" customHeight="1" x14ac:dyDescent="0.15">
      <c r="A158" s="48" t="s">
        <v>5235</v>
      </c>
      <c r="B158" s="9" t="s">
        <v>5236</v>
      </c>
      <c r="C158" s="9"/>
      <c r="D158" s="9"/>
      <c r="E158" s="9"/>
      <c r="F158" s="112" t="s">
        <v>107</v>
      </c>
      <c r="G158" s="11" t="s">
        <v>5239</v>
      </c>
      <c r="H158" s="5" t="s">
        <v>5240</v>
      </c>
      <c r="I158" s="11" t="s">
        <v>528</v>
      </c>
      <c r="J158" s="357" t="s">
        <v>5256</v>
      </c>
      <c r="K158" s="353"/>
      <c r="L158" s="221">
        <v>212</v>
      </c>
      <c r="M158" s="221"/>
      <c r="N158" s="222" t="str">
        <f t="shared" si="4"/>
        <v>Contact famille</v>
      </c>
      <c r="O158" s="729">
        <v>212</v>
      </c>
      <c r="P158" s="729"/>
      <c r="Q158" s="730" t="str">
        <f t="shared" si="5"/>
        <v>Contact famille</v>
      </c>
      <c r="R158" s="732"/>
      <c r="S158" s="732"/>
      <c r="T158" s="732"/>
      <c r="U158" s="732"/>
      <c r="V158" s="732"/>
      <c r="W158" s="732"/>
      <c r="X158" s="732"/>
      <c r="Y158" s="732"/>
      <c r="Z158" s="732"/>
      <c r="AA158" s="732" t="s">
        <v>313</v>
      </c>
      <c r="AB158" s="12"/>
      <c r="AC158" s="155"/>
      <c r="AD158" s="155"/>
      <c r="AE158" s="155"/>
      <c r="AF158" s="12"/>
      <c r="AG158" s="386"/>
      <c r="AH158" s="392"/>
      <c r="AI158" s="18" t="s">
        <v>242</v>
      </c>
      <c r="AJ158" s="18" t="s">
        <v>242</v>
      </c>
      <c r="AK158" s="13" t="s">
        <v>242</v>
      </c>
      <c r="AL158" s="18" t="s">
        <v>242</v>
      </c>
      <c r="AM158" s="19" t="s">
        <v>244</v>
      </c>
      <c r="AN158" s="10"/>
      <c r="AO158" s="11"/>
      <c r="AP158" s="53"/>
      <c r="AQ158" s="20">
        <v>691901172</v>
      </c>
      <c r="AR158" s="349" t="s">
        <v>5244</v>
      </c>
      <c r="AS158" s="62"/>
      <c r="AT158" s="62"/>
      <c r="AU158" s="10"/>
      <c r="AV158" s="10"/>
      <c r="AW158" s="13"/>
      <c r="AX158" s="11"/>
      <c r="AY158" s="11"/>
      <c r="AZ158" s="11"/>
      <c r="BA158" s="11"/>
      <c r="BB158" s="59"/>
      <c r="BC158" s="59"/>
      <c r="BD158" s="59"/>
      <c r="BE158" s="59"/>
      <c r="BF158" s="59"/>
      <c r="BG158" s="59"/>
      <c r="BH158" s="138"/>
      <c r="BI158" s="138"/>
      <c r="BJ158" s="138"/>
      <c r="BK158" s="231"/>
      <c r="BL158" s="231"/>
      <c r="BM158" s="231"/>
      <c r="BN158" s="232"/>
      <c r="BO158" s="11"/>
      <c r="BP158" s="11"/>
      <c r="BQ158" s="11"/>
      <c r="BR158" s="11"/>
      <c r="BS158" s="394"/>
    </row>
    <row r="159" spans="1:72" ht="12.75" customHeight="1" x14ac:dyDescent="0.15">
      <c r="A159" s="48" t="s">
        <v>843</v>
      </c>
      <c r="B159" s="9" t="s">
        <v>560</v>
      </c>
      <c r="C159" s="9"/>
      <c r="D159" s="9"/>
      <c r="E159" s="9"/>
      <c r="F159" s="10" t="s">
        <v>107</v>
      </c>
      <c r="G159" s="10" t="s">
        <v>852</v>
      </c>
      <c r="H159" s="5" t="s">
        <v>773</v>
      </c>
      <c r="I159" s="11" t="s">
        <v>774</v>
      </c>
      <c r="J159" s="357" t="s">
        <v>849</v>
      </c>
      <c r="K159" s="353"/>
      <c r="L159" s="221">
        <v>3</v>
      </c>
      <c r="M159" s="221"/>
      <c r="N159" s="222" t="str">
        <f t="shared" si="4"/>
        <v>U 21 Hommes</v>
      </c>
      <c r="O159" s="729">
        <v>2</v>
      </c>
      <c r="P159" s="729"/>
      <c r="Q159" s="730" t="str">
        <f t="shared" si="5"/>
        <v>Seniors - Hommes</v>
      </c>
      <c r="R159" s="731"/>
      <c r="S159" s="731"/>
      <c r="T159" s="731"/>
      <c r="U159" s="731"/>
      <c r="V159" s="731"/>
      <c r="W159" s="731"/>
      <c r="X159" s="731"/>
      <c r="Y159" s="731"/>
      <c r="Z159" s="731"/>
      <c r="AA159" s="731"/>
      <c r="AB159" s="12" t="s">
        <v>2965</v>
      </c>
      <c r="AC159" s="12"/>
      <c r="AD159" s="12"/>
      <c r="AE159" s="12"/>
      <c r="AF159" s="12"/>
      <c r="AG159" s="424" t="s">
        <v>4958</v>
      </c>
      <c r="AH159" s="370"/>
      <c r="AI159" s="18">
        <v>42200</v>
      </c>
      <c r="AJ159" s="18">
        <v>42290</v>
      </c>
      <c r="AK159" s="14">
        <v>2034</v>
      </c>
      <c r="AL159" s="18">
        <v>38105</v>
      </c>
      <c r="AM159" s="19" t="s">
        <v>1846</v>
      </c>
      <c r="AN159" s="19"/>
      <c r="AO159" s="11"/>
      <c r="AP159" s="27" t="s">
        <v>4956</v>
      </c>
      <c r="AQ159" s="27" t="s">
        <v>4957</v>
      </c>
      <c r="AR159" s="54" t="s">
        <v>4959</v>
      </c>
      <c r="AS159" s="61"/>
      <c r="AT159" s="61"/>
      <c r="AU159" s="5"/>
      <c r="AV159" s="10"/>
      <c r="AW159" s="11"/>
      <c r="AX159" s="11"/>
      <c r="AY159" s="11"/>
      <c r="AZ159" s="11" t="s">
        <v>209</v>
      </c>
      <c r="BA159" s="11"/>
      <c r="BB159" s="59" t="s">
        <v>2813</v>
      </c>
      <c r="BC159" s="59" t="s">
        <v>292</v>
      </c>
      <c r="BD159" s="59" t="s">
        <v>421</v>
      </c>
      <c r="BE159" s="59" t="s">
        <v>419</v>
      </c>
      <c r="BF159" s="59"/>
      <c r="BG159" s="59"/>
      <c r="BH159" s="138"/>
      <c r="BI159" s="138"/>
      <c r="BJ159" s="138"/>
      <c r="BK159" s="231"/>
      <c r="BL159" s="231"/>
      <c r="BM159" s="231"/>
      <c r="BN159" s="232"/>
      <c r="BO159" s="19"/>
      <c r="BP159" s="23">
        <v>1</v>
      </c>
      <c r="BQ159" s="23"/>
      <c r="BR159" s="23"/>
      <c r="BS159" s="43"/>
    </row>
    <row r="160" spans="1:72" s="150" customFormat="1" ht="12.75" customHeight="1" x14ac:dyDescent="0.15">
      <c r="A160" s="48" t="s">
        <v>843</v>
      </c>
      <c r="B160" s="9" t="s">
        <v>845</v>
      </c>
      <c r="C160" s="9"/>
      <c r="D160" s="9"/>
      <c r="E160" s="9"/>
      <c r="F160" s="112" t="s">
        <v>107</v>
      </c>
      <c r="G160" s="112" t="s">
        <v>852</v>
      </c>
      <c r="H160" s="113" t="s">
        <v>773</v>
      </c>
      <c r="I160" s="110" t="s">
        <v>774</v>
      </c>
      <c r="J160" s="357" t="s">
        <v>849</v>
      </c>
      <c r="K160" s="353"/>
      <c r="L160" s="221">
        <v>150</v>
      </c>
      <c r="M160" s="221"/>
      <c r="N160" s="814" t="str">
        <f t="shared" si="4"/>
        <v>comité</v>
      </c>
      <c r="O160" s="729">
        <v>2</v>
      </c>
      <c r="P160" s="729"/>
      <c r="Q160" s="730" t="str">
        <f t="shared" si="5"/>
        <v>Seniors - Hommes</v>
      </c>
      <c r="R160" s="732"/>
      <c r="S160" s="732"/>
      <c r="T160" s="732"/>
      <c r="U160" s="732"/>
      <c r="V160" s="732"/>
      <c r="W160" s="732"/>
      <c r="X160" s="732"/>
      <c r="Y160" s="732"/>
      <c r="Z160" s="732"/>
      <c r="AA160" s="732"/>
      <c r="AB160" s="12" t="s">
        <v>2964</v>
      </c>
      <c r="AC160" s="155"/>
      <c r="AD160" s="155"/>
      <c r="AE160" s="155"/>
      <c r="AF160" s="12"/>
      <c r="AG160" s="386"/>
      <c r="AH160" s="392"/>
      <c r="AI160" s="114">
        <v>42536</v>
      </c>
      <c r="AJ160" s="114">
        <v>42627</v>
      </c>
      <c r="AK160" s="62">
        <v>2030</v>
      </c>
      <c r="AL160" s="114">
        <v>36614</v>
      </c>
      <c r="AM160" s="115" t="s">
        <v>1842</v>
      </c>
      <c r="AN160" s="115"/>
      <c r="AO160" s="112"/>
      <c r="AP160" s="110"/>
      <c r="AQ160" s="117" t="s">
        <v>3575</v>
      </c>
      <c r="AR160" s="66" t="s">
        <v>1843</v>
      </c>
      <c r="AS160" s="53"/>
      <c r="AT160" s="62"/>
      <c r="AU160" s="10"/>
      <c r="AV160" s="811" t="s">
        <v>5638</v>
      </c>
      <c r="AW160" s="13"/>
      <c r="AX160" s="11"/>
      <c r="AY160" s="11"/>
      <c r="AZ160" s="11"/>
      <c r="BA160" s="11"/>
      <c r="BB160" s="59"/>
      <c r="BC160" s="59"/>
      <c r="BD160" s="59"/>
      <c r="BE160" s="59"/>
      <c r="BF160" s="59"/>
      <c r="BG160" s="59"/>
      <c r="BH160" s="138"/>
      <c r="BI160" s="138"/>
      <c r="BJ160" s="138"/>
      <c r="BK160" s="231"/>
      <c r="BL160" s="231"/>
      <c r="BM160" s="231"/>
      <c r="BN160" s="232"/>
      <c r="BO160" s="11"/>
      <c r="BP160" s="11"/>
      <c r="BQ160" s="11"/>
      <c r="BR160" s="11"/>
      <c r="BS160" s="394"/>
      <c r="BT160"/>
    </row>
    <row r="161" spans="1:72" ht="12.75" customHeight="1" x14ac:dyDescent="0.15">
      <c r="A161" s="48" t="s">
        <v>3542</v>
      </c>
      <c r="B161" s="9" t="s">
        <v>1133</v>
      </c>
      <c r="C161" s="9"/>
      <c r="D161" s="9"/>
      <c r="E161" s="9"/>
      <c r="F161" s="10" t="s">
        <v>107</v>
      </c>
      <c r="G161" s="10" t="s">
        <v>3543</v>
      </c>
      <c r="H161" s="5" t="s">
        <v>110</v>
      </c>
      <c r="I161" s="11" t="s">
        <v>111</v>
      </c>
      <c r="J161" s="357" t="s">
        <v>1498</v>
      </c>
      <c r="K161" s="353"/>
      <c r="L161" s="221">
        <v>212</v>
      </c>
      <c r="M161" s="221"/>
      <c r="N161" s="222" t="str">
        <f t="shared" si="4"/>
        <v>Contact famille</v>
      </c>
      <c r="O161" s="729">
        <v>212</v>
      </c>
      <c r="P161" s="729"/>
      <c r="Q161" s="730" t="str">
        <f t="shared" si="5"/>
        <v>Contact famille</v>
      </c>
      <c r="R161" s="731"/>
      <c r="S161" s="731"/>
      <c r="T161" s="731"/>
      <c r="U161" s="731"/>
      <c r="V161" s="731" t="s">
        <v>313</v>
      </c>
      <c r="W161" s="731"/>
      <c r="X161" s="731"/>
      <c r="Y161" s="731"/>
      <c r="Z161" s="731"/>
      <c r="AA161" s="731"/>
      <c r="AB161" s="12"/>
      <c r="AC161" s="12"/>
      <c r="AD161" s="12"/>
      <c r="AE161" s="12"/>
      <c r="AF161" s="12"/>
      <c r="AG161" s="373" t="s">
        <v>5648</v>
      </c>
      <c r="AH161" s="370"/>
      <c r="AI161" s="45" t="s">
        <v>242</v>
      </c>
      <c r="AJ161" s="45" t="s">
        <v>242</v>
      </c>
      <c r="AK161" s="13" t="s">
        <v>242</v>
      </c>
      <c r="AL161" s="18" t="s">
        <v>242</v>
      </c>
      <c r="AM161" s="19" t="s">
        <v>244</v>
      </c>
      <c r="AN161" s="38"/>
      <c r="AO161" s="10"/>
      <c r="AP161" s="40"/>
      <c r="AQ161" s="10" t="s">
        <v>3545</v>
      </c>
      <c r="AR161" s="47" t="s">
        <v>3549</v>
      </c>
      <c r="AS161" s="62"/>
      <c r="AT161" s="62"/>
      <c r="AU161" s="11"/>
      <c r="AV161" s="10"/>
      <c r="AW161" s="11"/>
      <c r="AX161" s="11"/>
      <c r="AY161" s="11"/>
      <c r="AZ161" s="11"/>
      <c r="BA161" s="11"/>
      <c r="BB161" s="59"/>
      <c r="BC161" s="59"/>
      <c r="BD161" s="59"/>
      <c r="BE161" s="59"/>
      <c r="BF161" s="59"/>
      <c r="BG161" s="59"/>
      <c r="BH161" s="138"/>
      <c r="BI161" s="138"/>
      <c r="BJ161" s="138"/>
      <c r="BK161" s="231"/>
      <c r="BL161" s="231"/>
      <c r="BM161" s="231"/>
      <c r="BN161" s="232"/>
      <c r="BO161" s="19"/>
      <c r="BP161" s="23"/>
      <c r="BQ161" s="23"/>
      <c r="BR161" s="23"/>
      <c r="BS161" s="43"/>
    </row>
    <row r="162" spans="1:72" ht="12.75" customHeight="1" x14ac:dyDescent="0.15">
      <c r="A162" s="48" t="s">
        <v>3542</v>
      </c>
      <c r="B162" s="9" t="s">
        <v>845</v>
      </c>
      <c r="C162" s="9"/>
      <c r="D162" s="9"/>
      <c r="E162" s="9"/>
      <c r="F162" s="10" t="s">
        <v>107</v>
      </c>
      <c r="G162" s="10" t="s">
        <v>3543</v>
      </c>
      <c r="H162" s="5" t="s">
        <v>110</v>
      </c>
      <c r="I162" s="11" t="s">
        <v>111</v>
      </c>
      <c r="J162" s="357" t="s">
        <v>1498</v>
      </c>
      <c r="K162" s="353"/>
      <c r="L162" s="221">
        <v>7</v>
      </c>
      <c r="M162" s="221"/>
      <c r="N162" s="222" t="str">
        <f t="shared" si="4"/>
        <v>U 11 Hommes</v>
      </c>
      <c r="O162" s="729">
        <v>7</v>
      </c>
      <c r="P162" s="729"/>
      <c r="Q162" s="730" t="str">
        <f t="shared" si="5"/>
        <v>U 11 Hommes</v>
      </c>
      <c r="R162" s="731"/>
      <c r="S162" s="731"/>
      <c r="T162" s="731"/>
      <c r="U162" s="731"/>
      <c r="V162" s="731" t="s">
        <v>192</v>
      </c>
      <c r="W162" s="731"/>
      <c r="X162" s="731"/>
      <c r="Y162" s="731"/>
      <c r="Z162" s="731"/>
      <c r="AA162" s="731"/>
      <c r="AB162" s="12" t="s">
        <v>3595</v>
      </c>
      <c r="AC162" s="12"/>
      <c r="AD162" s="12"/>
      <c r="AE162" s="12"/>
      <c r="AF162" s="12"/>
      <c r="AG162" s="369"/>
      <c r="AH162" s="370"/>
      <c r="AI162" s="18">
        <v>44110</v>
      </c>
      <c r="AJ162" s="18">
        <v>44105</v>
      </c>
      <c r="AK162" s="13">
        <v>2028</v>
      </c>
      <c r="AL162" s="18">
        <v>42612</v>
      </c>
      <c r="AM162" s="19" t="s">
        <v>3544</v>
      </c>
      <c r="AN162" s="38"/>
      <c r="AO162" s="10"/>
      <c r="AP162" s="40" t="s">
        <v>3548</v>
      </c>
      <c r="AQ162" s="10" t="s">
        <v>3547</v>
      </c>
      <c r="AR162" s="47" t="s">
        <v>3549</v>
      </c>
      <c r="AS162" s="62"/>
      <c r="AT162" s="62"/>
      <c r="AU162" s="11"/>
      <c r="AV162" s="10"/>
      <c r="AW162" s="11"/>
      <c r="AX162" s="11"/>
      <c r="AY162" s="11"/>
      <c r="AZ162" s="11"/>
      <c r="BA162" s="11"/>
      <c r="BB162" s="59"/>
      <c r="BC162" s="59"/>
      <c r="BD162" s="59"/>
      <c r="BE162" s="59"/>
      <c r="BF162" s="59"/>
      <c r="BG162" s="59"/>
      <c r="BH162" s="138"/>
      <c r="BI162" s="138"/>
      <c r="BJ162" s="138"/>
      <c r="BK162" s="231"/>
      <c r="BL162" s="231"/>
      <c r="BM162" s="231"/>
      <c r="BN162" s="232"/>
      <c r="BO162" s="19"/>
      <c r="BP162" s="23"/>
      <c r="BQ162" s="23"/>
      <c r="BR162" s="23"/>
      <c r="BS162" s="43"/>
      <c r="BT162" s="150"/>
    </row>
    <row r="163" spans="1:72" s="150" customFormat="1" ht="12.75" customHeight="1" x14ac:dyDescent="0.15">
      <c r="A163" s="48" t="s">
        <v>3851</v>
      </c>
      <c r="B163" s="9" t="s">
        <v>3852</v>
      </c>
      <c r="C163" s="9"/>
      <c r="D163" s="9"/>
      <c r="E163" s="9"/>
      <c r="F163" s="10" t="s">
        <v>107</v>
      </c>
      <c r="G163" s="10" t="s">
        <v>3853</v>
      </c>
      <c r="H163" s="5" t="s">
        <v>1496</v>
      </c>
      <c r="I163" s="11" t="s">
        <v>1497</v>
      </c>
      <c r="J163" s="357" t="s">
        <v>2276</v>
      </c>
      <c r="K163" s="353"/>
      <c r="L163" s="221">
        <v>11</v>
      </c>
      <c r="M163" s="221"/>
      <c r="N163" s="222" t="str">
        <f t="shared" si="4"/>
        <v>Officiel D</v>
      </c>
      <c r="O163" s="729">
        <v>111</v>
      </c>
      <c r="P163" s="729"/>
      <c r="Q163" s="730" t="e">
        <f t="shared" si="5"/>
        <v>#N/A</v>
      </c>
      <c r="R163" s="746"/>
      <c r="S163" s="746" t="s">
        <v>313</v>
      </c>
      <c r="T163" s="746"/>
      <c r="U163" s="746"/>
      <c r="V163" s="746"/>
      <c r="W163" s="746"/>
      <c r="X163" s="746"/>
      <c r="Y163" s="746"/>
      <c r="Z163" s="746"/>
      <c r="AA163" s="746"/>
      <c r="AB163" s="391"/>
      <c r="AC163" s="12" t="s">
        <v>4494</v>
      </c>
      <c r="AD163" s="12" t="s">
        <v>4494</v>
      </c>
      <c r="AE163" s="12"/>
      <c r="AF163" s="12"/>
      <c r="AG163" s="369"/>
      <c r="AH163" s="370"/>
      <c r="AI163" s="18">
        <v>45191</v>
      </c>
      <c r="AJ163" s="18">
        <v>44481</v>
      </c>
      <c r="AK163" s="427" t="s">
        <v>242</v>
      </c>
      <c r="AL163" s="18">
        <v>31496</v>
      </c>
      <c r="AM163" s="19" t="s">
        <v>4476</v>
      </c>
      <c r="AN163" s="38"/>
      <c r="AO163" s="10" t="s">
        <v>3856</v>
      </c>
      <c r="AP163" s="40"/>
      <c r="AQ163" s="20">
        <v>691697889</v>
      </c>
      <c r="AR163" s="47" t="s">
        <v>3855</v>
      </c>
      <c r="AS163" s="62" t="s">
        <v>3455</v>
      </c>
      <c r="AT163" s="62"/>
      <c r="AU163" s="11"/>
      <c r="AV163" s="10"/>
      <c r="AW163" s="13" t="s">
        <v>3969</v>
      </c>
      <c r="AX163" s="11"/>
      <c r="AY163" s="11"/>
      <c r="AZ163" s="11"/>
      <c r="BA163" s="11"/>
      <c r="BB163" s="59"/>
      <c r="BC163" s="59"/>
      <c r="BD163" s="59"/>
      <c r="BE163" s="59"/>
      <c r="BF163" s="59"/>
      <c r="BG163" s="59"/>
      <c r="BH163" s="138"/>
      <c r="BI163" s="138"/>
      <c r="BJ163" s="138"/>
      <c r="BK163" s="231"/>
      <c r="BL163" s="231"/>
      <c r="BM163" s="231"/>
      <c r="BN163" s="232"/>
      <c r="BO163" s="19"/>
      <c r="BP163" s="23"/>
      <c r="BQ163" s="23"/>
      <c r="BR163" s="23"/>
      <c r="BS163" s="43"/>
      <c r="BT163"/>
    </row>
    <row r="164" spans="1:72" ht="12.75" customHeight="1" x14ac:dyDescent="0.15">
      <c r="A164" s="48" t="s">
        <v>853</v>
      </c>
      <c r="B164" s="9" t="s">
        <v>5380</v>
      </c>
      <c r="C164" s="9"/>
      <c r="D164" s="9"/>
      <c r="E164" s="9"/>
      <c r="F164" s="112" t="s">
        <v>107</v>
      </c>
      <c r="G164" s="11" t="s">
        <v>5381</v>
      </c>
      <c r="H164" s="5" t="s">
        <v>481</v>
      </c>
      <c r="I164" s="11" t="s">
        <v>223</v>
      </c>
      <c r="J164" s="357" t="s">
        <v>5378</v>
      </c>
      <c r="K164" s="353"/>
      <c r="L164" s="221">
        <v>212</v>
      </c>
      <c r="M164" s="221"/>
      <c r="N164" s="222" t="str">
        <f t="shared" si="4"/>
        <v>Contact famille</v>
      </c>
      <c r="O164" s="729">
        <v>212</v>
      </c>
      <c r="P164" s="729"/>
      <c r="Q164" s="730" t="str">
        <f t="shared" si="5"/>
        <v>Contact famille</v>
      </c>
      <c r="R164" s="732"/>
      <c r="S164" s="732"/>
      <c r="T164" s="732"/>
      <c r="U164" s="732"/>
      <c r="V164" s="732"/>
      <c r="W164" s="732"/>
      <c r="X164" s="732" t="s">
        <v>313</v>
      </c>
      <c r="Y164" s="732"/>
      <c r="Z164" s="732"/>
      <c r="AA164" s="732"/>
      <c r="AB164" s="12"/>
      <c r="AC164" s="155"/>
      <c r="AD164" s="155"/>
      <c r="AE164" s="155"/>
      <c r="AF164" s="12"/>
      <c r="AG164" s="386"/>
      <c r="AH164" s="392"/>
      <c r="AI164" s="18" t="s">
        <v>242</v>
      </c>
      <c r="AJ164" s="18" t="s">
        <v>242</v>
      </c>
      <c r="AK164" s="13" t="s">
        <v>242</v>
      </c>
      <c r="AL164" s="18" t="s">
        <v>242</v>
      </c>
      <c r="AM164" s="19" t="s">
        <v>244</v>
      </c>
      <c r="AN164" s="10"/>
      <c r="AO164" s="11"/>
      <c r="AP164" s="53"/>
      <c r="AQ164" s="20">
        <v>691813046</v>
      </c>
      <c r="AR164" s="68" t="s">
        <v>5383</v>
      </c>
      <c r="AS164" s="62"/>
      <c r="AT164" s="62"/>
      <c r="AU164" s="10"/>
      <c r="AV164" s="10"/>
      <c r="AW164" s="13"/>
      <c r="AX164" s="11"/>
      <c r="AY164" s="11"/>
      <c r="AZ164" s="11"/>
      <c r="BA164" s="11"/>
      <c r="BB164" s="59"/>
      <c r="BC164" s="59"/>
      <c r="BD164" s="59"/>
      <c r="BE164" s="59"/>
      <c r="BF164" s="59"/>
      <c r="BG164" s="59"/>
      <c r="BH164" s="138"/>
      <c r="BI164" s="138"/>
      <c r="BJ164" s="138"/>
      <c r="BK164" s="231"/>
      <c r="BL164" s="231"/>
      <c r="BM164" s="231"/>
      <c r="BN164" s="232"/>
      <c r="BO164" s="11"/>
      <c r="BP164" s="11"/>
      <c r="BQ164" s="11"/>
      <c r="BR164" s="11"/>
      <c r="BS164" s="394"/>
    </row>
    <row r="165" spans="1:72" ht="12" customHeight="1" x14ac:dyDescent="0.15">
      <c r="A165" s="48" t="s">
        <v>853</v>
      </c>
      <c r="B165" s="9" t="s">
        <v>3724</v>
      </c>
      <c r="C165" s="9"/>
      <c r="D165" s="9"/>
      <c r="E165" s="9"/>
      <c r="F165" s="10" t="s">
        <v>107</v>
      </c>
      <c r="G165" s="10" t="s">
        <v>3725</v>
      </c>
      <c r="H165" s="5" t="s">
        <v>110</v>
      </c>
      <c r="I165" s="11" t="s">
        <v>111</v>
      </c>
      <c r="J165" s="357" t="s">
        <v>1091</v>
      </c>
      <c r="K165" s="353"/>
      <c r="L165" s="221">
        <v>212</v>
      </c>
      <c r="M165" s="221"/>
      <c r="N165" s="222" t="str">
        <f t="shared" si="4"/>
        <v>Contact famille</v>
      </c>
      <c r="O165" s="729">
        <v>212</v>
      </c>
      <c r="P165" s="729"/>
      <c r="Q165" s="730" t="str">
        <f t="shared" si="5"/>
        <v>Contact famille</v>
      </c>
      <c r="R165" s="731"/>
      <c r="S165" s="731"/>
      <c r="T165" s="731"/>
      <c r="U165" s="731"/>
      <c r="V165" s="731" t="s">
        <v>313</v>
      </c>
      <c r="W165" s="731"/>
      <c r="X165" s="731"/>
      <c r="Y165" s="731"/>
      <c r="Z165" s="731"/>
      <c r="AA165" s="731"/>
      <c r="AB165" s="12"/>
      <c r="AC165" s="12"/>
      <c r="AD165" s="12"/>
      <c r="AE165" s="12"/>
      <c r="AF165" s="12"/>
      <c r="AG165" s="369"/>
      <c r="AH165" s="370"/>
      <c r="AI165" s="689" t="s">
        <v>242</v>
      </c>
      <c r="AJ165" s="18" t="s">
        <v>242</v>
      </c>
      <c r="AK165" s="13" t="s">
        <v>242</v>
      </c>
      <c r="AL165" s="18" t="s">
        <v>242</v>
      </c>
      <c r="AM165" s="19" t="s">
        <v>244</v>
      </c>
      <c r="AN165" s="38"/>
      <c r="AO165" s="10"/>
      <c r="AP165" s="40"/>
      <c r="AQ165" s="20">
        <v>671523925</v>
      </c>
      <c r="AR165" s="47" t="s">
        <v>3728</v>
      </c>
      <c r="AS165" s="62"/>
      <c r="AT165" s="62"/>
      <c r="AU165" s="11"/>
      <c r="AV165" s="10"/>
      <c r="AW165" s="11"/>
      <c r="AX165" s="11"/>
      <c r="AY165" s="11"/>
      <c r="AZ165" s="11"/>
      <c r="BA165" s="11"/>
      <c r="BB165" s="59"/>
      <c r="BC165" s="59"/>
      <c r="BD165" s="59"/>
      <c r="BE165" s="59"/>
      <c r="BF165" s="59"/>
      <c r="BG165" s="59"/>
      <c r="BH165" s="138"/>
      <c r="BI165" s="138"/>
      <c r="BJ165" s="138"/>
      <c r="BK165" s="231"/>
      <c r="BL165" s="231"/>
      <c r="BM165" s="231"/>
      <c r="BN165" s="232"/>
      <c r="BO165" s="19"/>
      <c r="BP165" s="23"/>
      <c r="BQ165" s="23"/>
      <c r="BR165" s="23"/>
      <c r="BS165" s="43"/>
    </row>
    <row r="166" spans="1:72" ht="12.75" customHeight="1" x14ac:dyDescent="0.15">
      <c r="A166" s="48" t="s">
        <v>853</v>
      </c>
      <c r="B166" s="9" t="s">
        <v>3231</v>
      </c>
      <c r="C166" s="9"/>
      <c r="D166" s="9"/>
      <c r="E166" s="9"/>
      <c r="F166" s="10" t="s">
        <v>107</v>
      </c>
      <c r="G166" s="10" t="s">
        <v>3725</v>
      </c>
      <c r="H166" s="5" t="s">
        <v>110</v>
      </c>
      <c r="I166" s="11" t="s">
        <v>111</v>
      </c>
      <c r="J166" s="357" t="s">
        <v>1091</v>
      </c>
      <c r="K166" s="353"/>
      <c r="L166" s="221">
        <v>7</v>
      </c>
      <c r="M166" s="221"/>
      <c r="N166" s="222" t="str">
        <f t="shared" si="4"/>
        <v>U 11 Hommes</v>
      </c>
      <c r="O166" s="729">
        <v>7</v>
      </c>
      <c r="P166" s="729"/>
      <c r="Q166" s="730" t="str">
        <f t="shared" si="5"/>
        <v>U 11 Hommes</v>
      </c>
      <c r="R166" s="731"/>
      <c r="S166" s="731"/>
      <c r="T166" s="731"/>
      <c r="U166" s="731"/>
      <c r="V166" s="731" t="s">
        <v>192</v>
      </c>
      <c r="W166" s="731"/>
      <c r="X166" s="731"/>
      <c r="Y166" s="731"/>
      <c r="Z166" s="731"/>
      <c r="AA166" s="731"/>
      <c r="AB166" s="12" t="s">
        <v>3737</v>
      </c>
      <c r="AC166" s="12"/>
      <c r="AD166" s="12"/>
      <c r="AE166" s="12"/>
      <c r="AF166" s="12"/>
      <c r="AG166" s="369"/>
      <c r="AH166" s="370"/>
      <c r="AI166" s="18">
        <v>44385</v>
      </c>
      <c r="AJ166" s="18">
        <v>44382</v>
      </c>
      <c r="AK166" s="13">
        <v>2029</v>
      </c>
      <c r="AL166" s="18">
        <v>42826</v>
      </c>
      <c r="AM166" s="19" t="s">
        <v>3726</v>
      </c>
      <c r="AN166" s="38"/>
      <c r="AO166" s="10"/>
      <c r="AP166" s="40"/>
      <c r="AQ166" s="10" t="s">
        <v>3727</v>
      </c>
      <c r="AR166" s="47" t="s">
        <v>3728</v>
      </c>
      <c r="AS166" s="62"/>
      <c r="AT166" s="62"/>
      <c r="AU166" s="11"/>
      <c r="AV166" s="10"/>
      <c r="AW166" s="11"/>
      <c r="AX166" s="11"/>
      <c r="AY166" s="11"/>
      <c r="AZ166" s="11"/>
      <c r="BA166" s="11"/>
      <c r="BB166" s="59"/>
      <c r="BC166" s="59"/>
      <c r="BD166" s="59"/>
      <c r="BE166" s="59"/>
      <c r="BF166" s="59"/>
      <c r="BG166" s="59"/>
      <c r="BH166" s="138"/>
      <c r="BI166" s="138"/>
      <c r="BJ166" s="138"/>
      <c r="BK166" s="231"/>
      <c r="BL166" s="231"/>
      <c r="BM166" s="231"/>
      <c r="BN166" s="232"/>
      <c r="BO166" s="19"/>
      <c r="BP166" s="23"/>
      <c r="BQ166" s="23"/>
      <c r="BR166" s="23"/>
      <c r="BS166" s="43"/>
    </row>
    <row r="167" spans="1:72" ht="12.75" customHeight="1" x14ac:dyDescent="0.15">
      <c r="A167" s="50" t="s">
        <v>853</v>
      </c>
      <c r="B167" s="51" t="s">
        <v>2760</v>
      </c>
      <c r="C167" s="51"/>
      <c r="D167" s="51"/>
      <c r="E167" s="51"/>
      <c r="F167" s="10" t="s">
        <v>107</v>
      </c>
      <c r="G167" s="30" t="s">
        <v>2759</v>
      </c>
      <c r="H167" s="5" t="s">
        <v>855</v>
      </c>
      <c r="I167" s="24" t="s">
        <v>241</v>
      </c>
      <c r="J167" s="357" t="s">
        <v>320</v>
      </c>
      <c r="K167" s="353"/>
      <c r="L167" s="221">
        <v>9</v>
      </c>
      <c r="M167" s="221"/>
      <c r="N167" s="222" t="str">
        <f t="shared" si="4"/>
        <v>Vétérans - Hommes</v>
      </c>
      <c r="O167" s="729">
        <v>9</v>
      </c>
      <c r="P167" s="729"/>
      <c r="Q167" s="730" t="str">
        <f t="shared" si="5"/>
        <v>Vétérans - Hommes</v>
      </c>
      <c r="R167" s="731"/>
      <c r="S167" s="731"/>
      <c r="T167" s="731"/>
      <c r="U167" s="731"/>
      <c r="V167" s="731"/>
      <c r="W167" s="731"/>
      <c r="X167" s="731"/>
      <c r="Y167" s="731"/>
      <c r="Z167" s="731"/>
      <c r="AA167" s="731"/>
      <c r="AB167" s="55" t="s">
        <v>2966</v>
      </c>
      <c r="AC167" s="55"/>
      <c r="AD167" s="55"/>
      <c r="AE167" s="55"/>
      <c r="AF167" s="55"/>
      <c r="AG167" s="586" t="s">
        <v>5384</v>
      </c>
      <c r="AH167" s="370"/>
      <c r="AI167" s="18">
        <v>38012</v>
      </c>
      <c r="AJ167" s="18">
        <v>38012</v>
      </c>
      <c r="AK167" s="34">
        <v>2028</v>
      </c>
      <c r="AL167" s="18">
        <v>32415</v>
      </c>
      <c r="AM167" s="19" t="s">
        <v>2748</v>
      </c>
      <c r="AN167" s="38" t="s">
        <v>2761</v>
      </c>
      <c r="AO167" s="30" t="s">
        <v>1853</v>
      </c>
      <c r="AP167" s="41" t="s">
        <v>252</v>
      </c>
      <c r="AQ167" s="35" t="s">
        <v>1854</v>
      </c>
      <c r="AR167" s="29" t="s">
        <v>1855</v>
      </c>
      <c r="AS167" s="61"/>
      <c r="AT167" s="61"/>
      <c r="AU167" s="30" t="s">
        <v>1536</v>
      </c>
      <c r="AV167" s="30"/>
      <c r="AW167" s="31"/>
      <c r="AX167" s="24"/>
      <c r="AY167" s="24"/>
      <c r="AZ167" s="11" t="s">
        <v>2811</v>
      </c>
      <c r="BA167" s="11"/>
      <c r="BB167" s="59" t="s">
        <v>2813</v>
      </c>
      <c r="BC167" s="59" t="s">
        <v>292</v>
      </c>
      <c r="BD167" s="59" t="s">
        <v>1168</v>
      </c>
      <c r="BE167" s="59">
        <v>125</v>
      </c>
      <c r="BF167" s="59"/>
      <c r="BG167" s="59"/>
      <c r="BH167" s="138"/>
      <c r="BI167" s="138"/>
      <c r="BJ167" s="138"/>
      <c r="BK167" s="231"/>
      <c r="BL167" s="231"/>
      <c r="BM167" s="231"/>
      <c r="BN167" s="232"/>
      <c r="BO167" s="19"/>
      <c r="BP167" s="23" t="s">
        <v>1856</v>
      </c>
      <c r="BQ167" s="23"/>
      <c r="BR167" s="23"/>
      <c r="BS167" s="43"/>
    </row>
    <row r="168" spans="1:72" ht="12.75" customHeight="1" x14ac:dyDescent="0.15">
      <c r="A168" s="48" t="s">
        <v>856</v>
      </c>
      <c r="B168" s="9" t="s">
        <v>857</v>
      </c>
      <c r="C168" s="9"/>
      <c r="D168" s="9"/>
      <c r="E168" s="9"/>
      <c r="F168" s="10" t="s">
        <v>107</v>
      </c>
      <c r="G168" s="10" t="s">
        <v>2781</v>
      </c>
      <c r="H168" s="5" t="s">
        <v>2782</v>
      </c>
      <c r="I168" s="11" t="s">
        <v>2783</v>
      </c>
      <c r="J168" s="357" t="s">
        <v>320</v>
      </c>
      <c r="K168" s="353"/>
      <c r="L168" s="221">
        <v>9</v>
      </c>
      <c r="M168" s="221"/>
      <c r="N168" s="222" t="str">
        <f t="shared" si="4"/>
        <v>Vétérans - Hommes</v>
      </c>
      <c r="O168" s="729">
        <v>9</v>
      </c>
      <c r="P168" s="729"/>
      <c r="Q168" s="730" t="str">
        <f t="shared" si="5"/>
        <v>Vétérans - Hommes</v>
      </c>
      <c r="R168" s="731"/>
      <c r="S168" s="731"/>
      <c r="T168" s="731"/>
      <c r="U168" s="731"/>
      <c r="V168" s="731"/>
      <c r="W168" s="731"/>
      <c r="X168" s="731"/>
      <c r="Y168" s="731"/>
      <c r="Z168" s="731"/>
      <c r="AA168" s="731"/>
      <c r="AB168" s="12" t="s">
        <v>2968</v>
      </c>
      <c r="AC168" s="12"/>
      <c r="AD168" s="12"/>
      <c r="AE168" s="12"/>
      <c r="AF168" s="12"/>
      <c r="AG168" s="376"/>
      <c r="AH168" s="370"/>
      <c r="AI168" s="18">
        <v>36182</v>
      </c>
      <c r="AJ168" s="18">
        <v>36182</v>
      </c>
      <c r="AK168" s="14">
        <v>2027</v>
      </c>
      <c r="AL168" s="18">
        <v>30090</v>
      </c>
      <c r="AM168" s="19" t="s">
        <v>1867</v>
      </c>
      <c r="AN168" s="19"/>
      <c r="AO168" s="10" t="s">
        <v>1868</v>
      </c>
      <c r="AP168" s="40"/>
      <c r="AQ168" s="27" t="s">
        <v>1869</v>
      </c>
      <c r="AR168" s="54" t="s">
        <v>2784</v>
      </c>
      <c r="AS168" s="61"/>
      <c r="AT168" s="61"/>
      <c r="AU168" s="5"/>
      <c r="AV168" s="10"/>
      <c r="AW168" s="5"/>
      <c r="AX168" s="11"/>
      <c r="AY168" s="11"/>
      <c r="AZ168" s="11" t="s">
        <v>348</v>
      </c>
      <c r="BA168" s="11"/>
      <c r="BB168" s="59" t="s">
        <v>2813</v>
      </c>
      <c r="BC168" s="59" t="s">
        <v>3151</v>
      </c>
      <c r="BD168" s="59"/>
      <c r="BE168" s="59">
        <v>200</v>
      </c>
      <c r="BF168" s="59"/>
      <c r="BG168" s="59"/>
      <c r="BH168" s="138"/>
      <c r="BI168" s="138"/>
      <c r="BJ168" s="138"/>
      <c r="BK168" s="231"/>
      <c r="BL168" s="231"/>
      <c r="BM168" s="231"/>
      <c r="BN168" s="232"/>
      <c r="BO168" s="19"/>
      <c r="BP168" s="23" t="s">
        <v>1141</v>
      </c>
      <c r="BQ168" s="23"/>
      <c r="BR168" s="23"/>
      <c r="BS168" s="43"/>
      <c r="BT168" s="150"/>
    </row>
    <row r="169" spans="1:72" ht="12.75" customHeight="1" x14ac:dyDescent="0.15">
      <c r="A169" s="48" t="s">
        <v>863</v>
      </c>
      <c r="B169" s="9" t="s">
        <v>864</v>
      </c>
      <c r="C169" s="9"/>
      <c r="D169" s="9"/>
      <c r="E169" s="9"/>
      <c r="F169" s="10" t="s">
        <v>1681</v>
      </c>
      <c r="G169" s="10" t="s">
        <v>767</v>
      </c>
      <c r="H169" s="5" t="s">
        <v>769</v>
      </c>
      <c r="I169" s="11" t="s">
        <v>770</v>
      </c>
      <c r="J169" s="357" t="s">
        <v>772</v>
      </c>
      <c r="K169" s="353"/>
      <c r="L169" s="221">
        <v>19</v>
      </c>
      <c r="M169" s="221"/>
      <c r="N169" s="222" t="str">
        <f t="shared" si="4"/>
        <v>Vétérans - Dames</v>
      </c>
      <c r="O169" s="729">
        <v>19</v>
      </c>
      <c r="P169" s="729"/>
      <c r="Q169" s="730" t="str">
        <f t="shared" si="5"/>
        <v>Vétérans - Dames</v>
      </c>
      <c r="R169" s="731"/>
      <c r="S169" s="731"/>
      <c r="T169" s="731"/>
      <c r="U169" s="731"/>
      <c r="V169" s="731"/>
      <c r="W169" s="731"/>
      <c r="X169" s="731"/>
      <c r="Y169" s="731"/>
      <c r="Z169" s="731"/>
      <c r="AA169" s="731"/>
      <c r="AB169" s="12" t="s">
        <v>2969</v>
      </c>
      <c r="AC169" s="12"/>
      <c r="AD169" s="12"/>
      <c r="AE169" s="12"/>
      <c r="AF169" s="12"/>
      <c r="AG169" s="371" t="s">
        <v>3589</v>
      </c>
      <c r="AH169" s="370"/>
      <c r="AI169" s="18">
        <v>38245</v>
      </c>
      <c r="AJ169" s="18">
        <v>38245</v>
      </c>
      <c r="AK169" s="14" t="s">
        <v>1296</v>
      </c>
      <c r="AL169" s="18">
        <v>22448</v>
      </c>
      <c r="AM169" s="225"/>
      <c r="AN169" s="19"/>
      <c r="AO169" s="10" t="s">
        <v>620</v>
      </c>
      <c r="AP169" s="40"/>
      <c r="AQ169" s="27" t="s">
        <v>1870</v>
      </c>
      <c r="AR169" s="32" t="s">
        <v>1871</v>
      </c>
      <c r="AS169" s="61"/>
      <c r="AT169" s="61"/>
      <c r="AU169" s="24"/>
      <c r="AV169" s="10"/>
      <c r="AW169" s="11"/>
      <c r="AX169" s="11"/>
      <c r="AY169" s="11"/>
      <c r="AZ169" s="11" t="s">
        <v>209</v>
      </c>
      <c r="BA169" s="11"/>
      <c r="BB169" s="59" t="s">
        <v>315</v>
      </c>
      <c r="BC169" s="59" t="s">
        <v>315</v>
      </c>
      <c r="BD169" s="59"/>
      <c r="BE169" s="59">
        <v>50</v>
      </c>
      <c r="BF169" s="59"/>
      <c r="BG169" s="59"/>
      <c r="BH169" s="138"/>
      <c r="BI169" s="138"/>
      <c r="BJ169" s="138"/>
      <c r="BK169" s="231"/>
      <c r="BL169" s="231"/>
      <c r="BM169" s="231"/>
      <c r="BN169" s="232"/>
      <c r="BO169" s="19" t="s">
        <v>295</v>
      </c>
      <c r="BP169" s="23" t="s">
        <v>1467</v>
      </c>
      <c r="BQ169" s="23"/>
      <c r="BR169" s="23"/>
      <c r="BS169" s="43"/>
      <c r="BT169" s="150"/>
    </row>
    <row r="170" spans="1:72" s="150" customFormat="1" ht="12.75" customHeight="1" x14ac:dyDescent="0.15">
      <c r="A170" s="48" t="s">
        <v>1877</v>
      </c>
      <c r="B170" s="9" t="s">
        <v>540</v>
      </c>
      <c r="C170" s="9"/>
      <c r="D170" s="9"/>
      <c r="E170" s="9"/>
      <c r="F170" s="10" t="s">
        <v>1681</v>
      </c>
      <c r="G170" s="10" t="s">
        <v>1682</v>
      </c>
      <c r="H170" s="5" t="s">
        <v>1683</v>
      </c>
      <c r="I170" s="11" t="s">
        <v>1684</v>
      </c>
      <c r="J170" s="357" t="s">
        <v>320</v>
      </c>
      <c r="K170" s="353"/>
      <c r="L170" s="221">
        <v>12</v>
      </c>
      <c r="M170" s="221"/>
      <c r="N170" s="222" t="str">
        <f t="shared" si="4"/>
        <v>Dames</v>
      </c>
      <c r="O170" s="729">
        <v>12</v>
      </c>
      <c r="P170" s="729"/>
      <c r="Q170" s="730" t="str">
        <f t="shared" si="5"/>
        <v>Dames</v>
      </c>
      <c r="R170" s="731"/>
      <c r="S170" s="731"/>
      <c r="T170" s="731"/>
      <c r="U170" s="731"/>
      <c r="V170" s="731"/>
      <c r="W170" s="731"/>
      <c r="X170" s="731"/>
      <c r="Y170" s="731"/>
      <c r="Z170" s="731"/>
      <c r="AA170" s="731"/>
      <c r="AB170" s="12" t="s">
        <v>2972</v>
      </c>
      <c r="AC170" s="12"/>
      <c r="AD170" s="12"/>
      <c r="AE170" s="12"/>
      <c r="AF170" s="12"/>
      <c r="AG170" s="373"/>
      <c r="AH170" s="370"/>
      <c r="AI170" s="18">
        <v>43229</v>
      </c>
      <c r="AJ170" s="18">
        <v>38245</v>
      </c>
      <c r="AK170" s="71">
        <v>2026</v>
      </c>
      <c r="AL170" s="18">
        <v>35670</v>
      </c>
      <c r="AM170" s="19" t="s">
        <v>1878</v>
      </c>
      <c r="AN170" s="19"/>
      <c r="AO170" s="10" t="s">
        <v>1685</v>
      </c>
      <c r="AP170" s="40" t="s">
        <v>252</v>
      </c>
      <c r="AQ170" s="27" t="s">
        <v>1879</v>
      </c>
      <c r="AR170" s="29" t="s">
        <v>1880</v>
      </c>
      <c r="AS170" s="61"/>
      <c r="AT170" s="61"/>
      <c r="AU170" s="11"/>
      <c r="AV170" s="10"/>
      <c r="AW170" s="11"/>
      <c r="AX170" s="11"/>
      <c r="AY170" s="11"/>
      <c r="AZ170" s="11" t="s">
        <v>2792</v>
      </c>
      <c r="BA170" s="11"/>
      <c r="BB170" s="59" t="s">
        <v>2813</v>
      </c>
      <c r="BC170" s="59" t="s">
        <v>3151</v>
      </c>
      <c r="BD170" s="59"/>
      <c r="BE170" s="59">
        <v>50</v>
      </c>
      <c r="BF170" s="59"/>
      <c r="BG170" s="59"/>
      <c r="BH170" s="138"/>
      <c r="BI170" s="138"/>
      <c r="BJ170" s="138"/>
      <c r="BK170" s="231"/>
      <c r="BL170" s="231"/>
      <c r="BM170" s="231"/>
      <c r="BN170" s="232"/>
      <c r="BO170" s="19"/>
      <c r="BP170" s="23"/>
      <c r="BQ170" s="23"/>
      <c r="BR170" s="23"/>
      <c r="BS170" s="43"/>
    </row>
    <row r="171" spans="1:72" ht="12.75" customHeight="1" x14ac:dyDescent="0.15">
      <c r="A171" s="48" t="s">
        <v>4927</v>
      </c>
      <c r="B171" s="9" t="s">
        <v>1408</v>
      </c>
      <c r="C171" s="9"/>
      <c r="D171" s="9"/>
      <c r="E171" s="9"/>
      <c r="F171" s="112" t="s">
        <v>107</v>
      </c>
      <c r="G171" s="10" t="s">
        <v>4930</v>
      </c>
      <c r="H171" s="5" t="s">
        <v>110</v>
      </c>
      <c r="I171" s="11" t="s">
        <v>111</v>
      </c>
      <c r="J171" s="357" t="s">
        <v>494</v>
      </c>
      <c r="K171" s="353"/>
      <c r="L171" s="221">
        <v>1</v>
      </c>
      <c r="M171" s="221"/>
      <c r="N171" s="222" t="str">
        <f t="shared" si="4"/>
        <v>Officiel H</v>
      </c>
      <c r="O171" s="729">
        <v>1</v>
      </c>
      <c r="P171" s="729"/>
      <c r="Q171" s="730" t="str">
        <f t="shared" si="5"/>
        <v>Officiel H</v>
      </c>
      <c r="R171" s="731"/>
      <c r="S171" s="731"/>
      <c r="T171" s="731"/>
      <c r="U171" s="731" t="s">
        <v>313</v>
      </c>
      <c r="V171" s="731"/>
      <c r="W171" s="731" t="s">
        <v>313</v>
      </c>
      <c r="X171" s="731"/>
      <c r="Y171" s="731"/>
      <c r="Z171" s="731"/>
      <c r="AA171" s="731"/>
      <c r="AB171" s="12"/>
      <c r="AC171" s="12" t="s">
        <v>5385</v>
      </c>
      <c r="AD171" s="12" t="s">
        <v>5385</v>
      </c>
      <c r="AE171" s="12"/>
      <c r="AF171" s="12"/>
      <c r="AG171" s="386" t="s">
        <v>5173</v>
      </c>
      <c r="AH171" s="370"/>
      <c r="AI171" s="18">
        <v>45958</v>
      </c>
      <c r="AJ171" s="18">
        <v>45582</v>
      </c>
      <c r="AK171" s="13" t="s">
        <v>242</v>
      </c>
      <c r="AL171" s="18">
        <v>28268</v>
      </c>
      <c r="AM171" s="19" t="s">
        <v>4934</v>
      </c>
      <c r="AN171" s="38"/>
      <c r="AO171" s="10"/>
      <c r="AP171" s="40"/>
      <c r="AQ171" s="20">
        <v>621193180</v>
      </c>
      <c r="AR171" s="47" t="s">
        <v>4939</v>
      </c>
      <c r="AS171" s="62"/>
      <c r="AT171" s="62"/>
      <c r="AU171" s="11"/>
      <c r="AV171" s="10"/>
      <c r="AW171" s="11"/>
      <c r="AX171" s="11"/>
      <c r="AY171" s="11"/>
      <c r="AZ171" s="11"/>
      <c r="BA171" s="11"/>
      <c r="BB171" s="59"/>
      <c r="BC171" s="59"/>
      <c r="BD171" s="59"/>
      <c r="BE171" s="59"/>
      <c r="BF171" s="59"/>
      <c r="BG171" s="59"/>
      <c r="BH171" s="138"/>
      <c r="BI171" s="138"/>
      <c r="BJ171" s="138"/>
      <c r="BK171" s="231"/>
      <c r="BL171" s="231"/>
      <c r="BM171" s="231"/>
      <c r="BN171" s="232"/>
      <c r="BO171" s="19"/>
      <c r="BP171" s="23"/>
      <c r="BQ171" s="23"/>
      <c r="BR171" s="23"/>
      <c r="BS171" s="43"/>
    </row>
    <row r="172" spans="1:72" ht="12.75" customHeight="1" x14ac:dyDescent="0.15">
      <c r="A172" s="48" t="s">
        <v>4926</v>
      </c>
      <c r="B172" s="9" t="s">
        <v>4929</v>
      </c>
      <c r="C172" s="9"/>
      <c r="D172" s="9"/>
      <c r="E172" s="9"/>
      <c r="F172" s="112" t="s">
        <v>107</v>
      </c>
      <c r="G172" s="10" t="s">
        <v>4930</v>
      </c>
      <c r="H172" s="5" t="s">
        <v>110</v>
      </c>
      <c r="I172" s="11" t="s">
        <v>111</v>
      </c>
      <c r="J172" s="357" t="s">
        <v>494</v>
      </c>
      <c r="K172" s="353"/>
      <c r="L172" s="221">
        <v>18</v>
      </c>
      <c r="M172" s="221"/>
      <c r="N172" s="222" t="str">
        <f t="shared" si="4"/>
        <v>U 9 Dames</v>
      </c>
      <c r="O172" s="729">
        <v>18</v>
      </c>
      <c r="P172" s="729"/>
      <c r="Q172" s="730" t="str">
        <f t="shared" si="5"/>
        <v>U 9 Dames</v>
      </c>
      <c r="R172" s="731"/>
      <c r="S172" s="731"/>
      <c r="T172" s="731"/>
      <c r="U172" s="731"/>
      <c r="V172" s="731"/>
      <c r="W172" s="731" t="s">
        <v>192</v>
      </c>
      <c r="X172" s="731"/>
      <c r="Y172" s="731"/>
      <c r="Z172" s="731"/>
      <c r="AA172" s="731"/>
      <c r="AB172" s="12" t="s">
        <v>4979</v>
      </c>
      <c r="AC172" s="12"/>
      <c r="AD172" s="12"/>
      <c r="AE172" s="12"/>
      <c r="AF172" s="12"/>
      <c r="AG172" s="369"/>
      <c r="AH172" s="370"/>
      <c r="AI172" s="18">
        <v>45608</v>
      </c>
      <c r="AJ172" s="18">
        <v>45582</v>
      </c>
      <c r="AK172" s="13">
        <v>2031</v>
      </c>
      <c r="AL172" s="18">
        <v>43511</v>
      </c>
      <c r="AM172" s="19" t="s">
        <v>4932</v>
      </c>
      <c r="AN172" s="38"/>
      <c r="AO172" s="10"/>
      <c r="AP172" s="40" t="s">
        <v>4936</v>
      </c>
      <c r="AQ172" s="10" t="s">
        <v>4937</v>
      </c>
      <c r="AR172" s="47" t="s">
        <v>4938</v>
      </c>
      <c r="AS172" s="62"/>
      <c r="AT172" s="62"/>
      <c r="AU172" s="11"/>
      <c r="AV172" s="10"/>
      <c r="AW172" s="11"/>
      <c r="AX172" s="11"/>
      <c r="AY172" s="11"/>
      <c r="AZ172" s="11"/>
      <c r="BA172" s="11"/>
      <c r="BB172" s="59"/>
      <c r="BC172" s="59"/>
      <c r="BD172" s="59"/>
      <c r="BE172" s="59"/>
      <c r="BF172" s="59"/>
      <c r="BG172" s="59"/>
      <c r="BH172" s="138"/>
      <c r="BI172" s="138"/>
      <c r="BJ172" s="138"/>
      <c r="BK172" s="231"/>
      <c r="BL172" s="231"/>
      <c r="BM172" s="231"/>
      <c r="BN172" s="232"/>
      <c r="BO172" s="19"/>
      <c r="BP172" s="23"/>
      <c r="BQ172" s="23"/>
      <c r="BR172" s="23"/>
      <c r="BS172" s="43"/>
    </row>
    <row r="173" spans="1:72" ht="12.75" customHeight="1" x14ac:dyDescent="0.15">
      <c r="A173" s="48" t="s">
        <v>4926</v>
      </c>
      <c r="B173" s="9" t="s">
        <v>4928</v>
      </c>
      <c r="C173" s="9"/>
      <c r="D173" s="9"/>
      <c r="E173" s="9"/>
      <c r="F173" s="112" t="s">
        <v>107</v>
      </c>
      <c r="G173" s="10" t="s">
        <v>4930</v>
      </c>
      <c r="H173" s="5" t="s">
        <v>110</v>
      </c>
      <c r="I173" s="11" t="s">
        <v>111</v>
      </c>
      <c r="J173" s="357" t="s">
        <v>494</v>
      </c>
      <c r="K173" s="353"/>
      <c r="L173" s="221">
        <v>18</v>
      </c>
      <c r="M173" s="221"/>
      <c r="N173" s="222" t="str">
        <f t="shared" si="4"/>
        <v>U 9 Dames</v>
      </c>
      <c r="O173" s="729">
        <v>18</v>
      </c>
      <c r="P173" s="729"/>
      <c r="Q173" s="730" t="str">
        <f t="shared" si="5"/>
        <v>U 9 Dames</v>
      </c>
      <c r="R173" s="731"/>
      <c r="S173" s="731"/>
      <c r="T173" s="731"/>
      <c r="U173" s="731"/>
      <c r="V173" s="731"/>
      <c r="W173" s="731" t="s">
        <v>192</v>
      </c>
      <c r="X173" s="731"/>
      <c r="Y173" s="731"/>
      <c r="Z173" s="731"/>
      <c r="AA173" s="731"/>
      <c r="AB173" s="12" t="s">
        <v>4980</v>
      </c>
      <c r="AC173" s="12"/>
      <c r="AD173" s="12"/>
      <c r="AE173" s="12"/>
      <c r="AF173" s="12"/>
      <c r="AG173" s="369"/>
      <c r="AH173" s="370"/>
      <c r="AI173" s="18">
        <v>45608</v>
      </c>
      <c r="AJ173" s="18">
        <v>45582</v>
      </c>
      <c r="AK173" s="13">
        <v>2031</v>
      </c>
      <c r="AL173" s="18">
        <v>43511</v>
      </c>
      <c r="AM173" s="19" t="s">
        <v>4931</v>
      </c>
      <c r="AN173" s="38"/>
      <c r="AO173" s="10"/>
      <c r="AP173" s="40" t="s">
        <v>4936</v>
      </c>
      <c r="AQ173" s="10" t="s">
        <v>4937</v>
      </c>
      <c r="AR173" s="47" t="s">
        <v>4938</v>
      </c>
      <c r="AS173" s="62"/>
      <c r="AT173" s="62"/>
      <c r="AU173" s="11"/>
      <c r="AV173" s="10"/>
      <c r="AW173" s="11"/>
      <c r="AX173" s="11"/>
      <c r="AY173" s="11"/>
      <c r="AZ173" s="11"/>
      <c r="BA173" s="11"/>
      <c r="BB173" s="59"/>
      <c r="BC173" s="59"/>
      <c r="BD173" s="59"/>
      <c r="BE173" s="59"/>
      <c r="BF173" s="59"/>
      <c r="BG173" s="59"/>
      <c r="BH173" s="138"/>
      <c r="BI173" s="138"/>
      <c r="BJ173" s="138"/>
      <c r="BK173" s="231"/>
      <c r="BL173" s="231"/>
      <c r="BM173" s="231"/>
      <c r="BN173" s="232"/>
      <c r="BO173" s="19"/>
      <c r="BP173" s="23"/>
      <c r="BQ173" s="23"/>
      <c r="BR173" s="23"/>
      <c r="BS173" s="43"/>
      <c r="BT173" s="150"/>
    </row>
    <row r="174" spans="1:72" ht="12.75" customHeight="1" x14ac:dyDescent="0.15">
      <c r="A174" s="48" t="s">
        <v>4926</v>
      </c>
      <c r="B174" s="9" t="s">
        <v>4267</v>
      </c>
      <c r="C174" s="9"/>
      <c r="D174" s="9"/>
      <c r="E174" s="9"/>
      <c r="F174" s="112" t="s">
        <v>107</v>
      </c>
      <c r="G174" s="10" t="s">
        <v>4930</v>
      </c>
      <c r="H174" s="5" t="s">
        <v>110</v>
      </c>
      <c r="I174" s="11" t="s">
        <v>111</v>
      </c>
      <c r="J174" s="357" t="s">
        <v>494</v>
      </c>
      <c r="K174" s="353"/>
      <c r="L174" s="221">
        <v>6</v>
      </c>
      <c r="M174" s="221"/>
      <c r="N174" s="222" t="str">
        <f t="shared" si="4"/>
        <v>U 13 Hommes</v>
      </c>
      <c r="O174" s="729">
        <v>6</v>
      </c>
      <c r="P174" s="729"/>
      <c r="Q174" s="730" t="str">
        <f t="shared" si="5"/>
        <v>U 13 Hommes</v>
      </c>
      <c r="R174" s="731"/>
      <c r="S174" s="731"/>
      <c r="T174" s="731"/>
      <c r="U174" s="731" t="s">
        <v>192</v>
      </c>
      <c r="V174" s="731"/>
      <c r="W174" s="731"/>
      <c r="X174" s="731"/>
      <c r="Y174" s="731"/>
      <c r="Z174" s="731"/>
      <c r="AA174" s="731"/>
      <c r="AB174" s="12" t="s">
        <v>4981</v>
      </c>
      <c r="AC174" s="12"/>
      <c r="AD174" s="12"/>
      <c r="AE174" s="12"/>
      <c r="AF174" s="12"/>
      <c r="AG174" s="369"/>
      <c r="AH174" s="370"/>
      <c r="AI174" s="18">
        <v>45608</v>
      </c>
      <c r="AJ174" s="18">
        <v>45582</v>
      </c>
      <c r="AK174" s="13">
        <v>2027</v>
      </c>
      <c r="AL174" s="18">
        <v>42259</v>
      </c>
      <c r="AM174" s="19" t="s">
        <v>4933</v>
      </c>
      <c r="AN174" s="38"/>
      <c r="AO174" s="10"/>
      <c r="AP174" s="40" t="s">
        <v>4936</v>
      </c>
      <c r="AQ174" s="10" t="s">
        <v>4937</v>
      </c>
      <c r="AR174" s="47" t="s">
        <v>4938</v>
      </c>
      <c r="AS174" s="62"/>
      <c r="AT174" s="62"/>
      <c r="AU174" s="11"/>
      <c r="AV174" s="10"/>
      <c r="AW174" s="11"/>
      <c r="AX174" s="11"/>
      <c r="AY174" s="11"/>
      <c r="AZ174" s="11"/>
      <c r="BA174" s="11"/>
      <c r="BB174" s="59"/>
      <c r="BC174" s="59"/>
      <c r="BD174" s="59"/>
      <c r="BE174" s="59"/>
      <c r="BF174" s="59"/>
      <c r="BG174" s="59"/>
      <c r="BH174" s="138"/>
      <c r="BI174" s="138"/>
      <c r="BJ174" s="138"/>
      <c r="BK174" s="231"/>
      <c r="BL174" s="231"/>
      <c r="BM174" s="231"/>
      <c r="BN174" s="232"/>
      <c r="BO174" s="19"/>
      <c r="BP174" s="23"/>
      <c r="BQ174" s="23"/>
      <c r="BR174" s="23"/>
      <c r="BS174" s="43"/>
    </row>
    <row r="175" spans="1:72" ht="12.75" customHeight="1" x14ac:dyDescent="0.15">
      <c r="A175" s="48" t="s">
        <v>1416</v>
      </c>
      <c r="B175" s="9" t="s">
        <v>1568</v>
      </c>
      <c r="C175" s="9"/>
      <c r="D175" s="9"/>
      <c r="E175" s="9"/>
      <c r="F175" s="10" t="s">
        <v>107</v>
      </c>
      <c r="G175" s="10" t="s">
        <v>665</v>
      </c>
      <c r="H175" s="5" t="s">
        <v>666</v>
      </c>
      <c r="I175" s="11" t="s">
        <v>493</v>
      </c>
      <c r="J175" s="357" t="s">
        <v>1317</v>
      </c>
      <c r="K175" s="353"/>
      <c r="L175" s="221">
        <v>212</v>
      </c>
      <c r="M175" s="221"/>
      <c r="N175" s="222" t="str">
        <f t="shared" si="4"/>
        <v>Contact famille</v>
      </c>
      <c r="O175" s="729">
        <v>212</v>
      </c>
      <c r="P175" s="729"/>
      <c r="Q175" s="730" t="str">
        <f t="shared" si="5"/>
        <v>Contact famille</v>
      </c>
      <c r="R175" s="731"/>
      <c r="S175" s="731"/>
      <c r="T175" s="731"/>
      <c r="U175" s="731"/>
      <c r="V175" s="731" t="s">
        <v>313</v>
      </c>
      <c r="W175" s="731"/>
      <c r="X175" s="731"/>
      <c r="Y175" s="731"/>
      <c r="Z175" s="731"/>
      <c r="AA175" s="731"/>
      <c r="AB175" s="12"/>
      <c r="AC175" s="12"/>
      <c r="AD175" s="12"/>
      <c r="AE175" s="12"/>
      <c r="AF175" s="12"/>
      <c r="AG175" s="369"/>
      <c r="AH175" s="370"/>
      <c r="AI175" s="18" t="s">
        <v>242</v>
      </c>
      <c r="AJ175" s="18" t="s">
        <v>242</v>
      </c>
      <c r="AK175" s="13" t="s">
        <v>242</v>
      </c>
      <c r="AL175" s="18" t="s">
        <v>242</v>
      </c>
      <c r="AM175" s="19" t="s">
        <v>244</v>
      </c>
      <c r="AN175" s="38"/>
      <c r="AO175" s="10"/>
      <c r="AP175" s="40"/>
      <c r="AQ175" s="10"/>
      <c r="AR175" s="21"/>
      <c r="AS175" s="62"/>
      <c r="AT175" s="62"/>
      <c r="AU175" s="11"/>
      <c r="AV175" s="10"/>
      <c r="AW175" s="11"/>
      <c r="AX175" s="11"/>
      <c r="AY175" s="11"/>
      <c r="AZ175" s="11"/>
      <c r="BA175" s="11"/>
      <c r="BB175" s="59"/>
      <c r="BC175" s="59"/>
      <c r="BD175" s="59"/>
      <c r="BE175" s="59"/>
      <c r="BF175" s="59"/>
      <c r="BG175" s="59"/>
      <c r="BH175" s="138"/>
      <c r="BI175" s="138"/>
      <c r="BJ175" s="138"/>
      <c r="BK175" s="231"/>
      <c r="BL175" s="231"/>
      <c r="BM175" s="231"/>
      <c r="BN175" s="232"/>
      <c r="BO175" s="19"/>
      <c r="BP175" s="23"/>
      <c r="BQ175" s="23"/>
      <c r="BR175" s="23"/>
      <c r="BS175" s="43"/>
      <c r="BT175" s="150"/>
    </row>
    <row r="176" spans="1:72" ht="12.75" customHeight="1" x14ac:dyDescent="0.15">
      <c r="A176" s="48" t="s">
        <v>5210</v>
      </c>
      <c r="B176" s="9" t="s">
        <v>1133</v>
      </c>
      <c r="C176" s="9"/>
      <c r="D176" s="9"/>
      <c r="E176" s="9"/>
      <c r="F176" s="112" t="s">
        <v>107</v>
      </c>
      <c r="G176" s="11" t="s">
        <v>5212</v>
      </c>
      <c r="H176" s="5" t="s">
        <v>312</v>
      </c>
      <c r="I176" s="11" t="s">
        <v>241</v>
      </c>
      <c r="J176" s="357" t="s">
        <v>5208</v>
      </c>
      <c r="K176" s="353"/>
      <c r="L176" s="221">
        <v>212</v>
      </c>
      <c r="M176" s="221"/>
      <c r="N176" s="222" t="str">
        <f t="shared" si="4"/>
        <v>Contact famille</v>
      </c>
      <c r="O176" s="729">
        <v>212</v>
      </c>
      <c r="P176" s="729"/>
      <c r="Q176" s="730" t="str">
        <f t="shared" si="5"/>
        <v>Contact famille</v>
      </c>
      <c r="R176" s="732"/>
      <c r="S176" s="732"/>
      <c r="T176" s="732"/>
      <c r="U176" s="732"/>
      <c r="V176" s="732"/>
      <c r="W176" s="732"/>
      <c r="X176" s="732" t="s">
        <v>313</v>
      </c>
      <c r="Y176" s="732"/>
      <c r="Z176" s="732"/>
      <c r="AA176" s="732"/>
      <c r="AB176" s="12"/>
      <c r="AC176" s="155"/>
      <c r="AD176" s="155"/>
      <c r="AE176" s="155"/>
      <c r="AF176" s="12"/>
      <c r="AG176" s="386"/>
      <c r="AH176" s="392"/>
      <c r="AI176" s="18" t="s">
        <v>242</v>
      </c>
      <c r="AJ176" s="18" t="s">
        <v>242</v>
      </c>
      <c r="AK176" s="13" t="s">
        <v>242</v>
      </c>
      <c r="AL176" s="13" t="s">
        <v>242</v>
      </c>
      <c r="AM176" s="46" t="s">
        <v>244</v>
      </c>
      <c r="AN176" s="10"/>
      <c r="AO176" s="11"/>
      <c r="AP176" s="53"/>
      <c r="AQ176" s="10"/>
      <c r="AR176" s="11"/>
      <c r="AS176" s="62"/>
      <c r="AT176" s="62"/>
      <c r="AU176" s="10"/>
      <c r="AV176" s="10"/>
      <c r="AW176" s="13"/>
      <c r="AX176" s="11"/>
      <c r="AY176" s="11"/>
      <c r="AZ176" s="11"/>
      <c r="BA176" s="11"/>
      <c r="BB176" s="59"/>
      <c r="BC176" s="59"/>
      <c r="BD176" s="59"/>
      <c r="BE176" s="59"/>
      <c r="BF176" s="59"/>
      <c r="BG176" s="59"/>
      <c r="BH176" s="138"/>
      <c r="BI176" s="138"/>
      <c r="BJ176" s="138"/>
      <c r="BK176" s="231"/>
      <c r="BL176" s="231"/>
      <c r="BM176" s="231"/>
      <c r="BN176" s="232"/>
      <c r="BO176" s="11"/>
      <c r="BP176" s="11"/>
      <c r="BQ176" s="11"/>
      <c r="BR176" s="11"/>
      <c r="BS176" s="394"/>
    </row>
    <row r="177" spans="1:72" ht="12.75" customHeight="1" x14ac:dyDescent="0.15">
      <c r="A177" s="48" t="s">
        <v>5210</v>
      </c>
      <c r="B177" s="9" t="s">
        <v>681</v>
      </c>
      <c r="C177" s="9"/>
      <c r="D177" s="9"/>
      <c r="E177" s="9"/>
      <c r="F177" s="112" t="s">
        <v>107</v>
      </c>
      <c r="G177" s="11" t="s">
        <v>5212</v>
      </c>
      <c r="H177" s="5" t="s">
        <v>312</v>
      </c>
      <c r="I177" s="11" t="s">
        <v>241</v>
      </c>
      <c r="J177" s="357" t="s">
        <v>5208</v>
      </c>
      <c r="K177" s="353"/>
      <c r="L177" s="221">
        <v>21</v>
      </c>
      <c r="M177" s="221"/>
      <c r="N177" s="222" t="str">
        <f t="shared" si="4"/>
        <v>U7 Mixte</v>
      </c>
      <c r="O177" s="729">
        <v>21</v>
      </c>
      <c r="P177" s="729"/>
      <c r="Q177" s="730" t="str">
        <f t="shared" si="5"/>
        <v>U7 Mixte</v>
      </c>
      <c r="R177" s="732"/>
      <c r="S177" s="732"/>
      <c r="T177" s="732"/>
      <c r="U177" s="732"/>
      <c r="V177" s="732"/>
      <c r="W177" s="732"/>
      <c r="X177" s="732" t="s">
        <v>192</v>
      </c>
      <c r="Y177" s="732"/>
      <c r="Z177" s="732"/>
      <c r="AA177" s="732"/>
      <c r="AB177" s="12" t="s">
        <v>5301</v>
      </c>
      <c r="AC177" s="155"/>
      <c r="AD177" s="155"/>
      <c r="AE177" s="155"/>
      <c r="AF177" s="12"/>
      <c r="AG177" s="386" t="s">
        <v>5173</v>
      </c>
      <c r="AH177" s="392"/>
      <c r="AI177" s="18">
        <v>45936</v>
      </c>
      <c r="AJ177" s="18">
        <v>45857</v>
      </c>
      <c r="AK177" s="13">
        <v>2028</v>
      </c>
      <c r="AL177" s="18">
        <v>44369</v>
      </c>
      <c r="AM177" s="5" t="s">
        <v>5213</v>
      </c>
      <c r="AN177" s="10"/>
      <c r="AO177" s="11"/>
      <c r="AP177" s="53"/>
      <c r="AQ177" s="20">
        <v>621777852</v>
      </c>
      <c r="AR177" s="68" t="s">
        <v>5214</v>
      </c>
      <c r="AS177" s="62"/>
      <c r="AT177" s="62"/>
      <c r="AU177" s="10"/>
      <c r="AV177" s="10"/>
      <c r="AW177" s="13"/>
      <c r="AX177" s="11"/>
      <c r="AY177" s="11"/>
      <c r="AZ177" s="11"/>
      <c r="BA177" s="11"/>
      <c r="BB177" s="59"/>
      <c r="BC177" s="59"/>
      <c r="BD177" s="59"/>
      <c r="BE177" s="59"/>
      <c r="BF177" s="59"/>
      <c r="BG177" s="59"/>
      <c r="BH177" s="138"/>
      <c r="BI177" s="138"/>
      <c r="BJ177" s="138"/>
      <c r="BK177" s="231"/>
      <c r="BL177" s="231"/>
      <c r="BM177" s="231"/>
      <c r="BN177" s="232"/>
      <c r="BO177" s="11"/>
      <c r="BP177" s="11"/>
      <c r="BQ177" s="11"/>
      <c r="BR177" s="11"/>
      <c r="BS177" s="394"/>
    </row>
    <row r="178" spans="1:72" ht="12.75" customHeight="1" x14ac:dyDescent="0.15">
      <c r="A178" s="48" t="s">
        <v>4703</v>
      </c>
      <c r="B178" s="9" t="s">
        <v>4704</v>
      </c>
      <c r="C178" s="9"/>
      <c r="D178" s="9"/>
      <c r="E178" s="9"/>
      <c r="F178" s="112" t="s">
        <v>107</v>
      </c>
      <c r="G178" s="10" t="s">
        <v>4708</v>
      </c>
      <c r="H178" s="5" t="s">
        <v>4709</v>
      </c>
      <c r="I178" s="11" t="s">
        <v>177</v>
      </c>
      <c r="J178" s="357" t="s">
        <v>4707</v>
      </c>
      <c r="K178" s="353"/>
      <c r="L178" s="221">
        <v>212</v>
      </c>
      <c r="M178" s="221"/>
      <c r="N178" s="222" t="str">
        <f t="shared" si="4"/>
        <v>Contact famille</v>
      </c>
      <c r="O178" s="729">
        <v>212</v>
      </c>
      <c r="P178" s="729"/>
      <c r="Q178" s="730" t="str">
        <f t="shared" si="5"/>
        <v>Contact famille</v>
      </c>
      <c r="R178" s="731"/>
      <c r="S178" s="731"/>
      <c r="T178" s="731"/>
      <c r="U178" s="731"/>
      <c r="V178" s="731"/>
      <c r="W178" s="731" t="s">
        <v>313</v>
      </c>
      <c r="X178" s="731" t="s">
        <v>313</v>
      </c>
      <c r="Y178" s="731"/>
      <c r="Z178" s="731"/>
      <c r="AA178" s="731"/>
      <c r="AB178" s="12"/>
      <c r="AC178" s="12"/>
      <c r="AD178" s="12"/>
      <c r="AE178" s="12"/>
      <c r="AF178" s="12"/>
      <c r="AG178" s="369"/>
      <c r="AH178" s="370"/>
      <c r="AI178" s="18" t="s">
        <v>242</v>
      </c>
      <c r="AJ178" s="18" t="s">
        <v>242</v>
      </c>
      <c r="AK178" s="13" t="s">
        <v>242</v>
      </c>
      <c r="AL178" s="13" t="s">
        <v>242</v>
      </c>
      <c r="AM178" s="46" t="s">
        <v>244</v>
      </c>
      <c r="AN178" s="38"/>
      <c r="AO178" s="10"/>
      <c r="AP178" s="40"/>
      <c r="AQ178" s="20">
        <v>621473869</v>
      </c>
      <c r="AR178" s="47" t="s">
        <v>4712</v>
      </c>
      <c r="AS178" s="62"/>
      <c r="AT178" s="62"/>
      <c r="AU178" s="11"/>
      <c r="AV178" s="10"/>
      <c r="AW178" s="11"/>
      <c r="AX178" s="11"/>
      <c r="AY178" s="11"/>
      <c r="AZ178" s="11"/>
      <c r="BA178" s="11"/>
      <c r="BB178" s="59"/>
      <c r="BC178" s="59"/>
      <c r="BD178" s="59"/>
      <c r="BE178" s="59"/>
      <c r="BF178" s="59"/>
      <c r="BG178" s="59"/>
      <c r="BH178" s="138"/>
      <c r="BI178" s="138"/>
      <c r="BJ178" s="138"/>
      <c r="BK178" s="231"/>
      <c r="BL178" s="231"/>
      <c r="BM178" s="231"/>
      <c r="BN178" s="232"/>
      <c r="BO178" s="19"/>
      <c r="BP178" s="23"/>
      <c r="BQ178" s="23"/>
      <c r="BR178" s="23"/>
      <c r="BS178" s="43"/>
    </row>
    <row r="179" spans="1:72" ht="12.75" customHeight="1" x14ac:dyDescent="0.15">
      <c r="A179" s="48" t="s">
        <v>4702</v>
      </c>
      <c r="B179" s="9" t="s">
        <v>3819</v>
      </c>
      <c r="C179" s="9"/>
      <c r="D179" s="9"/>
      <c r="E179" s="9"/>
      <c r="F179" s="112" t="s">
        <v>107</v>
      </c>
      <c r="G179" s="10" t="s">
        <v>4708</v>
      </c>
      <c r="H179" s="5" t="s">
        <v>4709</v>
      </c>
      <c r="I179" s="11" t="s">
        <v>177</v>
      </c>
      <c r="J179" s="357" t="s">
        <v>4707</v>
      </c>
      <c r="K179" s="353"/>
      <c r="L179" s="221">
        <v>18</v>
      </c>
      <c r="M179" s="221"/>
      <c r="N179" s="222" t="str">
        <f t="shared" si="4"/>
        <v>U 9 Dames</v>
      </c>
      <c r="O179" s="729">
        <v>18</v>
      </c>
      <c r="P179" s="729"/>
      <c r="Q179" s="730" t="str">
        <f t="shared" si="5"/>
        <v>U 9 Dames</v>
      </c>
      <c r="R179" s="731"/>
      <c r="S179" s="731"/>
      <c r="T179" s="731"/>
      <c r="U179" s="731"/>
      <c r="V179" s="731"/>
      <c r="W179" s="731" t="s">
        <v>192</v>
      </c>
      <c r="X179" s="731"/>
      <c r="Y179" s="731"/>
      <c r="Z179" s="731"/>
      <c r="AA179" s="731"/>
      <c r="AB179" s="12" t="s">
        <v>4776</v>
      </c>
      <c r="AC179" s="12"/>
      <c r="AD179" s="12"/>
      <c r="AE179" s="12"/>
      <c r="AF179" s="12"/>
      <c r="AG179" s="369"/>
      <c r="AH179" s="370"/>
      <c r="AI179" s="18">
        <v>45325</v>
      </c>
      <c r="AJ179" s="18">
        <v>45248</v>
      </c>
      <c r="AK179" s="13">
        <v>2030</v>
      </c>
      <c r="AL179" s="18">
        <v>43325</v>
      </c>
      <c r="AM179" s="19" t="s">
        <v>4710</v>
      </c>
      <c r="AN179" s="38"/>
      <c r="AO179" s="10"/>
      <c r="AP179" s="40"/>
      <c r="AQ179" s="20">
        <v>621473869</v>
      </c>
      <c r="AR179" s="47" t="s">
        <v>4712</v>
      </c>
      <c r="AS179" s="62"/>
      <c r="AT179" s="62"/>
      <c r="AU179" s="11"/>
      <c r="AV179" s="10"/>
      <c r="AW179" s="11"/>
      <c r="AX179" s="11"/>
      <c r="AY179" s="11"/>
      <c r="AZ179" s="11"/>
      <c r="BA179" s="11"/>
      <c r="BB179" s="59"/>
      <c r="BC179" s="59"/>
      <c r="BD179" s="59"/>
      <c r="BE179" s="59"/>
      <c r="BF179" s="59"/>
      <c r="BG179" s="59"/>
      <c r="BH179" s="138"/>
      <c r="BI179" s="138"/>
      <c r="BJ179" s="138"/>
      <c r="BK179" s="231"/>
      <c r="BL179" s="231"/>
      <c r="BM179" s="231"/>
      <c r="BN179" s="232"/>
      <c r="BO179" s="19"/>
      <c r="BP179" s="23"/>
      <c r="BQ179" s="23"/>
      <c r="BR179" s="23"/>
      <c r="BS179" s="43"/>
      <c r="BT179" s="150"/>
    </row>
    <row r="180" spans="1:72" ht="12.75" customHeight="1" x14ac:dyDescent="0.15">
      <c r="A180" s="48" t="s">
        <v>4702</v>
      </c>
      <c r="B180" s="9" t="s">
        <v>733</v>
      </c>
      <c r="C180" s="9"/>
      <c r="D180" s="9"/>
      <c r="E180" s="9"/>
      <c r="F180" s="112" t="s">
        <v>107</v>
      </c>
      <c r="G180" s="10" t="s">
        <v>4708</v>
      </c>
      <c r="H180" s="5" t="s">
        <v>4709</v>
      </c>
      <c r="I180" s="11" t="s">
        <v>177</v>
      </c>
      <c r="J180" s="357" t="s">
        <v>4707</v>
      </c>
      <c r="K180" s="353"/>
      <c r="L180" s="221">
        <v>21</v>
      </c>
      <c r="M180" s="221"/>
      <c r="N180" s="222" t="str">
        <f t="shared" si="4"/>
        <v>U7 Mixte</v>
      </c>
      <c r="O180" s="729">
        <v>21</v>
      </c>
      <c r="P180" s="729"/>
      <c r="Q180" s="730" t="str">
        <f t="shared" si="5"/>
        <v>U7 Mixte</v>
      </c>
      <c r="R180" s="731"/>
      <c r="S180" s="731"/>
      <c r="T180" s="731"/>
      <c r="U180" s="731"/>
      <c r="V180" s="731"/>
      <c r="W180" s="731"/>
      <c r="X180" s="731" t="s">
        <v>192</v>
      </c>
      <c r="Y180" s="731"/>
      <c r="Z180" s="731"/>
      <c r="AA180" s="731"/>
      <c r="AB180" s="12" t="s">
        <v>4777</v>
      </c>
      <c r="AC180" s="12"/>
      <c r="AD180" s="12"/>
      <c r="AE180" s="12"/>
      <c r="AF180" s="12"/>
      <c r="AG180" s="369"/>
      <c r="AH180" s="370"/>
      <c r="AI180" s="18">
        <v>45325</v>
      </c>
      <c r="AJ180" s="18">
        <v>45248</v>
      </c>
      <c r="AK180" s="13">
        <v>2027</v>
      </c>
      <c r="AL180" s="18">
        <v>44152</v>
      </c>
      <c r="AM180" s="19" t="s">
        <v>4711</v>
      </c>
      <c r="AN180" s="38"/>
      <c r="AO180" s="10"/>
      <c r="AP180" s="40"/>
      <c r="AQ180" s="20">
        <v>621473869</v>
      </c>
      <c r="AR180" s="47" t="s">
        <v>4712</v>
      </c>
      <c r="AS180" s="62"/>
      <c r="AT180" s="62"/>
      <c r="AU180" s="11"/>
      <c r="AV180" s="10"/>
      <c r="AW180" s="11"/>
      <c r="AX180" s="11"/>
      <c r="AY180" s="11"/>
      <c r="AZ180" s="11"/>
      <c r="BA180" s="11"/>
      <c r="BB180" s="59"/>
      <c r="BC180" s="59"/>
      <c r="BD180" s="59"/>
      <c r="BE180" s="59"/>
      <c r="BF180" s="59"/>
      <c r="BG180" s="59"/>
      <c r="BH180" s="138"/>
      <c r="BI180" s="138"/>
      <c r="BJ180" s="138"/>
      <c r="BK180" s="231"/>
      <c r="BL180" s="231"/>
      <c r="BM180" s="231"/>
      <c r="BN180" s="232"/>
      <c r="BO180" s="19"/>
      <c r="BP180" s="23"/>
      <c r="BQ180" s="23"/>
      <c r="BR180" s="23"/>
      <c r="BS180" s="43"/>
      <c r="BT180" s="150"/>
    </row>
    <row r="181" spans="1:72" ht="12.75" customHeight="1" x14ac:dyDescent="0.15">
      <c r="A181" s="48" t="s">
        <v>4222</v>
      </c>
      <c r="B181" s="9" t="s">
        <v>2042</v>
      </c>
      <c r="C181" s="9"/>
      <c r="D181" s="9"/>
      <c r="E181" s="9"/>
      <c r="F181" s="10" t="s">
        <v>1489</v>
      </c>
      <c r="G181" s="10" t="s">
        <v>4223</v>
      </c>
      <c r="H181" s="5" t="s">
        <v>925</v>
      </c>
      <c r="I181" s="11" t="s">
        <v>135</v>
      </c>
      <c r="J181" s="357" t="s">
        <v>519</v>
      </c>
      <c r="K181" s="353"/>
      <c r="L181" s="221">
        <v>212</v>
      </c>
      <c r="M181" s="221"/>
      <c r="N181" s="222" t="str">
        <f t="shared" si="4"/>
        <v>Contact famille</v>
      </c>
      <c r="O181" s="729">
        <v>212</v>
      </c>
      <c r="P181" s="729"/>
      <c r="Q181" s="730" t="str">
        <f t="shared" si="5"/>
        <v>Contact famille</v>
      </c>
      <c r="R181" s="731"/>
      <c r="S181" s="731"/>
      <c r="T181" s="731"/>
      <c r="U181" s="731"/>
      <c r="V181" s="731" t="s">
        <v>313</v>
      </c>
      <c r="W181" s="731" t="s">
        <v>313</v>
      </c>
      <c r="X181" s="731"/>
      <c r="Y181" s="731"/>
      <c r="Z181" s="731"/>
      <c r="AA181" s="731"/>
      <c r="AB181" s="12"/>
      <c r="AC181" s="12"/>
      <c r="AD181" s="12"/>
      <c r="AE181" s="12"/>
      <c r="AF181" s="12"/>
      <c r="AG181" s="369"/>
      <c r="AH181" s="370"/>
      <c r="AI181" s="18" t="s">
        <v>242</v>
      </c>
      <c r="AJ181" s="18" t="s">
        <v>242</v>
      </c>
      <c r="AK181" s="13" t="s">
        <v>242</v>
      </c>
      <c r="AL181" s="13" t="s">
        <v>242</v>
      </c>
      <c r="AM181" s="46" t="s">
        <v>244</v>
      </c>
      <c r="AN181" s="38"/>
      <c r="AO181" s="10"/>
      <c r="AP181" s="40"/>
      <c r="AQ181" s="20">
        <v>691408000</v>
      </c>
      <c r="AR181" s="47" t="s">
        <v>4226</v>
      </c>
      <c r="AS181" s="62"/>
      <c r="AT181" s="62"/>
      <c r="AU181" s="11"/>
      <c r="AV181" s="10"/>
      <c r="AW181" s="11"/>
      <c r="AX181" s="11"/>
      <c r="AY181" s="11"/>
      <c r="AZ181" s="11"/>
      <c r="BA181" s="11"/>
      <c r="BB181" s="59"/>
      <c r="BC181" s="59"/>
      <c r="BD181" s="59"/>
      <c r="BE181" s="59"/>
      <c r="BF181" s="59"/>
      <c r="BG181" s="59"/>
      <c r="BH181" s="138"/>
      <c r="BI181" s="138"/>
      <c r="BJ181" s="138"/>
      <c r="BK181" s="231"/>
      <c r="BL181" s="231"/>
      <c r="BM181" s="231"/>
      <c r="BN181" s="232"/>
      <c r="BO181" s="19"/>
      <c r="BP181" s="23"/>
      <c r="BQ181" s="23"/>
      <c r="BR181" s="23"/>
      <c r="BS181" s="43"/>
      <c r="BT181" s="63"/>
    </row>
    <row r="182" spans="1:72" s="150" customFormat="1" ht="12.75" customHeight="1" x14ac:dyDescent="0.15">
      <c r="A182" s="48" t="s">
        <v>5568</v>
      </c>
      <c r="B182" s="9" t="s">
        <v>2060</v>
      </c>
      <c r="C182" s="9"/>
      <c r="D182" s="9"/>
      <c r="E182" s="9"/>
      <c r="F182" s="112" t="s">
        <v>5477</v>
      </c>
      <c r="G182" s="722"/>
      <c r="H182" s="432"/>
      <c r="I182" s="722"/>
      <c r="J182" s="357" t="s">
        <v>320</v>
      </c>
      <c r="K182" s="353"/>
      <c r="L182" s="221">
        <v>9</v>
      </c>
      <c r="M182" s="221"/>
      <c r="N182" s="222" t="str">
        <f t="shared" si="4"/>
        <v>Vétérans - Hommes</v>
      </c>
      <c r="O182" s="729">
        <v>9</v>
      </c>
      <c r="P182" s="729"/>
      <c r="Q182" s="730" t="str">
        <f t="shared" si="5"/>
        <v>Vétérans - Hommes</v>
      </c>
      <c r="R182" s="732"/>
      <c r="S182" s="732"/>
      <c r="T182" s="732"/>
      <c r="U182" s="732"/>
      <c r="V182" s="732"/>
      <c r="W182" s="732"/>
      <c r="X182" s="732"/>
      <c r="Y182" s="732"/>
      <c r="Z182" s="732"/>
      <c r="AA182" s="732"/>
      <c r="AB182" s="12" t="s">
        <v>5569</v>
      </c>
      <c r="AC182" s="155"/>
      <c r="AD182" s="155"/>
      <c r="AE182" s="155"/>
      <c r="AF182" s="12"/>
      <c r="AG182" s="386" t="s">
        <v>5570</v>
      </c>
      <c r="AH182" s="392"/>
      <c r="AI182" s="432"/>
      <c r="AJ182" s="18">
        <v>46177</v>
      </c>
      <c r="AK182" s="378"/>
      <c r="AL182" s="18">
        <v>19949</v>
      </c>
      <c r="AM182" s="5" t="s">
        <v>5571</v>
      </c>
      <c r="AN182" s="10"/>
      <c r="AO182" s="11"/>
      <c r="AP182" s="53"/>
      <c r="AQ182" s="226"/>
      <c r="AR182" s="722"/>
      <c r="AS182" s="62"/>
      <c r="AT182" s="62"/>
      <c r="AU182" s="10"/>
      <c r="AV182" s="10"/>
      <c r="AW182" s="13"/>
      <c r="AX182" s="11"/>
      <c r="AY182" s="11"/>
      <c r="AZ182" s="11"/>
      <c r="BA182" s="11"/>
      <c r="BB182" s="59"/>
      <c r="BC182" s="59"/>
      <c r="BD182" s="59"/>
      <c r="BE182" s="59"/>
      <c r="BF182" s="59"/>
      <c r="BG182" s="59"/>
      <c r="BH182" s="138"/>
      <c r="BI182" s="138"/>
      <c r="BJ182" s="138"/>
      <c r="BK182" s="231"/>
      <c r="BL182" s="231"/>
      <c r="BM182" s="231"/>
      <c r="BN182" s="232"/>
      <c r="BO182" s="11"/>
      <c r="BP182" s="11"/>
      <c r="BQ182" s="11"/>
      <c r="BR182" s="11"/>
      <c r="BS182" s="394"/>
      <c r="BT182"/>
    </row>
    <row r="183" spans="1:72" ht="12.75" customHeight="1" x14ac:dyDescent="0.15">
      <c r="A183" s="48" t="s">
        <v>1881</v>
      </c>
      <c r="B183" s="9" t="s">
        <v>1882</v>
      </c>
      <c r="C183" s="9"/>
      <c r="D183" s="9"/>
      <c r="E183" s="9"/>
      <c r="F183" s="10" t="s">
        <v>107</v>
      </c>
      <c r="G183" s="10" t="s">
        <v>1883</v>
      </c>
      <c r="H183" s="5" t="s">
        <v>1884</v>
      </c>
      <c r="I183" s="11" t="s">
        <v>1885</v>
      </c>
      <c r="J183" s="357" t="s">
        <v>1886</v>
      </c>
      <c r="K183" s="353"/>
      <c r="L183" s="221">
        <v>212</v>
      </c>
      <c r="M183" s="221"/>
      <c r="N183" s="222" t="str">
        <f t="shared" si="4"/>
        <v>Contact famille</v>
      </c>
      <c r="O183" s="729">
        <v>212</v>
      </c>
      <c r="P183" s="729"/>
      <c r="Q183" s="730" t="str">
        <f t="shared" si="5"/>
        <v>Contact famille</v>
      </c>
      <c r="R183" s="731"/>
      <c r="S183" s="731"/>
      <c r="T183" s="731"/>
      <c r="U183" s="731" t="s">
        <v>313</v>
      </c>
      <c r="V183" s="731" t="s">
        <v>313</v>
      </c>
      <c r="W183" s="731"/>
      <c r="X183" s="731"/>
      <c r="Y183" s="731"/>
      <c r="Z183" s="731"/>
      <c r="AA183" s="731"/>
      <c r="AB183" s="12"/>
      <c r="AC183" s="12"/>
      <c r="AD183" s="12"/>
      <c r="AE183" s="12"/>
      <c r="AF183" s="12"/>
      <c r="AG183" s="369"/>
      <c r="AH183" s="370"/>
      <c r="AI183" s="14" t="s">
        <v>210</v>
      </c>
      <c r="AJ183" s="18">
        <v>43549</v>
      </c>
      <c r="AK183" s="13" t="s">
        <v>242</v>
      </c>
      <c r="AL183" s="13" t="s">
        <v>242</v>
      </c>
      <c r="AM183" s="19" t="s">
        <v>244</v>
      </c>
      <c r="AN183" s="19"/>
      <c r="AO183" s="10"/>
      <c r="AP183" s="40"/>
      <c r="AQ183" s="10" t="s">
        <v>1887</v>
      </c>
      <c r="AR183" s="21" t="s">
        <v>1888</v>
      </c>
      <c r="AS183" s="62"/>
      <c r="AT183" s="62" t="s">
        <v>3969</v>
      </c>
      <c r="AU183" s="11"/>
      <c r="AV183" s="10"/>
      <c r="AW183" s="11"/>
      <c r="AX183" s="11"/>
      <c r="AY183" s="11"/>
      <c r="AZ183" s="11" t="s">
        <v>209</v>
      </c>
      <c r="BA183" s="11"/>
      <c r="BB183" s="59" t="s">
        <v>2813</v>
      </c>
      <c r="BC183" s="59" t="s">
        <v>3151</v>
      </c>
      <c r="BD183" s="59"/>
      <c r="BE183" s="59" t="s">
        <v>988</v>
      </c>
      <c r="BF183" s="59"/>
      <c r="BG183" s="59"/>
      <c r="BH183" s="138"/>
      <c r="BI183" s="138"/>
      <c r="BJ183" s="138"/>
      <c r="BK183" s="231"/>
      <c r="BL183" s="231"/>
      <c r="BM183" s="231"/>
      <c r="BN183" s="232"/>
      <c r="BO183" s="19"/>
      <c r="BP183" s="23"/>
      <c r="BQ183" s="23"/>
      <c r="BR183" s="23"/>
      <c r="BS183" s="43"/>
    </row>
    <row r="184" spans="1:72" ht="12.75" customHeight="1" x14ac:dyDescent="0.15">
      <c r="A184" s="48" t="s">
        <v>4445</v>
      </c>
      <c r="B184" s="9" t="s">
        <v>1664</v>
      </c>
      <c r="C184" s="9"/>
      <c r="D184" s="9"/>
      <c r="E184" s="9"/>
      <c r="F184" s="112" t="s">
        <v>4442</v>
      </c>
      <c r="G184" s="10" t="s">
        <v>4446</v>
      </c>
      <c r="H184" s="5" t="s">
        <v>4448</v>
      </c>
      <c r="I184" s="11" t="s">
        <v>223</v>
      </c>
      <c r="J184" s="357" t="s">
        <v>929</v>
      </c>
      <c r="K184" s="353"/>
      <c r="L184" s="221">
        <v>212</v>
      </c>
      <c r="M184" s="862"/>
      <c r="N184" s="224" t="str">
        <f t="shared" si="4"/>
        <v>Contact famille</v>
      </c>
      <c r="O184" s="729">
        <v>212</v>
      </c>
      <c r="P184" s="729"/>
      <c r="Q184" s="730" t="str">
        <f t="shared" si="5"/>
        <v>Contact famille</v>
      </c>
      <c r="R184" s="731"/>
      <c r="S184" s="731"/>
      <c r="T184" s="731"/>
      <c r="U184" s="731"/>
      <c r="V184" s="731"/>
      <c r="W184" s="731"/>
      <c r="X184" s="731" t="s">
        <v>313</v>
      </c>
      <c r="Y184" s="731"/>
      <c r="Z184" s="731"/>
      <c r="AA184" s="731"/>
      <c r="AB184" s="12"/>
      <c r="AC184" s="12"/>
      <c r="AD184" s="12"/>
      <c r="AE184" s="12"/>
      <c r="AF184" s="12"/>
      <c r="AG184" s="369"/>
      <c r="AH184" s="370"/>
      <c r="AI184" s="18" t="s">
        <v>242</v>
      </c>
      <c r="AJ184" s="18" t="s">
        <v>242</v>
      </c>
      <c r="AK184" s="13" t="s">
        <v>242</v>
      </c>
      <c r="AL184" s="13" t="s">
        <v>242</v>
      </c>
      <c r="AM184" s="46" t="s">
        <v>4451</v>
      </c>
      <c r="AN184" s="38"/>
      <c r="AO184" s="10"/>
      <c r="AP184" s="40"/>
      <c r="AQ184" s="20">
        <v>691843599</v>
      </c>
      <c r="AR184" s="47" t="s">
        <v>4454</v>
      </c>
      <c r="AS184" s="62"/>
      <c r="AT184" s="62"/>
      <c r="AU184" s="11"/>
      <c r="AV184" s="10"/>
      <c r="AW184" s="11"/>
      <c r="AX184" s="11"/>
      <c r="AY184" s="11"/>
      <c r="AZ184" s="11"/>
      <c r="BA184" s="11"/>
      <c r="BB184" s="59"/>
      <c r="BC184" s="59"/>
      <c r="BD184" s="59"/>
      <c r="BE184" s="59"/>
      <c r="BF184" s="59"/>
      <c r="BG184" s="59"/>
      <c r="BH184" s="138"/>
      <c r="BI184" s="138"/>
      <c r="BJ184" s="138"/>
      <c r="BK184" s="231"/>
      <c r="BL184" s="231"/>
      <c r="BM184" s="231"/>
      <c r="BN184" s="232"/>
      <c r="BO184" s="19"/>
      <c r="BP184" s="23"/>
      <c r="BQ184" s="23"/>
      <c r="BR184" s="23"/>
      <c r="BS184" s="43"/>
    </row>
    <row r="185" spans="1:72" s="150" customFormat="1" ht="12.75" customHeight="1" x14ac:dyDescent="0.15">
      <c r="A185" s="48" t="s">
        <v>5449</v>
      </c>
      <c r="B185" s="9" t="s">
        <v>4542</v>
      </c>
      <c r="C185" s="9"/>
      <c r="D185" s="9"/>
      <c r="E185" s="9"/>
      <c r="F185" s="11" t="s">
        <v>5450</v>
      </c>
      <c r="G185" s="11" t="s">
        <v>5451</v>
      </c>
      <c r="H185" s="5" t="s">
        <v>750</v>
      </c>
      <c r="I185" s="11" t="s">
        <v>241</v>
      </c>
      <c r="J185" s="357" t="s">
        <v>1145</v>
      </c>
      <c r="K185" s="353"/>
      <c r="L185" s="221">
        <v>19</v>
      </c>
      <c r="M185" s="221"/>
      <c r="N185" s="222" t="str">
        <f t="shared" si="4"/>
        <v>Vétérans - Dames</v>
      </c>
      <c r="O185" s="729">
        <v>19</v>
      </c>
      <c r="P185" s="729"/>
      <c r="Q185" s="730" t="str">
        <f t="shared" si="5"/>
        <v>Vétérans - Dames</v>
      </c>
      <c r="R185" s="732"/>
      <c r="S185" s="732"/>
      <c r="T185" s="732"/>
      <c r="U185" s="732"/>
      <c r="V185" s="732" t="s">
        <v>313</v>
      </c>
      <c r="W185" s="732"/>
      <c r="X185" s="732"/>
      <c r="Y185" s="732"/>
      <c r="Z185" s="732"/>
      <c r="AA185" s="732"/>
      <c r="AB185" s="217" t="s">
        <v>2805</v>
      </c>
      <c r="AC185" s="155"/>
      <c r="AD185" s="155"/>
      <c r="AE185" s="155"/>
      <c r="AF185" s="12"/>
      <c r="AG185" s="386" t="s">
        <v>5173</v>
      </c>
      <c r="AH185" s="392"/>
      <c r="AI185" s="432"/>
      <c r="AJ185" s="18">
        <v>46040</v>
      </c>
      <c r="AK185" s="378"/>
      <c r="AL185" s="18">
        <v>27699</v>
      </c>
      <c r="AM185" s="5" t="s">
        <v>5452</v>
      </c>
      <c r="AN185" s="10"/>
      <c r="AO185" s="11"/>
      <c r="AP185" s="53"/>
      <c r="AQ185" s="20">
        <v>661115656</v>
      </c>
      <c r="AR185" s="68" t="s">
        <v>5454</v>
      </c>
      <c r="AS185" s="62"/>
      <c r="AT185" s="62"/>
      <c r="AU185" s="10"/>
      <c r="AV185" s="10"/>
      <c r="AW185" s="13"/>
      <c r="AX185" s="11"/>
      <c r="AY185" s="11"/>
      <c r="AZ185" s="11"/>
      <c r="BA185" s="11"/>
      <c r="BB185" s="59"/>
      <c r="BC185" s="59"/>
      <c r="BD185" s="59"/>
      <c r="BE185" s="59"/>
      <c r="BF185" s="59"/>
      <c r="BG185" s="59"/>
      <c r="BH185" s="138"/>
      <c r="BI185" s="138"/>
      <c r="BJ185" s="138"/>
      <c r="BK185" s="231"/>
      <c r="BL185" s="231"/>
      <c r="BM185" s="231"/>
      <c r="BN185" s="232"/>
      <c r="BO185" s="11"/>
      <c r="BP185" s="11"/>
      <c r="BQ185" s="11"/>
      <c r="BR185" s="11"/>
      <c r="BS185" s="394"/>
      <c r="BT185"/>
    </row>
    <row r="186" spans="1:72" s="150" customFormat="1" ht="12.75" customHeight="1" x14ac:dyDescent="0.15">
      <c r="A186" s="48" t="s">
        <v>5525</v>
      </c>
      <c r="B186" s="9" t="s">
        <v>4542</v>
      </c>
      <c r="C186" s="9"/>
      <c r="D186" s="9"/>
      <c r="E186" s="9"/>
      <c r="F186" s="11" t="s">
        <v>5450</v>
      </c>
      <c r="G186" s="11" t="s">
        <v>5528</v>
      </c>
      <c r="H186" s="5" t="s">
        <v>750</v>
      </c>
      <c r="I186" s="11" t="s">
        <v>241</v>
      </c>
      <c r="J186" s="357" t="s">
        <v>1145</v>
      </c>
      <c r="K186" s="353"/>
      <c r="L186" s="221">
        <v>212</v>
      </c>
      <c r="M186" s="221"/>
      <c r="N186" s="222" t="str">
        <f t="shared" si="4"/>
        <v>Contact famille</v>
      </c>
      <c r="O186" s="729">
        <v>212</v>
      </c>
      <c r="P186" s="729"/>
      <c r="Q186" s="730" t="str">
        <f t="shared" si="5"/>
        <v>Contact famille</v>
      </c>
      <c r="R186" s="732"/>
      <c r="S186" s="732"/>
      <c r="T186" s="732"/>
      <c r="U186" s="732"/>
      <c r="V186" s="732" t="s">
        <v>313</v>
      </c>
      <c r="W186" s="732"/>
      <c r="X186" s="732"/>
      <c r="Y186" s="732"/>
      <c r="Z186" s="732"/>
      <c r="AA186" s="732"/>
      <c r="AB186" s="12"/>
      <c r="AC186" s="155"/>
      <c r="AD186" s="155"/>
      <c r="AE186" s="155"/>
      <c r="AF186" s="12"/>
      <c r="AG186" s="386"/>
      <c r="AH186" s="392"/>
      <c r="AI186" s="18" t="s">
        <v>242</v>
      </c>
      <c r="AJ186" s="18" t="s">
        <v>242</v>
      </c>
      <c r="AK186" s="13" t="s">
        <v>242</v>
      </c>
      <c r="AL186" s="13" t="s">
        <v>242</v>
      </c>
      <c r="AM186" s="46" t="s">
        <v>244</v>
      </c>
      <c r="AN186" s="10"/>
      <c r="AO186" s="11"/>
      <c r="AP186" s="53"/>
      <c r="AQ186" s="20">
        <v>661115656</v>
      </c>
      <c r="AR186" s="583" t="s">
        <v>5454</v>
      </c>
      <c r="AS186" s="62"/>
      <c r="AT186" s="62"/>
      <c r="AU186" s="10"/>
      <c r="AV186" s="10"/>
      <c r="AW186" s="13"/>
      <c r="AX186" s="11"/>
      <c r="AY186" s="11"/>
      <c r="AZ186" s="11"/>
      <c r="BA186" s="11"/>
      <c r="BB186" s="59"/>
      <c r="BC186" s="59"/>
      <c r="BD186" s="59"/>
      <c r="BE186" s="59"/>
      <c r="BF186" s="59"/>
      <c r="BG186" s="59"/>
      <c r="BH186" s="138"/>
      <c r="BI186" s="138"/>
      <c r="BJ186" s="138"/>
      <c r="BK186" s="231"/>
      <c r="BL186" s="231"/>
      <c r="BM186" s="231"/>
      <c r="BN186" s="232"/>
      <c r="BO186" s="11"/>
      <c r="BP186" s="11"/>
      <c r="BQ186" s="11"/>
      <c r="BR186" s="11"/>
      <c r="BS186" s="394"/>
      <c r="BT186"/>
    </row>
    <row r="187" spans="1:72" s="150" customFormat="1" ht="12.75" customHeight="1" x14ac:dyDescent="0.15">
      <c r="A187" s="48" t="s">
        <v>5523</v>
      </c>
      <c r="B187" s="9" t="s">
        <v>5524</v>
      </c>
      <c r="C187" s="9"/>
      <c r="D187" s="9"/>
      <c r="E187" s="9"/>
      <c r="F187" s="11" t="s">
        <v>5450</v>
      </c>
      <c r="G187" s="11" t="s">
        <v>5528</v>
      </c>
      <c r="H187" s="5" t="s">
        <v>750</v>
      </c>
      <c r="I187" s="11" t="s">
        <v>241</v>
      </c>
      <c r="J187" s="357" t="s">
        <v>1145</v>
      </c>
      <c r="K187" s="353"/>
      <c r="L187" s="221">
        <v>17</v>
      </c>
      <c r="M187" s="221"/>
      <c r="N187" s="222" t="str">
        <f t="shared" si="4"/>
        <v>U 11 Dames</v>
      </c>
      <c r="O187" s="729">
        <v>17</v>
      </c>
      <c r="P187" s="729"/>
      <c r="Q187" s="730" t="str">
        <f t="shared" si="5"/>
        <v>U 11 Dames</v>
      </c>
      <c r="R187" s="732"/>
      <c r="S187" s="732"/>
      <c r="T187" s="732"/>
      <c r="U187" s="732"/>
      <c r="V187" s="732" t="s">
        <v>192</v>
      </c>
      <c r="W187" s="732"/>
      <c r="X187" s="732"/>
      <c r="Y187" s="732"/>
      <c r="Z187" s="732"/>
      <c r="AA187" s="732"/>
      <c r="AB187" s="217" t="s">
        <v>2805</v>
      </c>
      <c r="AC187" s="155"/>
      <c r="AD187" s="155"/>
      <c r="AE187" s="155"/>
      <c r="AF187" s="12"/>
      <c r="AG187" s="386" t="s">
        <v>5173</v>
      </c>
      <c r="AH187" s="392"/>
      <c r="AI187" s="432"/>
      <c r="AJ187" s="18">
        <v>46161</v>
      </c>
      <c r="AK187" s="378"/>
      <c r="AL187" s="18">
        <v>42814</v>
      </c>
      <c r="AM187" s="5" t="s">
        <v>5453</v>
      </c>
      <c r="AN187" s="10"/>
      <c r="AO187" s="11"/>
      <c r="AP187" s="53" t="s">
        <v>5529</v>
      </c>
      <c r="AQ187" s="10" t="s">
        <v>5530</v>
      </c>
      <c r="AR187" s="68" t="s">
        <v>5454</v>
      </c>
      <c r="AS187" s="581"/>
      <c r="AT187" s="581"/>
      <c r="AU187" s="10"/>
      <c r="AV187" s="10"/>
      <c r="AW187" s="13"/>
      <c r="AX187" s="11"/>
      <c r="AY187" s="11"/>
      <c r="AZ187" s="11"/>
      <c r="BA187" s="11"/>
      <c r="BB187" s="59"/>
      <c r="BC187" s="59"/>
      <c r="BD187" s="59"/>
      <c r="BE187" s="59"/>
      <c r="BF187" s="59"/>
      <c r="BG187" s="59"/>
      <c r="BH187" s="138"/>
      <c r="BI187" s="138"/>
      <c r="BJ187" s="138"/>
      <c r="BK187" s="231"/>
      <c r="BL187" s="231"/>
      <c r="BM187" s="231"/>
      <c r="BN187" s="232"/>
      <c r="BO187" s="11"/>
      <c r="BP187" s="11"/>
      <c r="BQ187" s="11"/>
      <c r="BR187" s="11"/>
      <c r="BS187" s="394"/>
      <c r="BT187"/>
    </row>
    <row r="188" spans="1:72" s="150" customFormat="1" ht="12.75" customHeight="1" x14ac:dyDescent="0.15">
      <c r="A188" s="48" t="s">
        <v>4369</v>
      </c>
      <c r="B188" s="9" t="s">
        <v>648</v>
      </c>
      <c r="C188" s="9"/>
      <c r="D188" s="9"/>
      <c r="E188" s="9"/>
      <c r="F188" s="112" t="s">
        <v>107</v>
      </c>
      <c r="G188" s="10" t="s">
        <v>4371</v>
      </c>
      <c r="H188" s="5" t="s">
        <v>4373</v>
      </c>
      <c r="I188" s="11" t="s">
        <v>936</v>
      </c>
      <c r="J188" s="357" t="s">
        <v>4367</v>
      </c>
      <c r="K188" s="353"/>
      <c r="L188" s="221">
        <v>212</v>
      </c>
      <c r="M188" s="221"/>
      <c r="N188" s="222" t="str">
        <f t="shared" si="4"/>
        <v>Contact famille</v>
      </c>
      <c r="O188" s="729">
        <v>212</v>
      </c>
      <c r="P188" s="729"/>
      <c r="Q188" s="730" t="str">
        <f t="shared" si="5"/>
        <v>Contact famille</v>
      </c>
      <c r="R188" s="731"/>
      <c r="S188" s="731"/>
      <c r="T188" s="731"/>
      <c r="U188" s="731"/>
      <c r="V188" s="731"/>
      <c r="W188" s="731" t="s">
        <v>313</v>
      </c>
      <c r="X188" s="731"/>
      <c r="Y188" s="731"/>
      <c r="Z188" s="731"/>
      <c r="AA188" s="731"/>
      <c r="AB188" s="12"/>
      <c r="AC188" s="12"/>
      <c r="AD188" s="12"/>
      <c r="AE188" s="12"/>
      <c r="AF188" s="12"/>
      <c r="AG188" s="369"/>
      <c r="AH188" s="370"/>
      <c r="AI188" s="18" t="s">
        <v>242</v>
      </c>
      <c r="AJ188" s="18" t="s">
        <v>242</v>
      </c>
      <c r="AK188" s="13" t="s">
        <v>242</v>
      </c>
      <c r="AL188" s="13" t="s">
        <v>242</v>
      </c>
      <c r="AM188" s="46" t="s">
        <v>244</v>
      </c>
      <c r="AN188" s="38"/>
      <c r="AO188" s="10"/>
      <c r="AP188" s="40"/>
      <c r="AQ188" s="10"/>
      <c r="AR188" s="47" t="s">
        <v>4375</v>
      </c>
      <c r="AS188" s="62"/>
      <c r="AT188" s="62"/>
      <c r="AU188" s="11"/>
      <c r="AV188" s="10"/>
      <c r="AW188" s="11"/>
      <c r="AX188" s="11"/>
      <c r="AY188" s="11"/>
      <c r="AZ188" s="11"/>
      <c r="BA188" s="11"/>
      <c r="BB188" s="59"/>
      <c r="BC188" s="59"/>
      <c r="BD188" s="59"/>
      <c r="BE188" s="59"/>
      <c r="BF188" s="59"/>
      <c r="BG188" s="59"/>
      <c r="BH188" s="138"/>
      <c r="BI188" s="138"/>
      <c r="BJ188" s="138"/>
      <c r="BK188" s="231"/>
      <c r="BL188" s="231"/>
      <c r="BM188" s="231"/>
      <c r="BN188" s="232"/>
      <c r="BO188" s="19"/>
      <c r="BP188" s="23"/>
      <c r="BQ188" s="23"/>
      <c r="BR188" s="23"/>
      <c r="BS188" s="43"/>
      <c r="BT188"/>
    </row>
    <row r="189" spans="1:72" ht="12.75" customHeight="1" x14ac:dyDescent="0.15">
      <c r="A189" s="48" t="s">
        <v>4491</v>
      </c>
      <c r="B189" s="9" t="s">
        <v>3608</v>
      </c>
      <c r="C189" s="9"/>
      <c r="D189" s="9"/>
      <c r="E189" s="9"/>
      <c r="F189" s="112" t="s">
        <v>107</v>
      </c>
      <c r="G189" s="10" t="s">
        <v>4492</v>
      </c>
      <c r="H189" s="5" t="s">
        <v>4493</v>
      </c>
      <c r="I189" s="11" t="s">
        <v>4398</v>
      </c>
      <c r="J189" s="357" t="s">
        <v>320</v>
      </c>
      <c r="K189" s="353"/>
      <c r="L189" s="221">
        <v>2</v>
      </c>
      <c r="M189" s="221"/>
      <c r="N189" s="222" t="str">
        <f t="shared" si="4"/>
        <v>Seniors - Hommes</v>
      </c>
      <c r="O189" s="729">
        <v>2</v>
      </c>
      <c r="P189" s="729"/>
      <c r="Q189" s="730" t="str">
        <f t="shared" si="5"/>
        <v>Seniors - Hommes</v>
      </c>
      <c r="R189" s="731"/>
      <c r="S189" s="731"/>
      <c r="T189" s="731"/>
      <c r="U189" s="731"/>
      <c r="V189" s="731"/>
      <c r="W189" s="731"/>
      <c r="X189" s="731"/>
      <c r="Y189" s="731"/>
      <c r="Z189" s="731"/>
      <c r="AA189" s="731"/>
      <c r="AB189" s="12" t="s">
        <v>4583</v>
      </c>
      <c r="AC189" s="12"/>
      <c r="AD189" s="12"/>
      <c r="AE189" s="12"/>
      <c r="AF189" s="12"/>
      <c r="AG189" s="373" t="s">
        <v>4886</v>
      </c>
      <c r="AH189" s="370"/>
      <c r="AI189" s="18">
        <v>45219</v>
      </c>
      <c r="AJ189" s="18">
        <v>45187</v>
      </c>
      <c r="AK189" s="36">
        <v>2024</v>
      </c>
      <c r="AL189" s="18">
        <v>37608</v>
      </c>
      <c r="AM189" s="19" t="s">
        <v>4496</v>
      </c>
      <c r="AN189" s="38"/>
      <c r="AO189" s="10"/>
      <c r="AP189" s="40"/>
      <c r="AQ189" s="20">
        <v>621653394</v>
      </c>
      <c r="AR189" s="847" t="s">
        <v>4497</v>
      </c>
      <c r="AS189" s="62"/>
      <c r="AT189" s="62"/>
      <c r="AU189" s="11"/>
      <c r="AV189" s="10"/>
      <c r="AW189" s="11"/>
      <c r="AX189" s="11"/>
      <c r="AY189" s="11"/>
      <c r="AZ189" s="11"/>
      <c r="BA189" s="11"/>
      <c r="BB189" s="59"/>
      <c r="BC189" s="59"/>
      <c r="BD189" s="59"/>
      <c r="BE189" s="59"/>
      <c r="BF189" s="59"/>
      <c r="BG189" s="59"/>
      <c r="BH189" s="138"/>
      <c r="BI189" s="138"/>
      <c r="BJ189" s="138"/>
      <c r="BK189" s="231"/>
      <c r="BL189" s="231"/>
      <c r="BM189" s="231"/>
      <c r="BN189" s="232"/>
      <c r="BO189" s="19"/>
      <c r="BP189" s="23"/>
      <c r="BQ189" s="23"/>
      <c r="BR189" s="23"/>
      <c r="BS189" s="43"/>
    </row>
    <row r="190" spans="1:72" ht="12.75" customHeight="1" x14ac:dyDescent="0.15">
      <c r="A190" s="48" t="s">
        <v>865</v>
      </c>
      <c r="B190" s="9" t="s">
        <v>866</v>
      </c>
      <c r="C190" s="9"/>
      <c r="D190" s="9"/>
      <c r="E190" s="9"/>
      <c r="F190" s="10" t="s">
        <v>107</v>
      </c>
      <c r="G190" s="11" t="s">
        <v>867</v>
      </c>
      <c r="H190" s="5" t="s">
        <v>868</v>
      </c>
      <c r="I190" s="11" t="s">
        <v>869</v>
      </c>
      <c r="J190" s="357" t="s">
        <v>320</v>
      </c>
      <c r="K190" s="353"/>
      <c r="L190" s="221">
        <v>109</v>
      </c>
      <c r="M190" s="221"/>
      <c r="N190" s="222" t="str">
        <f t="shared" si="4"/>
        <v>Veteran arbitre</v>
      </c>
      <c r="O190" s="729">
        <v>9</v>
      </c>
      <c r="P190" s="729"/>
      <c r="Q190" s="730" t="str">
        <f t="shared" si="5"/>
        <v>Vétérans - Hommes</v>
      </c>
      <c r="R190" s="731"/>
      <c r="S190" s="731"/>
      <c r="T190" s="731"/>
      <c r="U190" s="731"/>
      <c r="V190" s="731"/>
      <c r="W190" s="731"/>
      <c r="X190" s="731"/>
      <c r="Y190" s="731"/>
      <c r="Z190" s="731"/>
      <c r="AA190" s="731"/>
      <c r="AB190" s="12" t="s">
        <v>2973</v>
      </c>
      <c r="AC190" s="12"/>
      <c r="AD190" s="12"/>
      <c r="AE190" s="12" t="s">
        <v>3095</v>
      </c>
      <c r="AF190" s="12"/>
      <c r="AG190" s="371" t="s">
        <v>3110</v>
      </c>
      <c r="AH190" s="372"/>
      <c r="AI190" s="18">
        <v>35261</v>
      </c>
      <c r="AJ190" s="18">
        <v>35261</v>
      </c>
      <c r="AK190" s="14"/>
      <c r="AL190" s="18">
        <v>22331</v>
      </c>
      <c r="AM190" s="225"/>
      <c r="AN190" s="19"/>
      <c r="AO190" s="10" t="s">
        <v>1889</v>
      </c>
      <c r="AP190" s="40"/>
      <c r="AQ190" s="27" t="s">
        <v>1890</v>
      </c>
      <c r="AR190" s="54" t="s">
        <v>3368</v>
      </c>
      <c r="AS190" s="61"/>
      <c r="AT190" s="61"/>
      <c r="AU190" s="40" t="s">
        <v>2710</v>
      </c>
      <c r="AV190" s="10"/>
      <c r="AW190" s="5"/>
      <c r="AX190" s="11"/>
      <c r="AY190" s="11"/>
      <c r="AZ190" s="11" t="s">
        <v>1301</v>
      </c>
      <c r="BA190" s="11"/>
      <c r="BB190" s="59" t="s">
        <v>292</v>
      </c>
      <c r="BC190" s="59" t="s">
        <v>292</v>
      </c>
      <c r="BD190" s="59" t="s">
        <v>1168</v>
      </c>
      <c r="BE190" s="59" t="s">
        <v>1301</v>
      </c>
      <c r="BF190" s="59"/>
      <c r="BG190" s="59"/>
      <c r="BH190" s="138"/>
      <c r="BI190" s="138"/>
      <c r="BJ190" s="138"/>
      <c r="BK190" s="231"/>
      <c r="BL190" s="231"/>
      <c r="BM190" s="231"/>
      <c r="BN190" s="232"/>
      <c r="BO190" s="19"/>
      <c r="BP190" s="23" t="s">
        <v>1302</v>
      </c>
      <c r="BQ190" s="23"/>
      <c r="BR190" s="23"/>
      <c r="BS190" s="43"/>
    </row>
    <row r="191" spans="1:72" ht="12.75" customHeight="1" x14ac:dyDescent="0.15">
      <c r="A191" s="48" t="s">
        <v>1894</v>
      </c>
      <c r="B191" s="9" t="s">
        <v>639</v>
      </c>
      <c r="C191" s="9"/>
      <c r="D191" s="9"/>
      <c r="E191" s="9"/>
      <c r="F191" s="112" t="s">
        <v>107</v>
      </c>
      <c r="G191" s="53" t="s">
        <v>5059</v>
      </c>
      <c r="H191" s="52" t="s">
        <v>4249</v>
      </c>
      <c r="I191" s="53" t="s">
        <v>1714</v>
      </c>
      <c r="J191" s="357" t="s">
        <v>320</v>
      </c>
      <c r="K191" s="353"/>
      <c r="L191" s="221">
        <v>2</v>
      </c>
      <c r="M191" s="221"/>
      <c r="N191" s="222" t="str">
        <f t="shared" si="4"/>
        <v>Seniors - Hommes</v>
      </c>
      <c r="O191" s="729">
        <v>2</v>
      </c>
      <c r="P191" s="729"/>
      <c r="Q191" s="730" t="str">
        <f t="shared" si="5"/>
        <v>Seniors - Hommes</v>
      </c>
      <c r="R191" s="732"/>
      <c r="S191" s="732"/>
      <c r="T191" s="732"/>
      <c r="U191" s="732"/>
      <c r="V191" s="732"/>
      <c r="W191" s="732"/>
      <c r="X191" s="732"/>
      <c r="Y191" s="732"/>
      <c r="Z191" s="732"/>
      <c r="AA191" s="732"/>
      <c r="AB191" s="12" t="s">
        <v>5072</v>
      </c>
      <c r="AC191" s="155"/>
      <c r="AD191" s="155"/>
      <c r="AE191" s="155"/>
      <c r="AF191" s="12"/>
      <c r="AG191" s="369"/>
      <c r="AH191" s="392"/>
      <c r="AI191" s="18">
        <v>45707</v>
      </c>
      <c r="AJ191" s="18">
        <v>45698</v>
      </c>
      <c r="AK191" s="13">
        <v>2035</v>
      </c>
      <c r="AL191" s="18">
        <v>34952</v>
      </c>
      <c r="AM191" s="52" t="s">
        <v>5060</v>
      </c>
      <c r="AN191" s="10"/>
      <c r="AO191" s="11"/>
      <c r="AP191" s="53"/>
      <c r="AQ191" s="20">
        <v>621461096</v>
      </c>
      <c r="AR191" s="68" t="s">
        <v>5061</v>
      </c>
      <c r="AS191" s="62"/>
      <c r="AT191" s="62"/>
      <c r="AU191" s="10"/>
      <c r="AV191" s="10"/>
      <c r="AW191" s="13"/>
      <c r="AX191" s="11"/>
      <c r="AY191" s="11"/>
      <c r="AZ191" s="11"/>
      <c r="BA191" s="11"/>
      <c r="BB191" s="59"/>
      <c r="BC191" s="59"/>
      <c r="BD191" s="59"/>
      <c r="BE191" s="59"/>
      <c r="BF191" s="59"/>
      <c r="BG191" s="59"/>
      <c r="BH191" s="138"/>
      <c r="BI191" s="138"/>
      <c r="BJ191" s="138"/>
      <c r="BK191" s="231"/>
      <c r="BL191" s="231"/>
      <c r="BM191" s="231"/>
      <c r="BN191" s="232"/>
      <c r="BO191" s="11"/>
      <c r="BP191" s="11"/>
      <c r="BQ191" s="11"/>
      <c r="BR191" s="11"/>
      <c r="BS191" s="394"/>
    </row>
    <row r="192" spans="1:72" ht="12.75" customHeight="1" x14ac:dyDescent="0.15">
      <c r="A192" s="48" t="s">
        <v>5043</v>
      </c>
      <c r="B192" s="9" t="s">
        <v>3616</v>
      </c>
      <c r="C192" s="9"/>
      <c r="D192" s="9"/>
      <c r="E192" s="9"/>
      <c r="F192" s="112" t="s">
        <v>107</v>
      </c>
      <c r="G192" s="10" t="s">
        <v>5045</v>
      </c>
      <c r="H192" s="5" t="s">
        <v>5046</v>
      </c>
      <c r="I192" s="11" t="s">
        <v>5047</v>
      </c>
      <c r="J192" s="357" t="s">
        <v>1873</v>
      </c>
      <c r="K192" s="353"/>
      <c r="L192" s="221">
        <v>212</v>
      </c>
      <c r="M192" s="221"/>
      <c r="N192" s="222" t="str">
        <f t="shared" si="4"/>
        <v>Contact famille</v>
      </c>
      <c r="O192" s="729">
        <v>212</v>
      </c>
      <c r="P192" s="729"/>
      <c r="Q192" s="730" t="str">
        <f t="shared" si="5"/>
        <v>Contact famille</v>
      </c>
      <c r="R192" s="731"/>
      <c r="S192" s="731"/>
      <c r="T192" s="731"/>
      <c r="U192" s="731"/>
      <c r="V192" s="731"/>
      <c r="W192" s="731"/>
      <c r="X192" s="731" t="s">
        <v>313</v>
      </c>
      <c r="Y192" s="731"/>
      <c r="Z192" s="731"/>
      <c r="AA192" s="731"/>
      <c r="AB192" s="12"/>
      <c r="AC192" s="12"/>
      <c r="AD192" s="12"/>
      <c r="AE192" s="12"/>
      <c r="AF192" s="12"/>
      <c r="AG192" s="369"/>
      <c r="AH192" s="370"/>
      <c r="AI192" s="18" t="s">
        <v>242</v>
      </c>
      <c r="AJ192" s="18" t="s">
        <v>242</v>
      </c>
      <c r="AK192" s="13" t="s">
        <v>242</v>
      </c>
      <c r="AL192" s="18" t="s">
        <v>242</v>
      </c>
      <c r="AM192" s="19" t="s">
        <v>244</v>
      </c>
      <c r="AN192" s="38"/>
      <c r="AO192" s="10"/>
      <c r="AP192" s="40"/>
      <c r="AQ192" s="20">
        <v>691855676</v>
      </c>
      <c r="AR192" s="47" t="s">
        <v>5050</v>
      </c>
      <c r="AS192" s="62"/>
      <c r="AT192" s="62"/>
      <c r="AU192" s="11"/>
      <c r="AV192" s="10"/>
      <c r="AW192" s="13"/>
      <c r="AX192" s="11"/>
      <c r="AY192" s="11"/>
      <c r="AZ192" s="11"/>
      <c r="BA192" s="11"/>
      <c r="BB192" s="59"/>
      <c r="BC192" s="59"/>
      <c r="BD192" s="59"/>
      <c r="BE192" s="59"/>
      <c r="BF192" s="59"/>
      <c r="BG192" s="59"/>
      <c r="BH192" s="138"/>
      <c r="BI192" s="138"/>
      <c r="BJ192" s="138"/>
      <c r="BK192" s="231"/>
      <c r="BL192" s="231"/>
      <c r="BM192" s="231"/>
      <c r="BN192" s="232"/>
      <c r="BO192" s="19"/>
      <c r="BP192" s="23"/>
      <c r="BQ192" s="23"/>
      <c r="BR192" s="23"/>
      <c r="BS192" s="43"/>
    </row>
    <row r="193" spans="1:72" ht="12.75" customHeight="1" x14ac:dyDescent="0.15">
      <c r="A193" s="48" t="s">
        <v>5043</v>
      </c>
      <c r="B193" s="9" t="s">
        <v>5044</v>
      </c>
      <c r="C193" s="9"/>
      <c r="D193" s="9"/>
      <c r="E193" s="9"/>
      <c r="F193" s="112" t="s">
        <v>107</v>
      </c>
      <c r="G193" s="10" t="s">
        <v>5045</v>
      </c>
      <c r="H193" s="5" t="s">
        <v>5046</v>
      </c>
      <c r="I193" s="11" t="s">
        <v>5047</v>
      </c>
      <c r="J193" s="357" t="s">
        <v>1873</v>
      </c>
      <c r="K193" s="353"/>
      <c r="L193" s="221">
        <v>21</v>
      </c>
      <c r="M193" s="221"/>
      <c r="N193" s="222" t="str">
        <f t="shared" si="4"/>
        <v>U7 Mixte</v>
      </c>
      <c r="O193" s="729">
        <v>21</v>
      </c>
      <c r="P193" s="729"/>
      <c r="Q193" s="730" t="str">
        <f t="shared" si="5"/>
        <v>U7 Mixte</v>
      </c>
      <c r="R193" s="731"/>
      <c r="S193" s="731"/>
      <c r="T193" s="731"/>
      <c r="U193" s="731"/>
      <c r="V193" s="731"/>
      <c r="W193" s="731"/>
      <c r="X193" s="731" t="s">
        <v>192</v>
      </c>
      <c r="Y193" s="731"/>
      <c r="Z193" s="731"/>
      <c r="AA193" s="731"/>
      <c r="AB193" s="12" t="s">
        <v>5084</v>
      </c>
      <c r="AC193" s="12"/>
      <c r="AD193" s="12"/>
      <c r="AE193" s="12"/>
      <c r="AF193" s="12"/>
      <c r="AG193" s="369"/>
      <c r="AH193" s="370"/>
      <c r="AI193" s="18">
        <v>45715</v>
      </c>
      <c r="AJ193" s="18">
        <v>45667</v>
      </c>
      <c r="AK193" s="13">
        <v>2028</v>
      </c>
      <c r="AL193" s="18">
        <v>44301</v>
      </c>
      <c r="AM193" s="19" t="s">
        <v>5048</v>
      </c>
      <c r="AN193" s="38"/>
      <c r="AO193" s="10"/>
      <c r="AP193" s="40"/>
      <c r="AQ193" s="10" t="s">
        <v>5049</v>
      </c>
      <c r="AR193" s="47" t="s">
        <v>5050</v>
      </c>
      <c r="AS193" s="62"/>
      <c r="AT193" s="62"/>
      <c r="AU193" s="11"/>
      <c r="AV193" s="10"/>
      <c r="AW193" s="13"/>
      <c r="AX193" s="11"/>
      <c r="AY193" s="11"/>
      <c r="AZ193" s="11"/>
      <c r="BA193" s="11"/>
      <c r="BB193" s="59"/>
      <c r="BC193" s="59"/>
      <c r="BD193" s="59"/>
      <c r="BE193" s="59"/>
      <c r="BF193" s="59"/>
      <c r="BG193" s="59"/>
      <c r="BH193" s="138"/>
      <c r="BI193" s="138"/>
      <c r="BJ193" s="138"/>
      <c r="BK193" s="231"/>
      <c r="BL193" s="231"/>
      <c r="BM193" s="231"/>
      <c r="BN193" s="232"/>
      <c r="BO193" s="19"/>
      <c r="BP193" s="23"/>
      <c r="BQ193" s="23"/>
      <c r="BR193" s="23"/>
      <c r="BS193" s="43"/>
    </row>
    <row r="194" spans="1:72" ht="12.75" customHeight="1" x14ac:dyDescent="0.15">
      <c r="A194" s="48" t="s">
        <v>3171</v>
      </c>
      <c r="B194" s="9" t="s">
        <v>775</v>
      </c>
      <c r="C194" s="9"/>
      <c r="D194" s="9"/>
      <c r="E194" s="9"/>
      <c r="F194" s="10" t="s">
        <v>107</v>
      </c>
      <c r="G194" s="10" t="s">
        <v>2753</v>
      </c>
      <c r="H194" s="5" t="s">
        <v>2754</v>
      </c>
      <c r="I194" s="11" t="s">
        <v>613</v>
      </c>
      <c r="J194" s="357" t="s">
        <v>1548</v>
      </c>
      <c r="K194" s="353"/>
      <c r="L194" s="221">
        <v>212</v>
      </c>
      <c r="M194" s="221"/>
      <c r="N194" s="222" t="str">
        <f t="shared" ref="N194:N257" si="6">VLOOKUP(L194,CAT_JOUEUR,2,FALSE)</f>
        <v>Contact famille</v>
      </c>
      <c r="O194" s="729">
        <v>212</v>
      </c>
      <c r="P194" s="729"/>
      <c r="Q194" s="730" t="str">
        <f t="shared" ref="Q194:Q257" si="7">VLOOKUP(O194,CAT_JOUEUR,2,FALSE)</f>
        <v>Contact famille</v>
      </c>
      <c r="R194" s="731"/>
      <c r="S194" s="731"/>
      <c r="T194" s="731"/>
      <c r="U194" s="731"/>
      <c r="V194" s="731" t="s">
        <v>313</v>
      </c>
      <c r="W194" s="731"/>
      <c r="X194" s="731"/>
      <c r="Y194" s="731"/>
      <c r="Z194" s="731"/>
      <c r="AA194" s="731"/>
      <c r="AB194" s="12"/>
      <c r="AC194" s="12"/>
      <c r="AD194" s="12"/>
      <c r="AE194" s="12"/>
      <c r="AF194" s="12"/>
      <c r="AG194" s="369" t="s">
        <v>252</v>
      </c>
      <c r="AH194" s="370"/>
      <c r="AI194" s="18" t="s">
        <v>242</v>
      </c>
      <c r="AJ194" s="18" t="s">
        <v>242</v>
      </c>
      <c r="AK194" s="13" t="s">
        <v>242</v>
      </c>
      <c r="AL194" s="18" t="s">
        <v>242</v>
      </c>
      <c r="AM194" s="19" t="s">
        <v>244</v>
      </c>
      <c r="AN194" s="38"/>
      <c r="AO194" s="10"/>
      <c r="AP194" s="40"/>
      <c r="AQ194" s="10" t="s">
        <v>3174</v>
      </c>
      <c r="AR194" s="47" t="s">
        <v>3177</v>
      </c>
      <c r="AS194" s="62"/>
      <c r="AT194" s="62"/>
      <c r="AU194" s="11"/>
      <c r="AV194" s="10"/>
      <c r="AW194" s="11"/>
      <c r="AX194" s="11"/>
      <c r="AY194" s="11"/>
      <c r="AZ194" s="11"/>
      <c r="BA194" s="11"/>
      <c r="BB194" s="59"/>
      <c r="BC194" s="59"/>
      <c r="BD194" s="59"/>
      <c r="BE194" s="59"/>
      <c r="BF194" s="59"/>
      <c r="BG194" s="59"/>
      <c r="BH194" s="138"/>
      <c r="BI194" s="138"/>
      <c r="BJ194" s="138"/>
      <c r="BK194" s="231"/>
      <c r="BL194" s="231"/>
      <c r="BM194" s="231"/>
      <c r="BN194" s="232"/>
      <c r="BO194" s="19"/>
      <c r="BP194" s="23"/>
      <c r="BQ194" s="23"/>
      <c r="BR194" s="23"/>
      <c r="BS194" s="43"/>
    </row>
    <row r="195" spans="1:72" ht="12.75" customHeight="1" x14ac:dyDescent="0.15">
      <c r="A195" s="48" t="s">
        <v>5211</v>
      </c>
      <c r="B195" s="9" t="s">
        <v>4044</v>
      </c>
      <c r="C195" s="9"/>
      <c r="D195" s="9"/>
      <c r="E195" s="9"/>
      <c r="F195" s="112" t="s">
        <v>107</v>
      </c>
      <c r="G195" s="11" t="s">
        <v>5212</v>
      </c>
      <c r="H195" s="5" t="s">
        <v>312</v>
      </c>
      <c r="I195" s="11" t="s">
        <v>241</v>
      </c>
      <c r="J195" s="357" t="s">
        <v>5208</v>
      </c>
      <c r="K195" s="353"/>
      <c r="L195" s="221">
        <v>212</v>
      </c>
      <c r="M195" s="221"/>
      <c r="N195" s="222" t="str">
        <f t="shared" si="6"/>
        <v>Contact famille</v>
      </c>
      <c r="O195" s="729">
        <v>212</v>
      </c>
      <c r="P195" s="729"/>
      <c r="Q195" s="730" t="str">
        <f t="shared" si="7"/>
        <v>Contact famille</v>
      </c>
      <c r="R195" s="732"/>
      <c r="S195" s="732"/>
      <c r="T195" s="732"/>
      <c r="U195" s="732"/>
      <c r="V195" s="732"/>
      <c r="W195" s="732"/>
      <c r="X195" s="732" t="s">
        <v>313</v>
      </c>
      <c r="Y195" s="732"/>
      <c r="Z195" s="732"/>
      <c r="AA195" s="732"/>
      <c r="AB195" s="12"/>
      <c r="AC195" s="155"/>
      <c r="AD195" s="155"/>
      <c r="AE195" s="155"/>
      <c r="AF195" s="12"/>
      <c r="AG195" s="386"/>
      <c r="AH195" s="392"/>
      <c r="AI195" s="18" t="s">
        <v>242</v>
      </c>
      <c r="AJ195" s="18" t="s">
        <v>242</v>
      </c>
      <c r="AK195" s="13" t="s">
        <v>242</v>
      </c>
      <c r="AL195" s="18" t="s">
        <v>242</v>
      </c>
      <c r="AM195" s="19" t="s">
        <v>244</v>
      </c>
      <c r="AN195" s="10"/>
      <c r="AO195" s="11"/>
      <c r="AP195" s="53"/>
      <c r="AQ195" s="20">
        <v>621777852</v>
      </c>
      <c r="AR195" s="68" t="s">
        <v>5214</v>
      </c>
      <c r="AS195" s="62"/>
      <c r="AT195" s="62"/>
      <c r="AU195" s="10"/>
      <c r="AV195" s="10"/>
      <c r="AW195" s="13"/>
      <c r="AX195" s="11"/>
      <c r="AY195" s="11"/>
      <c r="AZ195" s="11"/>
      <c r="BA195" s="11"/>
      <c r="BB195" s="59"/>
      <c r="BC195" s="59"/>
      <c r="BD195" s="59"/>
      <c r="BE195" s="59"/>
      <c r="BF195" s="59"/>
      <c r="BG195" s="59"/>
      <c r="BH195" s="138"/>
      <c r="BI195" s="138"/>
      <c r="BJ195" s="138"/>
      <c r="BK195" s="231"/>
      <c r="BL195" s="231"/>
      <c r="BM195" s="231"/>
      <c r="BN195" s="232"/>
      <c r="BO195" s="11"/>
      <c r="BP195" s="11"/>
      <c r="BQ195" s="11"/>
      <c r="BR195" s="11"/>
      <c r="BS195" s="394"/>
    </row>
    <row r="196" spans="1:72" ht="12.75" customHeight="1" x14ac:dyDescent="0.15">
      <c r="A196" s="48" t="s">
        <v>5194</v>
      </c>
      <c r="B196" s="9" t="s">
        <v>2828</v>
      </c>
      <c r="C196" s="9"/>
      <c r="D196" s="9"/>
      <c r="E196" s="9"/>
      <c r="F196" s="112" t="s">
        <v>107</v>
      </c>
      <c r="G196" s="11" t="s">
        <v>5201</v>
      </c>
      <c r="H196" s="5" t="s">
        <v>5200</v>
      </c>
      <c r="I196" s="11" t="s">
        <v>5199</v>
      </c>
      <c r="J196" s="357" t="s">
        <v>5193</v>
      </c>
      <c r="K196" s="353"/>
      <c r="L196" s="221">
        <v>212</v>
      </c>
      <c r="M196" s="221"/>
      <c r="N196" s="222" t="str">
        <f t="shared" si="6"/>
        <v>Contact famille</v>
      </c>
      <c r="O196" s="729">
        <v>212</v>
      </c>
      <c r="P196" s="729"/>
      <c r="Q196" s="730" t="str">
        <f t="shared" si="7"/>
        <v>Contact famille</v>
      </c>
      <c r="R196" s="732"/>
      <c r="S196" s="732"/>
      <c r="T196" s="732"/>
      <c r="U196" s="732"/>
      <c r="V196" s="732"/>
      <c r="W196" s="732"/>
      <c r="X196" s="732"/>
      <c r="Y196" s="732"/>
      <c r="Z196" s="732"/>
      <c r="AA196" s="732" t="s">
        <v>313</v>
      </c>
      <c r="AB196" s="12"/>
      <c r="AC196" s="155"/>
      <c r="AD196" s="155"/>
      <c r="AE196" s="155"/>
      <c r="AF196" s="12"/>
      <c r="AG196" s="386"/>
      <c r="AH196" s="392"/>
      <c r="AI196" s="18" t="s">
        <v>242</v>
      </c>
      <c r="AJ196" s="18" t="s">
        <v>242</v>
      </c>
      <c r="AK196" s="13" t="s">
        <v>242</v>
      </c>
      <c r="AL196" s="13" t="s">
        <v>242</v>
      </c>
      <c r="AM196" s="46" t="s">
        <v>244</v>
      </c>
      <c r="AN196" s="10"/>
      <c r="AO196" s="11"/>
      <c r="AP196" s="53"/>
      <c r="AQ196" s="20">
        <v>661139088</v>
      </c>
      <c r="AR196" s="529" t="s">
        <v>5206</v>
      </c>
      <c r="AS196" s="62"/>
      <c r="AT196" s="62"/>
      <c r="AU196" s="10"/>
      <c r="AV196" s="10"/>
      <c r="AW196" s="13"/>
      <c r="AX196" s="11"/>
      <c r="AY196" s="11"/>
      <c r="AZ196" s="11"/>
      <c r="BA196" s="11"/>
      <c r="BB196" s="59"/>
      <c r="BC196" s="59"/>
      <c r="BD196" s="59"/>
      <c r="BE196" s="59"/>
      <c r="BF196" s="59"/>
      <c r="BG196" s="59"/>
      <c r="BH196" s="138"/>
      <c r="BI196" s="138"/>
      <c r="BJ196" s="138"/>
      <c r="BK196" s="231"/>
      <c r="BL196" s="231"/>
      <c r="BM196" s="231"/>
      <c r="BN196" s="232"/>
      <c r="BO196" s="11"/>
      <c r="BP196" s="11"/>
      <c r="BQ196" s="11"/>
      <c r="BR196" s="11"/>
      <c r="BS196" s="394"/>
    </row>
    <row r="197" spans="1:72" ht="12.75" customHeight="1" x14ac:dyDescent="0.15">
      <c r="A197" s="48" t="s">
        <v>5194</v>
      </c>
      <c r="B197" s="9" t="s">
        <v>5195</v>
      </c>
      <c r="C197" s="9"/>
      <c r="D197" s="9"/>
      <c r="E197" s="9"/>
      <c r="F197" s="112" t="s">
        <v>107</v>
      </c>
      <c r="G197" s="11" t="s">
        <v>5198</v>
      </c>
      <c r="H197" s="5" t="s">
        <v>855</v>
      </c>
      <c r="I197" s="11" t="s">
        <v>241</v>
      </c>
      <c r="J197" s="357" t="s">
        <v>5193</v>
      </c>
      <c r="K197" s="353"/>
      <c r="L197" s="221">
        <v>15</v>
      </c>
      <c r="M197" s="221"/>
      <c r="N197" s="222" t="str">
        <f t="shared" si="6"/>
        <v>U 13 Dames</v>
      </c>
      <c r="O197" s="729">
        <v>15</v>
      </c>
      <c r="P197" s="729"/>
      <c r="Q197" s="730" t="str">
        <f t="shared" si="7"/>
        <v>U 13 Dames</v>
      </c>
      <c r="R197" s="732"/>
      <c r="S197" s="732"/>
      <c r="T197" s="732"/>
      <c r="U197" s="732"/>
      <c r="V197" s="732"/>
      <c r="W197" s="732"/>
      <c r="X197" s="732"/>
      <c r="Y197" s="732"/>
      <c r="Z197" s="732"/>
      <c r="AA197" s="732" t="s">
        <v>192</v>
      </c>
      <c r="AB197" s="12" t="s">
        <v>5280</v>
      </c>
      <c r="AC197" s="155"/>
      <c r="AD197" s="155"/>
      <c r="AE197" s="155"/>
      <c r="AF197" s="12"/>
      <c r="AG197" s="386" t="s">
        <v>5173</v>
      </c>
      <c r="AH197" s="392"/>
      <c r="AI197" s="18">
        <v>45911</v>
      </c>
      <c r="AJ197" s="18">
        <v>45474</v>
      </c>
      <c r="AK197" s="378"/>
      <c r="AL197" s="18">
        <v>41862</v>
      </c>
      <c r="AM197" s="5" t="s">
        <v>5202</v>
      </c>
      <c r="AN197" s="10"/>
      <c r="AO197" s="11" t="s">
        <v>5203</v>
      </c>
      <c r="AP197" s="40" t="s">
        <v>5204</v>
      </c>
      <c r="AQ197" s="10" t="s">
        <v>5205</v>
      </c>
      <c r="AR197" s="68" t="s">
        <v>5206</v>
      </c>
      <c r="AS197" s="62"/>
      <c r="AT197" s="62"/>
      <c r="AU197" s="10"/>
      <c r="AV197" s="10"/>
      <c r="AW197" s="13"/>
      <c r="AX197" s="11"/>
      <c r="AY197" s="11"/>
      <c r="AZ197" s="11"/>
      <c r="BA197" s="11"/>
      <c r="BB197" s="59"/>
      <c r="BC197" s="59"/>
      <c r="BD197" s="59"/>
      <c r="BE197" s="59"/>
      <c r="BF197" s="59"/>
      <c r="BG197" s="59"/>
      <c r="BH197" s="138"/>
      <c r="BI197" s="138"/>
      <c r="BJ197" s="138"/>
      <c r="BK197" s="231"/>
      <c r="BL197" s="231"/>
      <c r="BM197" s="231"/>
      <c r="BN197" s="232"/>
      <c r="BO197" s="11"/>
      <c r="BP197" s="11"/>
      <c r="BQ197" s="11"/>
      <c r="BR197" s="11"/>
      <c r="BS197" s="394"/>
    </row>
    <row r="198" spans="1:72" ht="13.25" customHeight="1" x14ac:dyDescent="0.15">
      <c r="A198" s="48" t="s">
        <v>3199</v>
      </c>
      <c r="B198" s="9" t="s">
        <v>3201</v>
      </c>
      <c r="C198" s="9"/>
      <c r="D198" s="9"/>
      <c r="E198" s="9"/>
      <c r="F198" s="10" t="s">
        <v>107</v>
      </c>
      <c r="G198" s="10" t="s">
        <v>3202</v>
      </c>
      <c r="H198" s="5" t="s">
        <v>3203</v>
      </c>
      <c r="I198" s="11" t="s">
        <v>223</v>
      </c>
      <c r="J198" s="357" t="s">
        <v>1149</v>
      </c>
      <c r="K198" s="353"/>
      <c r="L198" s="221">
        <v>212</v>
      </c>
      <c r="M198" s="221"/>
      <c r="N198" s="222" t="str">
        <f t="shared" si="6"/>
        <v>Contact famille</v>
      </c>
      <c r="O198" s="729">
        <v>212</v>
      </c>
      <c r="P198" s="729"/>
      <c r="Q198" s="730" t="str">
        <f t="shared" si="7"/>
        <v>Contact famille</v>
      </c>
      <c r="R198" s="731"/>
      <c r="S198" s="731"/>
      <c r="T198" s="731"/>
      <c r="U198" s="731"/>
      <c r="V198" s="731" t="s">
        <v>313</v>
      </c>
      <c r="W198" s="731"/>
      <c r="X198" s="731"/>
      <c r="Y198" s="731"/>
      <c r="Z198" s="731" t="s">
        <v>313</v>
      </c>
      <c r="AA198" s="731"/>
      <c r="AB198" s="12"/>
      <c r="AC198" s="12"/>
      <c r="AD198" s="12"/>
      <c r="AE198" s="12"/>
      <c r="AF198" s="12"/>
      <c r="AG198" s="369"/>
      <c r="AH198" s="370"/>
      <c r="AI198" s="18" t="s">
        <v>242</v>
      </c>
      <c r="AJ198" s="18" t="s">
        <v>242</v>
      </c>
      <c r="AK198" s="427" t="s">
        <v>242</v>
      </c>
      <c r="AL198" s="18" t="s">
        <v>242</v>
      </c>
      <c r="AM198" s="19" t="s">
        <v>244</v>
      </c>
      <c r="AN198" s="38"/>
      <c r="AO198" s="10" t="s">
        <v>3207</v>
      </c>
      <c r="AP198" s="40"/>
      <c r="AQ198" s="10" t="s">
        <v>3211</v>
      </c>
      <c r="AR198" s="47" t="s">
        <v>3209</v>
      </c>
      <c r="AS198" s="62"/>
      <c r="AT198" s="62"/>
      <c r="AU198" s="11"/>
      <c r="AV198" s="10"/>
      <c r="AW198" s="11"/>
      <c r="AX198" s="11"/>
      <c r="AY198" s="11"/>
      <c r="AZ198" s="11"/>
      <c r="BA198" s="11"/>
      <c r="BB198" s="59"/>
      <c r="BC198" s="59"/>
      <c r="BD198" s="59"/>
      <c r="BE198" s="59"/>
      <c r="BF198" s="59"/>
      <c r="BG198" s="59"/>
      <c r="BH198" s="138"/>
      <c r="BI198" s="138"/>
      <c r="BJ198" s="138"/>
      <c r="BK198" s="231"/>
      <c r="BL198" s="231"/>
      <c r="BM198" s="231"/>
      <c r="BN198" s="232"/>
      <c r="BO198" s="19"/>
      <c r="BP198" s="23"/>
      <c r="BQ198" s="23"/>
      <c r="BR198" s="23"/>
      <c r="BS198" s="43"/>
    </row>
    <row r="199" spans="1:72" ht="12.75" customHeight="1" x14ac:dyDescent="0.15">
      <c r="A199" s="48" t="s">
        <v>1914</v>
      </c>
      <c r="B199" s="9" t="s">
        <v>1915</v>
      </c>
      <c r="C199" s="9"/>
      <c r="D199" s="9"/>
      <c r="E199" s="9"/>
      <c r="F199" s="10" t="s">
        <v>107</v>
      </c>
      <c r="G199" s="10" t="s">
        <v>1118</v>
      </c>
      <c r="H199" s="5" t="s">
        <v>1916</v>
      </c>
      <c r="I199" s="11" t="s">
        <v>241</v>
      </c>
      <c r="J199" s="357" t="s">
        <v>1120</v>
      </c>
      <c r="K199" s="353"/>
      <c r="L199" s="221">
        <v>212</v>
      </c>
      <c r="M199" s="221"/>
      <c r="N199" s="222" t="str">
        <f t="shared" si="6"/>
        <v>Contact famille</v>
      </c>
      <c r="O199" s="729">
        <v>212</v>
      </c>
      <c r="P199" s="729"/>
      <c r="Q199" s="730" t="str">
        <f t="shared" si="7"/>
        <v>Contact famille</v>
      </c>
      <c r="R199" s="731"/>
      <c r="S199" s="731"/>
      <c r="T199" s="731"/>
      <c r="U199" s="731"/>
      <c r="V199" s="731"/>
      <c r="W199" s="731"/>
      <c r="X199" s="731"/>
      <c r="Y199" s="731"/>
      <c r="Z199" s="731"/>
      <c r="AA199" s="731"/>
      <c r="AB199" s="12"/>
      <c r="AC199" s="12"/>
      <c r="AD199" s="12"/>
      <c r="AE199" s="12"/>
      <c r="AF199" s="12"/>
      <c r="AG199" s="369"/>
      <c r="AH199" s="370"/>
      <c r="AI199" s="18" t="s">
        <v>242</v>
      </c>
      <c r="AJ199" s="18">
        <v>43170</v>
      </c>
      <c r="AK199" s="13" t="s">
        <v>242</v>
      </c>
      <c r="AL199" s="13" t="s">
        <v>242</v>
      </c>
      <c r="AM199" s="19"/>
      <c r="AN199" s="19"/>
      <c r="AO199" s="10"/>
      <c r="AP199" s="40"/>
      <c r="AQ199" s="10" t="s">
        <v>1917</v>
      </c>
      <c r="AR199" s="21" t="s">
        <v>1918</v>
      </c>
      <c r="AS199" s="62"/>
      <c r="AT199" s="62"/>
      <c r="AU199" s="11"/>
      <c r="AV199" s="10"/>
      <c r="AW199" s="11"/>
      <c r="AX199" s="11"/>
      <c r="AY199" s="11"/>
      <c r="AZ199" s="11" t="s">
        <v>420</v>
      </c>
      <c r="BA199" s="11"/>
      <c r="BB199" s="59" t="s">
        <v>2813</v>
      </c>
      <c r="BC199" s="59" t="s">
        <v>292</v>
      </c>
      <c r="BD199" s="59" t="s">
        <v>1168</v>
      </c>
      <c r="BE199" s="59" t="s">
        <v>988</v>
      </c>
      <c r="BF199" s="59"/>
      <c r="BG199" s="59"/>
      <c r="BH199" s="138"/>
      <c r="BI199" s="138"/>
      <c r="BJ199" s="138"/>
      <c r="BK199" s="231"/>
      <c r="BL199" s="231"/>
      <c r="BM199" s="231"/>
      <c r="BN199" s="232"/>
      <c r="BO199" s="19"/>
      <c r="BP199" s="23" t="s">
        <v>260</v>
      </c>
      <c r="BQ199" s="23"/>
      <c r="BR199" s="23"/>
      <c r="BS199" s="43"/>
    </row>
    <row r="200" spans="1:72" ht="12.75" customHeight="1" x14ac:dyDescent="0.15">
      <c r="A200" s="48" t="s">
        <v>3530</v>
      </c>
      <c r="B200" s="9" t="s">
        <v>639</v>
      </c>
      <c r="C200" s="9"/>
      <c r="D200" s="9"/>
      <c r="E200" s="9"/>
      <c r="F200" s="10" t="s">
        <v>107</v>
      </c>
      <c r="G200" s="10" t="s">
        <v>3533</v>
      </c>
      <c r="H200" s="5" t="s">
        <v>3534</v>
      </c>
      <c r="I200" s="11" t="s">
        <v>3535</v>
      </c>
      <c r="J200" s="357" t="s">
        <v>1344</v>
      </c>
      <c r="K200" s="353"/>
      <c r="L200" s="221">
        <v>212</v>
      </c>
      <c r="M200" s="221"/>
      <c r="N200" s="222" t="str">
        <f t="shared" si="6"/>
        <v>Contact famille</v>
      </c>
      <c r="O200" s="729">
        <v>212</v>
      </c>
      <c r="P200" s="729"/>
      <c r="Q200" s="730" t="str">
        <f t="shared" si="7"/>
        <v>Contact famille</v>
      </c>
      <c r="R200" s="731"/>
      <c r="S200" s="731"/>
      <c r="T200" s="731"/>
      <c r="U200" s="731"/>
      <c r="V200" s="731"/>
      <c r="W200" s="731" t="s">
        <v>313</v>
      </c>
      <c r="X200" s="731"/>
      <c r="Y200" s="731"/>
      <c r="Z200" s="731"/>
      <c r="AA200" s="731"/>
      <c r="AB200" s="12"/>
      <c r="AC200" s="12"/>
      <c r="AD200" s="12"/>
      <c r="AE200" s="12"/>
      <c r="AF200" s="12"/>
      <c r="AG200" s="369"/>
      <c r="AH200" s="370"/>
      <c r="AI200" s="18" t="s">
        <v>242</v>
      </c>
      <c r="AJ200" s="18">
        <v>44103</v>
      </c>
      <c r="AK200" s="13" t="s">
        <v>242</v>
      </c>
      <c r="AL200" s="18" t="s">
        <v>242</v>
      </c>
      <c r="AM200" s="19" t="s">
        <v>244</v>
      </c>
      <c r="AN200" s="38"/>
      <c r="AO200" s="10"/>
      <c r="AP200" s="40"/>
      <c r="AQ200" s="10" t="s">
        <v>3537</v>
      </c>
      <c r="AR200" s="21"/>
      <c r="AS200" s="62"/>
      <c r="AT200" s="62"/>
      <c r="AU200" s="11"/>
      <c r="AV200" s="10"/>
      <c r="AW200" s="11"/>
      <c r="AX200" s="11"/>
      <c r="AY200" s="11"/>
      <c r="AZ200" s="11"/>
      <c r="BA200" s="11"/>
      <c r="BB200" s="59"/>
      <c r="BC200" s="59"/>
      <c r="BD200" s="59"/>
      <c r="BE200" s="59"/>
      <c r="BF200" s="59"/>
      <c r="BG200" s="59"/>
      <c r="BH200" s="138"/>
      <c r="BI200" s="138"/>
      <c r="BJ200" s="138"/>
      <c r="BK200" s="231"/>
      <c r="BL200" s="231"/>
      <c r="BM200" s="231"/>
      <c r="BN200" s="232"/>
      <c r="BO200" s="19"/>
      <c r="BP200" s="23"/>
      <c r="BQ200" s="23"/>
      <c r="BR200" s="23"/>
      <c r="BS200" s="43"/>
    </row>
    <row r="201" spans="1:72" ht="12.75" customHeight="1" x14ac:dyDescent="0.15">
      <c r="A201" s="48" t="s">
        <v>3528</v>
      </c>
      <c r="B201" s="9" t="s">
        <v>3529</v>
      </c>
      <c r="C201" s="9"/>
      <c r="D201" s="9"/>
      <c r="E201" s="9"/>
      <c r="F201" s="10" t="s">
        <v>107</v>
      </c>
      <c r="G201" s="10" t="s">
        <v>3533</v>
      </c>
      <c r="H201" s="5" t="s">
        <v>3534</v>
      </c>
      <c r="I201" s="11" t="s">
        <v>3535</v>
      </c>
      <c r="J201" s="357" t="s">
        <v>1344</v>
      </c>
      <c r="K201" s="353"/>
      <c r="L201" s="221">
        <v>8</v>
      </c>
      <c r="M201" s="221"/>
      <c r="N201" s="222" t="str">
        <f t="shared" si="6"/>
        <v xml:space="preserve">U 9 Hommes </v>
      </c>
      <c r="O201" s="729">
        <v>8</v>
      </c>
      <c r="P201" s="729"/>
      <c r="Q201" s="730" t="str">
        <f t="shared" si="7"/>
        <v xml:space="preserve">U 9 Hommes </v>
      </c>
      <c r="R201" s="731"/>
      <c r="S201" s="731"/>
      <c r="T201" s="731"/>
      <c r="U201" s="731"/>
      <c r="V201" s="731"/>
      <c r="W201" s="731" t="s">
        <v>192</v>
      </c>
      <c r="X201" s="731"/>
      <c r="Y201" s="731"/>
      <c r="Z201" s="731"/>
      <c r="AA201" s="731"/>
      <c r="AB201" s="12" t="s">
        <v>3600</v>
      </c>
      <c r="AC201" s="12"/>
      <c r="AD201" s="12"/>
      <c r="AE201" s="12"/>
      <c r="AF201" s="12"/>
      <c r="AG201" s="369"/>
      <c r="AH201" s="370"/>
      <c r="AI201" s="18">
        <v>44124</v>
      </c>
      <c r="AJ201" s="18">
        <v>44103</v>
      </c>
      <c r="AK201" s="615">
        <v>2025</v>
      </c>
      <c r="AL201" s="18">
        <v>43115</v>
      </c>
      <c r="AM201" s="19" t="s">
        <v>3536</v>
      </c>
      <c r="AN201" s="38"/>
      <c r="AO201" s="10"/>
      <c r="AP201" s="40" t="s">
        <v>3540</v>
      </c>
      <c r="AQ201" s="10" t="s">
        <v>3539</v>
      </c>
      <c r="AR201" s="47" t="s">
        <v>3541</v>
      </c>
      <c r="AS201" s="62"/>
      <c r="AT201" s="62"/>
      <c r="AU201" s="11"/>
      <c r="AV201" s="10"/>
      <c r="AW201" s="11"/>
      <c r="AX201" s="11"/>
      <c r="AY201" s="11"/>
      <c r="AZ201" s="11"/>
      <c r="BA201" s="11"/>
      <c r="BB201" s="59"/>
      <c r="BC201" s="59"/>
      <c r="BD201" s="59"/>
      <c r="BE201" s="59"/>
      <c r="BF201" s="59"/>
      <c r="BG201" s="59"/>
      <c r="BH201" s="138"/>
      <c r="BI201" s="138"/>
      <c r="BJ201" s="138"/>
      <c r="BK201" s="231"/>
      <c r="BL201" s="231"/>
      <c r="BM201" s="231"/>
      <c r="BN201" s="232"/>
      <c r="BO201" s="19"/>
      <c r="BP201" s="23"/>
      <c r="BQ201" s="23"/>
      <c r="BR201" s="23"/>
      <c r="BS201" s="43"/>
    </row>
    <row r="202" spans="1:72" ht="12.75" customHeight="1" x14ac:dyDescent="0.15">
      <c r="A202" s="48" t="s">
        <v>899</v>
      </c>
      <c r="B202" s="9" t="s">
        <v>900</v>
      </c>
      <c r="C202" s="9"/>
      <c r="D202" s="9"/>
      <c r="E202" s="9"/>
      <c r="F202" s="10" t="s">
        <v>107</v>
      </c>
      <c r="G202" s="10" t="s">
        <v>901</v>
      </c>
      <c r="H202" s="5" t="s">
        <v>902</v>
      </c>
      <c r="I202" s="11" t="s">
        <v>903</v>
      </c>
      <c r="J202" s="357" t="s">
        <v>320</v>
      </c>
      <c r="K202" s="353"/>
      <c r="L202" s="221">
        <v>9</v>
      </c>
      <c r="M202" s="221"/>
      <c r="N202" s="222" t="str">
        <f t="shared" si="6"/>
        <v>Vétérans - Hommes</v>
      </c>
      <c r="O202" s="729">
        <v>9</v>
      </c>
      <c r="P202" s="729"/>
      <c r="Q202" s="730" t="str">
        <f t="shared" si="7"/>
        <v>Vétérans - Hommes</v>
      </c>
      <c r="R202" s="731"/>
      <c r="S202" s="731"/>
      <c r="T202" s="731"/>
      <c r="U202" s="731"/>
      <c r="V202" s="731"/>
      <c r="W202" s="731"/>
      <c r="X202" s="731"/>
      <c r="Y202" s="731"/>
      <c r="Z202" s="731"/>
      <c r="AA202" s="731"/>
      <c r="AB202" s="12" t="s">
        <v>2977</v>
      </c>
      <c r="AC202" s="12"/>
      <c r="AD202" s="12"/>
      <c r="AE202" s="12"/>
      <c r="AF202" s="12"/>
      <c r="AG202" s="371" t="s">
        <v>3110</v>
      </c>
      <c r="AH202" s="372"/>
      <c r="AI202" s="18">
        <v>40197</v>
      </c>
      <c r="AJ202" s="18">
        <v>40197</v>
      </c>
      <c r="AK202" s="14"/>
      <c r="AL202" s="18">
        <v>23710</v>
      </c>
      <c r="AM202" s="19" t="s">
        <v>1923</v>
      </c>
      <c r="AN202" s="19"/>
      <c r="AO202" s="10"/>
      <c r="AP202" s="40"/>
      <c r="AQ202" s="10" t="s">
        <v>1924</v>
      </c>
      <c r="AR202" s="29" t="s">
        <v>1925</v>
      </c>
      <c r="AS202" s="61"/>
      <c r="AT202" s="61"/>
      <c r="AU202" s="24"/>
      <c r="AV202" s="10"/>
      <c r="AW202" s="11"/>
      <c r="AX202" s="11" t="s">
        <v>1926</v>
      </c>
      <c r="AY202" s="11"/>
      <c r="AZ202" s="11" t="s">
        <v>2792</v>
      </c>
      <c r="BA202" s="11"/>
      <c r="BB202" s="59" t="s">
        <v>2813</v>
      </c>
      <c r="BC202" s="59" t="s">
        <v>3151</v>
      </c>
      <c r="BD202" s="59" t="s">
        <v>2136</v>
      </c>
      <c r="BE202" s="59">
        <v>50</v>
      </c>
      <c r="BF202" s="59"/>
      <c r="BG202" s="59"/>
      <c r="BH202" s="138"/>
      <c r="BI202" s="138"/>
      <c r="BJ202" s="138"/>
      <c r="BK202" s="231"/>
      <c r="BL202" s="231"/>
      <c r="BM202" s="231"/>
      <c r="BN202" s="232"/>
      <c r="BO202" s="19"/>
      <c r="BP202" s="23" t="s">
        <v>1927</v>
      </c>
      <c r="BQ202" s="23"/>
      <c r="BR202" s="23"/>
      <c r="BS202" s="43"/>
    </row>
    <row r="203" spans="1:72" ht="12.75" customHeight="1" x14ac:dyDescent="0.15">
      <c r="A203" s="48" t="s">
        <v>5612</v>
      </c>
      <c r="B203" s="9" t="s">
        <v>2461</v>
      </c>
      <c r="C203" s="9"/>
      <c r="D203" s="9"/>
      <c r="E203" s="9"/>
      <c r="F203" s="722"/>
      <c r="G203" s="11" t="s">
        <v>5615</v>
      </c>
      <c r="H203" s="5" t="s">
        <v>222</v>
      </c>
      <c r="I203" s="11" t="s">
        <v>223</v>
      </c>
      <c r="J203" s="357" t="s">
        <v>5611</v>
      </c>
      <c r="K203" s="353"/>
      <c r="L203" s="221">
        <v>17</v>
      </c>
      <c r="M203" s="221"/>
      <c r="N203" s="222" t="str">
        <f t="shared" si="6"/>
        <v>U 11 Dames</v>
      </c>
      <c r="O203" s="729">
        <v>17</v>
      </c>
      <c r="P203" s="729"/>
      <c r="Q203" s="730" t="str">
        <f t="shared" si="7"/>
        <v>U 11 Dames</v>
      </c>
      <c r="R203" s="732"/>
      <c r="S203" s="732"/>
      <c r="T203" s="732"/>
      <c r="U203" s="732"/>
      <c r="V203" s="732" t="s">
        <v>192</v>
      </c>
      <c r="W203" s="732"/>
      <c r="X203" s="732"/>
      <c r="Y203" s="732"/>
      <c r="Z203" s="732"/>
      <c r="AA203" s="732"/>
      <c r="AB203" s="217" t="s">
        <v>2805</v>
      </c>
      <c r="AC203" s="155"/>
      <c r="AD203" s="155"/>
      <c r="AE203" s="155"/>
      <c r="AF203" s="12"/>
      <c r="AG203" s="386" t="s">
        <v>5616</v>
      </c>
      <c r="AH203" s="392"/>
      <c r="AI203" s="432"/>
      <c r="AJ203" s="18">
        <v>46203</v>
      </c>
      <c r="AK203" s="378"/>
      <c r="AL203" s="18">
        <v>42719</v>
      </c>
      <c r="AM203" s="5" t="s">
        <v>5617</v>
      </c>
      <c r="AN203" s="10"/>
      <c r="AO203" s="11"/>
      <c r="AP203" s="53"/>
      <c r="AQ203" s="20">
        <v>691833590</v>
      </c>
      <c r="AR203" s="68" t="s">
        <v>5618</v>
      </c>
      <c r="AS203" s="62"/>
      <c r="AT203" s="62"/>
      <c r="AU203" s="10"/>
      <c r="AV203" s="10"/>
      <c r="AW203" s="13"/>
      <c r="AX203" s="11"/>
      <c r="AY203" s="11"/>
      <c r="AZ203" s="11"/>
      <c r="BA203" s="11"/>
      <c r="BB203" s="59"/>
      <c r="BC203" s="59"/>
      <c r="BD203" s="59"/>
      <c r="BE203" s="59"/>
      <c r="BF203" s="59"/>
      <c r="BG203" s="59"/>
      <c r="BH203" s="138"/>
      <c r="BI203" s="138"/>
      <c r="BJ203" s="138"/>
      <c r="BK203" s="231"/>
      <c r="BL203" s="231"/>
      <c r="BM203" s="231"/>
      <c r="BN203" s="232"/>
      <c r="BO203" s="11"/>
      <c r="BP203" s="11"/>
      <c r="BQ203" s="11"/>
      <c r="BR203" s="11"/>
      <c r="BS203" s="394"/>
      <c r="BT203" s="150"/>
    </row>
    <row r="204" spans="1:72" s="150" customFormat="1" ht="12.75" customHeight="1" x14ac:dyDescent="0.15">
      <c r="A204" s="48" t="s">
        <v>4122</v>
      </c>
      <c r="B204" s="9" t="s">
        <v>956</v>
      </c>
      <c r="C204" s="9"/>
      <c r="D204" s="9"/>
      <c r="E204" s="9"/>
      <c r="F204" s="112" t="s">
        <v>107</v>
      </c>
      <c r="G204" s="10" t="s">
        <v>4983</v>
      </c>
      <c r="H204" s="5" t="s">
        <v>4984</v>
      </c>
      <c r="I204" s="11" t="s">
        <v>558</v>
      </c>
      <c r="J204" s="357" t="s">
        <v>551</v>
      </c>
      <c r="K204" s="353"/>
      <c r="L204" s="221">
        <v>212</v>
      </c>
      <c r="M204" s="221"/>
      <c r="N204" s="222" t="str">
        <f t="shared" si="6"/>
        <v>Contact famille</v>
      </c>
      <c r="O204" s="729">
        <v>212</v>
      </c>
      <c r="P204" s="729"/>
      <c r="Q204" s="730" t="str">
        <f t="shared" si="7"/>
        <v>Contact famille</v>
      </c>
      <c r="R204" s="731"/>
      <c r="S204" s="731"/>
      <c r="T204" s="731"/>
      <c r="U204" s="731"/>
      <c r="V204" s="731"/>
      <c r="W204" s="731"/>
      <c r="X204" s="731" t="s">
        <v>313</v>
      </c>
      <c r="Y204" s="731"/>
      <c r="Z204" s="731"/>
      <c r="AA204" s="731"/>
      <c r="AB204" s="12"/>
      <c r="AC204" s="12"/>
      <c r="AD204" s="12"/>
      <c r="AE204" s="12"/>
      <c r="AF204" s="12"/>
      <c r="AG204" s="369"/>
      <c r="AH204" s="370"/>
      <c r="AI204" s="18" t="s">
        <v>242</v>
      </c>
      <c r="AJ204" s="18" t="s">
        <v>242</v>
      </c>
      <c r="AK204" s="13" t="s">
        <v>242</v>
      </c>
      <c r="AL204" s="13" t="s">
        <v>242</v>
      </c>
      <c r="AM204" s="46" t="s">
        <v>244</v>
      </c>
      <c r="AN204" s="38"/>
      <c r="AO204" s="10"/>
      <c r="AP204" s="40"/>
      <c r="AQ204" s="64">
        <v>622287291</v>
      </c>
      <c r="AR204" s="47" t="s">
        <v>4987</v>
      </c>
      <c r="AS204" s="62"/>
      <c r="AT204" s="62"/>
      <c r="AU204" s="11"/>
      <c r="AV204" s="10"/>
      <c r="AW204" s="11"/>
      <c r="AX204" s="11"/>
      <c r="AY204" s="11"/>
      <c r="AZ204" s="11"/>
      <c r="BA204" s="11"/>
      <c r="BB204" s="59"/>
      <c r="BC204" s="59"/>
      <c r="BD204" s="59"/>
      <c r="BE204" s="59"/>
      <c r="BF204" s="59"/>
      <c r="BG204" s="59"/>
      <c r="BH204" s="138"/>
      <c r="BI204" s="138"/>
      <c r="BJ204" s="138"/>
      <c r="BK204" s="231"/>
      <c r="BL204" s="231"/>
      <c r="BM204" s="231"/>
      <c r="BN204" s="232"/>
      <c r="BO204" s="19"/>
      <c r="BP204" s="23"/>
      <c r="BQ204" s="23"/>
      <c r="BR204" s="23"/>
      <c r="BS204" s="43"/>
      <c r="BT204"/>
    </row>
    <row r="205" spans="1:72" ht="12.75" customHeight="1" x14ac:dyDescent="0.15">
      <c r="A205" s="48" t="s">
        <v>4122</v>
      </c>
      <c r="B205" s="9" t="s">
        <v>960</v>
      </c>
      <c r="C205" s="9"/>
      <c r="D205" s="9"/>
      <c r="E205" s="9"/>
      <c r="F205" s="112" t="s">
        <v>107</v>
      </c>
      <c r="G205" s="10" t="s">
        <v>4125</v>
      </c>
      <c r="H205" s="5" t="s">
        <v>4127</v>
      </c>
      <c r="I205" s="11" t="s">
        <v>4126</v>
      </c>
      <c r="J205" s="357" t="s">
        <v>926</v>
      </c>
      <c r="K205" s="353"/>
      <c r="L205" s="221">
        <v>212</v>
      </c>
      <c r="M205" s="221"/>
      <c r="N205" s="222" t="str">
        <f t="shared" si="6"/>
        <v>Contact famille</v>
      </c>
      <c r="O205" s="729">
        <v>212</v>
      </c>
      <c r="P205" s="729"/>
      <c r="Q205" s="730" t="str">
        <f t="shared" si="7"/>
        <v>Contact famille</v>
      </c>
      <c r="R205" s="731"/>
      <c r="S205" s="731"/>
      <c r="T205" s="731"/>
      <c r="U205" s="731"/>
      <c r="V205" s="731"/>
      <c r="W205" s="731" t="s">
        <v>313</v>
      </c>
      <c r="X205" s="731" t="s">
        <v>313</v>
      </c>
      <c r="Y205" s="731"/>
      <c r="Z205" s="731"/>
      <c r="AA205" s="731"/>
      <c r="AB205" s="12"/>
      <c r="AC205" s="12"/>
      <c r="AD205" s="12"/>
      <c r="AE205" s="12"/>
      <c r="AF205" s="12"/>
      <c r="AG205" s="369"/>
      <c r="AH205" s="370"/>
      <c r="AI205" s="18" t="s">
        <v>242</v>
      </c>
      <c r="AJ205" s="18" t="s">
        <v>242</v>
      </c>
      <c r="AK205" s="13" t="s">
        <v>242</v>
      </c>
      <c r="AL205" s="13" t="s">
        <v>242</v>
      </c>
      <c r="AM205" s="46" t="s">
        <v>244</v>
      </c>
      <c r="AN205" s="38"/>
      <c r="AO205" s="10"/>
      <c r="AP205" s="40"/>
      <c r="AQ205" s="64">
        <v>692672159</v>
      </c>
      <c r="AR205" s="47" t="s">
        <v>4131</v>
      </c>
      <c r="AS205" s="62"/>
      <c r="AT205" s="62"/>
      <c r="AU205" s="11"/>
      <c r="AV205" s="10"/>
      <c r="AW205" s="11"/>
      <c r="AX205" s="11"/>
      <c r="AY205" s="11"/>
      <c r="AZ205" s="11"/>
      <c r="BA205" s="11"/>
      <c r="BB205" s="59"/>
      <c r="BC205" s="59"/>
      <c r="BD205" s="59"/>
      <c r="BE205" s="59"/>
      <c r="BF205" s="59"/>
      <c r="BG205" s="59"/>
      <c r="BH205" s="138"/>
      <c r="BI205" s="138"/>
      <c r="BJ205" s="138"/>
      <c r="BK205" s="231"/>
      <c r="BL205" s="231"/>
      <c r="BM205" s="231"/>
      <c r="BN205" s="232"/>
      <c r="BO205" s="19"/>
      <c r="BP205" s="23"/>
      <c r="BQ205" s="23"/>
      <c r="BR205" s="23"/>
      <c r="BS205" s="43"/>
    </row>
    <row r="206" spans="1:72" ht="12.75" customHeight="1" x14ac:dyDescent="0.15">
      <c r="A206" s="48" t="s">
        <v>4122</v>
      </c>
      <c r="B206" s="9" t="s">
        <v>4624</v>
      </c>
      <c r="C206" s="9"/>
      <c r="D206" s="9"/>
      <c r="E206" s="9"/>
      <c r="F206" s="112" t="s">
        <v>107</v>
      </c>
      <c r="G206" s="10" t="s">
        <v>4125</v>
      </c>
      <c r="H206" s="5" t="s">
        <v>4128</v>
      </c>
      <c r="I206" s="11" t="s">
        <v>4126</v>
      </c>
      <c r="J206" s="357" t="s">
        <v>926</v>
      </c>
      <c r="K206" s="353"/>
      <c r="L206" s="221">
        <v>21</v>
      </c>
      <c r="M206" s="221"/>
      <c r="N206" s="222" t="str">
        <f t="shared" si="6"/>
        <v>U7 Mixte</v>
      </c>
      <c r="O206" s="729">
        <v>21</v>
      </c>
      <c r="P206" s="729"/>
      <c r="Q206" s="730" t="str">
        <f t="shared" si="7"/>
        <v>U7 Mixte</v>
      </c>
      <c r="R206" s="731"/>
      <c r="S206" s="731"/>
      <c r="T206" s="731"/>
      <c r="U206" s="731"/>
      <c r="V206" s="731"/>
      <c r="W206" s="731"/>
      <c r="X206" s="731" t="s">
        <v>192</v>
      </c>
      <c r="Y206" s="731"/>
      <c r="Z206" s="731"/>
      <c r="AA206" s="731"/>
      <c r="AB206" s="12" t="s">
        <v>5056</v>
      </c>
      <c r="AC206" s="12"/>
      <c r="AD206" s="12"/>
      <c r="AE206" s="12"/>
      <c r="AF206" s="12"/>
      <c r="AG206" s="369"/>
      <c r="AH206" s="370"/>
      <c r="AI206" s="18">
        <v>45692</v>
      </c>
      <c r="AJ206" s="18">
        <v>45244</v>
      </c>
      <c r="AK206" s="13">
        <v>2028</v>
      </c>
      <c r="AL206" s="18">
        <v>44294</v>
      </c>
      <c r="AM206" s="19" t="s">
        <v>4623</v>
      </c>
      <c r="AN206" s="38"/>
      <c r="AO206" s="10"/>
      <c r="AP206" s="40"/>
      <c r="AQ206" s="10" t="s">
        <v>4130</v>
      </c>
      <c r="AR206" s="47" t="s">
        <v>4131</v>
      </c>
      <c r="AS206" s="62"/>
      <c r="AT206" s="62"/>
      <c r="AU206" s="11"/>
      <c r="AV206" s="10"/>
      <c r="AW206" s="11"/>
      <c r="AX206" s="11"/>
      <c r="AY206" s="11"/>
      <c r="AZ206" s="11"/>
      <c r="BA206" s="11"/>
      <c r="BB206" s="59"/>
      <c r="BC206" s="59"/>
      <c r="BD206" s="59"/>
      <c r="BE206" s="59"/>
      <c r="BF206" s="59"/>
      <c r="BG206" s="59"/>
      <c r="BH206" s="138"/>
      <c r="BI206" s="138"/>
      <c r="BJ206" s="138"/>
      <c r="BK206" s="231"/>
      <c r="BL206" s="231"/>
      <c r="BM206" s="231"/>
      <c r="BN206" s="232"/>
      <c r="BO206" s="19"/>
      <c r="BP206" s="23"/>
      <c r="BQ206" s="23"/>
      <c r="BR206" s="23"/>
      <c r="BS206" s="43"/>
    </row>
    <row r="207" spans="1:72" ht="12.75" customHeight="1" x14ac:dyDescent="0.15">
      <c r="A207" s="48" t="s">
        <v>4122</v>
      </c>
      <c r="B207" s="9" t="s">
        <v>2066</v>
      </c>
      <c r="C207" s="9"/>
      <c r="D207" s="9"/>
      <c r="E207" s="9"/>
      <c r="F207" s="112" t="s">
        <v>107</v>
      </c>
      <c r="G207" s="10" t="s">
        <v>4983</v>
      </c>
      <c r="H207" s="5" t="s">
        <v>4984</v>
      </c>
      <c r="I207" s="11" t="s">
        <v>558</v>
      </c>
      <c r="J207" s="357" t="s">
        <v>551</v>
      </c>
      <c r="K207" s="353"/>
      <c r="L207" s="221">
        <v>21</v>
      </c>
      <c r="M207" s="221"/>
      <c r="N207" s="222" t="str">
        <f t="shared" si="6"/>
        <v>U7 Mixte</v>
      </c>
      <c r="O207" s="729">
        <v>21</v>
      </c>
      <c r="P207" s="729"/>
      <c r="Q207" s="730" t="str">
        <f t="shared" si="7"/>
        <v>U7 Mixte</v>
      </c>
      <c r="R207" s="731"/>
      <c r="S207" s="731"/>
      <c r="T207" s="731"/>
      <c r="U207" s="731"/>
      <c r="V207" s="731"/>
      <c r="W207" s="731"/>
      <c r="X207" s="731" t="s">
        <v>192</v>
      </c>
      <c r="Y207" s="731"/>
      <c r="Z207" s="731"/>
      <c r="AA207" s="731"/>
      <c r="AB207" s="12" t="s">
        <v>5055</v>
      </c>
      <c r="AC207" s="12"/>
      <c r="AD207" s="12"/>
      <c r="AE207" s="12"/>
      <c r="AF207" s="12"/>
      <c r="AG207" s="369"/>
      <c r="AH207" s="370"/>
      <c r="AI207" s="18">
        <v>45692</v>
      </c>
      <c r="AJ207" s="18">
        <v>45614</v>
      </c>
      <c r="AK207" s="13">
        <v>2027</v>
      </c>
      <c r="AL207" s="18">
        <v>44185</v>
      </c>
      <c r="AM207" s="19" t="s">
        <v>4985</v>
      </c>
      <c r="AN207" s="38"/>
      <c r="AO207" s="10"/>
      <c r="AP207" s="40"/>
      <c r="AQ207" s="40" t="s">
        <v>4986</v>
      </c>
      <c r="AR207" s="47" t="s">
        <v>4987</v>
      </c>
      <c r="AS207" s="62"/>
      <c r="AT207" s="62"/>
      <c r="AU207" s="11"/>
      <c r="AV207" s="10"/>
      <c r="AW207" s="11"/>
      <c r="AX207" s="11"/>
      <c r="AY207" s="11"/>
      <c r="AZ207" s="11"/>
      <c r="BA207" s="11"/>
      <c r="BB207" s="59"/>
      <c r="BC207" s="59"/>
      <c r="BD207" s="59"/>
      <c r="BE207" s="59"/>
      <c r="BF207" s="59"/>
      <c r="BG207" s="59"/>
      <c r="BH207" s="138"/>
      <c r="BI207" s="138"/>
      <c r="BJ207" s="138"/>
      <c r="BK207" s="231"/>
      <c r="BL207" s="231"/>
      <c r="BM207" s="231"/>
      <c r="BN207" s="232"/>
      <c r="BO207" s="19"/>
      <c r="BP207" s="23"/>
      <c r="BQ207" s="23"/>
      <c r="BR207" s="23"/>
      <c r="BS207" s="43"/>
    </row>
    <row r="208" spans="1:72" ht="12.75" customHeight="1" x14ac:dyDescent="0.15">
      <c r="A208" s="48" t="s">
        <v>4122</v>
      </c>
      <c r="B208" s="9" t="s">
        <v>1941</v>
      </c>
      <c r="C208" s="9"/>
      <c r="D208" s="9"/>
      <c r="E208" s="9"/>
      <c r="F208" s="112" t="s">
        <v>107</v>
      </c>
      <c r="G208" s="10" t="s">
        <v>4125</v>
      </c>
      <c r="H208" s="5" t="s">
        <v>282</v>
      </c>
      <c r="I208" s="11" t="s">
        <v>4126</v>
      </c>
      <c r="J208" s="357" t="s">
        <v>926</v>
      </c>
      <c r="K208" s="353"/>
      <c r="L208" s="221">
        <v>8</v>
      </c>
      <c r="M208" s="221"/>
      <c r="N208" s="222" t="str">
        <f t="shared" si="6"/>
        <v xml:space="preserve">U 9 Hommes </v>
      </c>
      <c r="O208" s="729">
        <v>8</v>
      </c>
      <c r="P208" s="729"/>
      <c r="Q208" s="730" t="str">
        <f t="shared" si="7"/>
        <v xml:space="preserve">U 9 Hommes </v>
      </c>
      <c r="R208" s="731"/>
      <c r="S208" s="731"/>
      <c r="T208" s="731"/>
      <c r="U208" s="731"/>
      <c r="V208" s="731"/>
      <c r="W208" s="731" t="s">
        <v>192</v>
      </c>
      <c r="X208" s="731"/>
      <c r="Y208" s="731"/>
      <c r="Z208" s="731"/>
      <c r="AA208" s="731"/>
      <c r="AB208" s="12" t="s">
        <v>4273</v>
      </c>
      <c r="AC208" s="12"/>
      <c r="AD208" s="12"/>
      <c r="AE208" s="12"/>
      <c r="AF208" s="12"/>
      <c r="AG208" s="369"/>
      <c r="AH208" s="370"/>
      <c r="AI208" s="18">
        <v>44957</v>
      </c>
      <c r="AJ208" s="18">
        <v>44849</v>
      </c>
      <c r="AK208" s="13">
        <v>2026</v>
      </c>
      <c r="AL208" s="18">
        <v>43649</v>
      </c>
      <c r="AM208" s="19" t="s">
        <v>4129</v>
      </c>
      <c r="AN208" s="38"/>
      <c r="AO208" s="10"/>
      <c r="AP208" s="40"/>
      <c r="AQ208" s="40" t="s">
        <v>4130</v>
      </c>
      <c r="AR208" s="47" t="s">
        <v>4131</v>
      </c>
      <c r="AS208" s="62"/>
      <c r="AT208" s="62"/>
      <c r="AU208" s="11"/>
      <c r="AV208" s="10"/>
      <c r="AW208" s="11"/>
      <c r="AX208" s="11"/>
      <c r="AY208" s="11"/>
      <c r="AZ208" s="11"/>
      <c r="BA208" s="11"/>
      <c r="BB208" s="59"/>
      <c r="BC208" s="59"/>
      <c r="BD208" s="59"/>
      <c r="BE208" s="59"/>
      <c r="BF208" s="59"/>
      <c r="BG208" s="59"/>
      <c r="BH208" s="138"/>
      <c r="BI208" s="138"/>
      <c r="BJ208" s="138"/>
      <c r="BK208" s="231"/>
      <c r="BL208" s="231"/>
      <c r="BM208" s="231"/>
      <c r="BN208" s="232"/>
      <c r="BO208" s="19"/>
      <c r="BP208" s="23"/>
      <c r="BQ208" s="23"/>
      <c r="BR208" s="23"/>
      <c r="BS208" s="43"/>
    </row>
    <row r="209" spans="1:72" ht="12.75" customHeight="1" x14ac:dyDescent="0.15">
      <c r="A209" s="48" t="s">
        <v>4358</v>
      </c>
      <c r="B209" s="9" t="s">
        <v>4359</v>
      </c>
      <c r="C209" s="9"/>
      <c r="D209" s="9"/>
      <c r="E209" s="9"/>
      <c r="F209" s="112" t="s">
        <v>107</v>
      </c>
      <c r="G209" s="10" t="s">
        <v>4360</v>
      </c>
      <c r="H209" s="5" t="s">
        <v>1788</v>
      </c>
      <c r="I209" s="11" t="s">
        <v>1789</v>
      </c>
      <c r="J209" s="357" t="s">
        <v>320</v>
      </c>
      <c r="K209" s="353"/>
      <c r="L209" s="221">
        <v>2</v>
      </c>
      <c r="M209" s="221"/>
      <c r="N209" s="222" t="str">
        <f t="shared" si="6"/>
        <v>Seniors - Hommes</v>
      </c>
      <c r="O209" s="729">
        <v>2</v>
      </c>
      <c r="P209" s="729"/>
      <c r="Q209" s="730" t="str">
        <f t="shared" si="7"/>
        <v>Seniors - Hommes</v>
      </c>
      <c r="R209" s="731"/>
      <c r="S209" s="731"/>
      <c r="T209" s="731"/>
      <c r="U209" s="731"/>
      <c r="V209" s="731"/>
      <c r="W209" s="731"/>
      <c r="X209" s="731"/>
      <c r="Y209" s="731"/>
      <c r="Z209" s="731"/>
      <c r="AA209" s="731"/>
      <c r="AB209" s="12" t="s">
        <v>4363</v>
      </c>
      <c r="AC209" s="12"/>
      <c r="AD209" s="12"/>
      <c r="AE209" s="12"/>
      <c r="AF209" s="12"/>
      <c r="AG209" s="369"/>
      <c r="AH209" s="370"/>
      <c r="AI209" s="18">
        <v>45058</v>
      </c>
      <c r="AJ209" s="18">
        <v>45052</v>
      </c>
      <c r="AK209" s="13">
        <v>2027</v>
      </c>
      <c r="AL209" s="18">
        <v>35616</v>
      </c>
      <c r="AM209" s="19" t="s">
        <v>4361</v>
      </c>
      <c r="AN209" s="38"/>
      <c r="AO209" s="10"/>
      <c r="AP209" s="40"/>
      <c r="AQ209" s="20">
        <v>691689837</v>
      </c>
      <c r="AR209" s="47" t="s">
        <v>4362</v>
      </c>
      <c r="AS209" s="62" t="s">
        <v>252</v>
      </c>
      <c r="AT209" s="62"/>
      <c r="AU209" s="11"/>
      <c r="AV209" s="10"/>
      <c r="AW209" s="11"/>
      <c r="AX209" s="11"/>
      <c r="AY209" s="11"/>
      <c r="AZ209" s="11"/>
      <c r="BA209" s="11"/>
      <c r="BB209" s="59"/>
      <c r="BC209" s="59"/>
      <c r="BD209" s="59"/>
      <c r="BE209" s="59"/>
      <c r="BF209" s="59"/>
      <c r="BG209" s="59"/>
      <c r="BH209" s="138"/>
      <c r="BI209" s="138"/>
      <c r="BJ209" s="138"/>
      <c r="BK209" s="231"/>
      <c r="BL209" s="231"/>
      <c r="BM209" s="231"/>
      <c r="BN209" s="232"/>
      <c r="BO209" s="19"/>
      <c r="BP209" s="23"/>
      <c r="BQ209" s="23"/>
      <c r="BR209" s="23"/>
      <c r="BS209" s="43"/>
    </row>
    <row r="210" spans="1:72" ht="12.75" customHeight="1" x14ac:dyDescent="0.15">
      <c r="A210" s="48" t="s">
        <v>5356</v>
      </c>
      <c r="B210" s="9" t="s">
        <v>3675</v>
      </c>
      <c r="C210" s="9"/>
      <c r="D210" s="9"/>
      <c r="E210" s="9"/>
      <c r="F210" s="112" t="s">
        <v>107</v>
      </c>
      <c r="G210" s="11" t="s">
        <v>5358</v>
      </c>
      <c r="H210" s="5" t="s">
        <v>1095</v>
      </c>
      <c r="I210" s="11" t="s">
        <v>241</v>
      </c>
      <c r="J210" s="357" t="s">
        <v>5359</v>
      </c>
      <c r="K210" s="353"/>
      <c r="L210" s="221">
        <v>212</v>
      </c>
      <c r="M210" s="221"/>
      <c r="N210" s="222" t="str">
        <f t="shared" si="6"/>
        <v>Contact famille</v>
      </c>
      <c r="O210" s="729">
        <v>212</v>
      </c>
      <c r="P210" s="729"/>
      <c r="Q210" s="730" t="str">
        <f t="shared" si="7"/>
        <v>Contact famille</v>
      </c>
      <c r="R210" s="732"/>
      <c r="S210" s="732"/>
      <c r="T210" s="732"/>
      <c r="U210" s="732"/>
      <c r="V210" s="732" t="s">
        <v>313</v>
      </c>
      <c r="W210" s="732"/>
      <c r="X210" s="732"/>
      <c r="Y210" s="732"/>
      <c r="Z210" s="732"/>
      <c r="AA210" s="732"/>
      <c r="AB210" s="12"/>
      <c r="AC210" s="155"/>
      <c r="AD210" s="155"/>
      <c r="AE210" s="155"/>
      <c r="AF210" s="12"/>
      <c r="AG210" s="386"/>
      <c r="AH210" s="392"/>
      <c r="AI210" s="18" t="s">
        <v>242</v>
      </c>
      <c r="AJ210" s="18" t="s">
        <v>242</v>
      </c>
      <c r="AK210" s="13" t="s">
        <v>242</v>
      </c>
      <c r="AL210" s="18" t="s">
        <v>242</v>
      </c>
      <c r="AM210" s="19" t="s">
        <v>244</v>
      </c>
      <c r="AN210" s="10"/>
      <c r="AO210" s="11"/>
      <c r="AP210" s="53"/>
      <c r="AQ210" s="20">
        <v>691988571</v>
      </c>
      <c r="AR210" s="68" t="s">
        <v>5364</v>
      </c>
      <c r="AS210" s="62"/>
      <c r="AT210" s="62"/>
      <c r="AU210" s="10"/>
      <c r="AV210" s="10"/>
      <c r="AW210" s="13"/>
      <c r="AX210" s="11"/>
      <c r="AY210" s="11"/>
      <c r="AZ210" s="11"/>
      <c r="BA210" s="11"/>
      <c r="BB210" s="59"/>
      <c r="BC210" s="59"/>
      <c r="BD210" s="59"/>
      <c r="BE210" s="59"/>
      <c r="BF210" s="59"/>
      <c r="BG210" s="59"/>
      <c r="BH210" s="138"/>
      <c r="BI210" s="138"/>
      <c r="BJ210" s="138"/>
      <c r="BK210" s="231"/>
      <c r="BL210" s="231"/>
      <c r="BM210" s="231"/>
      <c r="BN210" s="232"/>
      <c r="BO210" s="11"/>
      <c r="BP210" s="11"/>
      <c r="BQ210" s="11"/>
      <c r="BR210" s="11"/>
      <c r="BS210" s="394"/>
    </row>
    <row r="211" spans="1:72" s="150" customFormat="1" ht="12.75" customHeight="1" x14ac:dyDescent="0.15">
      <c r="A211" s="48" t="s">
        <v>5586</v>
      </c>
      <c r="B211" s="9" t="s">
        <v>5588</v>
      </c>
      <c r="C211" s="9"/>
      <c r="D211" s="9"/>
      <c r="E211" s="9"/>
      <c r="F211" s="112" t="s">
        <v>107</v>
      </c>
      <c r="G211" s="11" t="s">
        <v>5589</v>
      </c>
      <c r="H211" s="5" t="s">
        <v>5590</v>
      </c>
      <c r="I211" s="11" t="s">
        <v>2275</v>
      </c>
      <c r="J211" s="357" t="s">
        <v>5584</v>
      </c>
      <c r="K211" s="353"/>
      <c r="L211" s="221">
        <v>212</v>
      </c>
      <c r="M211" s="221"/>
      <c r="N211" s="222" t="str">
        <f t="shared" si="6"/>
        <v>Contact famille</v>
      </c>
      <c r="O211" s="729">
        <v>212</v>
      </c>
      <c r="P211" s="729"/>
      <c r="Q211" s="730" t="str">
        <f t="shared" si="7"/>
        <v>Contact famille</v>
      </c>
      <c r="R211" s="732"/>
      <c r="S211" s="732"/>
      <c r="T211" s="732"/>
      <c r="U211" s="732"/>
      <c r="V211" s="732" t="s">
        <v>313</v>
      </c>
      <c r="W211" s="732"/>
      <c r="X211" s="732"/>
      <c r="Y211" s="732"/>
      <c r="Z211" s="732"/>
      <c r="AA211" s="732"/>
      <c r="AB211" s="12"/>
      <c r="AC211" s="155"/>
      <c r="AD211" s="155"/>
      <c r="AE211" s="155"/>
      <c r="AF211" s="12"/>
      <c r="AG211" s="386"/>
      <c r="AH211" s="392"/>
      <c r="AI211" s="18" t="s">
        <v>242</v>
      </c>
      <c r="AJ211" s="18" t="s">
        <v>242</v>
      </c>
      <c r="AK211" s="13" t="s">
        <v>242</v>
      </c>
      <c r="AL211" s="18" t="s">
        <v>242</v>
      </c>
      <c r="AM211" s="19" t="s">
        <v>244</v>
      </c>
      <c r="AN211" s="10"/>
      <c r="AO211" s="11"/>
      <c r="AP211" s="53"/>
      <c r="AQ211" s="20">
        <v>691151731</v>
      </c>
      <c r="AR211" s="68" t="s">
        <v>5594</v>
      </c>
      <c r="AS211" s="62"/>
      <c r="AT211" s="62"/>
      <c r="AU211" s="10"/>
      <c r="AV211" s="10"/>
      <c r="AW211" s="13"/>
      <c r="AX211" s="11"/>
      <c r="AY211" s="11"/>
      <c r="AZ211" s="11"/>
      <c r="BA211" s="11"/>
      <c r="BB211" s="59"/>
      <c r="BC211" s="59"/>
      <c r="BD211" s="59"/>
      <c r="BE211" s="59"/>
      <c r="BF211" s="59"/>
      <c r="BG211" s="59"/>
      <c r="BH211" s="138"/>
      <c r="BI211" s="138"/>
      <c r="BJ211" s="138"/>
      <c r="BK211" s="231"/>
      <c r="BL211" s="231"/>
      <c r="BM211" s="231"/>
      <c r="BN211" s="232"/>
      <c r="BO211" s="11"/>
      <c r="BP211" s="11"/>
      <c r="BQ211" s="11"/>
      <c r="BR211" s="11"/>
      <c r="BS211" s="394"/>
      <c r="BT211"/>
    </row>
    <row r="212" spans="1:72" ht="12.75" customHeight="1" x14ac:dyDescent="0.15">
      <c r="A212" s="48" t="s">
        <v>4754</v>
      </c>
      <c r="B212" s="9" t="s">
        <v>4755</v>
      </c>
      <c r="C212" s="9"/>
      <c r="D212" s="9"/>
      <c r="E212" s="9"/>
      <c r="F212" s="112" t="s">
        <v>107</v>
      </c>
      <c r="G212" s="10" t="s">
        <v>4758</v>
      </c>
      <c r="H212" s="5" t="s">
        <v>4759</v>
      </c>
      <c r="I212" s="11" t="s">
        <v>651</v>
      </c>
      <c r="J212" s="357" t="s">
        <v>2641</v>
      </c>
      <c r="K212" s="353"/>
      <c r="L212" s="221">
        <v>212</v>
      </c>
      <c r="M212" s="221"/>
      <c r="N212" s="222" t="str">
        <f t="shared" si="6"/>
        <v>Contact famille</v>
      </c>
      <c r="O212" s="729">
        <v>212</v>
      </c>
      <c r="P212" s="729"/>
      <c r="Q212" s="730" t="str">
        <f t="shared" si="7"/>
        <v>Contact famille</v>
      </c>
      <c r="R212" s="731"/>
      <c r="S212" s="731"/>
      <c r="T212" s="731" t="s">
        <v>313</v>
      </c>
      <c r="U212" s="731"/>
      <c r="V212" s="731"/>
      <c r="W212" s="731"/>
      <c r="X212" s="731"/>
      <c r="Y212" s="731"/>
      <c r="Z212" s="731"/>
      <c r="AA212" s="731"/>
      <c r="AB212" s="12"/>
      <c r="AC212" s="12"/>
      <c r="AD212" s="12"/>
      <c r="AE212" s="12"/>
      <c r="AF212" s="12"/>
      <c r="AG212" s="369"/>
      <c r="AH212" s="370"/>
      <c r="AI212" s="18" t="s">
        <v>242</v>
      </c>
      <c r="AJ212" s="18" t="s">
        <v>242</v>
      </c>
      <c r="AK212" s="13" t="s">
        <v>242</v>
      </c>
      <c r="AL212" s="18" t="s">
        <v>242</v>
      </c>
      <c r="AM212" s="19" t="s">
        <v>244</v>
      </c>
      <c r="AN212" s="38"/>
      <c r="AO212" s="10"/>
      <c r="AP212" s="40"/>
      <c r="AQ212" s="10"/>
      <c r="AR212" s="21"/>
      <c r="AS212" s="62"/>
      <c r="AT212" s="62"/>
      <c r="AU212" s="11"/>
      <c r="AV212" s="10"/>
      <c r="AW212" s="11"/>
      <c r="AX212" s="11"/>
      <c r="AY212" s="11"/>
      <c r="AZ212" s="11"/>
      <c r="BA212" s="11"/>
      <c r="BB212" s="59"/>
      <c r="BC212" s="59"/>
      <c r="BD212" s="59"/>
      <c r="BE212" s="59"/>
      <c r="BF212" s="59"/>
      <c r="BG212" s="59"/>
      <c r="BH212" s="138"/>
      <c r="BI212" s="138"/>
      <c r="BJ212" s="138"/>
      <c r="BK212" s="231"/>
      <c r="BL212" s="231"/>
      <c r="BM212" s="231"/>
      <c r="BN212" s="232"/>
      <c r="BO212" s="19"/>
      <c r="BP212" s="23"/>
      <c r="BQ212" s="23"/>
      <c r="BR212" s="23"/>
      <c r="BS212" s="43"/>
    </row>
    <row r="213" spans="1:72" s="111" customFormat="1" ht="12.75" customHeight="1" x14ac:dyDescent="0.15">
      <c r="A213" s="48" t="s">
        <v>680</v>
      </c>
      <c r="B213" s="9" t="s">
        <v>5022</v>
      </c>
      <c r="C213" s="9"/>
      <c r="D213" s="9"/>
      <c r="E213" s="9"/>
      <c r="F213" s="112" t="s">
        <v>107</v>
      </c>
      <c r="G213" s="10" t="s">
        <v>682</v>
      </c>
      <c r="H213" s="5" t="s">
        <v>683</v>
      </c>
      <c r="I213" s="11" t="s">
        <v>241</v>
      </c>
      <c r="J213" s="357" t="s">
        <v>5021</v>
      </c>
      <c r="K213" s="353"/>
      <c r="L213" s="221">
        <v>21</v>
      </c>
      <c r="M213" s="221"/>
      <c r="N213" s="222" t="str">
        <f t="shared" si="6"/>
        <v>U7 Mixte</v>
      </c>
      <c r="O213" s="729">
        <v>21</v>
      </c>
      <c r="P213" s="729"/>
      <c r="Q213" s="730" t="str">
        <f t="shared" si="7"/>
        <v>U7 Mixte</v>
      </c>
      <c r="R213" s="731"/>
      <c r="S213" s="731"/>
      <c r="T213" s="731"/>
      <c r="U213" s="731"/>
      <c r="V213" s="731"/>
      <c r="W213" s="731"/>
      <c r="X213" s="731" t="s">
        <v>192</v>
      </c>
      <c r="Y213" s="731"/>
      <c r="Z213" s="731"/>
      <c r="AA213" s="731"/>
      <c r="AB213" s="12" t="s">
        <v>5057</v>
      </c>
      <c r="AC213" s="12"/>
      <c r="AD213" s="12"/>
      <c r="AE213" s="12"/>
      <c r="AF213" s="12"/>
      <c r="AG213" s="369"/>
      <c r="AH213" s="370"/>
      <c r="AI213" s="18">
        <v>45692</v>
      </c>
      <c r="AJ213" s="18">
        <v>45635</v>
      </c>
      <c r="AK213" s="13">
        <v>2027</v>
      </c>
      <c r="AL213" s="18">
        <v>44170</v>
      </c>
      <c r="AM213" s="19" t="s">
        <v>5024</v>
      </c>
      <c r="AN213" s="38"/>
      <c r="AO213" s="10"/>
      <c r="AP213" s="40"/>
      <c r="AQ213" s="20" t="s">
        <v>5025</v>
      </c>
      <c r="AR213" s="29" t="s">
        <v>1241</v>
      </c>
      <c r="AS213" s="62"/>
      <c r="AT213" s="62"/>
      <c r="AU213" s="11"/>
      <c r="AV213" s="10"/>
      <c r="AW213" s="13"/>
      <c r="AX213" s="11"/>
      <c r="AY213" s="11"/>
      <c r="AZ213" s="11"/>
      <c r="BA213" s="11"/>
      <c r="BB213" s="59"/>
      <c r="BC213" s="59"/>
      <c r="BD213" s="59"/>
      <c r="BE213" s="59"/>
      <c r="BF213" s="59"/>
      <c r="BG213" s="59"/>
      <c r="BH213" s="138"/>
      <c r="BI213" s="138"/>
      <c r="BJ213" s="138"/>
      <c r="BK213" s="231"/>
      <c r="BL213" s="231"/>
      <c r="BM213" s="231"/>
      <c r="BN213" s="232"/>
      <c r="BO213" s="19"/>
      <c r="BP213" s="23"/>
      <c r="BQ213" s="23"/>
      <c r="BR213" s="23"/>
      <c r="BS213" s="43"/>
      <c r="BT213"/>
    </row>
    <row r="214" spans="1:72" ht="12.75" customHeight="1" x14ac:dyDescent="0.15">
      <c r="A214" s="48" t="s">
        <v>680</v>
      </c>
      <c r="B214" s="9" t="s">
        <v>681</v>
      </c>
      <c r="C214" s="9"/>
      <c r="D214" s="9"/>
      <c r="E214" s="9"/>
      <c r="F214" s="10" t="s">
        <v>107</v>
      </c>
      <c r="G214" s="10" t="s">
        <v>682</v>
      </c>
      <c r="H214" s="5" t="s">
        <v>683</v>
      </c>
      <c r="I214" s="11" t="s">
        <v>241</v>
      </c>
      <c r="J214" s="357" t="s">
        <v>5021</v>
      </c>
      <c r="K214" s="353"/>
      <c r="L214" s="382">
        <v>202</v>
      </c>
      <c r="M214" s="382"/>
      <c r="N214" s="383" t="str">
        <f t="shared" si="6"/>
        <v>Membre honoraire</v>
      </c>
      <c r="O214" s="729">
        <v>212</v>
      </c>
      <c r="P214" s="729"/>
      <c r="Q214" s="730" t="str">
        <f t="shared" si="7"/>
        <v>Contact famille</v>
      </c>
      <c r="R214" s="731"/>
      <c r="S214" s="731"/>
      <c r="T214" s="731"/>
      <c r="U214" s="731"/>
      <c r="V214" s="731"/>
      <c r="W214" s="731"/>
      <c r="X214" s="731" t="s">
        <v>313</v>
      </c>
      <c r="Y214" s="731"/>
      <c r="Z214" s="731"/>
      <c r="AA214" s="731"/>
      <c r="AB214" s="12"/>
      <c r="AC214" s="12"/>
      <c r="AD214" s="12"/>
      <c r="AE214" s="12"/>
      <c r="AF214" s="12"/>
      <c r="AG214" s="371" t="s">
        <v>5190</v>
      </c>
      <c r="AH214" s="370"/>
      <c r="AI214" s="18">
        <v>34684</v>
      </c>
      <c r="AJ214" s="18">
        <v>34684</v>
      </c>
      <c r="AK214" s="612">
        <v>2023</v>
      </c>
      <c r="AL214" s="18">
        <v>30453</v>
      </c>
      <c r="AM214" s="19" t="s">
        <v>1961</v>
      </c>
      <c r="AN214" s="19"/>
      <c r="AO214" s="10"/>
      <c r="AP214" s="40"/>
      <c r="AQ214" s="20">
        <v>671170583</v>
      </c>
      <c r="AR214" s="29" t="s">
        <v>1241</v>
      </c>
      <c r="AS214" s="61"/>
      <c r="AT214" s="61"/>
      <c r="AU214" s="11"/>
      <c r="AV214" s="10"/>
      <c r="AW214" s="11"/>
      <c r="AX214" s="11"/>
      <c r="AY214" s="11"/>
      <c r="AZ214" s="11" t="s">
        <v>2812</v>
      </c>
      <c r="BA214" s="11"/>
      <c r="BB214" s="59" t="s">
        <v>2813</v>
      </c>
      <c r="BC214" s="59" t="s">
        <v>292</v>
      </c>
      <c r="BD214" s="59" t="s">
        <v>1168</v>
      </c>
      <c r="BE214" s="59">
        <v>200</v>
      </c>
      <c r="BF214" s="59"/>
      <c r="BG214" s="59"/>
      <c r="BH214" s="138"/>
      <c r="BI214" s="138"/>
      <c r="BJ214" s="138"/>
      <c r="BK214" s="231"/>
      <c r="BL214" s="231"/>
      <c r="BM214" s="231"/>
      <c r="BN214" s="232"/>
      <c r="BO214" s="19"/>
      <c r="BP214" s="23" t="s">
        <v>1141</v>
      </c>
      <c r="BQ214" s="23"/>
      <c r="BR214" s="23"/>
      <c r="BS214" s="43"/>
    </row>
    <row r="215" spans="1:72" ht="12.75" customHeight="1" x14ac:dyDescent="0.15">
      <c r="A215" s="48" t="s">
        <v>1324</v>
      </c>
      <c r="B215" s="9" t="s">
        <v>1962</v>
      </c>
      <c r="C215" s="9"/>
      <c r="D215" s="9"/>
      <c r="E215" s="9"/>
      <c r="F215" s="10" t="s">
        <v>107</v>
      </c>
      <c r="G215" s="10" t="s">
        <v>1327</v>
      </c>
      <c r="H215" s="37" t="s">
        <v>1328</v>
      </c>
      <c r="I215" s="11" t="s">
        <v>215</v>
      </c>
      <c r="J215" s="357" t="s">
        <v>2915</v>
      </c>
      <c r="K215" s="353"/>
      <c r="L215" s="221">
        <v>2</v>
      </c>
      <c r="M215" s="221"/>
      <c r="N215" s="222" t="str">
        <f t="shared" si="6"/>
        <v>Seniors - Hommes</v>
      </c>
      <c r="O215" s="729">
        <v>2</v>
      </c>
      <c r="P215" s="729"/>
      <c r="Q215" s="730" t="str">
        <f t="shared" si="7"/>
        <v>Seniors - Hommes</v>
      </c>
      <c r="R215" s="731"/>
      <c r="S215" s="731"/>
      <c r="T215" s="731"/>
      <c r="U215" s="731"/>
      <c r="V215" s="731"/>
      <c r="W215" s="731"/>
      <c r="X215" s="731"/>
      <c r="Y215" s="731"/>
      <c r="Z215" s="731"/>
      <c r="AA215" s="731"/>
      <c r="AB215" s="12" t="s">
        <v>2983</v>
      </c>
      <c r="AC215" s="12"/>
      <c r="AD215" s="12"/>
      <c r="AE215" s="12"/>
      <c r="AF215" s="12"/>
      <c r="AG215" s="376"/>
      <c r="AH215" s="370"/>
      <c r="AI215" s="18">
        <v>40539</v>
      </c>
      <c r="AJ215" s="18">
        <v>40539</v>
      </c>
      <c r="AK215" s="14">
        <v>2027</v>
      </c>
      <c r="AL215" s="18">
        <v>35718</v>
      </c>
      <c r="AM215" s="19" t="s">
        <v>1963</v>
      </c>
      <c r="AN215" s="19"/>
      <c r="AO215" s="10" t="s">
        <v>1330</v>
      </c>
      <c r="AP215" s="40"/>
      <c r="AQ215" s="27" t="s">
        <v>1331</v>
      </c>
      <c r="AR215" s="28" t="s">
        <v>1332</v>
      </c>
      <c r="AS215" s="61"/>
      <c r="AT215" s="61"/>
      <c r="AU215" s="24"/>
      <c r="AV215" s="10"/>
      <c r="AW215" s="11"/>
      <c r="AX215" s="11"/>
      <c r="AY215" s="11"/>
      <c r="AZ215" s="11" t="s">
        <v>348</v>
      </c>
      <c r="BA215" s="11"/>
      <c r="BB215" s="59" t="s">
        <v>2813</v>
      </c>
      <c r="BC215" s="59" t="s">
        <v>292</v>
      </c>
      <c r="BD215" s="59" t="s">
        <v>1168</v>
      </c>
      <c r="BE215" s="59">
        <v>200</v>
      </c>
      <c r="BF215" s="59"/>
      <c r="BG215" s="59"/>
      <c r="BH215" s="138"/>
      <c r="BI215" s="138"/>
      <c r="BJ215" s="138"/>
      <c r="BK215" s="231"/>
      <c r="BL215" s="231"/>
      <c r="BM215" s="231"/>
      <c r="BN215" s="232"/>
      <c r="BO215" s="19"/>
      <c r="BP215" s="23" t="s">
        <v>1537</v>
      </c>
      <c r="BQ215" s="23"/>
      <c r="BR215" s="23"/>
      <c r="BS215" s="43"/>
    </row>
    <row r="216" spans="1:72" ht="12.75" customHeight="1" x14ac:dyDescent="0.15">
      <c r="A216" s="48" t="s">
        <v>4753</v>
      </c>
      <c r="B216" s="9" t="s">
        <v>4756</v>
      </c>
      <c r="C216" s="9"/>
      <c r="D216" s="9"/>
      <c r="E216" s="9"/>
      <c r="F216" s="112" t="s">
        <v>107</v>
      </c>
      <c r="G216" s="10" t="s">
        <v>4758</v>
      </c>
      <c r="H216" s="5" t="s">
        <v>4759</v>
      </c>
      <c r="I216" s="11" t="s">
        <v>651</v>
      </c>
      <c r="J216" s="357" t="s">
        <v>2641</v>
      </c>
      <c r="K216" s="353"/>
      <c r="L216" s="221">
        <v>212</v>
      </c>
      <c r="M216" s="221"/>
      <c r="N216" s="222" t="str">
        <f t="shared" si="6"/>
        <v>Contact famille</v>
      </c>
      <c r="O216" s="729">
        <v>21</v>
      </c>
      <c r="P216" s="729"/>
      <c r="Q216" s="730" t="str">
        <f t="shared" si="7"/>
        <v>U7 Mixte</v>
      </c>
      <c r="R216" s="731"/>
      <c r="S216" s="731"/>
      <c r="T216" s="731" t="s">
        <v>313</v>
      </c>
      <c r="U216" s="731"/>
      <c r="V216" s="731"/>
      <c r="W216" s="731"/>
      <c r="X216" s="731"/>
      <c r="Y216" s="731"/>
      <c r="Z216" s="731"/>
      <c r="AA216" s="731"/>
      <c r="AB216" s="12"/>
      <c r="AC216" s="12"/>
      <c r="AD216" s="12"/>
      <c r="AE216" s="12"/>
      <c r="AF216" s="12"/>
      <c r="AG216" s="369"/>
      <c r="AH216" s="370"/>
      <c r="AI216" s="18" t="s">
        <v>242</v>
      </c>
      <c r="AJ216" s="18" t="s">
        <v>242</v>
      </c>
      <c r="AK216" s="13" t="s">
        <v>242</v>
      </c>
      <c r="AL216" s="18" t="s">
        <v>242</v>
      </c>
      <c r="AM216" s="19" t="s">
        <v>244</v>
      </c>
      <c r="AN216" s="38"/>
      <c r="AO216" s="10"/>
      <c r="AP216" s="40"/>
      <c r="AQ216" s="10"/>
      <c r="AR216" s="47" t="s">
        <v>4762</v>
      </c>
      <c r="AS216" s="62"/>
      <c r="AT216" s="62"/>
      <c r="AU216" s="11"/>
      <c r="AV216" s="10"/>
      <c r="AW216" s="11"/>
      <c r="AX216" s="11"/>
      <c r="AY216" s="11"/>
      <c r="AZ216" s="11"/>
      <c r="BA216" s="11"/>
      <c r="BB216" s="59"/>
      <c r="BC216" s="59"/>
      <c r="BD216" s="59"/>
      <c r="BE216" s="59"/>
      <c r="BF216" s="59"/>
      <c r="BG216" s="59"/>
      <c r="BH216" s="138"/>
      <c r="BI216" s="138"/>
      <c r="BJ216" s="138"/>
      <c r="BK216" s="231"/>
      <c r="BL216" s="231"/>
      <c r="BM216" s="231"/>
      <c r="BN216" s="232"/>
      <c r="BO216" s="19"/>
      <c r="BP216" s="23"/>
      <c r="BQ216" s="23"/>
      <c r="BR216" s="23"/>
      <c r="BS216" s="43"/>
    </row>
    <row r="217" spans="1:72" ht="12.75" customHeight="1" x14ac:dyDescent="0.15">
      <c r="A217" s="48" t="s">
        <v>4753</v>
      </c>
      <c r="B217" s="9" t="s">
        <v>4757</v>
      </c>
      <c r="C217" s="9"/>
      <c r="D217" s="9"/>
      <c r="E217" s="9"/>
      <c r="F217" s="112" t="s">
        <v>107</v>
      </c>
      <c r="G217" s="10" t="s">
        <v>4758</v>
      </c>
      <c r="H217" s="5" t="s">
        <v>4759</v>
      </c>
      <c r="I217" s="11" t="s">
        <v>651</v>
      </c>
      <c r="J217" s="357" t="s">
        <v>2641</v>
      </c>
      <c r="K217" s="353"/>
      <c r="L217" s="221">
        <v>5</v>
      </c>
      <c r="M217" s="221"/>
      <c r="N217" s="222" t="str">
        <f t="shared" si="6"/>
        <v>U 15 Hommes</v>
      </c>
      <c r="O217" s="729">
        <v>5</v>
      </c>
      <c r="P217" s="729"/>
      <c r="Q217" s="730" t="str">
        <f t="shared" si="7"/>
        <v>U 15 Hommes</v>
      </c>
      <c r="R217" s="731"/>
      <c r="S217" s="731"/>
      <c r="T217" s="731" t="s">
        <v>192</v>
      </c>
      <c r="U217" s="731"/>
      <c r="V217" s="731"/>
      <c r="W217" s="731"/>
      <c r="X217" s="731"/>
      <c r="Y217" s="731"/>
      <c r="Z217" s="731"/>
      <c r="AA217" s="731"/>
      <c r="AB217" s="12" t="s">
        <v>4781</v>
      </c>
      <c r="AC217" s="12"/>
      <c r="AD217" s="12"/>
      <c r="AE217" s="12"/>
      <c r="AF217" s="12"/>
      <c r="AG217" s="369"/>
      <c r="AH217" s="370"/>
      <c r="AI217" s="18">
        <v>45348</v>
      </c>
      <c r="AJ217" s="18">
        <v>45329</v>
      </c>
      <c r="AK217" s="13">
        <v>2027</v>
      </c>
      <c r="AL217" s="18">
        <v>41180</v>
      </c>
      <c r="AM217" s="690" t="s">
        <v>4760</v>
      </c>
      <c r="AN217" s="38"/>
      <c r="AO217" s="10"/>
      <c r="AP217" s="64" t="s">
        <v>4761</v>
      </c>
      <c r="AQ217" s="64">
        <v>621274171</v>
      </c>
      <c r="AR217" s="47" t="s">
        <v>4762</v>
      </c>
      <c r="AS217" s="62"/>
      <c r="AT217" s="62"/>
      <c r="AU217" s="11"/>
      <c r="AV217" s="10"/>
      <c r="AW217" s="11"/>
      <c r="AX217" s="11"/>
      <c r="AY217" s="11"/>
      <c r="AZ217" s="11"/>
      <c r="BA217" s="11"/>
      <c r="BB217" s="59"/>
      <c r="BC217" s="59"/>
      <c r="BD217" s="59"/>
      <c r="BE217" s="59"/>
      <c r="BF217" s="59"/>
      <c r="BG217" s="59"/>
      <c r="BH217" s="138"/>
      <c r="BI217" s="138"/>
      <c r="BJ217" s="138"/>
      <c r="BK217" s="231"/>
      <c r="BL217" s="231"/>
      <c r="BM217" s="231"/>
      <c r="BN217" s="232"/>
      <c r="BO217" s="19"/>
      <c r="BP217" s="23"/>
      <c r="BQ217" s="23"/>
      <c r="BR217" s="23"/>
      <c r="BS217" s="43"/>
    </row>
    <row r="218" spans="1:72" ht="12.75" customHeight="1" x14ac:dyDescent="0.15">
      <c r="A218" s="48" t="s">
        <v>5125</v>
      </c>
      <c r="B218" s="9" t="s">
        <v>5129</v>
      </c>
      <c r="C218" s="9"/>
      <c r="D218" s="9"/>
      <c r="E218" s="9"/>
      <c r="F218" s="112" t="s">
        <v>5131</v>
      </c>
      <c r="G218" s="11" t="s">
        <v>5132</v>
      </c>
      <c r="H218" s="5" t="s">
        <v>2518</v>
      </c>
      <c r="I218" s="11" t="s">
        <v>241</v>
      </c>
      <c r="J218" s="357" t="s">
        <v>5124</v>
      </c>
      <c r="K218" s="353"/>
      <c r="L218" s="221">
        <v>212</v>
      </c>
      <c r="M218" s="221"/>
      <c r="N218" s="222" t="str">
        <f t="shared" si="6"/>
        <v>Contact famille</v>
      </c>
      <c r="O218" s="729">
        <v>212</v>
      </c>
      <c r="P218" s="729"/>
      <c r="Q218" s="730" t="str">
        <f t="shared" si="7"/>
        <v>Contact famille</v>
      </c>
      <c r="R218" s="732"/>
      <c r="S218" s="732"/>
      <c r="T218" s="732"/>
      <c r="U218" s="732"/>
      <c r="V218" s="732" t="s">
        <v>313</v>
      </c>
      <c r="W218" s="732"/>
      <c r="X218" s="732"/>
      <c r="Y218" s="732"/>
      <c r="Z218" s="732"/>
      <c r="AA218" s="732" t="s">
        <v>313</v>
      </c>
      <c r="AB218" s="12"/>
      <c r="AC218" s="155"/>
      <c r="AD218" s="155"/>
      <c r="AE218" s="155"/>
      <c r="AF218" s="12"/>
      <c r="AG218" s="386"/>
      <c r="AH218" s="392"/>
      <c r="AI218" s="18" t="s">
        <v>242</v>
      </c>
      <c r="AJ218" s="18" t="s">
        <v>242</v>
      </c>
      <c r="AK218" s="13" t="s">
        <v>242</v>
      </c>
      <c r="AL218" s="13" t="s">
        <v>242</v>
      </c>
      <c r="AM218" s="46" t="s">
        <v>244</v>
      </c>
      <c r="AN218" s="10"/>
      <c r="AO218" s="11"/>
      <c r="AP218" s="53"/>
      <c r="AQ218" s="20">
        <v>661444151</v>
      </c>
      <c r="AR218" s="68" t="s">
        <v>5138</v>
      </c>
      <c r="AS218" s="62"/>
      <c r="AT218" s="62"/>
      <c r="AU218" s="10"/>
      <c r="AV218" s="10"/>
      <c r="AW218" s="13"/>
      <c r="AX218" s="11"/>
      <c r="AY218" s="11"/>
      <c r="AZ218" s="11"/>
      <c r="BA218" s="11"/>
      <c r="BB218" s="59"/>
      <c r="BC218" s="59"/>
      <c r="BD218" s="59"/>
      <c r="BE218" s="59"/>
      <c r="BF218" s="59"/>
      <c r="BG218" s="59"/>
      <c r="BH218" s="138"/>
      <c r="BI218" s="138"/>
      <c r="BJ218" s="138"/>
      <c r="BK218" s="231"/>
      <c r="BL218" s="231"/>
      <c r="BM218" s="231"/>
      <c r="BN218" s="232"/>
      <c r="BO218" s="11"/>
      <c r="BP218" s="11"/>
      <c r="BQ218" s="11"/>
      <c r="BR218" s="11"/>
      <c r="BS218" s="394"/>
    </row>
    <row r="219" spans="1:72" ht="12.75" customHeight="1" x14ac:dyDescent="0.15">
      <c r="A219" s="48" t="s">
        <v>5125</v>
      </c>
      <c r="B219" s="9" t="s">
        <v>5127</v>
      </c>
      <c r="C219" s="9"/>
      <c r="D219" s="9"/>
      <c r="E219" s="9"/>
      <c r="F219" s="112" t="s">
        <v>5131</v>
      </c>
      <c r="G219" s="11" t="s">
        <v>5132</v>
      </c>
      <c r="H219" s="5" t="s">
        <v>2518</v>
      </c>
      <c r="I219" s="11" t="s">
        <v>241</v>
      </c>
      <c r="J219" s="357" t="s">
        <v>5124</v>
      </c>
      <c r="K219" s="353"/>
      <c r="L219" s="221">
        <v>15</v>
      </c>
      <c r="M219" s="221"/>
      <c r="N219" s="222" t="str">
        <f t="shared" si="6"/>
        <v>U 13 Dames</v>
      </c>
      <c r="O219" s="729">
        <v>15</v>
      </c>
      <c r="P219" s="729"/>
      <c r="Q219" s="730" t="str">
        <f t="shared" si="7"/>
        <v>U 13 Dames</v>
      </c>
      <c r="R219" s="732"/>
      <c r="S219" s="732"/>
      <c r="T219" s="732"/>
      <c r="U219" s="732"/>
      <c r="V219" s="732"/>
      <c r="W219" s="732"/>
      <c r="X219" s="732"/>
      <c r="Y219" s="732"/>
      <c r="Z219" s="732"/>
      <c r="AA219" s="732" t="s">
        <v>192</v>
      </c>
      <c r="AB219" s="12" t="s">
        <v>5149</v>
      </c>
      <c r="AC219" s="155"/>
      <c r="AD219" s="155"/>
      <c r="AE219" s="155"/>
      <c r="AF219" s="12"/>
      <c r="AG219" s="369"/>
      <c r="AH219" s="392"/>
      <c r="AI219" s="18">
        <v>45826</v>
      </c>
      <c r="AJ219" s="18">
        <v>45796</v>
      </c>
      <c r="AK219" s="13">
        <v>2029</v>
      </c>
      <c r="AL219" s="18">
        <v>41763</v>
      </c>
      <c r="AM219" s="5" t="s">
        <v>5133</v>
      </c>
      <c r="AN219" s="10"/>
      <c r="AO219" s="11"/>
      <c r="AP219" s="53" t="s">
        <v>5135</v>
      </c>
      <c r="AQ219" s="10" t="s">
        <v>5136</v>
      </c>
      <c r="AR219" s="68" t="s">
        <v>5137</v>
      </c>
      <c r="AS219" s="62"/>
      <c r="AT219" s="62"/>
      <c r="AU219" s="10"/>
      <c r="AV219" s="10"/>
      <c r="AW219" s="13"/>
      <c r="AX219" s="11"/>
      <c r="AY219" s="11"/>
      <c r="AZ219" s="11"/>
      <c r="BA219" s="11"/>
      <c r="BB219" s="59"/>
      <c r="BC219" s="59"/>
      <c r="BD219" s="59"/>
      <c r="BE219" s="59"/>
      <c r="BF219" s="59"/>
      <c r="BG219" s="59"/>
      <c r="BH219" s="138"/>
      <c r="BI219" s="138"/>
      <c r="BJ219" s="138"/>
      <c r="BK219" s="231"/>
      <c r="BL219" s="231"/>
      <c r="BM219" s="231"/>
      <c r="BN219" s="232"/>
      <c r="BO219" s="11"/>
      <c r="BP219" s="11"/>
      <c r="BQ219" s="11"/>
      <c r="BR219" s="11"/>
      <c r="BS219" s="394"/>
    </row>
    <row r="220" spans="1:72" ht="12.75" customHeight="1" x14ac:dyDescent="0.15">
      <c r="A220" s="48" t="s">
        <v>5125</v>
      </c>
      <c r="B220" s="9" t="s">
        <v>5128</v>
      </c>
      <c r="C220" s="9"/>
      <c r="D220" s="9"/>
      <c r="E220" s="9"/>
      <c r="F220" s="112" t="s">
        <v>5131</v>
      </c>
      <c r="G220" s="11" t="s">
        <v>5132</v>
      </c>
      <c r="H220" s="5" t="s">
        <v>2518</v>
      </c>
      <c r="I220" s="11" t="s">
        <v>241</v>
      </c>
      <c r="J220" s="357" t="s">
        <v>5124</v>
      </c>
      <c r="K220" s="353"/>
      <c r="L220" s="221">
        <v>17</v>
      </c>
      <c r="M220" s="221"/>
      <c r="N220" s="222" t="str">
        <f t="shared" si="6"/>
        <v>U 11 Dames</v>
      </c>
      <c r="O220" s="729">
        <v>17</v>
      </c>
      <c r="P220" s="729"/>
      <c r="Q220" s="730" t="str">
        <f t="shared" si="7"/>
        <v>U 11 Dames</v>
      </c>
      <c r="R220" s="732"/>
      <c r="S220" s="732"/>
      <c r="T220" s="732"/>
      <c r="U220" s="732"/>
      <c r="V220" s="732" t="s">
        <v>192</v>
      </c>
      <c r="W220" s="732"/>
      <c r="X220" s="732"/>
      <c r="Y220" s="732"/>
      <c r="Z220" s="732"/>
      <c r="AA220" s="732"/>
      <c r="AB220" s="12" t="s">
        <v>5150</v>
      </c>
      <c r="AC220" s="155"/>
      <c r="AD220" s="155"/>
      <c r="AE220" s="155"/>
      <c r="AF220" s="12"/>
      <c r="AG220" s="369"/>
      <c r="AH220" s="392"/>
      <c r="AI220" s="18">
        <v>45833</v>
      </c>
      <c r="AJ220" s="18">
        <v>45796</v>
      </c>
      <c r="AK220" s="13">
        <v>2028</v>
      </c>
      <c r="AL220" s="18">
        <v>42502</v>
      </c>
      <c r="AM220" s="5" t="s">
        <v>5134</v>
      </c>
      <c r="AN220" s="10"/>
      <c r="AO220" s="11"/>
      <c r="AP220" s="53" t="s">
        <v>5135</v>
      </c>
      <c r="AQ220" s="10" t="s">
        <v>5136</v>
      </c>
      <c r="AR220" s="68" t="s">
        <v>5137</v>
      </c>
      <c r="AS220" s="62"/>
      <c r="AT220" s="62"/>
      <c r="AU220" s="10"/>
      <c r="AV220" s="10"/>
      <c r="AW220" s="13"/>
      <c r="AX220" s="11"/>
      <c r="AY220" s="11"/>
      <c r="AZ220" s="11"/>
      <c r="BA220" s="11"/>
      <c r="BB220" s="59"/>
      <c r="BC220" s="59"/>
      <c r="BD220" s="59"/>
      <c r="BE220" s="59"/>
      <c r="BF220" s="59"/>
      <c r="BG220" s="59"/>
      <c r="BH220" s="138"/>
      <c r="BI220" s="138"/>
      <c r="BJ220" s="138"/>
      <c r="BK220" s="231"/>
      <c r="BL220" s="231"/>
      <c r="BM220" s="231"/>
      <c r="BN220" s="232"/>
      <c r="BO220" s="11"/>
      <c r="BP220" s="11"/>
      <c r="BQ220" s="11"/>
      <c r="BR220" s="11"/>
      <c r="BS220" s="394"/>
      <c r="BT220" s="150"/>
    </row>
    <row r="221" spans="1:72" ht="12.75" customHeight="1" x14ac:dyDescent="0.15">
      <c r="A221" s="48" t="s">
        <v>3882</v>
      </c>
      <c r="B221" s="9" t="s">
        <v>1384</v>
      </c>
      <c r="C221" s="9"/>
      <c r="D221" s="9"/>
      <c r="E221" s="9"/>
      <c r="F221" s="10" t="s">
        <v>107</v>
      </c>
      <c r="G221" s="10" t="s">
        <v>3885</v>
      </c>
      <c r="H221" s="5" t="s">
        <v>612</v>
      </c>
      <c r="I221" s="11" t="s">
        <v>613</v>
      </c>
      <c r="J221" s="357" t="s">
        <v>1062</v>
      </c>
      <c r="K221" s="353"/>
      <c r="L221" s="221">
        <v>212</v>
      </c>
      <c r="M221" s="221"/>
      <c r="N221" s="222" t="str">
        <f t="shared" si="6"/>
        <v>Contact famille</v>
      </c>
      <c r="O221" s="729">
        <v>212</v>
      </c>
      <c r="P221" s="729"/>
      <c r="Q221" s="730" t="str">
        <f t="shared" si="7"/>
        <v>Contact famille</v>
      </c>
      <c r="R221" s="731"/>
      <c r="S221" s="731"/>
      <c r="T221" s="731"/>
      <c r="U221" s="731"/>
      <c r="V221" s="731" t="s">
        <v>313</v>
      </c>
      <c r="W221" s="731" t="s">
        <v>313</v>
      </c>
      <c r="X221" s="731"/>
      <c r="Y221" s="731"/>
      <c r="Z221" s="731"/>
      <c r="AA221" s="731"/>
      <c r="AB221" s="12"/>
      <c r="AC221" s="12"/>
      <c r="AD221" s="12"/>
      <c r="AE221" s="12"/>
      <c r="AF221" s="12"/>
      <c r="AG221" s="369"/>
      <c r="AH221" s="370"/>
      <c r="AI221" s="18" t="s">
        <v>242</v>
      </c>
      <c r="AJ221" s="18" t="s">
        <v>242</v>
      </c>
      <c r="AK221" s="13" t="s">
        <v>242</v>
      </c>
      <c r="AL221" s="18" t="s">
        <v>242</v>
      </c>
      <c r="AM221" s="19" t="s">
        <v>244</v>
      </c>
      <c r="AN221" s="38"/>
      <c r="AO221" s="10"/>
      <c r="AP221" s="40"/>
      <c r="AQ221" s="20">
        <v>661277627</v>
      </c>
      <c r="AR221" s="21" t="s">
        <v>3889</v>
      </c>
      <c r="AS221" s="62"/>
      <c r="AT221" s="62"/>
      <c r="AU221" s="11"/>
      <c r="AV221" s="10"/>
      <c r="AW221" s="11"/>
      <c r="AX221" s="11"/>
      <c r="AY221" s="11"/>
      <c r="AZ221" s="11"/>
      <c r="BA221" s="11"/>
      <c r="BB221" s="59"/>
      <c r="BC221" s="59"/>
      <c r="BD221" s="59"/>
      <c r="BE221" s="59"/>
      <c r="BF221" s="59"/>
      <c r="BG221" s="59"/>
      <c r="BH221" s="138"/>
      <c r="BI221" s="138"/>
      <c r="BJ221" s="138"/>
      <c r="BK221" s="231"/>
      <c r="BL221" s="231"/>
      <c r="BM221" s="231"/>
      <c r="BN221" s="232"/>
      <c r="BO221" s="19"/>
      <c r="BP221" s="23"/>
      <c r="BQ221" s="23"/>
      <c r="BR221" s="23"/>
      <c r="BS221" s="43"/>
    </row>
    <row r="222" spans="1:72" ht="12.75" customHeight="1" x14ac:dyDescent="0.15">
      <c r="A222" s="48" t="s">
        <v>1977</v>
      </c>
      <c r="B222" s="9" t="s">
        <v>1978</v>
      </c>
      <c r="C222" s="9"/>
      <c r="D222" s="9"/>
      <c r="E222" s="9"/>
      <c r="F222" s="10" t="s">
        <v>107</v>
      </c>
      <c r="G222" s="10" t="s">
        <v>825</v>
      </c>
      <c r="H222" s="5" t="s">
        <v>670</v>
      </c>
      <c r="I222" s="11" t="s">
        <v>223</v>
      </c>
      <c r="J222" s="357" t="s">
        <v>827</v>
      </c>
      <c r="K222" s="353"/>
      <c r="L222" s="221">
        <v>212</v>
      </c>
      <c r="M222" s="221"/>
      <c r="N222" s="222" t="str">
        <f t="shared" si="6"/>
        <v>Contact famille</v>
      </c>
      <c r="O222" s="729">
        <v>212</v>
      </c>
      <c r="P222" s="729"/>
      <c r="Q222" s="730" t="str">
        <f t="shared" si="7"/>
        <v>Contact famille</v>
      </c>
      <c r="R222" s="731"/>
      <c r="S222" s="731"/>
      <c r="T222" s="731"/>
      <c r="U222" s="731"/>
      <c r="V222" s="731"/>
      <c r="W222" s="731"/>
      <c r="X222" s="731"/>
      <c r="Y222" s="731"/>
      <c r="Z222" s="731"/>
      <c r="AA222" s="731"/>
      <c r="AB222" s="12"/>
      <c r="AC222" s="12"/>
      <c r="AD222" s="12"/>
      <c r="AE222" s="12"/>
      <c r="AF222" s="12"/>
      <c r="AG222" s="376"/>
      <c r="AH222" s="370"/>
      <c r="AI222" s="18" t="s">
        <v>242</v>
      </c>
      <c r="AJ222" s="18" t="s">
        <v>242</v>
      </c>
      <c r="AK222" s="14" t="s">
        <v>210</v>
      </c>
      <c r="AL222" s="13" t="s">
        <v>242</v>
      </c>
      <c r="AM222" s="46" t="s">
        <v>244</v>
      </c>
      <c r="AN222" s="19"/>
      <c r="AO222" s="10" t="s">
        <v>1814</v>
      </c>
      <c r="AP222" s="40"/>
      <c r="AQ222" s="27"/>
      <c r="AR222" s="29" t="s">
        <v>1817</v>
      </c>
      <c r="AS222" s="61"/>
      <c r="AT222" s="61"/>
      <c r="AU222" s="24"/>
      <c r="AV222" s="10"/>
      <c r="AW222" s="5"/>
      <c r="AX222" s="11"/>
      <c r="AY222" s="11"/>
      <c r="AZ222" s="11" t="s">
        <v>420</v>
      </c>
      <c r="BA222" s="11"/>
      <c r="BB222" s="59" t="s">
        <v>2813</v>
      </c>
      <c r="BC222" s="59" t="s">
        <v>292</v>
      </c>
      <c r="BD222" s="59" t="s">
        <v>1168</v>
      </c>
      <c r="BE222" s="59">
        <v>20</v>
      </c>
      <c r="BF222" s="59"/>
      <c r="BG222" s="59"/>
      <c r="BH222" s="138"/>
      <c r="BI222" s="138"/>
      <c r="BJ222" s="138"/>
      <c r="BK222" s="231"/>
      <c r="BL222" s="231"/>
      <c r="BM222" s="231"/>
      <c r="BN222" s="232"/>
      <c r="BO222" s="19"/>
      <c r="BP222" s="23"/>
      <c r="BQ222" s="23"/>
      <c r="BR222" s="23"/>
      <c r="BS222" s="43"/>
    </row>
    <row r="223" spans="1:72" ht="12.75" customHeight="1" x14ac:dyDescent="0.15">
      <c r="A223" s="48" t="s">
        <v>3766</v>
      </c>
      <c r="B223" s="9" t="s">
        <v>681</v>
      </c>
      <c r="C223" s="9"/>
      <c r="D223" s="9"/>
      <c r="E223" s="9"/>
      <c r="F223" s="10" t="s">
        <v>107</v>
      </c>
      <c r="G223" s="10" t="s">
        <v>3769</v>
      </c>
      <c r="H223" s="5" t="s">
        <v>773</v>
      </c>
      <c r="I223" s="11" t="s">
        <v>774</v>
      </c>
      <c r="J223" s="357" t="s">
        <v>1405</v>
      </c>
      <c r="K223" s="353"/>
      <c r="L223" s="221">
        <v>212</v>
      </c>
      <c r="M223" s="221"/>
      <c r="N223" s="222" t="str">
        <f t="shared" si="6"/>
        <v>Contact famille</v>
      </c>
      <c r="O223" s="729">
        <v>212</v>
      </c>
      <c r="P223" s="729"/>
      <c r="Q223" s="730" t="str">
        <f t="shared" si="7"/>
        <v>Contact famille</v>
      </c>
      <c r="R223" s="731" t="s">
        <v>313</v>
      </c>
      <c r="S223" s="731"/>
      <c r="T223" s="731"/>
      <c r="U223" s="731"/>
      <c r="V223" s="731"/>
      <c r="W223" s="731"/>
      <c r="X223" s="731"/>
      <c r="Y223" s="731"/>
      <c r="Z223" s="731"/>
      <c r="AA223" s="731"/>
      <c r="AB223" s="12"/>
      <c r="AC223" s="12"/>
      <c r="AD223" s="12"/>
      <c r="AE223" s="12"/>
      <c r="AF223" s="12"/>
      <c r="AG223" s="369"/>
      <c r="AH223" s="370"/>
      <c r="AI223" s="45" t="s">
        <v>242</v>
      </c>
      <c r="AJ223" s="45" t="s">
        <v>242</v>
      </c>
      <c r="AK223" s="13" t="s">
        <v>242</v>
      </c>
      <c r="AL223" s="13" t="s">
        <v>242</v>
      </c>
      <c r="AM223" s="19" t="s">
        <v>244</v>
      </c>
      <c r="AN223" s="38"/>
      <c r="AO223" s="10"/>
      <c r="AP223" s="40"/>
      <c r="AQ223" s="20">
        <v>621373017</v>
      </c>
      <c r="AR223" s="47" t="s">
        <v>3771</v>
      </c>
      <c r="AS223" s="62"/>
      <c r="AT223" s="62" t="s">
        <v>3969</v>
      </c>
      <c r="AU223" s="11"/>
      <c r="AV223" s="10"/>
      <c r="AW223" s="11"/>
      <c r="AX223" s="11"/>
      <c r="AY223" s="11"/>
      <c r="AZ223" s="11"/>
      <c r="BA223" s="11"/>
      <c r="BB223" s="59"/>
      <c r="BC223" s="59"/>
      <c r="BD223" s="59"/>
      <c r="BE223" s="59"/>
      <c r="BF223" s="59"/>
      <c r="BG223" s="59"/>
      <c r="BH223" s="138"/>
      <c r="BI223" s="138"/>
      <c r="BJ223" s="138"/>
      <c r="BK223" s="231"/>
      <c r="BL223" s="231"/>
      <c r="BM223" s="231"/>
      <c r="BN223" s="232"/>
      <c r="BO223" s="19"/>
      <c r="BP223" s="23"/>
      <c r="BQ223" s="23"/>
      <c r="BR223" s="23"/>
      <c r="BS223" s="43"/>
    </row>
    <row r="224" spans="1:72" ht="12.75" customHeight="1" x14ac:dyDescent="0.15">
      <c r="A224" s="48" t="s">
        <v>3766</v>
      </c>
      <c r="B224" s="9" t="s">
        <v>3767</v>
      </c>
      <c r="C224" s="9"/>
      <c r="D224" s="9"/>
      <c r="E224" s="9"/>
      <c r="F224" s="10" t="s">
        <v>107</v>
      </c>
      <c r="G224" s="10" t="s">
        <v>3769</v>
      </c>
      <c r="H224" s="5" t="s">
        <v>773</v>
      </c>
      <c r="I224" s="11" t="s">
        <v>774</v>
      </c>
      <c r="J224" s="357" t="s">
        <v>1405</v>
      </c>
      <c r="K224" s="353"/>
      <c r="L224" s="221">
        <v>4</v>
      </c>
      <c r="M224" s="221"/>
      <c r="N224" s="222" t="str">
        <f t="shared" si="6"/>
        <v>U 17 Hommes</v>
      </c>
      <c r="O224" s="729">
        <v>4</v>
      </c>
      <c r="P224" s="729"/>
      <c r="Q224" s="730" t="str">
        <f t="shared" si="7"/>
        <v>U 17 Hommes</v>
      </c>
      <c r="R224" s="731" t="s">
        <v>192</v>
      </c>
      <c r="S224" s="731"/>
      <c r="T224" s="731"/>
      <c r="U224" s="731"/>
      <c r="V224" s="731"/>
      <c r="W224" s="731"/>
      <c r="X224" s="731"/>
      <c r="Y224" s="731"/>
      <c r="Z224" s="731"/>
      <c r="AA224" s="731"/>
      <c r="AB224" s="12" t="s">
        <v>3778</v>
      </c>
      <c r="AC224" s="12"/>
      <c r="AD224" s="12"/>
      <c r="AE224" s="12"/>
      <c r="AF224" s="12"/>
      <c r="AG224" s="369"/>
      <c r="AH224" s="370"/>
      <c r="AI224" s="18">
        <v>44461</v>
      </c>
      <c r="AJ224" s="18">
        <v>44451</v>
      </c>
      <c r="AK224" s="13">
        <v>2026</v>
      </c>
      <c r="AL224" s="18">
        <v>40576</v>
      </c>
      <c r="AM224" s="19" t="s">
        <v>3770</v>
      </c>
      <c r="AN224" s="38"/>
      <c r="AO224" s="10"/>
      <c r="AP224" s="40"/>
      <c r="AQ224" s="20">
        <v>621373017</v>
      </c>
      <c r="AR224" s="47" t="s">
        <v>3771</v>
      </c>
      <c r="AS224" s="62"/>
      <c r="AT224" s="62"/>
      <c r="AU224" s="11"/>
      <c r="AV224" s="10"/>
      <c r="AW224" s="11"/>
      <c r="AX224" s="11"/>
      <c r="AY224" s="11"/>
      <c r="AZ224" s="11"/>
      <c r="BA224" s="11"/>
      <c r="BB224" s="59"/>
      <c r="BC224" s="59"/>
      <c r="BD224" s="59"/>
      <c r="BE224" s="59"/>
      <c r="BF224" s="59"/>
      <c r="BG224" s="59"/>
      <c r="BH224" s="138"/>
      <c r="BI224" s="138"/>
      <c r="BJ224" s="138"/>
      <c r="BK224" s="231"/>
      <c r="BL224" s="231"/>
      <c r="BM224" s="231"/>
      <c r="BN224" s="232"/>
      <c r="BO224" s="19"/>
      <c r="BP224" s="23"/>
      <c r="BQ224" s="23"/>
      <c r="BR224" s="23"/>
      <c r="BS224" s="43"/>
    </row>
    <row r="225" spans="1:72" s="150" customFormat="1" ht="12.75" customHeight="1" x14ac:dyDescent="0.15">
      <c r="A225" s="48" t="s">
        <v>3792</v>
      </c>
      <c r="B225" s="9" t="s">
        <v>1133</v>
      </c>
      <c r="C225" s="9"/>
      <c r="D225" s="9"/>
      <c r="E225" s="9"/>
      <c r="F225" s="10" t="s">
        <v>107</v>
      </c>
      <c r="G225" s="10" t="s">
        <v>3795</v>
      </c>
      <c r="H225" s="5" t="s">
        <v>240</v>
      </c>
      <c r="I225" s="11" t="s">
        <v>135</v>
      </c>
      <c r="J225" s="357" t="s">
        <v>662</v>
      </c>
      <c r="K225" s="353"/>
      <c r="L225" s="221">
        <v>212</v>
      </c>
      <c r="M225" s="221"/>
      <c r="N225" s="222" t="str">
        <f t="shared" si="6"/>
        <v>Contact famille</v>
      </c>
      <c r="O225" s="729">
        <v>212</v>
      </c>
      <c r="P225" s="729"/>
      <c r="Q225" s="730" t="str">
        <f t="shared" si="7"/>
        <v>Contact famille</v>
      </c>
      <c r="R225" s="731"/>
      <c r="S225" s="731"/>
      <c r="T225" s="731"/>
      <c r="U225" s="731"/>
      <c r="V225" s="731"/>
      <c r="W225" s="731"/>
      <c r="X225" s="731"/>
      <c r="Y225" s="731" t="s">
        <v>313</v>
      </c>
      <c r="Z225" s="731"/>
      <c r="AA225" s="731" t="s">
        <v>313</v>
      </c>
      <c r="AB225" s="12"/>
      <c r="AC225" s="12"/>
      <c r="AD225" s="12"/>
      <c r="AE225" s="12"/>
      <c r="AF225" s="12"/>
      <c r="AG225" s="369"/>
      <c r="AH225" s="370"/>
      <c r="AI225" s="18" t="s">
        <v>242</v>
      </c>
      <c r="AJ225" s="18" t="s">
        <v>242</v>
      </c>
      <c r="AK225" s="13" t="s">
        <v>242</v>
      </c>
      <c r="AL225" s="13" t="s">
        <v>242</v>
      </c>
      <c r="AM225" s="19" t="s">
        <v>244</v>
      </c>
      <c r="AN225" s="38"/>
      <c r="AO225" s="10" t="s">
        <v>3798</v>
      </c>
      <c r="AP225" s="40"/>
      <c r="AQ225" s="20"/>
      <c r="AR225" s="47"/>
      <c r="AS225" s="62"/>
      <c r="AT225" s="62"/>
      <c r="AU225" s="11"/>
      <c r="AV225" s="10"/>
      <c r="AW225" s="11"/>
      <c r="AX225" s="11"/>
      <c r="AY225" s="11"/>
      <c r="AZ225" s="11"/>
      <c r="BA225" s="11"/>
      <c r="BB225" s="59"/>
      <c r="BC225" s="59"/>
      <c r="BD225" s="59"/>
      <c r="BE225" s="59"/>
      <c r="BF225" s="59"/>
      <c r="BG225" s="59"/>
      <c r="BH225" s="138"/>
      <c r="BI225" s="138"/>
      <c r="BJ225" s="138"/>
      <c r="BK225" s="231"/>
      <c r="BL225" s="231"/>
      <c r="BM225" s="231"/>
      <c r="BN225" s="232"/>
      <c r="BO225" s="19"/>
      <c r="BP225" s="23"/>
      <c r="BQ225" s="23"/>
      <c r="BR225" s="23"/>
      <c r="BS225" s="43"/>
      <c r="BT225"/>
    </row>
    <row r="226" spans="1:72" s="150" customFormat="1" ht="12.75" customHeight="1" x14ac:dyDescent="0.15">
      <c r="A226" s="48" t="s">
        <v>3792</v>
      </c>
      <c r="B226" s="9" t="s">
        <v>2439</v>
      </c>
      <c r="C226" s="9"/>
      <c r="D226" s="9"/>
      <c r="E226" s="9"/>
      <c r="F226" s="10" t="s">
        <v>107</v>
      </c>
      <c r="G226" s="10" t="s">
        <v>3795</v>
      </c>
      <c r="H226" s="5" t="s">
        <v>240</v>
      </c>
      <c r="I226" s="11" t="s">
        <v>135</v>
      </c>
      <c r="J226" s="357" t="s">
        <v>662</v>
      </c>
      <c r="K226" s="353"/>
      <c r="L226" s="221">
        <v>15</v>
      </c>
      <c r="M226" s="221"/>
      <c r="N226" s="222" t="str">
        <f t="shared" si="6"/>
        <v>U 13 Dames</v>
      </c>
      <c r="O226" s="729">
        <v>15</v>
      </c>
      <c r="P226" s="729"/>
      <c r="Q226" s="730" t="str">
        <f t="shared" si="7"/>
        <v>U 13 Dames</v>
      </c>
      <c r="R226" s="731"/>
      <c r="S226" s="731"/>
      <c r="T226" s="731"/>
      <c r="U226" s="731"/>
      <c r="V226" s="731"/>
      <c r="W226" s="731"/>
      <c r="X226" s="731"/>
      <c r="Y226" s="731"/>
      <c r="Z226" s="731"/>
      <c r="AA226" s="731" t="s">
        <v>192</v>
      </c>
      <c r="AB226" s="12" t="s">
        <v>3903</v>
      </c>
      <c r="AC226" s="12"/>
      <c r="AD226" s="12"/>
      <c r="AE226" s="12"/>
      <c r="AF226" s="12"/>
      <c r="AG226" s="369"/>
      <c r="AH226" s="370"/>
      <c r="AI226" s="18">
        <v>44536</v>
      </c>
      <c r="AJ226" s="18">
        <v>44459</v>
      </c>
      <c r="AK226" s="612">
        <v>2021</v>
      </c>
      <c r="AL226" s="18">
        <v>41666</v>
      </c>
      <c r="AM226" s="19" t="s">
        <v>3797</v>
      </c>
      <c r="AN226" s="38"/>
      <c r="AO226" s="10" t="s">
        <v>3798</v>
      </c>
      <c r="AP226" s="40"/>
      <c r="AQ226" s="20">
        <v>691689350</v>
      </c>
      <c r="AR226" s="47" t="s">
        <v>3799</v>
      </c>
      <c r="AS226" s="62"/>
      <c r="AT226" s="62"/>
      <c r="AU226" s="11"/>
      <c r="AV226" s="10"/>
      <c r="AW226" s="11"/>
      <c r="AX226" s="11"/>
      <c r="AY226" s="11"/>
      <c r="AZ226" s="11"/>
      <c r="BA226" s="11"/>
      <c r="BB226" s="59"/>
      <c r="BC226" s="59"/>
      <c r="BD226" s="59"/>
      <c r="BE226" s="59"/>
      <c r="BF226" s="59"/>
      <c r="BG226" s="59"/>
      <c r="BH226" s="138"/>
      <c r="BI226" s="138"/>
      <c r="BJ226" s="138"/>
      <c r="BK226" s="231"/>
      <c r="BL226" s="231"/>
      <c r="BM226" s="231"/>
      <c r="BN226" s="232"/>
      <c r="BO226" s="19"/>
      <c r="BP226" s="23"/>
      <c r="BQ226" s="23"/>
      <c r="BR226" s="23"/>
      <c r="BS226" s="43"/>
      <c r="BT226"/>
    </row>
    <row r="227" spans="1:72" ht="12.75" customHeight="1" x14ac:dyDescent="0.15">
      <c r="A227" s="48" t="s">
        <v>3792</v>
      </c>
      <c r="B227" s="9" t="s">
        <v>1029</v>
      </c>
      <c r="C227" s="9"/>
      <c r="D227" s="9"/>
      <c r="E227" s="9"/>
      <c r="F227" s="10" t="s">
        <v>107</v>
      </c>
      <c r="G227" s="10" t="s">
        <v>3795</v>
      </c>
      <c r="H227" s="5" t="s">
        <v>240</v>
      </c>
      <c r="I227" s="11" t="s">
        <v>135</v>
      </c>
      <c r="J227" s="357" t="s">
        <v>662</v>
      </c>
      <c r="K227" s="353"/>
      <c r="L227" s="221">
        <v>14</v>
      </c>
      <c r="M227" s="221"/>
      <c r="N227" s="222" t="str">
        <f t="shared" si="6"/>
        <v>U 17 Dames</v>
      </c>
      <c r="O227" s="729">
        <v>14</v>
      </c>
      <c r="P227" s="729"/>
      <c r="Q227" s="730" t="str">
        <f t="shared" si="7"/>
        <v>U 17 Dames</v>
      </c>
      <c r="R227" s="731"/>
      <c r="S227" s="731"/>
      <c r="T227" s="731"/>
      <c r="U227" s="731"/>
      <c r="V227" s="731"/>
      <c r="W227" s="731"/>
      <c r="X227" s="731"/>
      <c r="Y227" s="731" t="s">
        <v>192</v>
      </c>
      <c r="Z227" s="731"/>
      <c r="AA227" s="731"/>
      <c r="AB227" s="12" t="s">
        <v>3904</v>
      </c>
      <c r="AC227" s="12"/>
      <c r="AD227" s="12"/>
      <c r="AE227" s="12"/>
      <c r="AF227" s="12"/>
      <c r="AG227" s="369"/>
      <c r="AH227" s="370"/>
      <c r="AI227" s="18">
        <v>44536</v>
      </c>
      <c r="AJ227" s="18">
        <v>44459</v>
      </c>
      <c r="AK227" s="612">
        <v>2021</v>
      </c>
      <c r="AL227" s="18">
        <v>40641</v>
      </c>
      <c r="AM227" s="19" t="s">
        <v>3796</v>
      </c>
      <c r="AN227" s="38"/>
      <c r="AO227" s="10" t="s">
        <v>3798</v>
      </c>
      <c r="AP227" s="40"/>
      <c r="AQ227" s="20">
        <v>691689350</v>
      </c>
      <c r="AR227" s="47" t="s">
        <v>3799</v>
      </c>
      <c r="AS227" s="62"/>
      <c r="AT227" s="62"/>
      <c r="AU227" s="11"/>
      <c r="AV227" s="10"/>
      <c r="AW227" s="11"/>
      <c r="AX227" s="11"/>
      <c r="AY227" s="11"/>
      <c r="AZ227" s="11"/>
      <c r="BA227" s="11"/>
      <c r="BB227" s="59"/>
      <c r="BC227" s="59"/>
      <c r="BD227" s="59"/>
      <c r="BE227" s="59"/>
      <c r="BF227" s="59"/>
      <c r="BG227" s="59"/>
      <c r="BH227" s="138"/>
      <c r="BI227" s="138"/>
      <c r="BJ227" s="138"/>
      <c r="BK227" s="231"/>
      <c r="BL227" s="231"/>
      <c r="BM227" s="231"/>
      <c r="BN227" s="232"/>
      <c r="BO227" s="19"/>
      <c r="BP227" s="23"/>
      <c r="BQ227" s="23"/>
      <c r="BR227" s="23"/>
      <c r="BS227" s="43"/>
    </row>
    <row r="228" spans="1:72" ht="12.75" customHeight="1" x14ac:dyDescent="0.15">
      <c r="A228" s="48" t="s">
        <v>3793</v>
      </c>
      <c r="B228" s="9" t="s">
        <v>3794</v>
      </c>
      <c r="C228" s="9"/>
      <c r="D228" s="9"/>
      <c r="E228" s="9"/>
      <c r="F228" s="10" t="s">
        <v>107</v>
      </c>
      <c r="G228" s="10" t="s">
        <v>3795</v>
      </c>
      <c r="H228" s="5" t="s">
        <v>240</v>
      </c>
      <c r="I228" s="11" t="s">
        <v>135</v>
      </c>
      <c r="J228" s="357" t="s">
        <v>662</v>
      </c>
      <c r="K228" s="353"/>
      <c r="L228" s="221">
        <v>212</v>
      </c>
      <c r="M228" s="221"/>
      <c r="N228" s="222" t="str">
        <f t="shared" si="6"/>
        <v>Contact famille</v>
      </c>
      <c r="O228" s="729">
        <v>212</v>
      </c>
      <c r="P228" s="729"/>
      <c r="Q228" s="730" t="str">
        <f t="shared" si="7"/>
        <v>Contact famille</v>
      </c>
      <c r="R228" s="731"/>
      <c r="S228" s="731"/>
      <c r="T228" s="731"/>
      <c r="U228" s="731"/>
      <c r="V228" s="731"/>
      <c r="W228" s="731"/>
      <c r="X228" s="731"/>
      <c r="Y228" s="731" t="s">
        <v>313</v>
      </c>
      <c r="Z228" s="731"/>
      <c r="AA228" s="731" t="s">
        <v>313</v>
      </c>
      <c r="AB228" s="12"/>
      <c r="AC228" s="12"/>
      <c r="AD228" s="12"/>
      <c r="AE228" s="12"/>
      <c r="AF228" s="12"/>
      <c r="AG228" s="369"/>
      <c r="AH228" s="370"/>
      <c r="AI228" s="18" t="s">
        <v>242</v>
      </c>
      <c r="AJ228" s="18" t="s">
        <v>242</v>
      </c>
      <c r="AK228" s="13" t="s">
        <v>242</v>
      </c>
      <c r="AL228" s="13" t="s">
        <v>242</v>
      </c>
      <c r="AM228" s="19" t="s">
        <v>244</v>
      </c>
      <c r="AN228" s="38"/>
      <c r="AO228" s="10" t="s">
        <v>3798</v>
      </c>
      <c r="AP228" s="40"/>
      <c r="AQ228" s="20">
        <v>691689350</v>
      </c>
      <c r="AR228" s="47" t="s">
        <v>3799</v>
      </c>
      <c r="AS228" s="62"/>
      <c r="AT228" s="62"/>
      <c r="AU228" s="11"/>
      <c r="AV228" s="10"/>
      <c r="AW228" s="11"/>
      <c r="AX228" s="11"/>
      <c r="AY228" s="11"/>
      <c r="AZ228" s="11"/>
      <c r="BA228" s="11"/>
      <c r="BB228" s="59"/>
      <c r="BC228" s="59"/>
      <c r="BD228" s="59"/>
      <c r="BE228" s="59"/>
      <c r="BF228" s="59"/>
      <c r="BG228" s="59"/>
      <c r="BH228" s="138"/>
      <c r="BI228" s="138"/>
      <c r="BJ228" s="138"/>
      <c r="BK228" s="231"/>
      <c r="BL228" s="231"/>
      <c r="BM228" s="231"/>
      <c r="BN228" s="232"/>
      <c r="BO228" s="19"/>
      <c r="BP228" s="23"/>
      <c r="BQ228" s="23"/>
      <c r="BR228" s="23"/>
      <c r="BS228" s="43"/>
    </row>
    <row r="229" spans="1:72" ht="12.75" customHeight="1" x14ac:dyDescent="0.15">
      <c r="A229" s="48" t="s">
        <v>3265</v>
      </c>
      <c r="B229" s="9" t="s">
        <v>1137</v>
      </c>
      <c r="C229" s="9"/>
      <c r="D229" s="9"/>
      <c r="E229" s="9"/>
      <c r="F229" s="112" t="s">
        <v>107</v>
      </c>
      <c r="G229" s="10" t="s">
        <v>4007</v>
      </c>
      <c r="H229" s="5" t="s">
        <v>1235</v>
      </c>
      <c r="I229" s="11" t="s">
        <v>223</v>
      </c>
      <c r="J229" s="357" t="s">
        <v>2358</v>
      </c>
      <c r="K229" s="353"/>
      <c r="L229" s="221">
        <v>212</v>
      </c>
      <c r="M229" s="221"/>
      <c r="N229" s="222" t="str">
        <f t="shared" si="6"/>
        <v>Contact famille</v>
      </c>
      <c r="O229" s="729">
        <v>212</v>
      </c>
      <c r="P229" s="729"/>
      <c r="Q229" s="730" t="str">
        <f t="shared" si="7"/>
        <v>Contact famille</v>
      </c>
      <c r="R229" s="731"/>
      <c r="S229" s="731"/>
      <c r="T229" s="731"/>
      <c r="U229" s="731" t="s">
        <v>313</v>
      </c>
      <c r="V229" s="731" t="s">
        <v>313</v>
      </c>
      <c r="W229" s="731"/>
      <c r="X229" s="731"/>
      <c r="Y229" s="731"/>
      <c r="Z229" s="731"/>
      <c r="AA229" s="731"/>
      <c r="AB229" s="12"/>
      <c r="AC229" s="12"/>
      <c r="AD229" s="12"/>
      <c r="AE229" s="12"/>
      <c r="AF229" s="12"/>
      <c r="AG229" s="369"/>
      <c r="AH229" s="370"/>
      <c r="AI229" s="18" t="s">
        <v>242</v>
      </c>
      <c r="AJ229" s="18" t="s">
        <v>242</v>
      </c>
      <c r="AK229" s="13" t="s">
        <v>242</v>
      </c>
      <c r="AL229" s="13" t="s">
        <v>242</v>
      </c>
      <c r="AM229" s="46" t="s">
        <v>244</v>
      </c>
      <c r="AN229" s="38"/>
      <c r="AO229" s="10"/>
      <c r="AP229" s="40"/>
      <c r="AQ229" s="20">
        <v>661840908</v>
      </c>
      <c r="AR229" s="21"/>
      <c r="AS229" s="62"/>
      <c r="AT229" s="62"/>
      <c r="AU229" s="11"/>
      <c r="AV229" s="10"/>
      <c r="AW229" s="11"/>
      <c r="AX229" s="11"/>
      <c r="AY229" s="11"/>
      <c r="AZ229" s="11"/>
      <c r="BA229" s="11"/>
      <c r="BB229" s="59"/>
      <c r="BC229" s="59"/>
      <c r="BD229" s="59"/>
      <c r="BE229" s="59"/>
      <c r="BF229" s="59"/>
      <c r="BG229" s="59"/>
      <c r="BH229" s="138"/>
      <c r="BI229" s="138"/>
      <c r="BJ229" s="138"/>
      <c r="BK229" s="231"/>
      <c r="BL229" s="231"/>
      <c r="BM229" s="231"/>
      <c r="BN229" s="232"/>
      <c r="BO229" s="19"/>
      <c r="BP229" s="23"/>
      <c r="BQ229" s="23"/>
      <c r="BR229" s="23"/>
      <c r="BS229" s="43"/>
    </row>
    <row r="230" spans="1:72" ht="12.75" customHeight="1" x14ac:dyDescent="0.15">
      <c r="A230" s="48" t="s">
        <v>3265</v>
      </c>
      <c r="B230" s="9" t="s">
        <v>4005</v>
      </c>
      <c r="C230" s="9"/>
      <c r="D230" s="9"/>
      <c r="E230" s="9"/>
      <c r="F230" s="112" t="s">
        <v>107</v>
      </c>
      <c r="G230" s="10" t="s">
        <v>4007</v>
      </c>
      <c r="H230" s="5" t="s">
        <v>1235</v>
      </c>
      <c r="I230" s="11" t="s">
        <v>223</v>
      </c>
      <c r="J230" s="357" t="s">
        <v>2358</v>
      </c>
      <c r="K230" s="353"/>
      <c r="L230" s="221">
        <v>6</v>
      </c>
      <c r="M230" s="221"/>
      <c r="N230" s="222" t="str">
        <f t="shared" si="6"/>
        <v>U 13 Hommes</v>
      </c>
      <c r="O230" s="729">
        <v>6</v>
      </c>
      <c r="P230" s="729"/>
      <c r="Q230" s="730" t="str">
        <f t="shared" si="7"/>
        <v>U 13 Hommes</v>
      </c>
      <c r="R230" s="731"/>
      <c r="S230" s="731"/>
      <c r="T230" s="731"/>
      <c r="U230" s="731" t="s">
        <v>192</v>
      </c>
      <c r="V230" s="731"/>
      <c r="W230" s="731"/>
      <c r="X230" s="731"/>
      <c r="Y230" s="731"/>
      <c r="Z230" s="731"/>
      <c r="AA230" s="731"/>
      <c r="AB230" s="12" t="s">
        <v>4010</v>
      </c>
      <c r="AC230" s="12"/>
      <c r="AD230" s="12"/>
      <c r="AE230" s="12"/>
      <c r="AF230" s="12"/>
      <c r="AG230" s="369"/>
      <c r="AH230" s="370"/>
      <c r="AI230" s="18">
        <v>44704</v>
      </c>
      <c r="AJ230" s="18">
        <v>44692</v>
      </c>
      <c r="AK230" s="13">
        <v>2026</v>
      </c>
      <c r="AL230" s="18">
        <v>41775</v>
      </c>
      <c r="AM230" s="19" t="s">
        <v>4008</v>
      </c>
      <c r="AN230" s="38"/>
      <c r="AO230" s="10"/>
      <c r="AP230" s="40" t="s">
        <v>4009</v>
      </c>
      <c r="AQ230" s="20">
        <v>661200903</v>
      </c>
      <c r="AR230" s="47" t="s">
        <v>4377</v>
      </c>
      <c r="AS230" s="62"/>
      <c r="AT230" s="62"/>
      <c r="AU230" s="11"/>
      <c r="AV230" s="10"/>
      <c r="AW230" s="11"/>
      <c r="AX230" s="11"/>
      <c r="AY230" s="11"/>
      <c r="AZ230" s="11"/>
      <c r="BA230" s="11"/>
      <c r="BB230" s="59"/>
      <c r="BC230" s="59"/>
      <c r="BD230" s="59"/>
      <c r="BE230" s="59"/>
      <c r="BF230" s="59"/>
      <c r="BG230" s="59"/>
      <c r="BH230" s="138"/>
      <c r="BI230" s="138"/>
      <c r="BJ230" s="138"/>
      <c r="BK230" s="231"/>
      <c r="BL230" s="231"/>
      <c r="BM230" s="231"/>
      <c r="BN230" s="232"/>
      <c r="BO230" s="19"/>
      <c r="BP230" s="23"/>
      <c r="BQ230" s="23"/>
      <c r="BR230" s="23"/>
      <c r="BS230" s="43"/>
    </row>
    <row r="231" spans="1:72" ht="12.75" customHeight="1" x14ac:dyDescent="0.15">
      <c r="A231" s="48" t="s">
        <v>3265</v>
      </c>
      <c r="B231" s="9" t="s">
        <v>2042</v>
      </c>
      <c r="C231" s="9"/>
      <c r="D231" s="9"/>
      <c r="E231" s="9"/>
      <c r="F231" s="112" t="s">
        <v>107</v>
      </c>
      <c r="G231" s="10" t="s">
        <v>4007</v>
      </c>
      <c r="H231" s="5" t="s">
        <v>1235</v>
      </c>
      <c r="I231" s="11" t="s">
        <v>223</v>
      </c>
      <c r="J231" s="357" t="s">
        <v>2358</v>
      </c>
      <c r="K231" s="353"/>
      <c r="L231" s="221">
        <v>17</v>
      </c>
      <c r="M231" s="221"/>
      <c r="N231" s="222" t="str">
        <f t="shared" si="6"/>
        <v>U 11 Dames</v>
      </c>
      <c r="O231" s="729">
        <v>17</v>
      </c>
      <c r="P231" s="729"/>
      <c r="Q231" s="730" t="str">
        <f t="shared" si="7"/>
        <v>U 11 Dames</v>
      </c>
      <c r="R231" s="731"/>
      <c r="S231" s="731"/>
      <c r="T231" s="731"/>
      <c r="U231" s="731"/>
      <c r="V231" s="731" t="s">
        <v>192</v>
      </c>
      <c r="W231" s="731"/>
      <c r="X231" s="731"/>
      <c r="Y231" s="731"/>
      <c r="Z231" s="731"/>
      <c r="AA231" s="731"/>
      <c r="AB231" s="12" t="s">
        <v>4260</v>
      </c>
      <c r="AC231" s="12"/>
      <c r="AD231" s="12"/>
      <c r="AE231" s="12"/>
      <c r="AF231" s="12"/>
      <c r="AG231" s="369"/>
      <c r="AH231" s="370"/>
      <c r="AI231" s="18">
        <v>44943</v>
      </c>
      <c r="AJ231" s="18">
        <v>44932</v>
      </c>
      <c r="AK231" s="36">
        <v>2024</v>
      </c>
      <c r="AL231" s="18">
        <v>43082</v>
      </c>
      <c r="AM231" s="19" t="s">
        <v>4228</v>
      </c>
      <c r="AN231" s="38"/>
      <c r="AO231" s="10"/>
      <c r="AP231" s="40" t="s">
        <v>4009</v>
      </c>
      <c r="AQ231" s="20">
        <v>661200903</v>
      </c>
      <c r="AR231" s="47" t="s">
        <v>4377</v>
      </c>
      <c r="AS231" s="62"/>
      <c r="AT231" s="62"/>
      <c r="AU231" s="11"/>
      <c r="AV231" s="10"/>
      <c r="AW231" s="11"/>
      <c r="AX231" s="11"/>
      <c r="AY231" s="11"/>
      <c r="AZ231" s="11"/>
      <c r="BA231" s="11"/>
      <c r="BB231" s="59"/>
      <c r="BC231" s="59"/>
      <c r="BD231" s="59"/>
      <c r="BE231" s="59"/>
      <c r="BF231" s="59"/>
      <c r="BG231" s="59"/>
      <c r="BH231" s="138"/>
      <c r="BI231" s="138"/>
      <c r="BJ231" s="138"/>
      <c r="BK231" s="231"/>
      <c r="BL231" s="231"/>
      <c r="BM231" s="231"/>
      <c r="BN231" s="232"/>
      <c r="BO231" s="19"/>
      <c r="BP231" s="23"/>
      <c r="BQ231" s="23"/>
      <c r="BR231" s="23"/>
      <c r="BS231" s="43"/>
    </row>
    <row r="232" spans="1:72" ht="12.75" customHeight="1" x14ac:dyDescent="0.15">
      <c r="A232" s="48" t="s">
        <v>4004</v>
      </c>
      <c r="B232" s="9" t="s">
        <v>4006</v>
      </c>
      <c r="C232" s="9"/>
      <c r="D232" s="9"/>
      <c r="E232" s="9"/>
      <c r="F232" s="112" t="s">
        <v>107</v>
      </c>
      <c r="G232" s="10" t="s">
        <v>4007</v>
      </c>
      <c r="H232" s="5" t="s">
        <v>1235</v>
      </c>
      <c r="I232" s="11" t="s">
        <v>223</v>
      </c>
      <c r="J232" s="357" t="s">
        <v>2358</v>
      </c>
      <c r="K232" s="353"/>
      <c r="L232" s="221">
        <v>212</v>
      </c>
      <c r="M232" s="221"/>
      <c r="N232" s="222" t="str">
        <f t="shared" si="6"/>
        <v>Contact famille</v>
      </c>
      <c r="O232" s="729">
        <v>212</v>
      </c>
      <c r="P232" s="729"/>
      <c r="Q232" s="730" t="str">
        <f t="shared" si="7"/>
        <v>Contact famille</v>
      </c>
      <c r="R232" s="731"/>
      <c r="S232" s="731"/>
      <c r="T232" s="731"/>
      <c r="U232" s="731" t="s">
        <v>313</v>
      </c>
      <c r="V232" s="731" t="s">
        <v>313</v>
      </c>
      <c r="W232" s="731"/>
      <c r="X232" s="731"/>
      <c r="Y232" s="731"/>
      <c r="Z232" s="731"/>
      <c r="AA232" s="731"/>
      <c r="AB232" s="12"/>
      <c r="AC232" s="12"/>
      <c r="AD232" s="12"/>
      <c r="AE232" s="12"/>
      <c r="AF232" s="12"/>
      <c r="AG232" s="867"/>
      <c r="AH232" s="370"/>
      <c r="AI232" s="18" t="s">
        <v>242</v>
      </c>
      <c r="AJ232" s="18" t="s">
        <v>242</v>
      </c>
      <c r="AK232" s="13" t="s">
        <v>242</v>
      </c>
      <c r="AL232" s="13" t="s">
        <v>242</v>
      </c>
      <c r="AM232" s="46" t="s">
        <v>244</v>
      </c>
      <c r="AN232" s="38"/>
      <c r="AO232" s="10"/>
      <c r="AP232" s="40" t="s">
        <v>252</v>
      </c>
      <c r="AQ232" s="10"/>
      <c r="AR232" s="47" t="s">
        <v>4377</v>
      </c>
      <c r="AS232" s="62"/>
      <c r="AT232" s="62"/>
      <c r="AU232" s="11"/>
      <c r="AV232" s="10"/>
      <c r="AW232" s="11"/>
      <c r="AX232" s="11"/>
      <c r="AY232" s="11"/>
      <c r="AZ232" s="11"/>
      <c r="BA232" s="11"/>
      <c r="BB232" s="59"/>
      <c r="BC232" s="59"/>
      <c r="BD232" s="59"/>
      <c r="BE232" s="59"/>
      <c r="BF232" s="59"/>
      <c r="BG232" s="59"/>
      <c r="BH232" s="138"/>
      <c r="BI232" s="138"/>
      <c r="BJ232" s="138"/>
      <c r="BK232" s="231"/>
      <c r="BL232" s="231"/>
      <c r="BM232" s="231"/>
      <c r="BN232" s="232"/>
      <c r="BO232" s="19"/>
      <c r="BP232" s="23"/>
      <c r="BQ232" s="23"/>
      <c r="BR232" s="23"/>
      <c r="BS232" s="43"/>
    </row>
    <row r="233" spans="1:72" ht="12.75" customHeight="1" x14ac:dyDescent="0.15">
      <c r="A233" s="48" t="s">
        <v>4178</v>
      </c>
      <c r="B233" s="9" t="s">
        <v>4180</v>
      </c>
      <c r="C233" s="9"/>
      <c r="D233" s="9"/>
      <c r="E233" s="9"/>
      <c r="F233" s="10" t="s">
        <v>3282</v>
      </c>
      <c r="G233" s="10" t="s">
        <v>4181</v>
      </c>
      <c r="H233" s="5" t="s">
        <v>557</v>
      </c>
      <c r="I233" s="11" t="s">
        <v>558</v>
      </c>
      <c r="J233" s="357" t="s">
        <v>1769</v>
      </c>
      <c r="K233" s="353"/>
      <c r="L233" s="221">
        <v>212</v>
      </c>
      <c r="M233" s="221"/>
      <c r="N233" s="222" t="str">
        <f t="shared" si="6"/>
        <v>Contact famille</v>
      </c>
      <c r="O233" s="729">
        <v>212</v>
      </c>
      <c r="P233" s="729"/>
      <c r="Q233" s="730" t="str">
        <f t="shared" si="7"/>
        <v>Contact famille</v>
      </c>
      <c r="R233" s="731"/>
      <c r="S233" s="731"/>
      <c r="T233" s="731"/>
      <c r="U233" s="731"/>
      <c r="V233" s="731"/>
      <c r="W233" s="731" t="s">
        <v>313</v>
      </c>
      <c r="X233" s="731"/>
      <c r="Y233" s="731"/>
      <c r="Z233" s="731"/>
      <c r="AA233" s="731"/>
      <c r="AB233" s="12"/>
      <c r="AC233" s="12"/>
      <c r="AD233" s="12"/>
      <c r="AE233" s="12"/>
      <c r="AF233" s="12"/>
      <c r="AG233" s="369"/>
      <c r="AH233" s="370"/>
      <c r="AI233" s="18" t="s">
        <v>242</v>
      </c>
      <c r="AJ233" s="18" t="s">
        <v>242</v>
      </c>
      <c r="AK233" s="13" t="s">
        <v>242</v>
      </c>
      <c r="AL233" s="18" t="s">
        <v>242</v>
      </c>
      <c r="AM233" s="19" t="s">
        <v>244</v>
      </c>
      <c r="AN233" s="38"/>
      <c r="AO233" s="10"/>
      <c r="AP233" s="47" t="s">
        <v>4184</v>
      </c>
      <c r="AQ233" s="20">
        <v>691730423</v>
      </c>
      <c r="AR233" s="349" t="s">
        <v>4183</v>
      </c>
      <c r="AS233" s="62"/>
      <c r="AT233" s="62"/>
      <c r="AU233" s="11"/>
      <c r="AV233" s="10"/>
      <c r="AW233" s="11"/>
      <c r="AX233" s="11"/>
      <c r="AY233" s="11"/>
      <c r="AZ233" s="11"/>
      <c r="BA233" s="11"/>
      <c r="BB233" s="59"/>
      <c r="BC233" s="59"/>
      <c r="BD233" s="59"/>
      <c r="BE233" s="59"/>
      <c r="BF233" s="59"/>
      <c r="BG233" s="59"/>
      <c r="BH233" s="138"/>
      <c r="BI233" s="138"/>
      <c r="BJ233" s="138"/>
      <c r="BK233" s="231"/>
      <c r="BL233" s="231"/>
      <c r="BM233" s="231"/>
      <c r="BN233" s="232"/>
      <c r="BO233" s="19"/>
      <c r="BP233" s="23"/>
      <c r="BQ233" s="23"/>
      <c r="BR233" s="23"/>
      <c r="BS233" s="43"/>
      <c r="BT233" s="150"/>
    </row>
    <row r="234" spans="1:72" ht="12.75" customHeight="1" x14ac:dyDescent="0.15">
      <c r="A234" s="48" t="s">
        <v>4178</v>
      </c>
      <c r="B234" s="9" t="s">
        <v>4179</v>
      </c>
      <c r="C234" s="9"/>
      <c r="D234" s="9"/>
      <c r="E234" s="9"/>
      <c r="F234" s="10" t="s">
        <v>3282</v>
      </c>
      <c r="G234" s="10" t="s">
        <v>4181</v>
      </c>
      <c r="H234" s="5" t="s">
        <v>557</v>
      </c>
      <c r="I234" s="11" t="s">
        <v>558</v>
      </c>
      <c r="J234" s="357" t="s">
        <v>1769</v>
      </c>
      <c r="K234" s="353"/>
      <c r="L234" s="221">
        <v>8</v>
      </c>
      <c r="M234" s="221"/>
      <c r="N234" s="222" t="str">
        <f t="shared" si="6"/>
        <v xml:space="preserve">U 9 Hommes </v>
      </c>
      <c r="O234" s="729">
        <v>8</v>
      </c>
      <c r="P234" s="729"/>
      <c r="Q234" s="730" t="str">
        <f t="shared" si="7"/>
        <v xml:space="preserve">U 9 Hommes </v>
      </c>
      <c r="R234" s="731"/>
      <c r="S234" s="731"/>
      <c r="T234" s="731"/>
      <c r="U234" s="731"/>
      <c r="V234" s="731"/>
      <c r="W234" s="731" t="s">
        <v>192</v>
      </c>
      <c r="X234" s="731"/>
      <c r="Y234" s="731"/>
      <c r="Z234" s="731"/>
      <c r="AA234" s="731"/>
      <c r="AB234" s="12" t="s">
        <v>4258</v>
      </c>
      <c r="AC234" s="12"/>
      <c r="AD234" s="12"/>
      <c r="AE234" s="391"/>
      <c r="AF234" s="12"/>
      <c r="AG234" s="369"/>
      <c r="AH234" s="370"/>
      <c r="AI234" s="18">
        <v>44939</v>
      </c>
      <c r="AJ234" s="45">
        <v>44880</v>
      </c>
      <c r="AK234" s="13">
        <v>2031</v>
      </c>
      <c r="AL234" s="18">
        <v>43795</v>
      </c>
      <c r="AM234" s="46" t="s">
        <v>4182</v>
      </c>
      <c r="AN234" s="38"/>
      <c r="AO234" s="10"/>
      <c r="AP234" s="47" t="s">
        <v>4184</v>
      </c>
      <c r="AQ234" s="20">
        <v>691730423</v>
      </c>
      <c r="AR234" s="349" t="s">
        <v>4183</v>
      </c>
      <c r="AS234" s="62"/>
      <c r="AT234" s="62"/>
      <c r="AU234" s="11"/>
      <c r="AV234" s="10"/>
      <c r="AW234" s="11"/>
      <c r="AX234" s="11"/>
      <c r="AY234" s="11"/>
      <c r="AZ234" s="11"/>
      <c r="BA234" s="11"/>
      <c r="BB234" s="59"/>
      <c r="BC234" s="59"/>
      <c r="BD234" s="59"/>
      <c r="BE234" s="59"/>
      <c r="BF234" s="59"/>
      <c r="BG234" s="59"/>
      <c r="BH234" s="138"/>
      <c r="BI234" s="138"/>
      <c r="BJ234" s="138"/>
      <c r="BK234" s="231"/>
      <c r="BL234" s="231"/>
      <c r="BM234" s="231"/>
      <c r="BN234" s="232"/>
      <c r="BO234" s="19"/>
      <c r="BP234" s="23"/>
      <c r="BQ234" s="23"/>
      <c r="BR234" s="23"/>
      <c r="BS234" s="43"/>
    </row>
    <row r="235" spans="1:72" ht="12.75" customHeight="1" x14ac:dyDescent="0.15">
      <c r="A235" s="48" t="s">
        <v>4765</v>
      </c>
      <c r="B235" s="9" t="s">
        <v>4766</v>
      </c>
      <c r="C235" s="9"/>
      <c r="D235" s="9"/>
      <c r="E235" s="9"/>
      <c r="F235" s="10" t="s">
        <v>298</v>
      </c>
      <c r="G235" s="10" t="s">
        <v>4767</v>
      </c>
      <c r="H235" s="5" t="s">
        <v>4768</v>
      </c>
      <c r="I235" s="11" t="s">
        <v>994</v>
      </c>
      <c r="J235" s="357" t="s">
        <v>320</v>
      </c>
      <c r="K235" s="353"/>
      <c r="L235" s="221">
        <v>12</v>
      </c>
      <c r="M235" s="221"/>
      <c r="N235" s="222" t="str">
        <f t="shared" si="6"/>
        <v>Dames</v>
      </c>
      <c r="O235" s="729">
        <v>12</v>
      </c>
      <c r="P235" s="729"/>
      <c r="Q235" s="730" t="str">
        <f t="shared" si="7"/>
        <v>Dames</v>
      </c>
      <c r="R235" s="731"/>
      <c r="S235" s="731"/>
      <c r="T235" s="731"/>
      <c r="U235" s="731"/>
      <c r="V235" s="731"/>
      <c r="W235" s="731"/>
      <c r="X235" s="731"/>
      <c r="Y235" s="731"/>
      <c r="Z235" s="731"/>
      <c r="AA235" s="731"/>
      <c r="AB235" s="12" t="s">
        <v>4849</v>
      </c>
      <c r="AC235" s="12" t="s">
        <v>4849</v>
      </c>
      <c r="AD235" s="12"/>
      <c r="AE235" s="12"/>
      <c r="AF235" s="12"/>
      <c r="AG235" s="369"/>
      <c r="AH235" s="370"/>
      <c r="AI235" s="18">
        <v>45525</v>
      </c>
      <c r="AJ235" s="18">
        <v>45334</v>
      </c>
      <c r="AK235" s="13">
        <v>2035</v>
      </c>
      <c r="AL235" s="18">
        <v>34723</v>
      </c>
      <c r="AM235" s="19" t="s">
        <v>4769</v>
      </c>
      <c r="AN235" s="38"/>
      <c r="AO235" s="10"/>
      <c r="AP235" s="40"/>
      <c r="AQ235" s="65" t="s">
        <v>4770</v>
      </c>
      <c r="AR235" s="47" t="s">
        <v>4771</v>
      </c>
      <c r="AS235" s="62"/>
      <c r="AT235" s="62"/>
      <c r="AU235" s="11"/>
      <c r="AV235" s="10"/>
      <c r="AW235" s="11"/>
      <c r="AX235" s="11"/>
      <c r="AY235" s="11"/>
      <c r="AZ235" s="11"/>
      <c r="BA235" s="11"/>
      <c r="BB235" s="59"/>
      <c r="BC235" s="59"/>
      <c r="BD235" s="59"/>
      <c r="BE235" s="59"/>
      <c r="BF235" s="59"/>
      <c r="BG235" s="59"/>
      <c r="BH235" s="138"/>
      <c r="BI235" s="138"/>
      <c r="BJ235" s="138"/>
      <c r="BK235" s="231"/>
      <c r="BL235" s="231"/>
      <c r="BM235" s="231"/>
      <c r="BN235" s="232"/>
      <c r="BO235" s="19"/>
      <c r="BP235" s="23"/>
      <c r="BQ235" s="23"/>
      <c r="BR235" s="23"/>
      <c r="BS235" s="43"/>
    </row>
    <row r="236" spans="1:72" s="150" customFormat="1" ht="12.75" customHeight="1" x14ac:dyDescent="0.15">
      <c r="A236" s="48" t="s">
        <v>4368</v>
      </c>
      <c r="B236" s="9" t="s">
        <v>4370</v>
      </c>
      <c r="C236" s="9"/>
      <c r="D236" s="9"/>
      <c r="E236" s="9"/>
      <c r="F236" s="112" t="s">
        <v>107</v>
      </c>
      <c r="G236" s="10" t="s">
        <v>4371</v>
      </c>
      <c r="H236" s="5" t="s">
        <v>838</v>
      </c>
      <c r="I236" s="11" t="s">
        <v>936</v>
      </c>
      <c r="J236" s="357" t="s">
        <v>4367</v>
      </c>
      <c r="K236" s="353"/>
      <c r="L236" s="221">
        <v>212</v>
      </c>
      <c r="M236" s="221"/>
      <c r="N236" s="222" t="str">
        <f t="shared" si="6"/>
        <v>Contact famille</v>
      </c>
      <c r="O236" s="729">
        <v>212</v>
      </c>
      <c r="P236" s="729"/>
      <c r="Q236" s="730" t="str">
        <f t="shared" si="7"/>
        <v>Contact famille</v>
      </c>
      <c r="R236" s="731"/>
      <c r="S236" s="731"/>
      <c r="T236" s="731"/>
      <c r="U236" s="731"/>
      <c r="V236" s="731"/>
      <c r="W236" s="731" t="s">
        <v>313</v>
      </c>
      <c r="X236" s="731"/>
      <c r="Y236" s="731"/>
      <c r="Z236" s="731"/>
      <c r="AA236" s="731"/>
      <c r="AB236" s="12"/>
      <c r="AC236" s="12"/>
      <c r="AD236" s="12"/>
      <c r="AE236" s="12"/>
      <c r="AF236" s="12"/>
      <c r="AG236" s="369"/>
      <c r="AH236" s="370"/>
      <c r="AI236" s="18" t="s">
        <v>242</v>
      </c>
      <c r="AJ236" s="18" t="s">
        <v>242</v>
      </c>
      <c r="AK236" s="13" t="s">
        <v>242</v>
      </c>
      <c r="AL236" s="18" t="s">
        <v>242</v>
      </c>
      <c r="AM236" s="19" t="s">
        <v>244</v>
      </c>
      <c r="AN236" s="38"/>
      <c r="AO236" s="10"/>
      <c r="AP236" s="40"/>
      <c r="AQ236" s="20">
        <v>661790920</v>
      </c>
      <c r="AR236" s="47" t="s">
        <v>4375</v>
      </c>
      <c r="AS236" s="62"/>
      <c r="AT236" s="62"/>
      <c r="AU236" s="11"/>
      <c r="AV236" s="10"/>
      <c r="AW236" s="11"/>
      <c r="AX236" s="11"/>
      <c r="AY236" s="11"/>
      <c r="AZ236" s="11"/>
      <c r="BA236" s="11"/>
      <c r="BB236" s="59"/>
      <c r="BC236" s="59"/>
      <c r="BD236" s="59"/>
      <c r="BE236" s="59"/>
      <c r="BF236" s="59"/>
      <c r="BG236" s="59"/>
      <c r="BH236" s="138"/>
      <c r="BI236" s="138"/>
      <c r="BJ236" s="138"/>
      <c r="BK236" s="231"/>
      <c r="BL236" s="231"/>
      <c r="BM236" s="231"/>
      <c r="BN236" s="232"/>
      <c r="BO236" s="19"/>
      <c r="BP236" s="23"/>
      <c r="BQ236" s="23"/>
      <c r="BR236" s="23"/>
      <c r="BS236" s="43"/>
    </row>
    <row r="237" spans="1:72" ht="12.75" customHeight="1" x14ac:dyDescent="0.15">
      <c r="A237" s="48" t="s">
        <v>4368</v>
      </c>
      <c r="B237" s="9" t="s">
        <v>1488</v>
      </c>
      <c r="C237" s="9"/>
      <c r="D237" s="9"/>
      <c r="E237" s="9"/>
      <c r="F237" s="112" t="s">
        <v>107</v>
      </c>
      <c r="G237" s="10" t="s">
        <v>4371</v>
      </c>
      <c r="H237" s="5" t="s">
        <v>4372</v>
      </c>
      <c r="I237" s="11" t="s">
        <v>936</v>
      </c>
      <c r="J237" s="357" t="s">
        <v>4367</v>
      </c>
      <c r="K237" s="353"/>
      <c r="L237" s="221">
        <v>8</v>
      </c>
      <c r="M237" s="221"/>
      <c r="N237" s="222" t="str">
        <f t="shared" si="6"/>
        <v xml:space="preserve">U 9 Hommes </v>
      </c>
      <c r="O237" s="729">
        <v>8</v>
      </c>
      <c r="P237" s="729"/>
      <c r="Q237" s="730" t="str">
        <f t="shared" si="7"/>
        <v xml:space="preserve">U 9 Hommes </v>
      </c>
      <c r="R237" s="731"/>
      <c r="S237" s="731"/>
      <c r="T237" s="731"/>
      <c r="U237" s="731"/>
      <c r="V237" s="731"/>
      <c r="W237" s="731" t="s">
        <v>192</v>
      </c>
      <c r="X237" s="731"/>
      <c r="Y237" s="731"/>
      <c r="Z237" s="731"/>
      <c r="AA237" s="731"/>
      <c r="AB237" s="12" t="s">
        <v>4381</v>
      </c>
      <c r="AC237" s="12"/>
      <c r="AD237" s="12"/>
      <c r="AE237" s="12"/>
      <c r="AF237" s="12"/>
      <c r="AG237" s="369"/>
      <c r="AH237" s="370"/>
      <c r="AI237" s="18">
        <v>45104</v>
      </c>
      <c r="AJ237" s="18">
        <v>45087</v>
      </c>
      <c r="AK237" s="13">
        <v>2030</v>
      </c>
      <c r="AL237" s="18">
        <v>43158</v>
      </c>
      <c r="AM237" s="690" t="s">
        <v>4374</v>
      </c>
      <c r="AN237" s="38"/>
      <c r="AO237" s="10"/>
      <c r="AP237" s="40"/>
      <c r="AQ237" s="20">
        <v>661790920</v>
      </c>
      <c r="AR237" s="47" t="s">
        <v>4375</v>
      </c>
      <c r="AS237" s="62"/>
      <c r="AT237" s="62"/>
      <c r="AU237" s="11"/>
      <c r="AV237" s="10"/>
      <c r="AW237" s="11"/>
      <c r="AX237" s="11"/>
      <c r="AY237" s="11"/>
      <c r="AZ237" s="11"/>
      <c r="BA237" s="11"/>
      <c r="BB237" s="59"/>
      <c r="BC237" s="59"/>
      <c r="BD237" s="59"/>
      <c r="BE237" s="59"/>
      <c r="BF237" s="59"/>
      <c r="BG237" s="59"/>
      <c r="BH237" s="138"/>
      <c r="BI237" s="138"/>
      <c r="BJ237" s="138"/>
      <c r="BK237" s="231"/>
      <c r="BL237" s="231"/>
      <c r="BM237" s="231"/>
      <c r="BN237" s="232"/>
      <c r="BO237" s="19"/>
      <c r="BP237" s="23"/>
      <c r="BQ237" s="23"/>
      <c r="BR237" s="23"/>
      <c r="BS237" s="43"/>
    </row>
    <row r="238" spans="1:72" ht="12.75" customHeight="1" x14ac:dyDescent="0.15">
      <c r="A238" s="48" t="s">
        <v>5110</v>
      </c>
      <c r="B238" s="9" t="s">
        <v>5111</v>
      </c>
      <c r="C238" s="9"/>
      <c r="D238" s="9"/>
      <c r="E238" s="9"/>
      <c r="F238" s="112" t="s">
        <v>107</v>
      </c>
      <c r="G238" s="11" t="s">
        <v>5112</v>
      </c>
      <c r="H238" s="5" t="s">
        <v>5113</v>
      </c>
      <c r="I238" s="11" t="s">
        <v>1696</v>
      </c>
      <c r="J238" s="357" t="s">
        <v>5114</v>
      </c>
      <c r="K238" s="353"/>
      <c r="L238" s="221">
        <v>212</v>
      </c>
      <c r="M238" s="221"/>
      <c r="N238" s="222" t="str">
        <f t="shared" si="6"/>
        <v>Contact famille</v>
      </c>
      <c r="O238" s="729">
        <v>212</v>
      </c>
      <c r="P238" s="729"/>
      <c r="Q238" s="730" t="str">
        <f t="shared" si="7"/>
        <v>Contact famille</v>
      </c>
      <c r="R238" s="732"/>
      <c r="S238" s="732"/>
      <c r="T238" s="732"/>
      <c r="U238" s="732" t="s">
        <v>313</v>
      </c>
      <c r="V238" s="732"/>
      <c r="W238" s="732"/>
      <c r="X238" s="732"/>
      <c r="Y238" s="732"/>
      <c r="Z238" s="732"/>
      <c r="AA238" s="732"/>
      <c r="AB238" s="12"/>
      <c r="AC238" s="155"/>
      <c r="AD238" s="155"/>
      <c r="AE238" s="155"/>
      <c r="AF238" s="12"/>
      <c r="AG238" s="386"/>
      <c r="AH238" s="392"/>
      <c r="AI238" s="18" t="s">
        <v>242</v>
      </c>
      <c r="AJ238" s="18" t="s">
        <v>242</v>
      </c>
      <c r="AK238" s="13" t="s">
        <v>242</v>
      </c>
      <c r="AL238" s="18" t="s">
        <v>242</v>
      </c>
      <c r="AM238" s="19" t="s">
        <v>244</v>
      </c>
      <c r="AN238" s="10"/>
      <c r="AO238" s="11"/>
      <c r="AP238" s="53"/>
      <c r="AQ238" s="20">
        <v>691238288</v>
      </c>
      <c r="AR238" s="68" t="s">
        <v>5118</v>
      </c>
      <c r="AS238" s="62"/>
      <c r="AT238" s="62"/>
      <c r="AU238" s="10"/>
      <c r="AV238" s="10"/>
      <c r="AW238" s="13"/>
      <c r="AX238" s="11"/>
      <c r="AY238" s="11"/>
      <c r="AZ238" s="11"/>
      <c r="BA238" s="11"/>
      <c r="BB238" s="59"/>
      <c r="BC238" s="59"/>
      <c r="BD238" s="59"/>
      <c r="BE238" s="59"/>
      <c r="BF238" s="59"/>
      <c r="BG238" s="59"/>
      <c r="BH238" s="138"/>
      <c r="BI238" s="138"/>
      <c r="BJ238" s="138"/>
      <c r="BK238" s="231"/>
      <c r="BL238" s="231"/>
      <c r="BM238" s="231"/>
      <c r="BN238" s="232"/>
      <c r="BO238" s="11"/>
      <c r="BP238" s="11"/>
      <c r="BQ238" s="11"/>
      <c r="BR238" s="11"/>
      <c r="BS238" s="394"/>
      <c r="BT238" s="150"/>
    </row>
    <row r="239" spans="1:72" ht="12.75" customHeight="1" x14ac:dyDescent="0.15">
      <c r="A239" s="48" t="s">
        <v>3614</v>
      </c>
      <c r="B239" s="9" t="s">
        <v>3616</v>
      </c>
      <c r="C239" s="9"/>
      <c r="D239" s="9"/>
      <c r="E239" s="9"/>
      <c r="F239" s="10" t="s">
        <v>490</v>
      </c>
      <c r="G239" s="10" t="s">
        <v>3617</v>
      </c>
      <c r="H239" s="5" t="s">
        <v>3618</v>
      </c>
      <c r="I239" s="11" t="s">
        <v>223</v>
      </c>
      <c r="J239" s="357" t="s">
        <v>1411</v>
      </c>
      <c r="K239" s="353"/>
      <c r="L239" s="221">
        <v>212</v>
      </c>
      <c r="M239" s="221"/>
      <c r="N239" s="222" t="str">
        <f t="shared" si="6"/>
        <v>Contact famille</v>
      </c>
      <c r="O239" s="729">
        <v>212</v>
      </c>
      <c r="P239" s="729"/>
      <c r="Q239" s="730" t="str">
        <f t="shared" si="7"/>
        <v>Contact famille</v>
      </c>
      <c r="R239" s="731"/>
      <c r="S239" s="731"/>
      <c r="T239" s="731"/>
      <c r="U239" s="731"/>
      <c r="V239" s="731" t="s">
        <v>313</v>
      </c>
      <c r="W239" s="731"/>
      <c r="X239" s="731"/>
      <c r="Y239" s="731"/>
      <c r="Z239" s="731"/>
      <c r="AA239" s="731"/>
      <c r="AB239" s="12"/>
      <c r="AC239" s="12"/>
      <c r="AD239" s="12"/>
      <c r="AE239" s="12"/>
      <c r="AF239" s="12"/>
      <c r="AG239" s="369"/>
      <c r="AH239" s="370"/>
      <c r="AI239" s="18" t="s">
        <v>242</v>
      </c>
      <c r="AJ239" s="18">
        <v>44133</v>
      </c>
      <c r="AK239" s="13" t="s">
        <v>242</v>
      </c>
      <c r="AL239" s="13" t="s">
        <v>242</v>
      </c>
      <c r="AM239" s="19" t="s">
        <v>244</v>
      </c>
      <c r="AN239" s="38"/>
      <c r="AO239" s="10"/>
      <c r="AP239" s="40"/>
      <c r="AQ239" s="40" t="s">
        <v>3623</v>
      </c>
      <c r="AR239" s="68" t="s">
        <v>3625</v>
      </c>
      <c r="AS239" s="62"/>
      <c r="AT239" s="62"/>
      <c r="AU239" s="11"/>
      <c r="AV239" s="10"/>
      <c r="AW239" s="11"/>
      <c r="AX239" s="11"/>
      <c r="AY239" s="11"/>
      <c r="AZ239" s="11"/>
      <c r="BA239" s="11"/>
      <c r="BB239" s="59"/>
      <c r="BC239" s="59"/>
      <c r="BD239" s="59"/>
      <c r="BE239" s="59"/>
      <c r="BF239" s="59"/>
      <c r="BG239" s="59"/>
      <c r="BH239" s="138"/>
      <c r="BI239" s="138"/>
      <c r="BJ239" s="138"/>
      <c r="BK239" s="231"/>
      <c r="BL239" s="231"/>
      <c r="BM239" s="231"/>
      <c r="BN239" s="232"/>
      <c r="BO239" s="19"/>
      <c r="BP239" s="23"/>
      <c r="BQ239" s="23"/>
      <c r="BR239" s="23"/>
      <c r="BS239" s="43"/>
      <c r="BT239" s="150"/>
    </row>
    <row r="240" spans="1:72" ht="12.75" customHeight="1" x14ac:dyDescent="0.15">
      <c r="A240" s="48" t="s">
        <v>3614</v>
      </c>
      <c r="B240" s="9" t="s">
        <v>3615</v>
      </c>
      <c r="C240" s="9"/>
      <c r="D240" s="9"/>
      <c r="E240" s="9"/>
      <c r="F240" s="10" t="s">
        <v>490</v>
      </c>
      <c r="G240" s="10" t="s">
        <v>3617</v>
      </c>
      <c r="H240" s="5" t="s">
        <v>3618</v>
      </c>
      <c r="I240" s="11" t="s">
        <v>223</v>
      </c>
      <c r="J240" s="357" t="s">
        <v>1411</v>
      </c>
      <c r="K240" s="353"/>
      <c r="L240" s="221">
        <v>7</v>
      </c>
      <c r="M240" s="221"/>
      <c r="N240" s="222" t="str">
        <f t="shared" si="6"/>
        <v>U 11 Hommes</v>
      </c>
      <c r="O240" s="729">
        <v>7</v>
      </c>
      <c r="P240" s="729"/>
      <c r="Q240" s="730" t="str">
        <f t="shared" si="7"/>
        <v>U 11 Hommes</v>
      </c>
      <c r="R240" s="731"/>
      <c r="S240" s="731"/>
      <c r="T240" s="731"/>
      <c r="U240" s="731"/>
      <c r="V240" s="731" t="s">
        <v>192</v>
      </c>
      <c r="W240" s="731"/>
      <c r="X240" s="731"/>
      <c r="Y240" s="731"/>
      <c r="Z240" s="731"/>
      <c r="AA240" s="731"/>
      <c r="AB240" s="12" t="s">
        <v>3754</v>
      </c>
      <c r="AC240" s="12"/>
      <c r="AD240" s="12"/>
      <c r="AE240" s="12"/>
      <c r="AF240" s="12"/>
      <c r="AG240" s="369"/>
      <c r="AH240" s="370"/>
      <c r="AI240" s="18">
        <v>44434</v>
      </c>
      <c r="AJ240" s="18">
        <v>44133</v>
      </c>
      <c r="AK240" s="13">
        <v>2029</v>
      </c>
      <c r="AL240" s="18">
        <v>42797</v>
      </c>
      <c r="AM240" s="19" t="s">
        <v>3619</v>
      </c>
      <c r="AN240" s="38"/>
      <c r="AO240" s="10"/>
      <c r="AP240" s="40" t="s">
        <v>3620</v>
      </c>
      <c r="AQ240" s="10" t="s">
        <v>3622</v>
      </c>
      <c r="AR240" s="66" t="s">
        <v>3624</v>
      </c>
      <c r="AS240" s="62"/>
      <c r="AT240" s="62"/>
      <c r="AU240" s="11"/>
      <c r="AV240" s="10"/>
      <c r="AW240" s="11"/>
      <c r="AX240" s="11"/>
      <c r="AY240" s="11"/>
      <c r="AZ240" s="11"/>
      <c r="BA240" s="11"/>
      <c r="BB240" s="59"/>
      <c r="BC240" s="59"/>
      <c r="BD240" s="59"/>
      <c r="BE240" s="59"/>
      <c r="BF240" s="59"/>
      <c r="BG240" s="59"/>
      <c r="BH240" s="138"/>
      <c r="BI240" s="138"/>
      <c r="BJ240" s="138"/>
      <c r="BK240" s="231"/>
      <c r="BL240" s="231"/>
      <c r="BM240" s="231"/>
      <c r="BN240" s="232"/>
      <c r="BO240" s="19"/>
      <c r="BP240" s="23"/>
      <c r="BQ240" s="23"/>
      <c r="BR240" s="23"/>
      <c r="BS240" s="43"/>
      <c r="BT240" s="150"/>
    </row>
    <row r="241" spans="1:72" ht="12.75" customHeight="1" x14ac:dyDescent="0.15">
      <c r="A241" s="48" t="s">
        <v>3614</v>
      </c>
      <c r="B241" s="9" t="s">
        <v>4585</v>
      </c>
      <c r="C241" s="9"/>
      <c r="D241" s="9"/>
      <c r="E241" s="9"/>
      <c r="F241" s="10" t="s">
        <v>490</v>
      </c>
      <c r="G241" s="10" t="s">
        <v>3617</v>
      </c>
      <c r="H241" s="5" t="s">
        <v>3618</v>
      </c>
      <c r="I241" s="11" t="s">
        <v>223</v>
      </c>
      <c r="J241" s="357" t="s">
        <v>1411</v>
      </c>
      <c r="K241" s="353"/>
      <c r="L241" s="221">
        <v>7</v>
      </c>
      <c r="M241" s="221"/>
      <c r="N241" s="222" t="str">
        <f t="shared" si="6"/>
        <v>U 11 Hommes</v>
      </c>
      <c r="O241" s="729">
        <v>7</v>
      </c>
      <c r="P241" s="729"/>
      <c r="Q241" s="730" t="str">
        <f t="shared" si="7"/>
        <v>U 11 Hommes</v>
      </c>
      <c r="R241" s="731"/>
      <c r="S241" s="731"/>
      <c r="T241" s="731"/>
      <c r="U241" s="731"/>
      <c r="V241" s="731" t="s">
        <v>192</v>
      </c>
      <c r="W241" s="731"/>
      <c r="X241" s="731"/>
      <c r="Y241" s="731"/>
      <c r="Z241" s="731"/>
      <c r="AA241" s="731"/>
      <c r="AB241" s="217" t="s">
        <v>2805</v>
      </c>
      <c r="AC241" s="12"/>
      <c r="AD241" s="12"/>
      <c r="AE241" s="12"/>
      <c r="AF241" s="12"/>
      <c r="AG241" s="369"/>
      <c r="AH241" s="370"/>
      <c r="AI241" s="216"/>
      <c r="AJ241" s="18">
        <v>45223</v>
      </c>
      <c r="AK241" s="13">
        <v>2026</v>
      </c>
      <c r="AL241" s="18">
        <v>43649</v>
      </c>
      <c r="AM241" s="19" t="s">
        <v>4586</v>
      </c>
      <c r="AN241" s="38"/>
      <c r="AO241" s="10"/>
      <c r="AP241" s="40" t="s">
        <v>3620</v>
      </c>
      <c r="AQ241" s="10" t="s">
        <v>3622</v>
      </c>
      <c r="AR241" s="47" t="s">
        <v>4587</v>
      </c>
      <c r="AS241" s="62"/>
      <c r="AT241" s="62"/>
      <c r="AU241" s="11"/>
      <c r="AV241" s="10"/>
      <c r="AW241" s="11"/>
      <c r="AX241" s="11"/>
      <c r="AY241" s="11"/>
      <c r="AZ241" s="11"/>
      <c r="BA241" s="11"/>
      <c r="BB241" s="59"/>
      <c r="BC241" s="59"/>
      <c r="BD241" s="59"/>
      <c r="BE241" s="59"/>
      <c r="BF241" s="59"/>
      <c r="BG241" s="59"/>
      <c r="BH241" s="138"/>
      <c r="BI241" s="138"/>
      <c r="BJ241" s="138"/>
      <c r="BK241" s="231"/>
      <c r="BL241" s="231"/>
      <c r="BM241" s="231"/>
      <c r="BN241" s="232"/>
      <c r="BO241" s="19"/>
      <c r="BP241" s="23"/>
      <c r="BQ241" s="23"/>
      <c r="BR241" s="23"/>
      <c r="BS241" s="43"/>
      <c r="BT241" s="150"/>
    </row>
    <row r="242" spans="1:72" ht="12.75" customHeight="1" x14ac:dyDescent="0.15">
      <c r="A242" s="48" t="s">
        <v>4589</v>
      </c>
      <c r="B242" s="9" t="s">
        <v>4588</v>
      </c>
      <c r="C242" s="9"/>
      <c r="D242" s="9"/>
      <c r="E242" s="9"/>
      <c r="F242" s="10" t="s">
        <v>490</v>
      </c>
      <c r="G242" s="10" t="s">
        <v>3617</v>
      </c>
      <c r="H242" s="5" t="s">
        <v>3618</v>
      </c>
      <c r="I242" s="11" t="s">
        <v>223</v>
      </c>
      <c r="J242" s="357" t="s">
        <v>1411</v>
      </c>
      <c r="K242" s="353"/>
      <c r="L242" s="221">
        <v>212</v>
      </c>
      <c r="M242" s="221"/>
      <c r="N242" s="222" t="str">
        <f t="shared" si="6"/>
        <v>Contact famille</v>
      </c>
      <c r="O242" s="729">
        <v>212</v>
      </c>
      <c r="P242" s="729"/>
      <c r="Q242" s="730" t="str">
        <f t="shared" si="7"/>
        <v>Contact famille</v>
      </c>
      <c r="R242" s="731"/>
      <c r="S242" s="731"/>
      <c r="T242" s="731"/>
      <c r="U242" s="731"/>
      <c r="V242" s="731" t="s">
        <v>313</v>
      </c>
      <c r="W242" s="731"/>
      <c r="X242" s="731"/>
      <c r="Y242" s="731"/>
      <c r="Z242" s="731"/>
      <c r="AA242" s="731"/>
      <c r="AB242" s="12"/>
      <c r="AC242" s="12"/>
      <c r="AD242" s="12"/>
      <c r="AE242" s="12"/>
      <c r="AF242" s="12"/>
      <c r="AG242" s="369"/>
      <c r="AH242" s="370"/>
      <c r="AI242" s="18" t="s">
        <v>242</v>
      </c>
      <c r="AJ242" s="18">
        <v>44133</v>
      </c>
      <c r="AK242" s="13" t="s">
        <v>242</v>
      </c>
      <c r="AL242" s="13" t="s">
        <v>242</v>
      </c>
      <c r="AM242" s="19" t="s">
        <v>244</v>
      </c>
      <c r="AN242" s="38"/>
      <c r="AO242" s="10"/>
      <c r="AP242" s="40"/>
      <c r="AQ242" s="10" t="s">
        <v>3621</v>
      </c>
      <c r="AR242" s="66" t="s">
        <v>3624</v>
      </c>
      <c r="AS242" s="235"/>
      <c r="AT242" s="235"/>
      <c r="AU242" s="11"/>
      <c r="AV242" s="10"/>
      <c r="AW242" s="11"/>
      <c r="AX242" s="11"/>
      <c r="AY242" s="11"/>
      <c r="AZ242" s="11"/>
      <c r="BA242" s="11"/>
      <c r="BB242" s="59"/>
      <c r="BC242" s="59"/>
      <c r="BD242" s="59"/>
      <c r="BE242" s="59"/>
      <c r="BF242" s="59"/>
      <c r="BG242" s="59"/>
      <c r="BH242" s="138"/>
      <c r="BI242" s="138"/>
      <c r="BJ242" s="138"/>
      <c r="BK242" s="231"/>
      <c r="BL242" s="231"/>
      <c r="BM242" s="231"/>
      <c r="BN242" s="232"/>
      <c r="BO242" s="19"/>
      <c r="BP242" s="23"/>
      <c r="BQ242" s="23"/>
      <c r="BR242" s="23"/>
      <c r="BS242" s="43"/>
    </row>
    <row r="243" spans="1:72" s="150" customFormat="1" ht="12.75" customHeight="1" x14ac:dyDescent="0.15">
      <c r="A243" s="48" t="s">
        <v>5465</v>
      </c>
      <c r="B243" s="9" t="s">
        <v>5457</v>
      </c>
      <c r="C243" s="9"/>
      <c r="D243" s="9"/>
      <c r="E243" s="9"/>
      <c r="F243" s="11" t="s">
        <v>5459</v>
      </c>
      <c r="G243" s="11" t="s">
        <v>5460</v>
      </c>
      <c r="H243" s="5" t="s">
        <v>5461</v>
      </c>
      <c r="I243" s="11" t="s">
        <v>500</v>
      </c>
      <c r="J243" s="357" t="s">
        <v>5455</v>
      </c>
      <c r="K243" s="353"/>
      <c r="L243" s="221">
        <v>212</v>
      </c>
      <c r="M243" s="221"/>
      <c r="N243" s="222" t="str">
        <f t="shared" si="6"/>
        <v>Contact famille</v>
      </c>
      <c r="O243" s="729">
        <v>212</v>
      </c>
      <c r="P243" s="729"/>
      <c r="Q243" s="730" t="str">
        <f t="shared" si="7"/>
        <v>Contact famille</v>
      </c>
      <c r="R243" s="732"/>
      <c r="S243" s="732"/>
      <c r="T243" s="732"/>
      <c r="U243" s="732"/>
      <c r="V243" s="732" t="s">
        <v>313</v>
      </c>
      <c r="W243" s="732"/>
      <c r="X243" s="732"/>
      <c r="Y243" s="732"/>
      <c r="Z243" s="732"/>
      <c r="AA243" s="732"/>
      <c r="AB243" s="12"/>
      <c r="AC243" s="155"/>
      <c r="AD243" s="155"/>
      <c r="AE243" s="155"/>
      <c r="AF243" s="12"/>
      <c r="AG243" s="386"/>
      <c r="AH243" s="392"/>
      <c r="AI243" s="18" t="s">
        <v>242</v>
      </c>
      <c r="AJ243" s="18" t="s">
        <v>242</v>
      </c>
      <c r="AK243" s="13" t="s">
        <v>242</v>
      </c>
      <c r="AL243" s="13" t="s">
        <v>242</v>
      </c>
      <c r="AM243" s="46" t="s">
        <v>244</v>
      </c>
      <c r="AN243" s="10"/>
      <c r="AO243" s="11"/>
      <c r="AP243" s="53"/>
      <c r="AQ243" s="20">
        <v>621433845</v>
      </c>
      <c r="AR243" s="68" t="s">
        <v>5463</v>
      </c>
      <c r="AS243" s="62"/>
      <c r="AT243" s="62"/>
      <c r="AU243" s="10"/>
      <c r="AV243" s="10"/>
      <c r="AW243" s="13"/>
      <c r="AX243" s="11"/>
      <c r="AY243" s="11"/>
      <c r="AZ243" s="11"/>
      <c r="BA243" s="11"/>
      <c r="BB243" s="59"/>
      <c r="BC243" s="59"/>
      <c r="BD243" s="59"/>
      <c r="BE243" s="59"/>
      <c r="BF243" s="59"/>
      <c r="BG243" s="59"/>
      <c r="BH243" s="138"/>
      <c r="BI243" s="138"/>
      <c r="BJ243" s="138"/>
      <c r="BK243" s="231"/>
      <c r="BL243" s="231"/>
      <c r="BM243" s="231"/>
      <c r="BN243" s="232"/>
      <c r="BO243" s="11"/>
      <c r="BP243" s="11"/>
      <c r="BQ243" s="11"/>
      <c r="BR243" s="11"/>
      <c r="BS243" s="394"/>
      <c r="BT243"/>
    </row>
    <row r="244" spans="1:72" s="150" customFormat="1" ht="13.5" customHeight="1" x14ac:dyDescent="0.15">
      <c r="A244" s="48" t="s">
        <v>5465</v>
      </c>
      <c r="B244" s="9" t="s">
        <v>5458</v>
      </c>
      <c r="C244" s="9"/>
      <c r="D244" s="9"/>
      <c r="E244" s="9"/>
      <c r="F244" s="11" t="s">
        <v>5459</v>
      </c>
      <c r="G244" s="11" t="s">
        <v>5460</v>
      </c>
      <c r="H244" s="5" t="s">
        <v>5461</v>
      </c>
      <c r="I244" s="11" t="s">
        <v>500</v>
      </c>
      <c r="J244" s="357" t="s">
        <v>5455</v>
      </c>
      <c r="K244" s="353"/>
      <c r="L244" s="221">
        <v>212</v>
      </c>
      <c r="M244" s="221"/>
      <c r="N244" s="222" t="str">
        <f t="shared" si="6"/>
        <v>Contact famille</v>
      </c>
      <c r="O244" s="729">
        <v>212</v>
      </c>
      <c r="P244" s="729"/>
      <c r="Q244" s="730" t="str">
        <f t="shared" si="7"/>
        <v>Contact famille</v>
      </c>
      <c r="R244" s="732"/>
      <c r="S244" s="732"/>
      <c r="T244" s="732"/>
      <c r="U244" s="732"/>
      <c r="V244" s="732" t="s">
        <v>313</v>
      </c>
      <c r="W244" s="732"/>
      <c r="X244" s="732"/>
      <c r="Y244" s="732"/>
      <c r="Z244" s="732"/>
      <c r="AA244" s="732"/>
      <c r="AB244" s="12"/>
      <c r="AC244" s="155"/>
      <c r="AD244" s="155"/>
      <c r="AE244" s="155"/>
      <c r="AF244" s="12"/>
      <c r="AG244" s="386"/>
      <c r="AH244" s="392"/>
      <c r="AI244" s="18" t="s">
        <v>242</v>
      </c>
      <c r="AJ244" s="18" t="s">
        <v>242</v>
      </c>
      <c r="AK244" s="13" t="s">
        <v>242</v>
      </c>
      <c r="AL244" s="18" t="s">
        <v>242</v>
      </c>
      <c r="AM244" s="19" t="s">
        <v>244</v>
      </c>
      <c r="AN244" s="10"/>
      <c r="AO244" s="11"/>
      <c r="AP244" s="53"/>
      <c r="AQ244" s="20">
        <v>621433845</v>
      </c>
      <c r="AR244" s="68" t="s">
        <v>5464</v>
      </c>
      <c r="AS244" s="62"/>
      <c r="AT244" s="62"/>
      <c r="AU244" s="10"/>
      <c r="AV244" s="10"/>
      <c r="AW244" s="13"/>
      <c r="AX244" s="11"/>
      <c r="AY244" s="11"/>
      <c r="AZ244" s="11"/>
      <c r="BA244" s="11"/>
      <c r="BB244" s="59"/>
      <c r="BC244" s="59"/>
      <c r="BD244" s="59"/>
      <c r="BE244" s="59"/>
      <c r="BF244" s="59"/>
      <c r="BG244" s="59"/>
      <c r="BH244" s="138"/>
      <c r="BI244" s="138"/>
      <c r="BJ244" s="138"/>
      <c r="BK244" s="231"/>
      <c r="BL244" s="231"/>
      <c r="BM244" s="231"/>
      <c r="BN244" s="232"/>
      <c r="BO244" s="11"/>
      <c r="BP244" s="11"/>
      <c r="BQ244" s="11"/>
      <c r="BR244" s="11"/>
      <c r="BS244" s="394"/>
      <c r="BT244"/>
    </row>
    <row r="245" spans="1:72" s="150" customFormat="1" ht="13.5" customHeight="1" x14ac:dyDescent="0.15">
      <c r="A245" s="48" t="s">
        <v>5465</v>
      </c>
      <c r="B245" s="9" t="s">
        <v>5456</v>
      </c>
      <c r="C245" s="9"/>
      <c r="D245" s="9"/>
      <c r="E245" s="9"/>
      <c r="F245" s="11" t="s">
        <v>5459</v>
      </c>
      <c r="G245" s="11" t="s">
        <v>5460</v>
      </c>
      <c r="H245" s="5" t="s">
        <v>5461</v>
      </c>
      <c r="I245" s="11" t="s">
        <v>500</v>
      </c>
      <c r="J245" s="357" t="s">
        <v>5455</v>
      </c>
      <c r="K245" s="353"/>
      <c r="L245" s="221">
        <v>17</v>
      </c>
      <c r="M245" s="221"/>
      <c r="N245" s="222" t="str">
        <f t="shared" si="6"/>
        <v>U 11 Dames</v>
      </c>
      <c r="O245" s="729">
        <v>17</v>
      </c>
      <c r="P245" s="729"/>
      <c r="Q245" s="730" t="str">
        <f t="shared" si="7"/>
        <v>U 11 Dames</v>
      </c>
      <c r="R245" s="732"/>
      <c r="S245" s="732"/>
      <c r="T245" s="732"/>
      <c r="U245" s="732"/>
      <c r="V245" s="732" t="s">
        <v>192</v>
      </c>
      <c r="W245" s="732"/>
      <c r="X245" s="732"/>
      <c r="Y245" s="732"/>
      <c r="Z245" s="732"/>
      <c r="AA245" s="732"/>
      <c r="AB245" s="12" t="s">
        <v>5470</v>
      </c>
      <c r="AC245" s="155"/>
      <c r="AD245" s="155"/>
      <c r="AE245" s="155"/>
      <c r="AF245" s="12"/>
      <c r="AG245" s="386" t="s">
        <v>5173</v>
      </c>
      <c r="AH245" s="392"/>
      <c r="AI245" s="18">
        <v>46051</v>
      </c>
      <c r="AJ245" s="18">
        <v>46041</v>
      </c>
      <c r="AK245" s="13">
        <v>2028</v>
      </c>
      <c r="AL245" s="18">
        <v>42468</v>
      </c>
      <c r="AM245" s="5" t="s">
        <v>5462</v>
      </c>
      <c r="AN245" s="10"/>
      <c r="AO245" s="11"/>
      <c r="AP245" s="53"/>
      <c r="AQ245" s="20">
        <v>621433845</v>
      </c>
      <c r="AR245" s="68" t="s">
        <v>5463</v>
      </c>
      <c r="AS245" s="62"/>
      <c r="AT245" s="62"/>
      <c r="AU245" s="10"/>
      <c r="AV245" s="10"/>
      <c r="AW245" s="13"/>
      <c r="AX245" s="11"/>
      <c r="AY245" s="11"/>
      <c r="AZ245" s="11"/>
      <c r="BA245" s="11"/>
      <c r="BB245" s="59"/>
      <c r="BC245" s="59"/>
      <c r="BD245" s="59"/>
      <c r="BE245" s="59"/>
      <c r="BF245" s="59"/>
      <c r="BG245" s="59"/>
      <c r="BH245" s="530"/>
      <c r="BI245" s="530"/>
      <c r="BJ245" s="138"/>
      <c r="BK245" s="231"/>
      <c r="BL245" s="231"/>
      <c r="BM245" s="231"/>
      <c r="BN245" s="232"/>
      <c r="BO245" s="11"/>
      <c r="BP245" s="11"/>
      <c r="BQ245" s="73"/>
      <c r="BR245" s="73"/>
      <c r="BS245" s="394"/>
      <c r="BT245"/>
    </row>
    <row r="246" spans="1:72" ht="12.75" customHeight="1" x14ac:dyDescent="0.15">
      <c r="A246" s="48" t="s">
        <v>4705</v>
      </c>
      <c r="B246" s="9" t="s">
        <v>4706</v>
      </c>
      <c r="C246" s="9"/>
      <c r="D246" s="9"/>
      <c r="E246" s="9"/>
      <c r="F246" s="112" t="s">
        <v>107</v>
      </c>
      <c r="G246" s="10" t="s">
        <v>4708</v>
      </c>
      <c r="H246" s="5" t="s">
        <v>4709</v>
      </c>
      <c r="I246" s="11" t="s">
        <v>177</v>
      </c>
      <c r="J246" s="357" t="s">
        <v>4707</v>
      </c>
      <c r="K246" s="353"/>
      <c r="L246" s="221">
        <v>212</v>
      </c>
      <c r="M246" s="221"/>
      <c r="N246" s="222" t="str">
        <f t="shared" si="6"/>
        <v>Contact famille</v>
      </c>
      <c r="O246" s="729">
        <v>212</v>
      </c>
      <c r="P246" s="729"/>
      <c r="Q246" s="730" t="str">
        <f t="shared" si="7"/>
        <v>Contact famille</v>
      </c>
      <c r="R246" s="731"/>
      <c r="S246" s="731"/>
      <c r="T246" s="731"/>
      <c r="U246" s="731"/>
      <c r="V246" s="731"/>
      <c r="W246" s="731" t="s">
        <v>313</v>
      </c>
      <c r="X246" s="731" t="s">
        <v>313</v>
      </c>
      <c r="Y246" s="731"/>
      <c r="Z246" s="731"/>
      <c r="AA246" s="731"/>
      <c r="AB246" s="12"/>
      <c r="AC246" s="12"/>
      <c r="AD246" s="12"/>
      <c r="AE246" s="12"/>
      <c r="AF246" s="12"/>
      <c r="AG246" s="369"/>
      <c r="AH246" s="370"/>
      <c r="AI246" s="18" t="s">
        <v>242</v>
      </c>
      <c r="AJ246" s="18" t="s">
        <v>242</v>
      </c>
      <c r="AK246" s="13" t="s">
        <v>242</v>
      </c>
      <c r="AL246" s="18" t="s">
        <v>242</v>
      </c>
      <c r="AM246" s="19" t="s">
        <v>244</v>
      </c>
      <c r="AN246" s="38"/>
      <c r="AO246" s="10"/>
      <c r="AP246" s="40"/>
      <c r="AQ246" s="10"/>
      <c r="AR246" s="21"/>
      <c r="AS246" s="62"/>
      <c r="AT246" s="62"/>
      <c r="AU246" s="11"/>
      <c r="AV246" s="10"/>
      <c r="AW246" s="11"/>
      <c r="AX246" s="11"/>
      <c r="AY246" s="11"/>
      <c r="AZ246" s="11"/>
      <c r="BA246" s="11"/>
      <c r="BB246" s="59"/>
      <c r="BC246" s="59"/>
      <c r="BD246" s="59"/>
      <c r="BE246" s="59"/>
      <c r="BF246" s="59"/>
      <c r="BG246" s="59"/>
      <c r="BH246" s="138"/>
      <c r="BI246" s="138"/>
      <c r="BJ246" s="138"/>
      <c r="BK246" s="231"/>
      <c r="BL246" s="231"/>
      <c r="BM246" s="231"/>
      <c r="BN246" s="232"/>
      <c r="BO246" s="19"/>
      <c r="BP246" s="23"/>
      <c r="BQ246" s="23"/>
      <c r="BR246" s="23"/>
      <c r="BS246" s="43"/>
      <c r="BT246" s="150"/>
    </row>
    <row r="247" spans="1:72" ht="12.75" customHeight="1" x14ac:dyDescent="0.15">
      <c r="A247" s="48" t="s">
        <v>4988</v>
      </c>
      <c r="B247" s="9" t="s">
        <v>1113</v>
      </c>
      <c r="C247" s="9"/>
      <c r="D247" s="9"/>
      <c r="E247" s="9"/>
      <c r="F247" s="112" t="s">
        <v>107</v>
      </c>
      <c r="G247" s="10" t="s">
        <v>4983</v>
      </c>
      <c r="H247" s="5" t="s">
        <v>4984</v>
      </c>
      <c r="I247" s="11" t="s">
        <v>558</v>
      </c>
      <c r="J247" s="357" t="s">
        <v>551</v>
      </c>
      <c r="K247" s="353"/>
      <c r="L247" s="221">
        <v>212</v>
      </c>
      <c r="M247" s="221"/>
      <c r="N247" s="222" t="str">
        <f t="shared" si="6"/>
        <v>Contact famille</v>
      </c>
      <c r="O247" s="729">
        <v>221</v>
      </c>
      <c r="P247" s="729"/>
      <c r="Q247" s="730" t="str">
        <f t="shared" si="7"/>
        <v>Arrêt temporaire licencié</v>
      </c>
      <c r="R247" s="731"/>
      <c r="S247" s="731"/>
      <c r="T247" s="731"/>
      <c r="U247" s="731"/>
      <c r="V247" s="731"/>
      <c r="W247" s="731"/>
      <c r="X247" s="731" t="s">
        <v>313</v>
      </c>
      <c r="Y247" s="731"/>
      <c r="Z247" s="731"/>
      <c r="AA247" s="731"/>
      <c r="AB247" s="12"/>
      <c r="AC247" s="12"/>
      <c r="AD247" s="12"/>
      <c r="AE247" s="12"/>
      <c r="AF247" s="12"/>
      <c r="AG247" s="369"/>
      <c r="AH247" s="370"/>
      <c r="AI247" s="18" t="s">
        <v>242</v>
      </c>
      <c r="AJ247" s="18" t="s">
        <v>242</v>
      </c>
      <c r="AK247" s="13" t="s">
        <v>242</v>
      </c>
      <c r="AL247" s="689" t="s">
        <v>242</v>
      </c>
      <c r="AM247" s="690" t="s">
        <v>244</v>
      </c>
      <c r="AN247" s="38"/>
      <c r="AO247" s="10"/>
      <c r="AP247" s="40"/>
      <c r="AQ247" s="10"/>
      <c r="AR247" s="21"/>
      <c r="AS247" s="62"/>
      <c r="AT247" s="62"/>
      <c r="AU247" s="11"/>
      <c r="AV247" s="10"/>
      <c r="AW247" s="11"/>
      <c r="AX247" s="11"/>
      <c r="AY247" s="11"/>
      <c r="AZ247" s="11"/>
      <c r="BA247" s="11"/>
      <c r="BB247" s="59"/>
      <c r="BC247" s="59"/>
      <c r="BD247" s="59"/>
      <c r="BE247" s="59"/>
      <c r="BF247" s="59"/>
      <c r="BG247" s="59"/>
      <c r="BH247" s="138"/>
      <c r="BI247" s="138"/>
      <c r="BJ247" s="138"/>
      <c r="BK247" s="231"/>
      <c r="BL247" s="231"/>
      <c r="BM247" s="231"/>
      <c r="BN247" s="232"/>
      <c r="BO247" s="19"/>
      <c r="BP247" s="23"/>
      <c r="BQ247" s="23"/>
      <c r="BR247" s="23"/>
      <c r="BS247" s="43"/>
      <c r="BT247" s="111"/>
    </row>
    <row r="248" spans="1:72" ht="12.75" customHeight="1" x14ac:dyDescent="0.15">
      <c r="A248" s="106" t="s">
        <v>932</v>
      </c>
      <c r="B248" s="107" t="s">
        <v>933</v>
      </c>
      <c r="C248" s="107"/>
      <c r="D248" s="107"/>
      <c r="E248" s="107"/>
      <c r="F248" s="112" t="s">
        <v>107</v>
      </c>
      <c r="G248" s="112" t="s">
        <v>934</v>
      </c>
      <c r="H248" s="113" t="s">
        <v>935</v>
      </c>
      <c r="I248" s="110" t="s">
        <v>936</v>
      </c>
      <c r="J248" s="497" t="s">
        <v>320</v>
      </c>
      <c r="K248" s="498" t="s">
        <v>252</v>
      </c>
      <c r="L248" s="382">
        <v>2</v>
      </c>
      <c r="M248" s="382"/>
      <c r="N248" s="383" t="str">
        <f t="shared" si="6"/>
        <v>Seniors - Hommes</v>
      </c>
      <c r="O248" s="738">
        <v>2</v>
      </c>
      <c r="P248" s="738"/>
      <c r="Q248" s="730" t="str">
        <f t="shared" si="7"/>
        <v>Seniors - Hommes</v>
      </c>
      <c r="R248" s="731"/>
      <c r="S248" s="731"/>
      <c r="T248" s="731"/>
      <c r="U248" s="731"/>
      <c r="V248" s="731"/>
      <c r="W248" s="731"/>
      <c r="X248" s="731"/>
      <c r="Y248" s="731"/>
      <c r="Z248" s="731"/>
      <c r="AA248" s="731"/>
      <c r="AB248" s="61" t="s">
        <v>2987</v>
      </c>
      <c r="AC248" s="61" t="s">
        <v>3096</v>
      </c>
      <c r="AD248" s="61" t="s">
        <v>3096</v>
      </c>
      <c r="AE248" s="61"/>
      <c r="AF248" s="61"/>
      <c r="AG248" s="501"/>
      <c r="AH248" s="375"/>
      <c r="AI248" s="114">
        <v>39392</v>
      </c>
      <c r="AJ248" s="114">
        <v>39392</v>
      </c>
      <c r="AK248" s="71">
        <v>2028</v>
      </c>
      <c r="AL248" s="114">
        <v>35964</v>
      </c>
      <c r="AM248" s="115" t="s">
        <v>3317</v>
      </c>
      <c r="AN248" s="115"/>
      <c r="AO248" s="112" t="s">
        <v>1994</v>
      </c>
      <c r="AP248" s="112"/>
      <c r="AQ248" s="116" t="s">
        <v>3318</v>
      </c>
      <c r="AR248" s="119" t="s">
        <v>1996</v>
      </c>
      <c r="AS248" s="61"/>
      <c r="AT248" s="61"/>
      <c r="AU248" s="112"/>
      <c r="AV248" s="112"/>
      <c r="AW248" s="113"/>
      <c r="AX248" s="110"/>
      <c r="AY248" s="110"/>
      <c r="AZ248" s="502" t="s">
        <v>209</v>
      </c>
      <c r="BA248" s="502"/>
      <c r="BB248" s="154" t="s">
        <v>2813</v>
      </c>
      <c r="BC248" s="154" t="s">
        <v>3151</v>
      </c>
      <c r="BD248" s="503"/>
      <c r="BE248" s="503">
        <v>150</v>
      </c>
      <c r="BF248" s="503"/>
      <c r="BG248" s="503"/>
      <c r="BH248" s="504"/>
      <c r="BI248" s="504"/>
      <c r="BJ248" s="504"/>
      <c r="BK248" s="505"/>
      <c r="BL248" s="505"/>
      <c r="BM248" s="505"/>
      <c r="BN248" s="506"/>
      <c r="BO248" s="115"/>
      <c r="BP248" s="199" t="s">
        <v>1537</v>
      </c>
      <c r="BQ248" s="199"/>
      <c r="BR248" s="199"/>
      <c r="BS248" s="507"/>
    </row>
    <row r="249" spans="1:72" ht="12.75" customHeight="1" x14ac:dyDescent="0.15">
      <c r="A249" s="48" t="s">
        <v>1998</v>
      </c>
      <c r="B249" s="9" t="s">
        <v>1131</v>
      </c>
      <c r="C249" s="9"/>
      <c r="D249" s="9"/>
      <c r="E249" s="9"/>
      <c r="F249" s="10" t="s">
        <v>107</v>
      </c>
      <c r="G249" s="10" t="s">
        <v>1999</v>
      </c>
      <c r="H249" s="5" t="s">
        <v>2000</v>
      </c>
      <c r="I249" s="11" t="s">
        <v>800</v>
      </c>
      <c r="J249" s="357" t="s">
        <v>2001</v>
      </c>
      <c r="K249" s="353"/>
      <c r="L249" s="221">
        <v>212</v>
      </c>
      <c r="M249" s="221"/>
      <c r="N249" s="222" t="str">
        <f t="shared" si="6"/>
        <v>Contact famille</v>
      </c>
      <c r="O249" s="729">
        <v>212</v>
      </c>
      <c r="P249" s="729"/>
      <c r="Q249" s="730" t="str">
        <f t="shared" si="7"/>
        <v>Contact famille</v>
      </c>
      <c r="R249" s="731"/>
      <c r="S249" s="731"/>
      <c r="T249" s="731"/>
      <c r="U249" s="731"/>
      <c r="V249" s="731"/>
      <c r="W249" s="731"/>
      <c r="X249" s="731"/>
      <c r="Y249" s="731" t="s">
        <v>313</v>
      </c>
      <c r="Z249" s="731"/>
      <c r="AA249" s="731"/>
      <c r="AB249" s="12"/>
      <c r="AC249" s="12"/>
      <c r="AD249" s="12"/>
      <c r="AE249" s="12"/>
      <c r="AF249" s="12"/>
      <c r="AG249" s="369"/>
      <c r="AH249" s="370"/>
      <c r="AI249" s="5"/>
      <c r="AJ249" s="18">
        <v>43495</v>
      </c>
      <c r="AK249" s="13" t="s">
        <v>242</v>
      </c>
      <c r="AL249" s="13" t="s">
        <v>242</v>
      </c>
      <c r="AM249" s="46" t="s">
        <v>244</v>
      </c>
      <c r="AN249" s="19"/>
      <c r="AO249" s="10"/>
      <c r="AP249" s="40"/>
      <c r="AQ249" s="10" t="s">
        <v>2002</v>
      </c>
      <c r="AR249" s="21" t="s">
        <v>2003</v>
      </c>
      <c r="AS249" s="62"/>
      <c r="AT249" s="62"/>
      <c r="AU249" s="11"/>
      <c r="AV249" s="10"/>
      <c r="AW249" s="11"/>
      <c r="AX249" s="11"/>
      <c r="AY249" s="11"/>
      <c r="AZ249" s="11" t="s">
        <v>209</v>
      </c>
      <c r="BA249" s="11"/>
      <c r="BB249" s="59" t="s">
        <v>2813</v>
      </c>
      <c r="BC249" s="59" t="s">
        <v>292</v>
      </c>
      <c r="BD249" s="59"/>
      <c r="BE249" s="59" t="s">
        <v>988</v>
      </c>
      <c r="BF249" s="59"/>
      <c r="BG249" s="59"/>
      <c r="BH249" s="138"/>
      <c r="BI249" s="138"/>
      <c r="BJ249" s="138"/>
      <c r="BK249" s="231"/>
      <c r="BL249" s="231"/>
      <c r="BM249" s="231"/>
      <c r="BN249" s="232"/>
      <c r="BO249" s="19"/>
      <c r="BP249" s="23"/>
      <c r="BQ249" s="23"/>
      <c r="BR249" s="23"/>
      <c r="BS249" s="43"/>
    </row>
    <row r="250" spans="1:72" s="150" customFormat="1" ht="12.75" customHeight="1" x14ac:dyDescent="0.15">
      <c r="A250" s="48" t="s">
        <v>4800</v>
      </c>
      <c r="B250" s="9" t="s">
        <v>4801</v>
      </c>
      <c r="C250" s="9"/>
      <c r="D250" s="9"/>
      <c r="E250" s="9"/>
      <c r="F250" s="10" t="s">
        <v>4802</v>
      </c>
      <c r="G250" s="10" t="s">
        <v>4803</v>
      </c>
      <c r="H250" s="5" t="s">
        <v>273</v>
      </c>
      <c r="I250" s="11" t="s">
        <v>274</v>
      </c>
      <c r="J250" s="357" t="s">
        <v>320</v>
      </c>
      <c r="K250" s="353"/>
      <c r="L250" s="221">
        <v>2</v>
      </c>
      <c r="M250" s="221"/>
      <c r="N250" s="222" t="str">
        <f t="shared" si="6"/>
        <v>Seniors - Hommes</v>
      </c>
      <c r="O250" s="729">
        <v>2</v>
      </c>
      <c r="P250" s="729"/>
      <c r="Q250" s="730" t="str">
        <f t="shared" si="7"/>
        <v>Seniors - Hommes</v>
      </c>
      <c r="R250" s="731"/>
      <c r="S250" s="731"/>
      <c r="T250" s="731"/>
      <c r="U250" s="731"/>
      <c r="V250" s="731"/>
      <c r="W250" s="731"/>
      <c r="X250" s="731"/>
      <c r="Y250" s="731"/>
      <c r="Z250" s="731"/>
      <c r="AA250" s="731"/>
      <c r="AB250" s="12" t="s">
        <v>4806</v>
      </c>
      <c r="AC250" s="12"/>
      <c r="AD250" s="12"/>
      <c r="AE250" s="12"/>
      <c r="AF250" s="12"/>
      <c r="AG250" s="373" t="s">
        <v>5191</v>
      </c>
      <c r="AH250" s="370"/>
      <c r="AI250" s="18">
        <v>45497</v>
      </c>
      <c r="AJ250" s="18">
        <v>45488</v>
      </c>
      <c r="AK250" s="36">
        <v>2024</v>
      </c>
      <c r="AL250" s="794">
        <v>34918</v>
      </c>
      <c r="AM250" s="46" t="s">
        <v>4804</v>
      </c>
      <c r="AN250" s="38"/>
      <c r="AO250" s="10"/>
      <c r="AP250" s="40"/>
      <c r="AQ250" s="750">
        <v>621704916</v>
      </c>
      <c r="AR250" s="723" t="s">
        <v>4805</v>
      </c>
      <c r="AS250" s="62"/>
      <c r="AT250" s="62"/>
      <c r="AU250" s="11"/>
      <c r="AV250" s="10"/>
      <c r="AW250" s="11"/>
      <c r="AX250" s="11"/>
      <c r="AY250" s="11"/>
      <c r="AZ250" s="11"/>
      <c r="BA250" s="11"/>
      <c r="BB250" s="59"/>
      <c r="BC250" s="59"/>
      <c r="BD250" s="59"/>
      <c r="BE250" s="59"/>
      <c r="BF250" s="59"/>
      <c r="BG250" s="59"/>
      <c r="BH250" s="138"/>
      <c r="BI250" s="138"/>
      <c r="BJ250" s="138"/>
      <c r="BK250" s="231"/>
      <c r="BL250" s="231"/>
      <c r="BM250" s="231"/>
      <c r="BN250" s="232"/>
      <c r="BO250" s="19"/>
      <c r="BP250" s="23"/>
      <c r="BQ250" s="23"/>
      <c r="BR250" s="23"/>
      <c r="BS250" s="43"/>
      <c r="BT250"/>
    </row>
    <row r="251" spans="1:72" ht="12.75" customHeight="1" x14ac:dyDescent="0.15">
      <c r="A251" s="48" t="s">
        <v>5496</v>
      </c>
      <c r="B251" s="9" t="s">
        <v>5497</v>
      </c>
      <c r="C251" s="9"/>
      <c r="D251" s="9"/>
      <c r="E251" s="9"/>
      <c r="F251" s="11" t="s">
        <v>5498</v>
      </c>
      <c r="G251" s="11" t="s">
        <v>5499</v>
      </c>
      <c r="H251" s="5" t="s">
        <v>5500</v>
      </c>
      <c r="I251" s="11" t="s">
        <v>266</v>
      </c>
      <c r="J251" s="357" t="s">
        <v>738</v>
      </c>
      <c r="K251" s="353"/>
      <c r="L251" s="221">
        <v>212</v>
      </c>
      <c r="M251" s="221"/>
      <c r="N251" s="222" t="str">
        <f t="shared" si="6"/>
        <v>Contact famille</v>
      </c>
      <c r="O251" s="729">
        <v>212</v>
      </c>
      <c r="P251" s="729"/>
      <c r="Q251" s="730" t="str">
        <f t="shared" si="7"/>
        <v>Contact famille</v>
      </c>
      <c r="R251" s="732"/>
      <c r="S251" s="732"/>
      <c r="T251" s="732"/>
      <c r="U251" s="732"/>
      <c r="V251" s="732"/>
      <c r="W251" s="732"/>
      <c r="X251" s="732" t="s">
        <v>313</v>
      </c>
      <c r="Y251" s="732"/>
      <c r="Z251" s="732"/>
      <c r="AA251" s="732"/>
      <c r="AB251" s="12"/>
      <c r="AC251" s="155"/>
      <c r="AD251" s="155"/>
      <c r="AE251" s="155"/>
      <c r="AF251" s="12"/>
      <c r="AG251" s="386"/>
      <c r="AH251" s="392"/>
      <c r="AI251" s="18" t="s">
        <v>242</v>
      </c>
      <c r="AJ251" s="18" t="s">
        <v>242</v>
      </c>
      <c r="AK251" s="13" t="s">
        <v>242</v>
      </c>
      <c r="AL251" s="18" t="s">
        <v>242</v>
      </c>
      <c r="AM251" s="19" t="s">
        <v>244</v>
      </c>
      <c r="AN251" s="10"/>
      <c r="AO251" s="11"/>
      <c r="AP251" s="53"/>
      <c r="AQ251" s="10"/>
      <c r="AR251" s="11"/>
      <c r="AS251" s="62"/>
      <c r="AT251" s="62"/>
      <c r="AU251" s="10"/>
      <c r="AV251" s="10"/>
      <c r="AW251" s="13"/>
      <c r="AX251" s="11"/>
      <c r="AY251" s="11"/>
      <c r="AZ251" s="11"/>
      <c r="BA251" s="11"/>
      <c r="BB251" s="59"/>
      <c r="BC251" s="59"/>
      <c r="BD251" s="59"/>
      <c r="BE251" s="59"/>
      <c r="BF251" s="59"/>
      <c r="BG251" s="59"/>
      <c r="BH251" s="138"/>
      <c r="BI251" s="138"/>
      <c r="BJ251" s="138"/>
      <c r="BK251" s="231"/>
      <c r="BL251" s="231"/>
      <c r="BM251" s="231"/>
      <c r="BN251" s="232"/>
      <c r="BO251" s="11"/>
      <c r="BP251" s="11"/>
      <c r="BQ251" s="11"/>
      <c r="BR251" s="11"/>
      <c r="BS251" s="394"/>
    </row>
    <row r="252" spans="1:72" ht="12.75" customHeight="1" x14ac:dyDescent="0.15">
      <c r="A252" s="48" t="s">
        <v>4274</v>
      </c>
      <c r="B252" s="9" t="s">
        <v>4275</v>
      </c>
      <c r="C252" s="9"/>
      <c r="D252" s="9"/>
      <c r="E252" s="9"/>
      <c r="F252" s="10" t="s">
        <v>107</v>
      </c>
      <c r="G252" s="10" t="s">
        <v>4276</v>
      </c>
      <c r="H252" s="5" t="s">
        <v>868</v>
      </c>
      <c r="I252" s="11" t="s">
        <v>869</v>
      </c>
      <c r="J252" s="357" t="s">
        <v>320</v>
      </c>
      <c r="K252" s="353"/>
      <c r="L252" s="221">
        <v>2</v>
      </c>
      <c r="M252" s="221"/>
      <c r="N252" s="222" t="str">
        <f t="shared" si="6"/>
        <v>Seniors - Hommes</v>
      </c>
      <c r="O252" s="729">
        <v>2</v>
      </c>
      <c r="P252" s="729"/>
      <c r="Q252" s="730" t="str">
        <f t="shared" si="7"/>
        <v>Seniors - Hommes</v>
      </c>
      <c r="R252" s="731"/>
      <c r="S252" s="731"/>
      <c r="T252" s="731"/>
      <c r="U252" s="731"/>
      <c r="V252" s="731"/>
      <c r="W252" s="731"/>
      <c r="X252" s="731"/>
      <c r="Y252" s="731"/>
      <c r="Z252" s="731"/>
      <c r="AA252" s="731"/>
      <c r="AB252" s="12" t="s">
        <v>4308</v>
      </c>
      <c r="AC252" s="12"/>
      <c r="AD252" s="12"/>
      <c r="AE252" s="12"/>
      <c r="AF252" s="12"/>
      <c r="AG252" s="369"/>
      <c r="AH252" s="370"/>
      <c r="AI252" s="18">
        <v>44970</v>
      </c>
      <c r="AJ252" s="18">
        <v>44957</v>
      </c>
      <c r="AK252" s="13">
        <v>2031</v>
      </c>
      <c r="AL252" s="18">
        <v>33456</v>
      </c>
      <c r="AM252" s="19" t="s">
        <v>4277</v>
      </c>
      <c r="AN252" s="38"/>
      <c r="AO252" s="10"/>
      <c r="AP252" s="40"/>
      <c r="AQ252" s="20">
        <v>691874395</v>
      </c>
      <c r="AR252" s="47" t="s">
        <v>4278</v>
      </c>
      <c r="AS252" s="62"/>
      <c r="AT252" s="62"/>
      <c r="AU252" s="11"/>
      <c r="AV252" s="10"/>
      <c r="AW252" s="11"/>
      <c r="AX252" s="11"/>
      <c r="AY252" s="11"/>
      <c r="AZ252" s="11"/>
      <c r="BA252" s="11"/>
      <c r="BB252" s="59"/>
      <c r="BC252" s="59"/>
      <c r="BD252" s="59"/>
      <c r="BE252" s="59"/>
      <c r="BF252" s="59"/>
      <c r="BG252" s="59"/>
      <c r="BH252" s="138"/>
      <c r="BI252" s="138"/>
      <c r="BJ252" s="138"/>
      <c r="BK252" s="231"/>
      <c r="BL252" s="231"/>
      <c r="BM252" s="231"/>
      <c r="BN252" s="232"/>
      <c r="BO252" s="19"/>
      <c r="BP252" s="23"/>
      <c r="BQ252" s="23"/>
      <c r="BR252" s="23"/>
      <c r="BS252" s="43"/>
    </row>
    <row r="253" spans="1:72" ht="12.75" customHeight="1" x14ac:dyDescent="0.15">
      <c r="A253" s="48" t="s">
        <v>4425</v>
      </c>
      <c r="B253" s="9" t="s">
        <v>777</v>
      </c>
      <c r="C253" s="9"/>
      <c r="D253" s="9"/>
      <c r="E253" s="9"/>
      <c r="F253" s="112" t="s">
        <v>490</v>
      </c>
      <c r="G253" s="10" t="s">
        <v>4428</v>
      </c>
      <c r="H253" s="5" t="s">
        <v>134</v>
      </c>
      <c r="I253" s="11" t="s">
        <v>135</v>
      </c>
      <c r="J253" s="357" t="s">
        <v>694</v>
      </c>
      <c r="K253" s="353"/>
      <c r="L253" s="221">
        <v>212</v>
      </c>
      <c r="M253" s="221"/>
      <c r="N253" s="222" t="str">
        <f t="shared" si="6"/>
        <v>Contact famille</v>
      </c>
      <c r="O253" s="729">
        <v>212</v>
      </c>
      <c r="P253" s="729"/>
      <c r="Q253" s="730" t="str">
        <f t="shared" si="7"/>
        <v>Contact famille</v>
      </c>
      <c r="R253" s="731"/>
      <c r="S253" s="731"/>
      <c r="T253" s="731"/>
      <c r="U253" s="731"/>
      <c r="V253" s="731"/>
      <c r="W253" s="731" t="s">
        <v>313</v>
      </c>
      <c r="X253" s="731" t="s">
        <v>313</v>
      </c>
      <c r="Y253" s="731"/>
      <c r="Z253" s="731"/>
      <c r="AA253" s="731"/>
      <c r="AB253" s="12"/>
      <c r="AC253" s="12"/>
      <c r="AD253" s="12"/>
      <c r="AE253" s="12"/>
      <c r="AF253" s="12"/>
      <c r="AG253" s="369"/>
      <c r="AH253" s="370"/>
      <c r="AI253" s="18" t="s">
        <v>242</v>
      </c>
      <c r="AJ253" s="18" t="s">
        <v>242</v>
      </c>
      <c r="AK253" s="13" t="s">
        <v>242</v>
      </c>
      <c r="AL253" s="13" t="s">
        <v>242</v>
      </c>
      <c r="AM253" s="46" t="s">
        <v>4430</v>
      </c>
      <c r="AN253" s="38"/>
      <c r="AO253" s="10"/>
      <c r="AP253" s="40"/>
      <c r="AQ253" s="20">
        <v>691997460</v>
      </c>
      <c r="AR253" s="47" t="s">
        <v>4437</v>
      </c>
      <c r="AS253" s="62"/>
      <c r="AT253" s="62"/>
      <c r="AU253" s="11"/>
      <c r="AV253" s="10"/>
      <c r="AW253" s="11"/>
      <c r="AX253" s="11"/>
      <c r="AY253" s="11"/>
      <c r="AZ253" s="11"/>
      <c r="BA253" s="11"/>
      <c r="BB253" s="59"/>
      <c r="BC253" s="59"/>
      <c r="BD253" s="59"/>
      <c r="BE253" s="59"/>
      <c r="BF253" s="59"/>
      <c r="BG253" s="59"/>
      <c r="BH253" s="138"/>
      <c r="BI253" s="138"/>
      <c r="BJ253" s="138"/>
      <c r="BK253" s="231"/>
      <c r="BL253" s="231"/>
      <c r="BM253" s="231"/>
      <c r="BN253" s="232"/>
      <c r="BO253" s="19"/>
      <c r="BP253" s="23"/>
      <c r="BQ253" s="23"/>
      <c r="BR253" s="23"/>
      <c r="BS253" s="43"/>
    </row>
    <row r="254" spans="1:72" s="150" customFormat="1" ht="12.75" customHeight="1" x14ac:dyDescent="0.15">
      <c r="A254" s="48" t="s">
        <v>4425</v>
      </c>
      <c r="B254" s="9" t="s">
        <v>1032</v>
      </c>
      <c r="C254" s="9"/>
      <c r="D254" s="9"/>
      <c r="E254" s="9"/>
      <c r="F254" s="112" t="s">
        <v>490</v>
      </c>
      <c r="G254" s="10" t="s">
        <v>4428</v>
      </c>
      <c r="H254" s="5" t="s">
        <v>134</v>
      </c>
      <c r="I254" s="11" t="s">
        <v>135</v>
      </c>
      <c r="J254" s="357" t="s">
        <v>694</v>
      </c>
      <c r="K254" s="353"/>
      <c r="L254" s="221">
        <v>212</v>
      </c>
      <c r="M254" s="221"/>
      <c r="N254" s="222" t="str">
        <f t="shared" si="6"/>
        <v>Contact famille</v>
      </c>
      <c r="O254" s="729">
        <v>212</v>
      </c>
      <c r="P254" s="729"/>
      <c r="Q254" s="730" t="str">
        <f t="shared" si="7"/>
        <v>Contact famille</v>
      </c>
      <c r="R254" s="731"/>
      <c r="S254" s="731"/>
      <c r="T254" s="731"/>
      <c r="U254" s="731"/>
      <c r="V254" s="731"/>
      <c r="W254" s="731" t="s">
        <v>313</v>
      </c>
      <c r="X254" s="731" t="s">
        <v>313</v>
      </c>
      <c r="Y254" s="731"/>
      <c r="Z254" s="731"/>
      <c r="AA254" s="731"/>
      <c r="AB254" s="12"/>
      <c r="AC254" s="12"/>
      <c r="AD254" s="12"/>
      <c r="AE254" s="12"/>
      <c r="AF254" s="12"/>
      <c r="AG254" s="369"/>
      <c r="AH254" s="370"/>
      <c r="AI254" s="18" t="s">
        <v>242</v>
      </c>
      <c r="AJ254" s="18" t="s">
        <v>242</v>
      </c>
      <c r="AK254" s="13" t="s">
        <v>242</v>
      </c>
      <c r="AL254" s="13" t="s">
        <v>242</v>
      </c>
      <c r="AM254" s="46" t="s">
        <v>4431</v>
      </c>
      <c r="AN254" s="38"/>
      <c r="AO254" s="10"/>
      <c r="AP254" s="40"/>
      <c r="AQ254" s="20">
        <v>691800206</v>
      </c>
      <c r="AR254" s="47" t="s">
        <v>4438</v>
      </c>
      <c r="AS254" s="62"/>
      <c r="AT254" s="62"/>
      <c r="AU254" s="11"/>
      <c r="AV254" s="10"/>
      <c r="AW254" s="11"/>
      <c r="AX254" s="11"/>
      <c r="AY254" s="11"/>
      <c r="AZ254" s="11"/>
      <c r="BA254" s="11"/>
      <c r="BB254" s="59"/>
      <c r="BC254" s="59"/>
      <c r="BD254" s="59"/>
      <c r="BE254" s="59"/>
      <c r="BF254" s="59"/>
      <c r="BG254" s="59"/>
      <c r="BH254" s="138"/>
      <c r="BI254" s="138"/>
      <c r="BJ254" s="138"/>
      <c r="BK254" s="231"/>
      <c r="BL254" s="231"/>
      <c r="BM254" s="231"/>
      <c r="BN254" s="232"/>
      <c r="BO254" s="19"/>
      <c r="BP254" s="23"/>
      <c r="BQ254" s="23"/>
      <c r="BR254" s="23"/>
      <c r="BS254" s="43"/>
      <c r="BT254"/>
    </row>
    <row r="255" spans="1:72" ht="12.75" customHeight="1" x14ac:dyDescent="0.15">
      <c r="A255" s="48" t="s">
        <v>4425</v>
      </c>
      <c r="B255" s="9" t="s">
        <v>681</v>
      </c>
      <c r="C255" s="9"/>
      <c r="D255" s="9"/>
      <c r="E255" s="9"/>
      <c r="F255" s="112" t="s">
        <v>4427</v>
      </c>
      <c r="G255" s="10" t="s">
        <v>4428</v>
      </c>
      <c r="H255" s="5" t="s">
        <v>134</v>
      </c>
      <c r="I255" s="11" t="s">
        <v>135</v>
      </c>
      <c r="J255" s="357" t="s">
        <v>694</v>
      </c>
      <c r="K255" s="353"/>
      <c r="L255" s="221">
        <v>21</v>
      </c>
      <c r="M255" s="221"/>
      <c r="N255" s="222" t="str">
        <f t="shared" si="6"/>
        <v>U7 Mixte</v>
      </c>
      <c r="O255" s="729">
        <v>21</v>
      </c>
      <c r="P255" s="729"/>
      <c r="Q255" s="730" t="str">
        <f t="shared" si="7"/>
        <v>U7 Mixte</v>
      </c>
      <c r="R255" s="731"/>
      <c r="S255" s="731"/>
      <c r="T255" s="731"/>
      <c r="U255" s="731"/>
      <c r="V255" s="731"/>
      <c r="W255" s="731"/>
      <c r="X255" s="731" t="s">
        <v>192</v>
      </c>
      <c r="Y255" s="731"/>
      <c r="Z255" s="731"/>
      <c r="AA255" s="731"/>
      <c r="AB255" s="12" t="s">
        <v>4501</v>
      </c>
      <c r="AC255" s="12"/>
      <c r="AD255" s="12"/>
      <c r="AE255" s="12"/>
      <c r="AF255" s="12"/>
      <c r="AG255" s="369"/>
      <c r="AH255" s="370"/>
      <c r="AI255" s="18">
        <v>45194</v>
      </c>
      <c r="AJ255" s="18">
        <v>45154</v>
      </c>
      <c r="AK255" s="13">
        <v>2027</v>
      </c>
      <c r="AL255" s="18">
        <v>44028</v>
      </c>
      <c r="AM255" s="19" t="s">
        <v>4432</v>
      </c>
      <c r="AN255" s="38"/>
      <c r="AO255" s="10"/>
      <c r="AP255" s="40" t="s">
        <v>4433</v>
      </c>
      <c r="AQ255" s="10" t="s">
        <v>4434</v>
      </c>
      <c r="AR255" s="47" t="s">
        <v>4437</v>
      </c>
      <c r="AS255" s="62"/>
      <c r="AT255" s="62"/>
      <c r="AU255" s="11"/>
      <c r="AV255" s="10"/>
      <c r="AW255" s="11"/>
      <c r="AX255" s="11"/>
      <c r="AY255" s="11"/>
      <c r="AZ255" s="11"/>
      <c r="BA255" s="11"/>
      <c r="BB255" s="59"/>
      <c r="BC255" s="59"/>
      <c r="BD255" s="59"/>
      <c r="BE255" s="59"/>
      <c r="BF255" s="59"/>
      <c r="BG255" s="59"/>
      <c r="BH255" s="138"/>
      <c r="BI255" s="138"/>
      <c r="BJ255" s="138"/>
      <c r="BK255" s="231"/>
      <c r="BL255" s="231"/>
      <c r="BM255" s="231"/>
      <c r="BN255" s="232"/>
      <c r="BO255" s="19"/>
      <c r="BP255" s="23"/>
      <c r="BQ255" s="23"/>
      <c r="BR255" s="23"/>
      <c r="BS255" s="43"/>
    </row>
    <row r="256" spans="1:72" ht="12.75" customHeight="1" x14ac:dyDescent="0.15">
      <c r="A256" s="48" t="s">
        <v>4425</v>
      </c>
      <c r="B256" s="9" t="s">
        <v>4426</v>
      </c>
      <c r="C256" s="9"/>
      <c r="D256" s="9"/>
      <c r="E256" s="9"/>
      <c r="F256" s="112" t="s">
        <v>4427</v>
      </c>
      <c r="G256" s="10" t="s">
        <v>4428</v>
      </c>
      <c r="H256" s="5" t="s">
        <v>134</v>
      </c>
      <c r="I256" s="11" t="s">
        <v>135</v>
      </c>
      <c r="J256" s="357" t="s">
        <v>694</v>
      </c>
      <c r="K256" s="353"/>
      <c r="L256" s="221">
        <v>18</v>
      </c>
      <c r="M256" s="221"/>
      <c r="N256" s="222" t="str">
        <f t="shared" si="6"/>
        <v>U 9 Dames</v>
      </c>
      <c r="O256" s="729">
        <v>18</v>
      </c>
      <c r="P256" s="729"/>
      <c r="Q256" s="730" t="str">
        <f t="shared" si="7"/>
        <v>U 9 Dames</v>
      </c>
      <c r="R256" s="731"/>
      <c r="S256" s="731"/>
      <c r="T256" s="731"/>
      <c r="U256" s="731"/>
      <c r="V256" s="731"/>
      <c r="W256" s="731" t="s">
        <v>192</v>
      </c>
      <c r="X256" s="731"/>
      <c r="Y256" s="731"/>
      <c r="Z256" s="731"/>
      <c r="AA256" s="731"/>
      <c r="AB256" s="12" t="s">
        <v>4500</v>
      </c>
      <c r="AC256" s="12"/>
      <c r="AD256" s="12"/>
      <c r="AE256" s="12"/>
      <c r="AF256" s="12"/>
      <c r="AG256" s="386"/>
      <c r="AH256" s="370"/>
      <c r="AI256" s="18">
        <v>45194</v>
      </c>
      <c r="AJ256" s="18">
        <v>45154</v>
      </c>
      <c r="AK256" s="13">
        <v>2026</v>
      </c>
      <c r="AL256" s="18">
        <v>43573</v>
      </c>
      <c r="AM256" s="19" t="s">
        <v>4429</v>
      </c>
      <c r="AN256" s="38"/>
      <c r="AO256" s="10"/>
      <c r="AP256" s="40" t="s">
        <v>4435</v>
      </c>
      <c r="AQ256" s="10" t="s">
        <v>4436</v>
      </c>
      <c r="AR256" s="47" t="s">
        <v>4437</v>
      </c>
      <c r="AS256" s="62"/>
      <c r="AT256" s="62"/>
      <c r="AU256" s="11"/>
      <c r="AV256" s="10"/>
      <c r="AW256" s="11"/>
      <c r="AX256" s="11"/>
      <c r="AY256" s="11"/>
      <c r="AZ256" s="11"/>
      <c r="BA256" s="11"/>
      <c r="BB256" s="59"/>
      <c r="BC256" s="59"/>
      <c r="BD256" s="59"/>
      <c r="BE256" s="59"/>
      <c r="BF256" s="59"/>
      <c r="BG256" s="59"/>
      <c r="BH256" s="138"/>
      <c r="BI256" s="138"/>
      <c r="BJ256" s="138"/>
      <c r="BK256" s="231"/>
      <c r="BL256" s="231"/>
      <c r="BM256" s="231"/>
      <c r="BN256" s="232"/>
      <c r="BO256" s="19"/>
      <c r="BP256" s="23"/>
      <c r="BQ256" s="23"/>
      <c r="BR256" s="23"/>
      <c r="BS256" s="43"/>
    </row>
    <row r="257" spans="1:72" ht="12.75" customHeight="1" x14ac:dyDescent="0.15">
      <c r="A257" s="48" t="s">
        <v>4915</v>
      </c>
      <c r="B257" s="9" t="s">
        <v>4918</v>
      </c>
      <c r="C257" s="9"/>
      <c r="D257" s="9"/>
      <c r="E257" s="9"/>
      <c r="F257" s="112" t="s">
        <v>107</v>
      </c>
      <c r="G257" s="10" t="s">
        <v>4919</v>
      </c>
      <c r="H257" s="5" t="s">
        <v>4920</v>
      </c>
      <c r="I257" s="11" t="s">
        <v>528</v>
      </c>
      <c r="J257" s="357" t="s">
        <v>941</v>
      </c>
      <c r="K257" s="353"/>
      <c r="L257" s="221">
        <v>212</v>
      </c>
      <c r="M257" s="221"/>
      <c r="N257" s="222" t="str">
        <f t="shared" si="6"/>
        <v>Contact famille</v>
      </c>
      <c r="O257" s="729">
        <v>212</v>
      </c>
      <c r="P257" s="729"/>
      <c r="Q257" s="730" t="str">
        <f t="shared" si="7"/>
        <v>Contact famille</v>
      </c>
      <c r="R257" s="731"/>
      <c r="S257" s="731"/>
      <c r="T257" s="731" t="s">
        <v>313</v>
      </c>
      <c r="U257" s="731"/>
      <c r="V257" s="731"/>
      <c r="W257" s="731"/>
      <c r="X257" s="731"/>
      <c r="Y257" s="731"/>
      <c r="Z257" s="731"/>
      <c r="AA257" s="731"/>
      <c r="AB257" s="12"/>
      <c r="AC257" s="12"/>
      <c r="AD257" s="12"/>
      <c r="AE257" s="12"/>
      <c r="AF257" s="12"/>
      <c r="AG257" s="369"/>
      <c r="AH257" s="370"/>
      <c r="AI257" s="18" t="s">
        <v>242</v>
      </c>
      <c r="AJ257" s="18" t="s">
        <v>242</v>
      </c>
      <c r="AK257" s="13" t="s">
        <v>242</v>
      </c>
      <c r="AL257" s="18" t="s">
        <v>242</v>
      </c>
      <c r="AM257" s="19" t="s">
        <v>244</v>
      </c>
      <c r="AN257" s="38"/>
      <c r="AO257" s="10"/>
      <c r="AP257" s="40"/>
      <c r="AQ257" s="20">
        <v>621295056</v>
      </c>
      <c r="AR257" s="21" t="s">
        <v>4921</v>
      </c>
      <c r="AS257" s="62"/>
      <c r="AT257" s="62"/>
      <c r="AU257" s="11"/>
      <c r="AV257" s="10"/>
      <c r="AW257" s="11"/>
      <c r="AX257" s="11"/>
      <c r="AY257" s="11"/>
      <c r="AZ257" s="11"/>
      <c r="BA257" s="11"/>
      <c r="BB257" s="59"/>
      <c r="BC257" s="59"/>
      <c r="BD257" s="59"/>
      <c r="BE257" s="59"/>
      <c r="BF257" s="59"/>
      <c r="BG257" s="59"/>
      <c r="BH257" s="138"/>
      <c r="BI257" s="138"/>
      <c r="BJ257" s="138"/>
      <c r="BK257" s="231"/>
      <c r="BL257" s="231"/>
      <c r="BM257" s="231"/>
      <c r="BN257" s="232"/>
      <c r="BO257" s="19"/>
      <c r="BP257" s="23"/>
      <c r="BQ257" s="23"/>
      <c r="BR257" s="23"/>
      <c r="BS257" s="43"/>
    </row>
    <row r="258" spans="1:72" s="150" customFormat="1" ht="12.75" customHeight="1" x14ac:dyDescent="0.15">
      <c r="A258" s="48" t="s">
        <v>5506</v>
      </c>
      <c r="B258" s="9" t="s">
        <v>174</v>
      </c>
      <c r="C258" s="9"/>
      <c r="D258" s="9"/>
      <c r="E258" s="9"/>
      <c r="F258" s="112" t="s">
        <v>5477</v>
      </c>
      <c r="G258" s="11" t="s">
        <v>5507</v>
      </c>
      <c r="H258" s="5" t="s">
        <v>3582</v>
      </c>
      <c r="I258" s="11" t="s">
        <v>558</v>
      </c>
      <c r="J258" s="357" t="s">
        <v>1052</v>
      </c>
      <c r="K258" s="353"/>
      <c r="L258" s="221">
        <v>212</v>
      </c>
      <c r="M258" s="221"/>
      <c r="N258" s="222" t="str">
        <f t="shared" ref="N258:N321" si="8">VLOOKUP(L258,CAT_JOUEUR,2,FALSE)</f>
        <v>Contact famille</v>
      </c>
      <c r="O258" s="729">
        <v>212</v>
      </c>
      <c r="P258" s="729"/>
      <c r="Q258" s="730" t="str">
        <f t="shared" ref="Q258:Q321" si="9">VLOOKUP(O258,CAT_JOUEUR,2,FALSE)</f>
        <v>Contact famille</v>
      </c>
      <c r="R258" s="732"/>
      <c r="S258" s="732"/>
      <c r="T258" s="732"/>
      <c r="U258" s="732"/>
      <c r="V258" s="732"/>
      <c r="W258" s="732"/>
      <c r="X258" s="732" t="s">
        <v>313</v>
      </c>
      <c r="Y258" s="732"/>
      <c r="Z258" s="732"/>
      <c r="AA258" s="732"/>
      <c r="AB258" s="12"/>
      <c r="AC258" s="155"/>
      <c r="AD258" s="155"/>
      <c r="AE258" s="155"/>
      <c r="AF258" s="12"/>
      <c r="AG258" s="386"/>
      <c r="AH258" s="392"/>
      <c r="AI258" s="18" t="s">
        <v>242</v>
      </c>
      <c r="AJ258" s="18" t="s">
        <v>242</v>
      </c>
      <c r="AK258" s="13" t="s">
        <v>242</v>
      </c>
      <c r="AL258" s="18" t="s">
        <v>242</v>
      </c>
      <c r="AM258" s="19" t="s">
        <v>244</v>
      </c>
      <c r="AN258" s="10"/>
      <c r="AO258" s="11"/>
      <c r="AP258" s="53"/>
      <c r="AQ258" s="20">
        <v>621502977</v>
      </c>
      <c r="AR258" s="11" t="s">
        <v>5511</v>
      </c>
      <c r="AS258" s="62"/>
      <c r="AT258" s="62"/>
      <c r="AU258" s="10"/>
      <c r="AV258" s="10"/>
      <c r="AW258" s="13"/>
      <c r="AX258" s="11"/>
      <c r="AY258" s="11"/>
      <c r="AZ258" s="11"/>
      <c r="BA258" s="11"/>
      <c r="BB258" s="59"/>
      <c r="BC258" s="59"/>
      <c r="BD258" s="59"/>
      <c r="BE258" s="59"/>
      <c r="BF258" s="59"/>
      <c r="BG258" s="59"/>
      <c r="BH258" s="138"/>
      <c r="BI258" s="138"/>
      <c r="BJ258" s="138"/>
      <c r="BK258" s="231"/>
      <c r="BL258" s="231"/>
      <c r="BM258" s="231"/>
      <c r="BN258" s="232"/>
      <c r="BO258" s="11"/>
      <c r="BP258" s="11"/>
      <c r="BQ258" s="11"/>
      <c r="BR258" s="11"/>
      <c r="BS258" s="394"/>
      <c r="BT258"/>
    </row>
    <row r="259" spans="1:72" s="150" customFormat="1" ht="12.75" customHeight="1" x14ac:dyDescent="0.15">
      <c r="A259" s="48" t="s">
        <v>4614</v>
      </c>
      <c r="B259" s="9" t="s">
        <v>2914</v>
      </c>
      <c r="C259" s="9"/>
      <c r="D259" s="9"/>
      <c r="E259" s="9"/>
      <c r="F259" s="112" t="s">
        <v>107</v>
      </c>
      <c r="G259" s="10" t="s">
        <v>4616</v>
      </c>
      <c r="H259" s="5" t="s">
        <v>4617</v>
      </c>
      <c r="I259" s="11" t="s">
        <v>257</v>
      </c>
      <c r="J259" s="357" t="s">
        <v>1851</v>
      </c>
      <c r="K259" s="353"/>
      <c r="L259" s="221">
        <v>212</v>
      </c>
      <c r="M259" s="221"/>
      <c r="N259" s="222" t="str">
        <f t="shared" si="8"/>
        <v>Contact famille</v>
      </c>
      <c r="O259" s="729">
        <v>212</v>
      </c>
      <c r="P259" s="729"/>
      <c r="Q259" s="730" t="str">
        <f t="shared" si="9"/>
        <v>Contact famille</v>
      </c>
      <c r="R259" s="731"/>
      <c r="S259" s="731"/>
      <c r="T259" s="731"/>
      <c r="U259" s="731"/>
      <c r="V259" s="731"/>
      <c r="W259" s="731"/>
      <c r="X259" s="731" t="s">
        <v>313</v>
      </c>
      <c r="Y259" s="731"/>
      <c r="Z259" s="731"/>
      <c r="AA259" s="731"/>
      <c r="AB259" s="12"/>
      <c r="AC259" s="12"/>
      <c r="AD259" s="12"/>
      <c r="AE259" s="12"/>
      <c r="AF259" s="12"/>
      <c r="AG259" s="369"/>
      <c r="AH259" s="370"/>
      <c r="AI259" s="18" t="s">
        <v>242</v>
      </c>
      <c r="AJ259" s="18" t="s">
        <v>242</v>
      </c>
      <c r="AK259" s="13" t="s">
        <v>242</v>
      </c>
      <c r="AL259" s="13" t="s">
        <v>242</v>
      </c>
      <c r="AM259" s="46" t="s">
        <v>244</v>
      </c>
      <c r="AN259" s="38"/>
      <c r="AO259" s="10"/>
      <c r="AP259" s="40"/>
      <c r="AQ259" s="10"/>
      <c r="AR259" s="21"/>
      <c r="AS259" s="62"/>
      <c r="AT259" s="62"/>
      <c r="AU259" s="11"/>
      <c r="AV259" s="10"/>
      <c r="AW259" s="11"/>
      <c r="AX259" s="11"/>
      <c r="AY259" s="11"/>
      <c r="AZ259" s="11"/>
      <c r="BA259" s="11"/>
      <c r="BB259" s="59"/>
      <c r="BC259" s="59"/>
      <c r="BD259" s="59"/>
      <c r="BE259" s="59"/>
      <c r="BF259" s="59"/>
      <c r="BG259" s="59"/>
      <c r="BH259" s="138"/>
      <c r="BI259" s="138"/>
      <c r="BJ259" s="138"/>
      <c r="BK259" s="231"/>
      <c r="BL259" s="231"/>
      <c r="BM259" s="231"/>
      <c r="BN259" s="232"/>
      <c r="BO259" s="19"/>
      <c r="BP259" s="23"/>
      <c r="BQ259" s="23"/>
      <c r="BR259" s="23"/>
      <c r="BS259" s="43"/>
      <c r="BT259"/>
    </row>
    <row r="260" spans="1:72" ht="12.75" customHeight="1" x14ac:dyDescent="0.15">
      <c r="A260" s="48" t="s">
        <v>3577</v>
      </c>
      <c r="B260" s="9" t="s">
        <v>1133</v>
      </c>
      <c r="C260" s="9"/>
      <c r="D260" s="9"/>
      <c r="E260" s="9"/>
      <c r="F260" s="10" t="s">
        <v>107</v>
      </c>
      <c r="G260" s="10" t="s">
        <v>3581</v>
      </c>
      <c r="H260" s="5" t="s">
        <v>3582</v>
      </c>
      <c r="I260" s="11" t="s">
        <v>558</v>
      </c>
      <c r="J260" s="357" t="s">
        <v>1705</v>
      </c>
      <c r="K260" s="353"/>
      <c r="L260" s="221">
        <v>212</v>
      </c>
      <c r="M260" s="221"/>
      <c r="N260" s="222" t="str">
        <f t="shared" si="8"/>
        <v>Contact famille</v>
      </c>
      <c r="O260" s="729">
        <v>212</v>
      </c>
      <c r="P260" s="729"/>
      <c r="Q260" s="730" t="str">
        <f t="shared" si="9"/>
        <v>Contact famille</v>
      </c>
      <c r="R260" s="731"/>
      <c r="S260" s="731"/>
      <c r="T260" s="731"/>
      <c r="U260" s="731"/>
      <c r="V260" s="731"/>
      <c r="W260" s="731" t="s">
        <v>313</v>
      </c>
      <c r="X260" s="731" t="s">
        <v>313</v>
      </c>
      <c r="Y260" s="731"/>
      <c r="Z260" s="731"/>
      <c r="AA260" s="731"/>
      <c r="AB260" s="12"/>
      <c r="AC260" s="12"/>
      <c r="AD260" s="12"/>
      <c r="AE260" s="12"/>
      <c r="AF260" s="12"/>
      <c r="AG260" s="371"/>
      <c r="AH260" s="370"/>
      <c r="AI260" s="18" t="s">
        <v>242</v>
      </c>
      <c r="AJ260" s="18">
        <v>44118</v>
      </c>
      <c r="AK260" s="13" t="s">
        <v>242</v>
      </c>
      <c r="AL260" s="18">
        <v>30853</v>
      </c>
      <c r="AM260" s="19" t="s">
        <v>4564</v>
      </c>
      <c r="AN260" s="38"/>
      <c r="AO260" s="10"/>
      <c r="AP260" s="40"/>
      <c r="AQ260" s="10" t="s">
        <v>3584</v>
      </c>
      <c r="AR260" s="47" t="s">
        <v>4561</v>
      </c>
      <c r="AS260" s="62"/>
      <c r="AT260" s="62"/>
      <c r="AU260" s="11"/>
      <c r="AV260" s="10"/>
      <c r="AW260" s="11"/>
      <c r="AX260" s="11"/>
      <c r="AY260" s="11"/>
      <c r="AZ260" s="11"/>
      <c r="BA260" s="11"/>
      <c r="BB260" s="59"/>
      <c r="BC260" s="59"/>
      <c r="BD260" s="59"/>
      <c r="BE260" s="59"/>
      <c r="BF260" s="59"/>
      <c r="BG260" s="59"/>
      <c r="BH260" s="138"/>
      <c r="BI260" s="138"/>
      <c r="BJ260" s="138"/>
      <c r="BK260" s="231"/>
      <c r="BL260" s="231"/>
      <c r="BM260" s="231"/>
      <c r="BN260" s="232"/>
      <c r="BO260" s="19"/>
      <c r="BP260" s="23"/>
      <c r="BQ260" s="23"/>
      <c r="BR260" s="23"/>
      <c r="BS260" s="43"/>
    </row>
    <row r="261" spans="1:72" ht="12.75" customHeight="1" x14ac:dyDescent="0.15">
      <c r="A261" s="48" t="s">
        <v>3577</v>
      </c>
      <c r="B261" s="9" t="s">
        <v>3579</v>
      </c>
      <c r="C261" s="9"/>
      <c r="D261" s="9"/>
      <c r="E261" s="9"/>
      <c r="F261" s="10" t="s">
        <v>107</v>
      </c>
      <c r="G261" s="10" t="s">
        <v>3581</v>
      </c>
      <c r="H261" s="5" t="s">
        <v>3582</v>
      </c>
      <c r="I261" s="11" t="s">
        <v>558</v>
      </c>
      <c r="J261" s="357" t="s">
        <v>1705</v>
      </c>
      <c r="K261" s="353"/>
      <c r="L261" s="221">
        <v>18</v>
      </c>
      <c r="M261" s="221"/>
      <c r="N261" s="222" t="str">
        <f t="shared" si="8"/>
        <v>U 9 Dames</v>
      </c>
      <c r="O261" s="729">
        <v>18</v>
      </c>
      <c r="P261" s="729"/>
      <c r="Q261" s="730" t="str">
        <f t="shared" si="9"/>
        <v>U 9 Dames</v>
      </c>
      <c r="R261" s="731"/>
      <c r="S261" s="731"/>
      <c r="T261" s="731"/>
      <c r="U261" s="731"/>
      <c r="V261" s="731"/>
      <c r="W261" s="731" t="s">
        <v>192</v>
      </c>
      <c r="X261" s="731"/>
      <c r="Y261" s="731"/>
      <c r="Z261" s="731"/>
      <c r="AA261" s="731"/>
      <c r="AB261" s="12" t="s">
        <v>3902</v>
      </c>
      <c r="AC261" s="12"/>
      <c r="AD261" s="12"/>
      <c r="AE261" s="12"/>
      <c r="AF261" s="12"/>
      <c r="AG261" s="369"/>
      <c r="AH261" s="370"/>
      <c r="AI261" s="18">
        <v>44494</v>
      </c>
      <c r="AJ261" s="18">
        <v>44118</v>
      </c>
      <c r="AK261" s="13">
        <v>2030</v>
      </c>
      <c r="AL261" s="18">
        <v>43348</v>
      </c>
      <c r="AM261" s="19" t="s">
        <v>3583</v>
      </c>
      <c r="AN261" s="38"/>
      <c r="AO261" s="10"/>
      <c r="AP261" s="40" t="s">
        <v>3585</v>
      </c>
      <c r="AQ261" s="10" t="s">
        <v>3587</v>
      </c>
      <c r="AR261" s="47" t="s">
        <v>3588</v>
      </c>
      <c r="AS261" s="62"/>
      <c r="AT261" s="62"/>
      <c r="AU261" s="11"/>
      <c r="AV261" s="10"/>
      <c r="AW261" s="11"/>
      <c r="AX261" s="11"/>
      <c r="AY261" s="11"/>
      <c r="AZ261" s="11"/>
      <c r="BA261" s="11"/>
      <c r="BB261" s="59"/>
      <c r="BC261" s="59"/>
      <c r="BD261" s="59"/>
      <c r="BE261" s="59"/>
      <c r="BF261" s="59"/>
      <c r="BG261" s="59"/>
      <c r="BH261" s="138"/>
      <c r="BI261" s="138"/>
      <c r="BJ261" s="138"/>
      <c r="BK261" s="231"/>
      <c r="BL261" s="231"/>
      <c r="BM261" s="231"/>
      <c r="BN261" s="232"/>
      <c r="BO261" s="19"/>
      <c r="BP261" s="23"/>
      <c r="BQ261" s="23"/>
      <c r="BR261" s="23"/>
      <c r="BS261" s="43"/>
    </row>
    <row r="262" spans="1:72" ht="12.75" customHeight="1" x14ac:dyDescent="0.15">
      <c r="A262" s="48" t="s">
        <v>3577</v>
      </c>
      <c r="B262" s="9" t="s">
        <v>4562</v>
      </c>
      <c r="C262" s="9"/>
      <c r="D262" s="9"/>
      <c r="E262" s="9"/>
      <c r="F262" s="10" t="s">
        <v>107</v>
      </c>
      <c r="G262" s="10" t="s">
        <v>3581</v>
      </c>
      <c r="H262" s="5" t="s">
        <v>3582</v>
      </c>
      <c r="I262" s="11" t="s">
        <v>558</v>
      </c>
      <c r="J262" s="357" t="s">
        <v>1705</v>
      </c>
      <c r="K262" s="353"/>
      <c r="L262" s="221">
        <v>21</v>
      </c>
      <c r="M262" s="221"/>
      <c r="N262" s="222" t="str">
        <f t="shared" si="8"/>
        <v>U7 Mixte</v>
      </c>
      <c r="O262" s="729">
        <v>21</v>
      </c>
      <c r="P262" s="729"/>
      <c r="Q262" s="730" t="str">
        <f t="shared" si="9"/>
        <v>U7 Mixte</v>
      </c>
      <c r="R262" s="731"/>
      <c r="S262" s="731"/>
      <c r="T262" s="731"/>
      <c r="U262" s="731"/>
      <c r="V262" s="731"/>
      <c r="W262" s="731"/>
      <c r="X262" s="731" t="s">
        <v>192</v>
      </c>
      <c r="Y262" s="731"/>
      <c r="Z262" s="731"/>
      <c r="AA262" s="731"/>
      <c r="AB262" s="12" t="s">
        <v>4590</v>
      </c>
      <c r="AC262" s="12"/>
      <c r="AD262" s="12"/>
      <c r="AE262" s="12"/>
      <c r="AF262" s="12"/>
      <c r="AG262" s="369"/>
      <c r="AH262" s="370"/>
      <c r="AI262" s="18">
        <v>45223</v>
      </c>
      <c r="AJ262" s="18">
        <v>45211</v>
      </c>
      <c r="AK262" s="13">
        <v>2028</v>
      </c>
      <c r="AL262" s="18">
        <v>44423</v>
      </c>
      <c r="AM262" s="19" t="s">
        <v>4563</v>
      </c>
      <c r="AN262" s="38"/>
      <c r="AO262" s="10"/>
      <c r="AP262" s="40" t="s">
        <v>3585</v>
      </c>
      <c r="AQ262" s="10" t="s">
        <v>3587</v>
      </c>
      <c r="AR262" s="47" t="s">
        <v>3588</v>
      </c>
      <c r="AS262" s="62"/>
      <c r="AT262" s="62"/>
      <c r="AU262" s="11"/>
      <c r="AV262" s="10"/>
      <c r="AW262" s="11"/>
      <c r="AX262" s="11"/>
      <c r="AY262" s="11"/>
      <c r="AZ262" s="11"/>
      <c r="BA262" s="11"/>
      <c r="BB262" s="59"/>
      <c r="BC262" s="59"/>
      <c r="BD262" s="59"/>
      <c r="BE262" s="59"/>
      <c r="BF262" s="59"/>
      <c r="BG262" s="59"/>
      <c r="BH262" s="138"/>
      <c r="BI262" s="138"/>
      <c r="BJ262" s="138"/>
      <c r="BK262" s="231"/>
      <c r="BL262" s="231"/>
      <c r="BM262" s="231"/>
      <c r="BN262" s="232"/>
      <c r="BO262" s="19"/>
      <c r="BP262" s="23"/>
      <c r="BQ262" s="23"/>
      <c r="BR262" s="23"/>
      <c r="BS262" s="43"/>
    </row>
    <row r="263" spans="1:72" s="150" customFormat="1" ht="14.75" customHeight="1" x14ac:dyDescent="0.15">
      <c r="A263" s="48" t="s">
        <v>5126</v>
      </c>
      <c r="B263" s="9" t="s">
        <v>5130</v>
      </c>
      <c r="C263" s="9"/>
      <c r="D263" s="9"/>
      <c r="E263" s="9"/>
      <c r="F263" s="112" t="s">
        <v>5131</v>
      </c>
      <c r="G263" s="11" t="s">
        <v>5132</v>
      </c>
      <c r="H263" s="5" t="s">
        <v>2518</v>
      </c>
      <c r="I263" s="11" t="s">
        <v>241</v>
      </c>
      <c r="J263" s="357" t="s">
        <v>5124</v>
      </c>
      <c r="K263" s="353"/>
      <c r="L263" s="221">
        <v>212</v>
      </c>
      <c r="M263" s="221"/>
      <c r="N263" s="222" t="str">
        <f t="shared" si="8"/>
        <v>Contact famille</v>
      </c>
      <c r="O263" s="729">
        <v>212</v>
      </c>
      <c r="P263" s="729"/>
      <c r="Q263" s="730" t="str">
        <f t="shared" si="9"/>
        <v>Contact famille</v>
      </c>
      <c r="R263" s="732"/>
      <c r="S263" s="732"/>
      <c r="T263" s="732"/>
      <c r="U263" s="732"/>
      <c r="V263" s="732" t="s">
        <v>313</v>
      </c>
      <c r="W263" s="732"/>
      <c r="X263" s="732"/>
      <c r="Y263" s="732"/>
      <c r="Z263" s="732"/>
      <c r="AA263" s="732" t="s">
        <v>313</v>
      </c>
      <c r="AB263" s="12"/>
      <c r="AC263" s="155"/>
      <c r="AD263" s="155"/>
      <c r="AE263" s="155"/>
      <c r="AF263" s="12"/>
      <c r="AG263" s="386"/>
      <c r="AH263" s="392"/>
      <c r="AI263" s="18" t="s">
        <v>242</v>
      </c>
      <c r="AJ263" s="18" t="s">
        <v>242</v>
      </c>
      <c r="AK263" s="13" t="s">
        <v>242</v>
      </c>
      <c r="AL263" s="18" t="s">
        <v>242</v>
      </c>
      <c r="AM263" s="19" t="s">
        <v>244</v>
      </c>
      <c r="AN263" s="10"/>
      <c r="AO263" s="11"/>
      <c r="AP263" s="53"/>
      <c r="AQ263" s="20">
        <v>661444158</v>
      </c>
      <c r="AR263" s="68" t="s">
        <v>5137</v>
      </c>
      <c r="AS263" s="62"/>
      <c r="AT263" s="62"/>
      <c r="AU263" s="10"/>
      <c r="AV263" s="10"/>
      <c r="AW263" s="13"/>
      <c r="AX263" s="11"/>
      <c r="AY263" s="11"/>
      <c r="AZ263" s="11"/>
      <c r="BA263" s="11"/>
      <c r="BB263" s="59"/>
      <c r="BC263" s="59"/>
      <c r="BD263" s="59"/>
      <c r="BE263" s="59"/>
      <c r="BF263" s="59"/>
      <c r="BG263" s="59"/>
      <c r="BH263" s="138"/>
      <c r="BI263" s="138"/>
      <c r="BJ263" s="138"/>
      <c r="BK263" s="231"/>
      <c r="BL263" s="231"/>
      <c r="BM263" s="231"/>
      <c r="BN263" s="232"/>
      <c r="BO263" s="11"/>
      <c r="BP263" s="11"/>
      <c r="BQ263" s="11"/>
      <c r="BR263" s="11"/>
      <c r="BS263" s="394"/>
      <c r="BT263"/>
    </row>
    <row r="264" spans="1:72" ht="12.75" customHeight="1" x14ac:dyDescent="0.15">
      <c r="A264" s="48" t="s">
        <v>4328</v>
      </c>
      <c r="B264" s="9" t="s">
        <v>4331</v>
      </c>
      <c r="C264" s="9"/>
      <c r="D264" s="9"/>
      <c r="E264" s="9"/>
      <c r="F264" s="10" t="s">
        <v>4334</v>
      </c>
      <c r="G264" s="10" t="s">
        <v>4335</v>
      </c>
      <c r="H264" s="5" t="s">
        <v>1235</v>
      </c>
      <c r="I264" s="11" t="s">
        <v>223</v>
      </c>
      <c r="J264" s="357" t="s">
        <v>4326</v>
      </c>
      <c r="K264" s="353"/>
      <c r="L264" s="221">
        <v>212</v>
      </c>
      <c r="M264" s="221"/>
      <c r="N264" s="222" t="str">
        <f t="shared" si="8"/>
        <v>Contact famille</v>
      </c>
      <c r="O264" s="729">
        <v>212</v>
      </c>
      <c r="P264" s="729"/>
      <c r="Q264" s="730" t="str">
        <f t="shared" si="9"/>
        <v>Contact famille</v>
      </c>
      <c r="R264" s="731"/>
      <c r="S264" s="731"/>
      <c r="T264" s="731"/>
      <c r="U264" s="731"/>
      <c r="V264" s="731"/>
      <c r="W264" s="731" t="s">
        <v>313</v>
      </c>
      <c r="X264" s="731" t="s">
        <v>313</v>
      </c>
      <c r="Y264" s="731"/>
      <c r="Z264" s="731"/>
      <c r="AA264" s="731"/>
      <c r="AB264" s="12"/>
      <c r="AC264" s="12"/>
      <c r="AD264" s="12"/>
      <c r="AE264" s="12"/>
      <c r="AF264" s="12"/>
      <c r="AG264" s="369"/>
      <c r="AH264" s="370"/>
      <c r="AI264" s="18" t="s">
        <v>242</v>
      </c>
      <c r="AJ264" s="18" t="s">
        <v>242</v>
      </c>
      <c r="AK264" s="13" t="s">
        <v>242</v>
      </c>
      <c r="AL264" s="18" t="s">
        <v>242</v>
      </c>
      <c r="AM264" s="19" t="s">
        <v>244</v>
      </c>
      <c r="AN264" s="38"/>
      <c r="AO264" s="10"/>
      <c r="AP264" s="40"/>
      <c r="AQ264" s="20">
        <v>691673899</v>
      </c>
      <c r="AR264" s="47" t="s">
        <v>4340</v>
      </c>
      <c r="AS264" s="62"/>
      <c r="AT264" s="62"/>
      <c r="AU264" s="11"/>
      <c r="AV264" s="10"/>
      <c r="AW264" s="11"/>
      <c r="AX264" s="11"/>
      <c r="AY264" s="11"/>
      <c r="AZ264" s="11"/>
      <c r="BA264" s="11"/>
      <c r="BB264" s="59"/>
      <c r="BC264" s="59"/>
      <c r="BD264" s="59"/>
      <c r="BE264" s="59"/>
      <c r="BF264" s="59"/>
      <c r="BG264" s="59"/>
      <c r="BH264" s="138"/>
      <c r="BI264" s="138"/>
      <c r="BJ264" s="138"/>
      <c r="BK264" s="231"/>
      <c r="BL264" s="231"/>
      <c r="BM264" s="231"/>
      <c r="BN264" s="232"/>
      <c r="BO264" s="19"/>
      <c r="BP264" s="23"/>
      <c r="BQ264" s="23"/>
      <c r="BR264" s="23"/>
      <c r="BS264" s="43"/>
    </row>
    <row r="265" spans="1:72" ht="12.75" customHeight="1" x14ac:dyDescent="0.15">
      <c r="A265" s="48" t="s">
        <v>3512</v>
      </c>
      <c r="B265" s="9" t="s">
        <v>900</v>
      </c>
      <c r="C265" s="9"/>
      <c r="D265" s="9"/>
      <c r="E265" s="9"/>
      <c r="F265" s="10" t="s">
        <v>107</v>
      </c>
      <c r="G265" s="10" t="s">
        <v>3517</v>
      </c>
      <c r="H265" s="5" t="s">
        <v>3518</v>
      </c>
      <c r="I265" s="11" t="s">
        <v>266</v>
      </c>
      <c r="J265" s="357" t="s">
        <v>1394</v>
      </c>
      <c r="K265" s="353"/>
      <c r="L265" s="221">
        <v>212</v>
      </c>
      <c r="M265" s="221"/>
      <c r="N265" s="222" t="str">
        <f t="shared" si="8"/>
        <v>Contact famille</v>
      </c>
      <c r="O265" s="729">
        <v>212</v>
      </c>
      <c r="P265" s="729"/>
      <c r="Q265" s="730" t="str">
        <f t="shared" si="9"/>
        <v>Contact famille</v>
      </c>
      <c r="R265" s="731"/>
      <c r="S265" s="731"/>
      <c r="T265" s="731"/>
      <c r="U265" s="731"/>
      <c r="V265" s="731" t="s">
        <v>313</v>
      </c>
      <c r="W265" s="731"/>
      <c r="X265" s="731"/>
      <c r="Y265" s="731"/>
      <c r="Z265" s="731"/>
      <c r="AA265" s="731" t="s">
        <v>313</v>
      </c>
      <c r="AB265" s="12"/>
      <c r="AC265" s="12"/>
      <c r="AD265" s="12"/>
      <c r="AE265" s="12"/>
      <c r="AF265" s="12"/>
      <c r="AG265" s="369"/>
      <c r="AH265" s="370"/>
      <c r="AI265" s="18" t="s">
        <v>242</v>
      </c>
      <c r="AJ265" s="18" t="s">
        <v>242</v>
      </c>
      <c r="AK265" s="13" t="s">
        <v>242</v>
      </c>
      <c r="AL265" s="13" t="s">
        <v>242</v>
      </c>
      <c r="AM265" s="19" t="s">
        <v>244</v>
      </c>
      <c r="AN265" s="38"/>
      <c r="AO265" s="10"/>
      <c r="AP265" s="40"/>
      <c r="AQ265" s="10"/>
      <c r="AR265" s="47"/>
      <c r="AS265" s="62"/>
      <c r="AT265" s="62"/>
      <c r="AU265" s="11"/>
      <c r="AV265" s="10"/>
      <c r="AW265" s="11"/>
      <c r="AX265" s="11"/>
      <c r="AY265" s="11"/>
      <c r="AZ265" s="11"/>
      <c r="BA265" s="11"/>
      <c r="BB265" s="59"/>
      <c r="BC265" s="59"/>
      <c r="BD265" s="59"/>
      <c r="BE265" s="59"/>
      <c r="BF265" s="59"/>
      <c r="BG265" s="59"/>
      <c r="BH265" s="138"/>
      <c r="BI265" s="138"/>
      <c r="BJ265" s="138"/>
      <c r="BK265" s="231"/>
      <c r="BL265" s="231"/>
      <c r="BM265" s="231"/>
      <c r="BN265" s="232"/>
      <c r="BO265" s="19"/>
      <c r="BP265" s="23"/>
      <c r="BQ265" s="23"/>
      <c r="BR265" s="23"/>
      <c r="BS265" s="43"/>
    </row>
    <row r="266" spans="1:72" ht="12.75" customHeight="1" x14ac:dyDescent="0.15">
      <c r="A266" s="48" t="s">
        <v>3512</v>
      </c>
      <c r="B266" s="9" t="s">
        <v>3516</v>
      </c>
      <c r="C266" s="9"/>
      <c r="D266" s="9"/>
      <c r="E266" s="9"/>
      <c r="F266" s="10" t="s">
        <v>107</v>
      </c>
      <c r="G266" s="10" t="s">
        <v>3517</v>
      </c>
      <c r="H266" s="5" t="s">
        <v>3518</v>
      </c>
      <c r="I266" s="11" t="s">
        <v>266</v>
      </c>
      <c r="J266" s="357" t="s">
        <v>1394</v>
      </c>
      <c r="K266" s="353"/>
      <c r="L266" s="221">
        <v>17</v>
      </c>
      <c r="M266" s="221"/>
      <c r="N266" s="222" t="str">
        <f t="shared" si="8"/>
        <v>U 11 Dames</v>
      </c>
      <c r="O266" s="729">
        <v>17</v>
      </c>
      <c r="P266" s="729"/>
      <c r="Q266" s="730" t="str">
        <f t="shared" si="9"/>
        <v>U 11 Dames</v>
      </c>
      <c r="R266" s="731"/>
      <c r="S266" s="731"/>
      <c r="T266" s="731"/>
      <c r="U266" s="731"/>
      <c r="V266" s="731" t="s">
        <v>192</v>
      </c>
      <c r="W266" s="731"/>
      <c r="X266" s="731"/>
      <c r="Y266" s="731"/>
      <c r="Z266" s="731"/>
      <c r="AA266" s="731"/>
      <c r="AB266" s="217" t="s">
        <v>2805</v>
      </c>
      <c r="AC266" s="12"/>
      <c r="AD266" s="12"/>
      <c r="AE266" s="12"/>
      <c r="AF266" s="12"/>
      <c r="AG266" s="369"/>
      <c r="AH266" s="370"/>
      <c r="AI266" s="216"/>
      <c r="AJ266" s="18">
        <v>44092</v>
      </c>
      <c r="AK266" s="467">
        <v>2024</v>
      </c>
      <c r="AL266" s="18">
        <v>42916</v>
      </c>
      <c r="AM266" s="19" t="s">
        <v>3520</v>
      </c>
      <c r="AN266" s="38"/>
      <c r="AO266" s="10"/>
      <c r="AP266" s="40"/>
      <c r="AQ266" s="10" t="s">
        <v>3522</v>
      </c>
      <c r="AR266" s="47" t="s">
        <v>3523</v>
      </c>
      <c r="AS266" s="62"/>
      <c r="AT266" s="62"/>
      <c r="AU266" s="11"/>
      <c r="AV266" s="10"/>
      <c r="AW266" s="11"/>
      <c r="AX266" s="11"/>
      <c r="AY266" s="11"/>
      <c r="AZ266" s="11"/>
      <c r="BA266" s="11"/>
      <c r="BB266" s="59"/>
      <c r="BC266" s="59"/>
      <c r="BD266" s="59"/>
      <c r="BE266" s="59"/>
      <c r="BF266" s="59"/>
      <c r="BG266" s="59"/>
      <c r="BH266" s="138"/>
      <c r="BI266" s="138"/>
      <c r="BJ266" s="138"/>
      <c r="BK266" s="231"/>
      <c r="BL266" s="231"/>
      <c r="BM266" s="231"/>
      <c r="BN266" s="232"/>
      <c r="BO266" s="19"/>
      <c r="BP266" s="23"/>
      <c r="BQ266" s="23"/>
      <c r="BR266" s="23"/>
      <c r="BS266" s="43"/>
    </row>
    <row r="267" spans="1:72" s="150" customFormat="1" ht="12.75" customHeight="1" x14ac:dyDescent="0.15">
      <c r="A267" s="48" t="s">
        <v>3512</v>
      </c>
      <c r="B267" s="9" t="s">
        <v>3515</v>
      </c>
      <c r="C267" s="9"/>
      <c r="D267" s="9"/>
      <c r="E267" s="9"/>
      <c r="F267" s="10" t="s">
        <v>107</v>
      </c>
      <c r="G267" s="10" t="s">
        <v>3517</v>
      </c>
      <c r="H267" s="5" t="s">
        <v>3518</v>
      </c>
      <c r="I267" s="11" t="s">
        <v>266</v>
      </c>
      <c r="J267" s="357" t="s">
        <v>1394</v>
      </c>
      <c r="K267" s="353" t="s">
        <v>252</v>
      </c>
      <c r="L267" s="221">
        <v>15</v>
      </c>
      <c r="M267" s="221"/>
      <c r="N267" s="222" t="str">
        <f t="shared" si="8"/>
        <v>U 13 Dames</v>
      </c>
      <c r="O267" s="729">
        <v>15</v>
      </c>
      <c r="P267" s="729"/>
      <c r="Q267" s="730" t="str">
        <f t="shared" si="9"/>
        <v>U 13 Dames</v>
      </c>
      <c r="R267" s="731"/>
      <c r="S267" s="731"/>
      <c r="T267" s="731"/>
      <c r="U267" s="731"/>
      <c r="V267" s="731"/>
      <c r="W267" s="731"/>
      <c r="X267" s="731"/>
      <c r="Y267" s="731"/>
      <c r="Z267" s="731"/>
      <c r="AA267" s="731" t="s">
        <v>192</v>
      </c>
      <c r="AB267" s="12" t="s">
        <v>3684</v>
      </c>
      <c r="AC267" s="12"/>
      <c r="AD267" s="12"/>
      <c r="AE267" s="12"/>
      <c r="AF267" s="12"/>
      <c r="AG267" s="369"/>
      <c r="AH267" s="370"/>
      <c r="AI267" s="18">
        <v>44102</v>
      </c>
      <c r="AJ267" s="18">
        <v>44092</v>
      </c>
      <c r="AK267" s="612">
        <v>2022</v>
      </c>
      <c r="AL267" s="18">
        <v>42360</v>
      </c>
      <c r="AM267" s="19" t="s">
        <v>3519</v>
      </c>
      <c r="AN267" s="38"/>
      <c r="AO267" s="10"/>
      <c r="AP267" s="40"/>
      <c r="AQ267" s="10" t="s">
        <v>3522</v>
      </c>
      <c r="AR267" s="47" t="s">
        <v>3523</v>
      </c>
      <c r="AS267" s="62"/>
      <c r="AT267" s="62"/>
      <c r="AU267" s="11"/>
      <c r="AV267" s="10"/>
      <c r="AW267" s="11"/>
      <c r="AX267" s="11"/>
      <c r="AY267" s="11"/>
      <c r="AZ267" s="11"/>
      <c r="BA267" s="11"/>
      <c r="BB267" s="59"/>
      <c r="BC267" s="59"/>
      <c r="BD267" s="59"/>
      <c r="BE267" s="59"/>
      <c r="BF267" s="59"/>
      <c r="BG267" s="59"/>
      <c r="BH267" s="138"/>
      <c r="BI267" s="138"/>
      <c r="BJ267" s="138"/>
      <c r="BK267" s="231"/>
      <c r="BL267" s="231"/>
      <c r="BM267" s="231"/>
      <c r="BN267" s="232"/>
      <c r="BO267" s="19"/>
      <c r="BP267" s="23"/>
      <c r="BQ267" s="23"/>
      <c r="BR267" s="23"/>
      <c r="BS267" s="43"/>
      <c r="BT267"/>
    </row>
    <row r="268" spans="1:72" ht="12.75" customHeight="1" x14ac:dyDescent="0.15">
      <c r="A268" s="48" t="s">
        <v>3154</v>
      </c>
      <c r="B268" s="9" t="s">
        <v>1978</v>
      </c>
      <c r="C268" s="9"/>
      <c r="D268" s="9"/>
      <c r="E268" s="9"/>
      <c r="F268" s="10" t="s">
        <v>107</v>
      </c>
      <c r="G268" s="10" t="s">
        <v>3155</v>
      </c>
      <c r="H268" s="5" t="s">
        <v>273</v>
      </c>
      <c r="I268" s="11" t="s">
        <v>274</v>
      </c>
      <c r="J268" s="357" t="s">
        <v>1329</v>
      </c>
      <c r="K268" s="353"/>
      <c r="L268" s="221">
        <v>212</v>
      </c>
      <c r="M268" s="221"/>
      <c r="N268" s="222" t="str">
        <f t="shared" si="8"/>
        <v>Contact famille</v>
      </c>
      <c r="O268" s="729">
        <v>212</v>
      </c>
      <c r="P268" s="729"/>
      <c r="Q268" s="730" t="str">
        <f t="shared" si="9"/>
        <v>Contact famille</v>
      </c>
      <c r="R268" s="731"/>
      <c r="S268" s="731"/>
      <c r="T268" s="731" t="s">
        <v>313</v>
      </c>
      <c r="U268" s="731"/>
      <c r="V268" s="731"/>
      <c r="W268" s="731"/>
      <c r="X268" s="731"/>
      <c r="Y268" s="731"/>
      <c r="Z268" s="731"/>
      <c r="AA268" s="731"/>
      <c r="AB268" s="12"/>
      <c r="AC268" s="12"/>
      <c r="AD268" s="12"/>
      <c r="AE268" s="12"/>
      <c r="AF268" s="12"/>
      <c r="AG268" s="369"/>
      <c r="AH268" s="370"/>
      <c r="AI268" s="18" t="s">
        <v>242</v>
      </c>
      <c r="AJ268" s="18" t="s">
        <v>242</v>
      </c>
      <c r="AK268" s="13" t="s">
        <v>242</v>
      </c>
      <c r="AL268" s="18" t="s">
        <v>242</v>
      </c>
      <c r="AM268" s="19" t="s">
        <v>244</v>
      </c>
      <c r="AN268" s="38"/>
      <c r="AO268" s="10"/>
      <c r="AP268" s="40"/>
      <c r="AQ268" s="10" t="s">
        <v>3160</v>
      </c>
      <c r="AR268" s="47" t="s">
        <v>3161</v>
      </c>
      <c r="AS268" s="62"/>
      <c r="AT268" s="62"/>
      <c r="AU268" s="11"/>
      <c r="AV268" s="10"/>
      <c r="AW268" s="11"/>
      <c r="AX268" s="11"/>
      <c r="AY268" s="11"/>
      <c r="AZ268" s="11" t="s">
        <v>533</v>
      </c>
      <c r="BA268" s="11"/>
      <c r="BB268" s="69" t="s">
        <v>3163</v>
      </c>
      <c r="BC268" s="59"/>
      <c r="BD268" s="59"/>
      <c r="BE268" s="59"/>
      <c r="BF268" s="59"/>
      <c r="BG268" s="59"/>
      <c r="BH268" s="138"/>
      <c r="BI268" s="138"/>
      <c r="BJ268" s="138"/>
      <c r="BK268" s="231"/>
      <c r="BL268" s="231"/>
      <c r="BM268" s="231"/>
      <c r="BN268" s="232"/>
      <c r="BO268" s="19"/>
      <c r="BP268" s="23"/>
      <c r="BQ268" s="23"/>
      <c r="BR268" s="23"/>
      <c r="BS268" s="43"/>
    </row>
    <row r="269" spans="1:72" ht="12.75" customHeight="1" x14ac:dyDescent="0.15">
      <c r="A269" s="48" t="s">
        <v>5481</v>
      </c>
      <c r="B269" s="9" t="s">
        <v>1538</v>
      </c>
      <c r="C269" s="9"/>
      <c r="D269" s="9"/>
      <c r="E269" s="9"/>
      <c r="F269" s="112" t="s">
        <v>5477</v>
      </c>
      <c r="G269" s="11" t="s">
        <v>5482</v>
      </c>
      <c r="H269" s="5" t="s">
        <v>5483</v>
      </c>
      <c r="I269" s="11" t="s">
        <v>215</v>
      </c>
      <c r="J269" s="357" t="s">
        <v>320</v>
      </c>
      <c r="K269" s="353"/>
      <c r="L269" s="221">
        <v>12</v>
      </c>
      <c r="M269" s="221"/>
      <c r="N269" s="222" t="str">
        <f t="shared" si="8"/>
        <v>Dames</v>
      </c>
      <c r="O269" s="729">
        <v>12</v>
      </c>
      <c r="P269" s="729"/>
      <c r="Q269" s="730" t="str">
        <f t="shared" si="9"/>
        <v>Dames</v>
      </c>
      <c r="R269" s="732"/>
      <c r="S269" s="732"/>
      <c r="T269" s="732"/>
      <c r="U269" s="732"/>
      <c r="V269" s="732"/>
      <c r="W269" s="732"/>
      <c r="X269" s="732"/>
      <c r="Y269" s="732"/>
      <c r="Z269" s="732"/>
      <c r="AA269" s="732"/>
      <c r="AB269" s="12" t="s">
        <v>5487</v>
      </c>
      <c r="AC269" s="155"/>
      <c r="AD269" s="155"/>
      <c r="AE269" s="155"/>
      <c r="AF269" s="12"/>
      <c r="AG269" s="386" t="s">
        <v>5270</v>
      </c>
      <c r="AH269" s="392"/>
      <c r="AI269" s="18">
        <v>46085</v>
      </c>
      <c r="AJ269" s="18">
        <v>45346</v>
      </c>
      <c r="AK269" s="13">
        <v>2029</v>
      </c>
      <c r="AL269" s="18">
        <v>36203</v>
      </c>
      <c r="AM269" s="5" t="s">
        <v>5484</v>
      </c>
      <c r="AN269" s="10"/>
      <c r="AO269" s="11"/>
      <c r="AP269" s="53"/>
      <c r="AQ269" s="20">
        <v>621418518</v>
      </c>
      <c r="AR269" s="68" t="s">
        <v>5485</v>
      </c>
      <c r="AS269" s="62"/>
      <c r="AT269" s="62"/>
      <c r="AU269" s="10"/>
      <c r="AV269" s="10"/>
      <c r="AW269" s="13"/>
      <c r="AX269" s="11"/>
      <c r="AY269" s="11"/>
      <c r="AZ269" s="11"/>
      <c r="BA269" s="11"/>
      <c r="BB269" s="59"/>
      <c r="BC269" s="59"/>
      <c r="BD269" s="59"/>
      <c r="BE269" s="59"/>
      <c r="BF269" s="59"/>
      <c r="BG269" s="59"/>
      <c r="BH269" s="138"/>
      <c r="BI269" s="138"/>
      <c r="BJ269" s="138"/>
      <c r="BK269" s="231"/>
      <c r="BL269" s="231"/>
      <c r="BM269" s="231"/>
      <c r="BN269" s="232"/>
      <c r="BO269" s="11"/>
      <c r="BP269" s="11"/>
      <c r="BQ269" s="11"/>
      <c r="BR269" s="11"/>
      <c r="BS269" s="394"/>
      <c r="BT269" s="150"/>
    </row>
    <row r="270" spans="1:72" ht="12.75" customHeight="1" x14ac:dyDescent="0.15">
      <c r="A270" s="48" t="s">
        <v>2046</v>
      </c>
      <c r="B270" s="9" t="s">
        <v>811</v>
      </c>
      <c r="C270" s="9"/>
      <c r="D270" s="9"/>
      <c r="E270" s="9"/>
      <c r="F270" s="10" t="s">
        <v>107</v>
      </c>
      <c r="G270" s="10" t="s">
        <v>1883</v>
      </c>
      <c r="H270" s="5" t="s">
        <v>1884</v>
      </c>
      <c r="I270" s="11" t="s">
        <v>1885</v>
      </c>
      <c r="J270" s="357" t="s">
        <v>1886</v>
      </c>
      <c r="K270" s="353"/>
      <c r="L270" s="221">
        <v>212</v>
      </c>
      <c r="M270" s="221"/>
      <c r="N270" s="222" t="str">
        <f t="shared" si="8"/>
        <v>Contact famille</v>
      </c>
      <c r="O270" s="729">
        <v>212</v>
      </c>
      <c r="P270" s="729"/>
      <c r="Q270" s="730" t="str">
        <f t="shared" si="9"/>
        <v>Contact famille</v>
      </c>
      <c r="R270" s="731"/>
      <c r="S270" s="731"/>
      <c r="T270" s="731"/>
      <c r="U270" s="731" t="s">
        <v>313</v>
      </c>
      <c r="V270" s="731" t="s">
        <v>313</v>
      </c>
      <c r="W270" s="731"/>
      <c r="X270" s="731"/>
      <c r="Y270" s="731"/>
      <c r="Z270" s="731"/>
      <c r="AA270" s="731"/>
      <c r="AB270" s="12"/>
      <c r="AC270" s="12"/>
      <c r="AD270" s="12"/>
      <c r="AE270" s="12"/>
      <c r="AF270" s="12"/>
      <c r="AG270" s="369"/>
      <c r="AH270" s="370"/>
      <c r="AI270" s="18" t="s">
        <v>242</v>
      </c>
      <c r="AJ270" s="18">
        <v>43549</v>
      </c>
      <c r="AK270" s="13" t="s">
        <v>242</v>
      </c>
      <c r="AL270" s="13" t="s">
        <v>242</v>
      </c>
      <c r="AM270" s="19" t="s">
        <v>244</v>
      </c>
      <c r="AN270" s="19"/>
      <c r="AO270" s="10"/>
      <c r="AP270" s="40"/>
      <c r="AQ270" s="10" t="s">
        <v>2047</v>
      </c>
      <c r="AR270" s="21" t="s">
        <v>2048</v>
      </c>
      <c r="AS270" s="62"/>
      <c r="AT270" s="62"/>
      <c r="AU270" s="11"/>
      <c r="AV270" s="10"/>
      <c r="AW270" s="11"/>
      <c r="AX270" s="11"/>
      <c r="AY270" s="11"/>
      <c r="AZ270" s="11" t="s">
        <v>209</v>
      </c>
      <c r="BA270" s="11"/>
      <c r="BB270" s="59" t="s">
        <v>2813</v>
      </c>
      <c r="BC270" s="59" t="s">
        <v>3151</v>
      </c>
      <c r="BD270" s="59" t="s">
        <v>2136</v>
      </c>
      <c r="BE270" s="59" t="s">
        <v>988</v>
      </c>
      <c r="BF270" s="59"/>
      <c r="BG270" s="59"/>
      <c r="BH270" s="138"/>
      <c r="BI270" s="138"/>
      <c r="BJ270" s="138"/>
      <c r="BK270" s="231"/>
      <c r="BL270" s="231"/>
      <c r="BM270" s="231"/>
      <c r="BN270" s="232"/>
      <c r="BO270" s="19"/>
      <c r="BP270" s="23"/>
      <c r="BQ270" s="23"/>
      <c r="BR270" s="23"/>
      <c r="BS270" s="43"/>
    </row>
    <row r="271" spans="1:72" ht="12.75" customHeight="1" x14ac:dyDescent="0.15">
      <c r="A271" s="48" t="s">
        <v>2046</v>
      </c>
      <c r="B271" s="9" t="s">
        <v>3918</v>
      </c>
      <c r="C271" s="9"/>
      <c r="D271" s="9"/>
      <c r="E271" s="9"/>
      <c r="F271" s="10" t="s">
        <v>107</v>
      </c>
      <c r="G271" s="10" t="s">
        <v>1883</v>
      </c>
      <c r="H271" s="5" t="s">
        <v>1884</v>
      </c>
      <c r="I271" s="11" t="s">
        <v>1885</v>
      </c>
      <c r="J271" s="357" t="s">
        <v>1886</v>
      </c>
      <c r="K271" s="353"/>
      <c r="L271" s="221">
        <v>17</v>
      </c>
      <c r="M271" s="221"/>
      <c r="N271" s="222" t="str">
        <f t="shared" si="8"/>
        <v>U 11 Dames</v>
      </c>
      <c r="O271" s="729">
        <v>17</v>
      </c>
      <c r="P271" s="729"/>
      <c r="Q271" s="730" t="str">
        <f t="shared" si="9"/>
        <v>U 11 Dames</v>
      </c>
      <c r="R271" s="731"/>
      <c r="S271" s="731"/>
      <c r="T271" s="731"/>
      <c r="U271" s="731"/>
      <c r="V271" s="731" t="s">
        <v>192</v>
      </c>
      <c r="W271" s="731"/>
      <c r="X271" s="731"/>
      <c r="Y271" s="731"/>
      <c r="Z271" s="731"/>
      <c r="AA271" s="731"/>
      <c r="AB271" s="12" t="s">
        <v>4000</v>
      </c>
      <c r="AC271" s="12"/>
      <c r="AD271" s="12"/>
      <c r="AE271" s="12"/>
      <c r="AF271" s="12"/>
      <c r="AG271" s="369"/>
      <c r="AH271" s="370"/>
      <c r="AI271" s="18">
        <v>44649</v>
      </c>
      <c r="AJ271" s="18">
        <v>44542</v>
      </c>
      <c r="AK271" s="13">
        <v>2029</v>
      </c>
      <c r="AL271" s="18">
        <v>42956</v>
      </c>
      <c r="AM271" s="19" t="s">
        <v>3920</v>
      </c>
      <c r="AN271" s="38"/>
      <c r="AO271" s="10"/>
      <c r="AP271" s="40" t="s">
        <v>2050</v>
      </c>
      <c r="AQ271" s="10" t="s">
        <v>2051</v>
      </c>
      <c r="AR271" s="21" t="s">
        <v>1888</v>
      </c>
      <c r="AS271" s="62"/>
      <c r="AT271" s="62"/>
      <c r="AU271" s="11"/>
      <c r="AV271" s="10"/>
      <c r="AW271" s="11"/>
      <c r="AX271" s="11"/>
      <c r="AY271" s="11"/>
      <c r="AZ271" s="11"/>
      <c r="BA271" s="11"/>
      <c r="BB271" s="59"/>
      <c r="BC271" s="59"/>
      <c r="BD271" s="59"/>
      <c r="BE271" s="59"/>
      <c r="BF271" s="59"/>
      <c r="BG271" s="59"/>
      <c r="BH271" s="138"/>
      <c r="BI271" s="138"/>
      <c r="BJ271" s="138"/>
      <c r="BK271" s="231"/>
      <c r="BL271" s="231"/>
      <c r="BM271" s="231"/>
      <c r="BN271" s="232"/>
      <c r="BO271" s="19"/>
      <c r="BP271" s="23"/>
      <c r="BQ271" s="23"/>
      <c r="BR271" s="23"/>
      <c r="BS271" s="43"/>
    </row>
    <row r="272" spans="1:72" ht="12.75" customHeight="1" x14ac:dyDescent="0.15">
      <c r="A272" s="48" t="s">
        <v>2046</v>
      </c>
      <c r="B272" s="9" t="s">
        <v>1415</v>
      </c>
      <c r="C272" s="9"/>
      <c r="D272" s="9"/>
      <c r="E272" s="9"/>
      <c r="F272" s="10" t="s">
        <v>107</v>
      </c>
      <c r="G272" s="10" t="s">
        <v>1883</v>
      </c>
      <c r="H272" s="5" t="s">
        <v>1884</v>
      </c>
      <c r="I272" s="11" t="s">
        <v>1885</v>
      </c>
      <c r="J272" s="357" t="s">
        <v>1886</v>
      </c>
      <c r="K272" s="353"/>
      <c r="L272" s="221">
        <v>6</v>
      </c>
      <c r="M272" s="221"/>
      <c r="N272" s="222" t="str">
        <f t="shared" si="8"/>
        <v>U 13 Hommes</v>
      </c>
      <c r="O272" s="729">
        <v>6</v>
      </c>
      <c r="P272" s="729"/>
      <c r="Q272" s="730" t="str">
        <f t="shared" si="9"/>
        <v>U 13 Hommes</v>
      </c>
      <c r="R272" s="731"/>
      <c r="S272" s="731"/>
      <c r="T272" s="731"/>
      <c r="U272" s="731" t="s">
        <v>192</v>
      </c>
      <c r="V272" s="731"/>
      <c r="W272" s="731"/>
      <c r="X272" s="731"/>
      <c r="Y272" s="731"/>
      <c r="Z272" s="731"/>
      <c r="AA272" s="731"/>
      <c r="AB272" s="12" t="s">
        <v>2993</v>
      </c>
      <c r="AC272" s="12"/>
      <c r="AD272" s="12"/>
      <c r="AE272" s="12"/>
      <c r="AF272" s="12"/>
      <c r="AG272" s="369"/>
      <c r="AH272" s="370"/>
      <c r="AI272" s="18">
        <v>43587</v>
      </c>
      <c r="AJ272" s="18">
        <v>43549</v>
      </c>
      <c r="AK272" s="13">
        <v>2026</v>
      </c>
      <c r="AL272" s="18">
        <v>41747</v>
      </c>
      <c r="AM272" s="19" t="s">
        <v>2049</v>
      </c>
      <c r="AN272" s="19"/>
      <c r="AO272" s="10"/>
      <c r="AP272" s="40" t="s">
        <v>2050</v>
      </c>
      <c r="AQ272" s="10" t="s">
        <v>2051</v>
      </c>
      <c r="AR272" s="21" t="s">
        <v>1888</v>
      </c>
      <c r="AS272" s="62"/>
      <c r="AT272" s="62"/>
      <c r="AU272" s="11"/>
      <c r="AV272" s="10"/>
      <c r="AW272" s="11"/>
      <c r="AX272" s="11"/>
      <c r="AY272" s="11"/>
      <c r="AZ272" s="11" t="s">
        <v>209</v>
      </c>
      <c r="BA272" s="11"/>
      <c r="BB272" s="59" t="s">
        <v>2813</v>
      </c>
      <c r="BC272" s="59" t="s">
        <v>3151</v>
      </c>
      <c r="BD272" s="59"/>
      <c r="BE272" s="59">
        <v>100</v>
      </c>
      <c r="BF272" s="59"/>
      <c r="BG272" s="59"/>
      <c r="BH272" s="138"/>
      <c r="BI272" s="138"/>
      <c r="BJ272" s="138"/>
      <c r="BK272" s="231"/>
      <c r="BL272" s="231"/>
      <c r="BM272" s="231"/>
      <c r="BN272" s="232"/>
      <c r="BO272" s="19"/>
      <c r="BP272" s="23"/>
      <c r="BQ272" s="23"/>
      <c r="BR272" s="23"/>
      <c r="BS272" s="43"/>
    </row>
    <row r="273" spans="1:72" s="150" customFormat="1" ht="12.75" customHeight="1" x14ac:dyDescent="0.15">
      <c r="A273" s="48" t="s">
        <v>4569</v>
      </c>
      <c r="B273" s="9" t="s">
        <v>4570</v>
      </c>
      <c r="C273" s="9"/>
      <c r="D273" s="9"/>
      <c r="E273" s="9"/>
      <c r="F273" s="112" t="s">
        <v>107</v>
      </c>
      <c r="G273" s="40" t="s">
        <v>4571</v>
      </c>
      <c r="H273" s="52" t="s">
        <v>4572</v>
      </c>
      <c r="I273" s="53" t="s">
        <v>4573</v>
      </c>
      <c r="J273" s="357" t="s">
        <v>2671</v>
      </c>
      <c r="K273" s="353"/>
      <c r="L273" s="221">
        <v>212</v>
      </c>
      <c r="M273" s="221"/>
      <c r="N273" s="222" t="str">
        <f t="shared" si="8"/>
        <v>Contact famille</v>
      </c>
      <c r="O273" s="729">
        <v>212</v>
      </c>
      <c r="P273" s="729"/>
      <c r="Q273" s="730" t="str">
        <f t="shared" si="9"/>
        <v>Contact famille</v>
      </c>
      <c r="R273" s="731"/>
      <c r="S273" s="731"/>
      <c r="T273" s="731"/>
      <c r="U273" s="731" t="s">
        <v>313</v>
      </c>
      <c r="V273" s="731"/>
      <c r="W273" s="731" t="s">
        <v>313</v>
      </c>
      <c r="X273" s="731"/>
      <c r="Y273" s="731"/>
      <c r="Z273" s="731"/>
      <c r="AA273" s="731"/>
      <c r="AB273" s="12"/>
      <c r="AC273" s="12"/>
      <c r="AD273" s="12"/>
      <c r="AE273" s="12"/>
      <c r="AF273" s="12"/>
      <c r="AG273" s="369"/>
      <c r="AH273" s="370"/>
      <c r="AI273" s="18" t="s">
        <v>242</v>
      </c>
      <c r="AJ273" s="18" t="s">
        <v>242</v>
      </c>
      <c r="AK273" s="13" t="s">
        <v>242</v>
      </c>
      <c r="AL273" s="13" t="s">
        <v>242</v>
      </c>
      <c r="AM273" s="46" t="s">
        <v>244</v>
      </c>
      <c r="AN273" s="38"/>
      <c r="AO273" s="10"/>
      <c r="AP273" s="40"/>
      <c r="AQ273" s="20">
        <v>621639458</v>
      </c>
      <c r="AR273" s="21"/>
      <c r="AS273" s="62"/>
      <c r="AT273" s="62"/>
      <c r="AU273" s="11"/>
      <c r="AV273" s="10"/>
      <c r="AW273" s="11"/>
      <c r="AX273" s="11"/>
      <c r="AY273" s="11"/>
      <c r="AZ273" s="11"/>
      <c r="BA273" s="11"/>
      <c r="BB273" s="59"/>
      <c r="BC273" s="59"/>
      <c r="BD273" s="59"/>
      <c r="BE273" s="59"/>
      <c r="BF273" s="59"/>
      <c r="BG273" s="59"/>
      <c r="BH273" s="138"/>
      <c r="BI273" s="138"/>
      <c r="BJ273" s="138"/>
      <c r="BK273" s="231"/>
      <c r="BL273" s="231"/>
      <c r="BM273" s="231"/>
      <c r="BN273" s="232"/>
      <c r="BO273" s="19"/>
      <c r="BP273" s="23"/>
      <c r="BQ273" s="23"/>
      <c r="BR273" s="23"/>
      <c r="BS273" s="43"/>
    </row>
    <row r="274" spans="1:72" ht="12.75" customHeight="1" x14ac:dyDescent="0.15">
      <c r="A274" s="48" t="s">
        <v>5624</v>
      </c>
      <c r="B274" s="9" t="s">
        <v>5625</v>
      </c>
      <c r="C274" s="9"/>
      <c r="D274" s="9"/>
      <c r="E274" s="9"/>
      <c r="F274" s="112" t="s">
        <v>5477</v>
      </c>
      <c r="G274" s="11" t="s">
        <v>5627</v>
      </c>
      <c r="H274" s="5" t="s">
        <v>3234</v>
      </c>
      <c r="I274" s="11" t="s">
        <v>848</v>
      </c>
      <c r="J274" s="357" t="s">
        <v>1943</v>
      </c>
      <c r="K274" s="353"/>
      <c r="L274" s="221">
        <v>212</v>
      </c>
      <c r="M274" s="221"/>
      <c r="N274" s="222" t="str">
        <f t="shared" si="8"/>
        <v>Contact famille</v>
      </c>
      <c r="O274" s="729">
        <v>212</v>
      </c>
      <c r="P274" s="729"/>
      <c r="Q274" s="730" t="str">
        <f t="shared" si="9"/>
        <v>Contact famille</v>
      </c>
      <c r="R274" s="732"/>
      <c r="S274" s="732"/>
      <c r="T274" s="732"/>
      <c r="U274" s="732"/>
      <c r="V274" s="732"/>
      <c r="W274" s="732"/>
      <c r="X274" s="732" t="s">
        <v>313</v>
      </c>
      <c r="Y274" s="732"/>
      <c r="Z274" s="732"/>
      <c r="AA274" s="732"/>
      <c r="AB274" s="12"/>
      <c r="AC274" s="155"/>
      <c r="AD274" s="155"/>
      <c r="AE274" s="155"/>
      <c r="AF274" s="12"/>
      <c r="AG274" s="386"/>
      <c r="AH274" s="392"/>
      <c r="AI274" s="18" t="s">
        <v>242</v>
      </c>
      <c r="AJ274" s="18" t="s">
        <v>242</v>
      </c>
      <c r="AK274" s="13" t="s">
        <v>242</v>
      </c>
      <c r="AL274" s="13" t="s">
        <v>242</v>
      </c>
      <c r="AM274" s="46" t="s">
        <v>244</v>
      </c>
      <c r="AN274" s="10"/>
      <c r="AO274" s="11"/>
      <c r="AP274" s="53"/>
      <c r="AQ274" s="20">
        <v>691475433</v>
      </c>
      <c r="AR274" s="11" t="s">
        <v>5631</v>
      </c>
      <c r="AS274" s="62"/>
      <c r="AT274" s="62"/>
      <c r="AU274" s="10"/>
      <c r="AV274" s="10"/>
      <c r="AW274" s="13"/>
      <c r="AX274" s="11"/>
      <c r="AY274" s="11"/>
      <c r="AZ274" s="11"/>
      <c r="BA274" s="11"/>
      <c r="BB274" s="59"/>
      <c r="BC274" s="59"/>
      <c r="BD274" s="59"/>
      <c r="BE274" s="59"/>
      <c r="BF274" s="59"/>
      <c r="BG274" s="59"/>
      <c r="BH274" s="138"/>
      <c r="BI274" s="138"/>
      <c r="BJ274" s="138"/>
      <c r="BK274" s="231"/>
      <c r="BL274" s="231"/>
      <c r="BM274" s="231"/>
      <c r="BN274" s="232"/>
      <c r="BO274" s="11"/>
      <c r="BP274" s="11"/>
      <c r="BQ274" s="11"/>
      <c r="BR274" s="11"/>
      <c r="BS274" s="394"/>
    </row>
    <row r="275" spans="1:72" s="111" customFormat="1" ht="12.75" customHeight="1" x14ac:dyDescent="0.15">
      <c r="A275" s="48" t="s">
        <v>5624</v>
      </c>
      <c r="B275" s="9" t="s">
        <v>488</v>
      </c>
      <c r="C275" s="9"/>
      <c r="D275" s="9"/>
      <c r="E275" s="9"/>
      <c r="F275" s="112" t="s">
        <v>5477</v>
      </c>
      <c r="G275" s="11" t="s">
        <v>5627</v>
      </c>
      <c r="H275" s="5" t="s">
        <v>3234</v>
      </c>
      <c r="I275" s="11" t="s">
        <v>848</v>
      </c>
      <c r="J275" s="357" t="s">
        <v>1943</v>
      </c>
      <c r="K275" s="353"/>
      <c r="L275" s="221">
        <v>7</v>
      </c>
      <c r="M275" s="221"/>
      <c r="N275" s="222" t="str">
        <f t="shared" si="8"/>
        <v>U 11 Hommes</v>
      </c>
      <c r="O275" s="729">
        <v>7</v>
      </c>
      <c r="P275" s="729"/>
      <c r="Q275" s="730" t="str">
        <f t="shared" si="9"/>
        <v>U 11 Hommes</v>
      </c>
      <c r="R275" s="732"/>
      <c r="S275" s="732"/>
      <c r="T275" s="732"/>
      <c r="U275" s="732"/>
      <c r="V275" s="732"/>
      <c r="W275" s="732"/>
      <c r="X275" s="732" t="s">
        <v>192</v>
      </c>
      <c r="Y275" s="732"/>
      <c r="Z275" s="732"/>
      <c r="AA275" s="732"/>
      <c r="AB275" s="217" t="s">
        <v>2805</v>
      </c>
      <c r="AC275" s="155"/>
      <c r="AD275" s="155"/>
      <c r="AE275" s="155"/>
      <c r="AF275" s="12"/>
      <c r="AG275" s="386" t="s">
        <v>5578</v>
      </c>
      <c r="AH275" s="392"/>
      <c r="AI275" s="432"/>
      <c r="AJ275" s="18">
        <v>46210</v>
      </c>
      <c r="AK275" s="13">
        <v>2027</v>
      </c>
      <c r="AL275" s="18">
        <v>42269</v>
      </c>
      <c r="AM275" s="5" t="s">
        <v>5628</v>
      </c>
      <c r="AN275" s="10"/>
      <c r="AO275" s="11"/>
      <c r="AP275" s="53" t="s">
        <v>5629</v>
      </c>
      <c r="AQ275" s="10" t="s">
        <v>5630</v>
      </c>
      <c r="AR275" s="68" t="s">
        <v>5631</v>
      </c>
      <c r="AS275" s="62"/>
      <c r="AT275" s="62"/>
      <c r="AU275" s="10"/>
      <c r="AV275" s="10"/>
      <c r="AW275" s="13"/>
      <c r="AX275" s="11"/>
      <c r="AY275" s="11"/>
      <c r="AZ275" s="11"/>
      <c r="BA275" s="11"/>
      <c r="BB275" s="59"/>
      <c r="BC275" s="59"/>
      <c r="BD275" s="59"/>
      <c r="BE275" s="59"/>
      <c r="BF275" s="59"/>
      <c r="BG275" s="59"/>
      <c r="BH275" s="138"/>
      <c r="BI275" s="138"/>
      <c r="BJ275" s="138"/>
      <c r="BK275" s="231"/>
      <c r="BL275" s="231"/>
      <c r="BM275" s="231"/>
      <c r="BN275" s="232"/>
      <c r="BO275" s="11"/>
      <c r="BP275" s="11"/>
      <c r="BQ275" s="11"/>
      <c r="BR275" s="11"/>
      <c r="BS275" s="394"/>
      <c r="BT275"/>
    </row>
    <row r="276" spans="1:72" s="150" customFormat="1" ht="12.75" customHeight="1" x14ac:dyDescent="0.15">
      <c r="A276" s="48" t="s">
        <v>5030</v>
      </c>
      <c r="B276" s="9" t="s">
        <v>5031</v>
      </c>
      <c r="C276" s="9"/>
      <c r="D276" s="9"/>
      <c r="E276" s="9"/>
      <c r="F276" s="112" t="s">
        <v>107</v>
      </c>
      <c r="G276" s="10" t="s">
        <v>5032</v>
      </c>
      <c r="H276" s="5" t="s">
        <v>666</v>
      </c>
      <c r="I276" s="11" t="s">
        <v>493</v>
      </c>
      <c r="J276" s="357" t="s">
        <v>5026</v>
      </c>
      <c r="K276" s="353"/>
      <c r="L276" s="221">
        <v>212</v>
      </c>
      <c r="M276" s="221"/>
      <c r="N276" s="222" t="str">
        <f t="shared" si="8"/>
        <v>Contact famille</v>
      </c>
      <c r="O276" s="729">
        <v>212</v>
      </c>
      <c r="P276" s="729"/>
      <c r="Q276" s="730" t="str">
        <f t="shared" si="9"/>
        <v>Contact famille</v>
      </c>
      <c r="R276" s="731"/>
      <c r="S276" s="731"/>
      <c r="T276" s="731"/>
      <c r="U276" s="731"/>
      <c r="V276" s="731"/>
      <c r="W276" s="731"/>
      <c r="X276" s="731" t="s">
        <v>313</v>
      </c>
      <c r="Y276" s="731"/>
      <c r="Z276" s="731"/>
      <c r="AA276" s="731"/>
      <c r="AB276" s="12"/>
      <c r="AC276" s="12"/>
      <c r="AD276" s="12"/>
      <c r="AE276" s="12"/>
      <c r="AF276" s="12"/>
      <c r="AG276" s="369"/>
      <c r="AH276" s="370"/>
      <c r="AI276" s="18" t="s">
        <v>242</v>
      </c>
      <c r="AJ276" s="18" t="s">
        <v>242</v>
      </c>
      <c r="AK276" s="13" t="s">
        <v>242</v>
      </c>
      <c r="AL276" s="18" t="s">
        <v>242</v>
      </c>
      <c r="AM276" s="19" t="s">
        <v>244</v>
      </c>
      <c r="AN276" s="38"/>
      <c r="AO276" s="10"/>
      <c r="AP276" s="40"/>
      <c r="AQ276" s="10"/>
      <c r="AR276" s="21"/>
      <c r="AS276" s="62"/>
      <c r="AT276" s="62"/>
      <c r="AU276" s="11"/>
      <c r="AV276" s="10"/>
      <c r="AW276" s="13"/>
      <c r="AX276" s="11"/>
      <c r="AY276" s="11"/>
      <c r="AZ276" s="11"/>
      <c r="BA276" s="11"/>
      <c r="BB276" s="59"/>
      <c r="BC276" s="59"/>
      <c r="BD276" s="59"/>
      <c r="BE276" s="59"/>
      <c r="BF276" s="59"/>
      <c r="BG276" s="59"/>
      <c r="BH276" s="138"/>
      <c r="BI276" s="138"/>
      <c r="BJ276" s="138"/>
      <c r="BK276" s="231"/>
      <c r="BL276" s="231"/>
      <c r="BM276" s="231"/>
      <c r="BN276" s="232"/>
      <c r="BO276" s="19"/>
      <c r="BP276" s="23"/>
      <c r="BQ276" s="23"/>
      <c r="BR276" s="23"/>
      <c r="BS276" s="43"/>
      <c r="BT276"/>
    </row>
    <row r="277" spans="1:72" ht="12.75" customHeight="1" x14ac:dyDescent="0.15">
      <c r="A277" s="48" t="s">
        <v>5094</v>
      </c>
      <c r="B277" s="9" t="s">
        <v>5095</v>
      </c>
      <c r="C277" s="9"/>
      <c r="D277" s="9"/>
      <c r="E277" s="9"/>
      <c r="F277" s="11" t="s">
        <v>1489</v>
      </c>
      <c r="G277" s="11" t="s">
        <v>5091</v>
      </c>
      <c r="H277" s="5" t="s">
        <v>5092</v>
      </c>
      <c r="I277" s="11" t="s">
        <v>558</v>
      </c>
      <c r="J277" s="357" t="s">
        <v>1067</v>
      </c>
      <c r="K277" s="353"/>
      <c r="L277" s="221">
        <v>212</v>
      </c>
      <c r="M277" s="221"/>
      <c r="N277" s="222" t="str">
        <f t="shared" si="8"/>
        <v>Contact famille</v>
      </c>
      <c r="O277" s="729">
        <v>212</v>
      </c>
      <c r="P277" s="729"/>
      <c r="Q277" s="730" t="str">
        <f t="shared" si="9"/>
        <v>Contact famille</v>
      </c>
      <c r="R277" s="732"/>
      <c r="S277" s="732"/>
      <c r="T277" s="732"/>
      <c r="U277" s="732"/>
      <c r="V277" s="732"/>
      <c r="W277" s="732" t="s">
        <v>313</v>
      </c>
      <c r="X277" s="732"/>
      <c r="Y277" s="732"/>
      <c r="Z277" s="732"/>
      <c r="AA277" s="732"/>
      <c r="AB277" s="12"/>
      <c r="AC277" s="155"/>
      <c r="AD277" s="155"/>
      <c r="AE277" s="155"/>
      <c r="AF277" s="12"/>
      <c r="AG277" s="386"/>
      <c r="AH277" s="392"/>
      <c r="AI277" s="18" t="s">
        <v>242</v>
      </c>
      <c r="AJ277" s="18" t="s">
        <v>242</v>
      </c>
      <c r="AK277" s="13" t="s">
        <v>242</v>
      </c>
      <c r="AL277" s="18" t="s">
        <v>242</v>
      </c>
      <c r="AM277" s="19" t="s">
        <v>244</v>
      </c>
      <c r="AN277" s="10"/>
      <c r="AO277" s="11"/>
      <c r="AP277" s="53"/>
      <c r="AQ277" s="20">
        <v>661846521</v>
      </c>
      <c r="AR277" s="11" t="s">
        <v>5100</v>
      </c>
      <c r="AS277" s="62"/>
      <c r="AT277" s="62"/>
      <c r="AU277" s="10"/>
      <c r="AV277" s="10"/>
      <c r="AW277" s="13"/>
      <c r="AX277" s="11"/>
      <c r="AY277" s="11"/>
      <c r="AZ277" s="11"/>
      <c r="BA277" s="11"/>
      <c r="BB277" s="59"/>
      <c r="BC277" s="59"/>
      <c r="BD277" s="59"/>
      <c r="BE277" s="59"/>
      <c r="BF277" s="59"/>
      <c r="BG277" s="59"/>
      <c r="BH277" s="138"/>
      <c r="BI277" s="138"/>
      <c r="BJ277" s="138"/>
      <c r="BK277" s="231"/>
      <c r="BL277" s="231"/>
      <c r="BM277" s="231"/>
      <c r="BN277" s="232"/>
      <c r="BO277" s="11"/>
      <c r="BP277" s="11"/>
      <c r="BQ277" s="11"/>
      <c r="BR277" s="11"/>
      <c r="BS277" s="394"/>
    </row>
    <row r="278" spans="1:72" ht="12.75" customHeight="1" x14ac:dyDescent="0.15">
      <c r="A278" s="48" t="s">
        <v>2065</v>
      </c>
      <c r="B278" s="9" t="s">
        <v>2066</v>
      </c>
      <c r="C278" s="9"/>
      <c r="D278" s="9"/>
      <c r="E278" s="9"/>
      <c r="F278" s="10" t="s">
        <v>107</v>
      </c>
      <c r="G278" s="10" t="s">
        <v>1118</v>
      </c>
      <c r="H278" s="5" t="s">
        <v>1119</v>
      </c>
      <c r="I278" s="11" t="s">
        <v>241</v>
      </c>
      <c r="J278" s="357" t="s">
        <v>1120</v>
      </c>
      <c r="K278" s="353"/>
      <c r="L278" s="221">
        <v>3</v>
      </c>
      <c r="M278" s="221"/>
      <c r="N278" s="222" t="str">
        <f t="shared" si="8"/>
        <v>U 21 Hommes</v>
      </c>
      <c r="O278" s="729">
        <v>3</v>
      </c>
      <c r="P278" s="729"/>
      <c r="Q278" s="730" t="str">
        <f t="shared" si="9"/>
        <v>U 21 Hommes</v>
      </c>
      <c r="R278" s="731"/>
      <c r="S278" s="731"/>
      <c r="T278" s="731"/>
      <c r="U278" s="731"/>
      <c r="V278" s="731"/>
      <c r="W278" s="731"/>
      <c r="X278" s="731"/>
      <c r="Y278" s="731"/>
      <c r="Z278" s="731"/>
      <c r="AA278" s="731"/>
      <c r="AB278" s="12" t="s">
        <v>2996</v>
      </c>
      <c r="AC278" s="12"/>
      <c r="AD278" s="12"/>
      <c r="AE278" s="12"/>
      <c r="AF278" s="12"/>
      <c r="AG278" s="369"/>
      <c r="AH278" s="370"/>
      <c r="AI278" s="18">
        <v>43178</v>
      </c>
      <c r="AJ278" s="18">
        <v>43170</v>
      </c>
      <c r="AK278" s="13">
        <v>2028</v>
      </c>
      <c r="AL278" s="18">
        <v>39751</v>
      </c>
      <c r="AM278" s="19" t="s">
        <v>2067</v>
      </c>
      <c r="AN278" s="19"/>
      <c r="AO278" s="10"/>
      <c r="AP278" s="40"/>
      <c r="AQ278" s="20" t="s">
        <v>3508</v>
      </c>
      <c r="AR278" s="21" t="s">
        <v>1128</v>
      </c>
      <c r="AS278" s="62"/>
      <c r="AT278" s="62"/>
      <c r="AU278" s="11"/>
      <c r="AV278" s="10"/>
      <c r="AW278" s="11"/>
      <c r="AX278" s="11"/>
      <c r="AY278" s="11"/>
      <c r="AZ278" s="11" t="s">
        <v>420</v>
      </c>
      <c r="BA278" s="11"/>
      <c r="BB278" s="59" t="s">
        <v>2813</v>
      </c>
      <c r="BC278" s="59" t="s">
        <v>292</v>
      </c>
      <c r="BD278" s="59"/>
      <c r="BE278" s="59">
        <v>100</v>
      </c>
      <c r="BF278" s="59"/>
      <c r="BG278" s="59"/>
      <c r="BH278" s="138"/>
      <c r="BI278" s="138"/>
      <c r="BJ278" s="138"/>
      <c r="BK278" s="231"/>
      <c r="BL278" s="231"/>
      <c r="BM278" s="231"/>
      <c r="BN278" s="232"/>
      <c r="BO278" s="19"/>
      <c r="BP278" s="23" t="s">
        <v>216</v>
      </c>
      <c r="BQ278" s="23"/>
      <c r="BR278" s="23"/>
      <c r="BS278" s="149"/>
    </row>
    <row r="279" spans="1:72" ht="12.75" customHeight="1" x14ac:dyDescent="0.15">
      <c r="A279" s="48" t="s">
        <v>3550</v>
      </c>
      <c r="B279" s="9" t="s">
        <v>861</v>
      </c>
      <c r="C279" s="9"/>
      <c r="D279" s="9"/>
      <c r="E279" s="9"/>
      <c r="F279" s="10" t="s">
        <v>107</v>
      </c>
      <c r="G279" s="10" t="s">
        <v>3543</v>
      </c>
      <c r="H279" s="5" t="s">
        <v>110</v>
      </c>
      <c r="I279" s="11" t="s">
        <v>111</v>
      </c>
      <c r="J279" s="357" t="s">
        <v>1498</v>
      </c>
      <c r="K279" s="353"/>
      <c r="L279" s="221">
        <v>212</v>
      </c>
      <c r="M279" s="221"/>
      <c r="N279" s="222" t="str">
        <f t="shared" si="8"/>
        <v>Contact famille</v>
      </c>
      <c r="O279" s="729">
        <v>212</v>
      </c>
      <c r="P279" s="729"/>
      <c r="Q279" s="730" t="str">
        <f t="shared" si="9"/>
        <v>Contact famille</v>
      </c>
      <c r="R279" s="731"/>
      <c r="S279" s="731"/>
      <c r="T279" s="731"/>
      <c r="U279" s="731"/>
      <c r="V279" s="731" t="s">
        <v>313</v>
      </c>
      <c r="W279" s="731"/>
      <c r="X279" s="731"/>
      <c r="Y279" s="731"/>
      <c r="Z279" s="731"/>
      <c r="AA279" s="731"/>
      <c r="AB279" s="12"/>
      <c r="AC279" s="12"/>
      <c r="AD279" s="12" t="s">
        <v>252</v>
      </c>
      <c r="AE279" s="12"/>
      <c r="AF279" s="12"/>
      <c r="AG279" s="369"/>
      <c r="AH279" s="370"/>
      <c r="AI279" s="45" t="s">
        <v>242</v>
      </c>
      <c r="AJ279" s="18">
        <v>44107</v>
      </c>
      <c r="AK279" s="13" t="s">
        <v>242</v>
      </c>
      <c r="AL279" s="18" t="s">
        <v>242</v>
      </c>
      <c r="AM279" s="19" t="s">
        <v>244</v>
      </c>
      <c r="AN279" s="38"/>
      <c r="AO279" s="10"/>
      <c r="AP279" s="40"/>
      <c r="AQ279" s="10" t="s">
        <v>3546</v>
      </c>
      <c r="AR279" s="66"/>
      <c r="AS279" s="62"/>
      <c r="AT279" s="62"/>
      <c r="AU279" s="11"/>
      <c r="AV279" s="10"/>
      <c r="AW279" s="11"/>
      <c r="AX279" s="11"/>
      <c r="AY279" s="11"/>
      <c r="AZ279" s="11"/>
      <c r="BA279" s="11"/>
      <c r="BB279" s="59"/>
      <c r="BC279" s="59"/>
      <c r="BD279" s="59"/>
      <c r="BE279" s="59"/>
      <c r="BF279" s="59"/>
      <c r="BG279" s="59"/>
      <c r="BH279" s="138"/>
      <c r="BI279" s="138"/>
      <c r="BJ279" s="138"/>
      <c r="BK279" s="231"/>
      <c r="BL279" s="231"/>
      <c r="BM279" s="231"/>
      <c r="BN279" s="232"/>
      <c r="BO279" s="19"/>
      <c r="BP279" s="23"/>
      <c r="BQ279" s="23"/>
      <c r="BR279" s="23"/>
      <c r="BS279" s="149"/>
    </row>
    <row r="280" spans="1:72" ht="12.75" customHeight="1" x14ac:dyDescent="0.15">
      <c r="A280" s="48" t="s">
        <v>356</v>
      </c>
      <c r="B280" s="9" t="s">
        <v>954</v>
      </c>
      <c r="C280" s="9"/>
      <c r="D280" s="9"/>
      <c r="E280" s="9"/>
      <c r="F280" s="10" t="s">
        <v>107</v>
      </c>
      <c r="G280" s="10" t="s">
        <v>862</v>
      </c>
      <c r="H280" s="5" t="s">
        <v>359</v>
      </c>
      <c r="I280" s="11" t="s">
        <v>360</v>
      </c>
      <c r="J280" s="357" t="s">
        <v>320</v>
      </c>
      <c r="K280" s="353"/>
      <c r="L280" s="221">
        <v>1</v>
      </c>
      <c r="M280" s="221"/>
      <c r="N280" s="222" t="str">
        <f t="shared" si="8"/>
        <v>Officiel H</v>
      </c>
      <c r="O280" s="729">
        <v>1</v>
      </c>
      <c r="P280" s="729"/>
      <c r="Q280" s="730" t="str">
        <f t="shared" si="9"/>
        <v>Officiel H</v>
      </c>
      <c r="R280" s="731"/>
      <c r="S280" s="731"/>
      <c r="T280" s="731"/>
      <c r="U280" s="731"/>
      <c r="V280" s="731"/>
      <c r="W280" s="731"/>
      <c r="X280" s="731"/>
      <c r="Y280" s="731"/>
      <c r="Z280" s="731"/>
      <c r="AA280" s="731"/>
      <c r="AB280" s="12"/>
      <c r="AC280" s="12" t="s">
        <v>3099</v>
      </c>
      <c r="AD280" s="12" t="s">
        <v>3099</v>
      </c>
      <c r="AE280" s="12"/>
      <c r="AF280" s="12"/>
      <c r="AG280" s="376"/>
      <c r="AH280" s="370"/>
      <c r="AI280" s="18">
        <v>28764</v>
      </c>
      <c r="AJ280" s="18">
        <v>28764</v>
      </c>
      <c r="AK280" s="14" t="s">
        <v>210</v>
      </c>
      <c r="AL280" s="18">
        <v>20265</v>
      </c>
      <c r="AM280" s="19" t="s">
        <v>2808</v>
      </c>
      <c r="AN280" s="38" t="s">
        <v>2767</v>
      </c>
      <c r="AO280" s="10" t="s">
        <v>876</v>
      </c>
      <c r="AP280" s="40"/>
      <c r="AQ280" s="27" t="s">
        <v>2068</v>
      </c>
      <c r="AR280" s="21" t="s">
        <v>2069</v>
      </c>
      <c r="AS280" s="62"/>
      <c r="AT280" s="62"/>
      <c r="AU280" s="5"/>
      <c r="AV280" s="30"/>
      <c r="AW280" s="5"/>
      <c r="AX280" s="11"/>
      <c r="AY280" s="11"/>
      <c r="AZ280" s="11" t="s">
        <v>2811</v>
      </c>
      <c r="BA280" s="11"/>
      <c r="BB280" s="59" t="s">
        <v>2813</v>
      </c>
      <c r="BC280" s="59" t="s">
        <v>292</v>
      </c>
      <c r="BD280" s="59" t="s">
        <v>1168</v>
      </c>
      <c r="BE280" s="59">
        <v>100</v>
      </c>
      <c r="BF280" s="59"/>
      <c r="BG280" s="59"/>
      <c r="BH280" s="138"/>
      <c r="BI280" s="138"/>
      <c r="BJ280" s="138"/>
      <c r="BK280" s="231"/>
      <c r="BL280" s="231"/>
      <c r="BM280" s="231"/>
      <c r="BN280" s="232"/>
      <c r="BO280" s="19"/>
      <c r="BP280" s="23" t="s">
        <v>1812</v>
      </c>
      <c r="BQ280" s="23"/>
      <c r="BR280" s="23"/>
      <c r="BS280" s="149"/>
    </row>
    <row r="281" spans="1:72" ht="12.75" customHeight="1" x14ac:dyDescent="0.15">
      <c r="A281" s="48" t="s">
        <v>356</v>
      </c>
      <c r="B281" s="9" t="s">
        <v>357</v>
      </c>
      <c r="C281" s="9"/>
      <c r="D281" s="9"/>
      <c r="E281" s="9"/>
      <c r="F281" s="10" t="s">
        <v>107</v>
      </c>
      <c r="G281" s="10" t="s">
        <v>3457</v>
      </c>
      <c r="H281" s="5" t="s">
        <v>961</v>
      </c>
      <c r="I281" s="11" t="s">
        <v>962</v>
      </c>
      <c r="J281" s="357" t="s">
        <v>320</v>
      </c>
      <c r="K281" s="354"/>
      <c r="L281" s="221">
        <v>202</v>
      </c>
      <c r="M281" s="221"/>
      <c r="N281" s="222" t="str">
        <f t="shared" si="8"/>
        <v>Membre honoraire</v>
      </c>
      <c r="O281" s="729">
        <v>202</v>
      </c>
      <c r="P281" s="729"/>
      <c r="Q281" s="730" t="str">
        <f t="shared" si="9"/>
        <v>Membre honoraire</v>
      </c>
      <c r="R281" s="731"/>
      <c r="S281" s="731"/>
      <c r="T281" s="731"/>
      <c r="U281" s="731"/>
      <c r="V281" s="731"/>
      <c r="W281" s="731"/>
      <c r="X281" s="731"/>
      <c r="Y281" s="731"/>
      <c r="Z281" s="731"/>
      <c r="AA281" s="731"/>
      <c r="AB281" s="12"/>
      <c r="AC281" s="12"/>
      <c r="AD281" s="12"/>
      <c r="AE281" s="12"/>
      <c r="AF281" s="12"/>
      <c r="AG281" s="369"/>
      <c r="AH281" s="370"/>
      <c r="AI281" s="18" t="s">
        <v>242</v>
      </c>
      <c r="AJ281" s="18">
        <v>44082</v>
      </c>
      <c r="AK281" s="427" t="s">
        <v>242</v>
      </c>
      <c r="AL281" s="18" t="s">
        <v>242</v>
      </c>
      <c r="AM281" s="19" t="s">
        <v>244</v>
      </c>
      <c r="AN281" s="38"/>
      <c r="AO281" s="10"/>
      <c r="AP281" s="40"/>
      <c r="AQ281" s="10" t="s">
        <v>363</v>
      </c>
      <c r="AR281" s="47" t="s">
        <v>3458</v>
      </c>
      <c r="AS281" s="62"/>
      <c r="AT281" s="62"/>
      <c r="AU281" s="11"/>
      <c r="AV281" s="10"/>
      <c r="AW281" s="11"/>
      <c r="AX281" s="11"/>
      <c r="AY281" s="11"/>
      <c r="AZ281" s="11"/>
      <c r="BA281" s="11"/>
      <c r="BB281" s="59"/>
      <c r="BC281" s="59"/>
      <c r="BD281" s="59"/>
      <c r="BE281" s="59"/>
      <c r="BF281" s="59"/>
      <c r="BG281" s="59"/>
      <c r="BH281" s="138"/>
      <c r="BI281" s="138"/>
      <c r="BJ281" s="138"/>
      <c r="BK281" s="231"/>
      <c r="BL281" s="231"/>
      <c r="BM281" s="231"/>
      <c r="BN281" s="232"/>
      <c r="BO281" s="19"/>
      <c r="BP281" s="23"/>
      <c r="BQ281" s="23"/>
      <c r="BR281" s="23"/>
      <c r="BS281" s="149"/>
      <c r="BT281" s="150"/>
    </row>
    <row r="282" spans="1:72" ht="12.75" customHeight="1" x14ac:dyDescent="0.15">
      <c r="A282" s="48" t="s">
        <v>356</v>
      </c>
      <c r="B282" s="9" t="s">
        <v>2755</v>
      </c>
      <c r="C282" s="9"/>
      <c r="D282" s="9"/>
      <c r="E282" s="9"/>
      <c r="F282" s="10" t="s">
        <v>107</v>
      </c>
      <c r="G282" s="10" t="s">
        <v>2753</v>
      </c>
      <c r="H282" s="5" t="s">
        <v>2754</v>
      </c>
      <c r="I282" s="11" t="s">
        <v>613</v>
      </c>
      <c r="J282" s="357" t="s">
        <v>1548</v>
      </c>
      <c r="K282" s="353"/>
      <c r="L282" s="221">
        <v>9</v>
      </c>
      <c r="M282" s="221"/>
      <c r="N282" s="222" t="str">
        <f t="shared" si="8"/>
        <v>Vétérans - Hommes</v>
      </c>
      <c r="O282" s="729">
        <v>9</v>
      </c>
      <c r="P282" s="729"/>
      <c r="Q282" s="730" t="str">
        <f t="shared" si="9"/>
        <v>Vétérans - Hommes</v>
      </c>
      <c r="R282" s="731"/>
      <c r="S282" s="731"/>
      <c r="T282" s="731"/>
      <c r="U282" s="731"/>
      <c r="V282" s="731" t="s">
        <v>313</v>
      </c>
      <c r="W282" s="731"/>
      <c r="X282" s="731"/>
      <c r="Y282" s="731"/>
      <c r="Z282" s="731"/>
      <c r="AA282" s="731"/>
      <c r="AB282" s="12" t="s">
        <v>2998</v>
      </c>
      <c r="AC282" s="12" t="s">
        <v>3100</v>
      </c>
      <c r="AD282" s="12" t="s">
        <v>3100</v>
      </c>
      <c r="AE282" s="12"/>
      <c r="AF282" s="12"/>
      <c r="AG282" s="376"/>
      <c r="AH282" s="370"/>
      <c r="AI282" s="18">
        <v>33276</v>
      </c>
      <c r="AJ282" s="18">
        <v>33276</v>
      </c>
      <c r="AK282" s="14">
        <v>2028</v>
      </c>
      <c r="AL282" s="18">
        <v>30628</v>
      </c>
      <c r="AM282" s="19" t="s">
        <v>2076</v>
      </c>
      <c r="AN282" s="38" t="s">
        <v>2756</v>
      </c>
      <c r="AO282" s="10" t="s">
        <v>2077</v>
      </c>
      <c r="AP282" s="40" t="s">
        <v>2078</v>
      </c>
      <c r="AQ282" s="27" t="s">
        <v>2079</v>
      </c>
      <c r="AR282" s="54" t="s">
        <v>3176</v>
      </c>
      <c r="AS282" s="61" t="s">
        <v>3971</v>
      </c>
      <c r="AT282" s="61" t="s">
        <v>3969</v>
      </c>
      <c r="AU282" s="5"/>
      <c r="AV282" s="10"/>
      <c r="AW282" s="5"/>
      <c r="AX282" s="11"/>
      <c r="AY282" s="53" t="s">
        <v>4999</v>
      </c>
      <c r="AZ282" s="11" t="s">
        <v>2811</v>
      </c>
      <c r="BA282" s="11"/>
      <c r="BB282" s="59" t="s">
        <v>2813</v>
      </c>
      <c r="BC282" s="59" t="s">
        <v>3151</v>
      </c>
      <c r="BD282" s="59"/>
      <c r="BE282" s="59"/>
      <c r="BF282" s="59"/>
      <c r="BG282" s="59"/>
      <c r="BH282" s="138"/>
      <c r="BI282" s="138"/>
      <c r="BJ282" s="138"/>
      <c r="BK282" s="231"/>
      <c r="BL282" s="231"/>
      <c r="BM282" s="231"/>
      <c r="BN282" s="232"/>
      <c r="BO282" s="19"/>
      <c r="BP282" s="23" t="s">
        <v>2080</v>
      </c>
      <c r="BQ282" s="23"/>
      <c r="BR282" s="23"/>
      <c r="BS282" s="149"/>
      <c r="BT282" s="150"/>
    </row>
    <row r="283" spans="1:72" ht="12.75" customHeight="1" x14ac:dyDescent="0.15">
      <c r="A283" s="48" t="s">
        <v>356</v>
      </c>
      <c r="B283" s="9" t="s">
        <v>2058</v>
      </c>
      <c r="C283" s="9"/>
      <c r="D283" s="9"/>
      <c r="E283" s="9"/>
      <c r="F283" s="10" t="s">
        <v>107</v>
      </c>
      <c r="G283" s="10" t="s">
        <v>2753</v>
      </c>
      <c r="H283" s="5" t="s">
        <v>2754</v>
      </c>
      <c r="I283" s="11" t="s">
        <v>613</v>
      </c>
      <c r="J283" s="357" t="s">
        <v>1548</v>
      </c>
      <c r="K283" s="353"/>
      <c r="L283" s="221">
        <v>7</v>
      </c>
      <c r="M283" s="221"/>
      <c r="N283" s="222" t="str">
        <f t="shared" si="8"/>
        <v>U 11 Hommes</v>
      </c>
      <c r="O283" s="729">
        <v>7</v>
      </c>
      <c r="P283" s="729"/>
      <c r="Q283" s="730" t="str">
        <f t="shared" si="9"/>
        <v>U 11 Hommes</v>
      </c>
      <c r="R283" s="731"/>
      <c r="S283" s="731"/>
      <c r="T283" s="731"/>
      <c r="U283" s="731"/>
      <c r="V283" s="731" t="s">
        <v>192</v>
      </c>
      <c r="W283" s="731"/>
      <c r="X283" s="731"/>
      <c r="Y283" s="731"/>
      <c r="Z283" s="731"/>
      <c r="AA283" s="731"/>
      <c r="AB283" s="12" t="s">
        <v>3628</v>
      </c>
      <c r="AC283" s="12"/>
      <c r="AD283" s="12"/>
      <c r="AE283" s="12"/>
      <c r="AF283" s="12"/>
      <c r="AG283" s="369"/>
      <c r="AH283" s="370"/>
      <c r="AI283" s="18">
        <v>44151</v>
      </c>
      <c r="AJ283" s="18">
        <v>43709</v>
      </c>
      <c r="AK283" s="13">
        <v>2028</v>
      </c>
      <c r="AL283" s="18">
        <v>42583</v>
      </c>
      <c r="AM283" s="19" t="s">
        <v>3172</v>
      </c>
      <c r="AN283" s="38"/>
      <c r="AO283" s="10"/>
      <c r="AP283" s="27" t="s">
        <v>3173</v>
      </c>
      <c r="AQ283" s="10" t="s">
        <v>3175</v>
      </c>
      <c r="AR283" s="54" t="s">
        <v>3176</v>
      </c>
      <c r="AS283" s="62"/>
      <c r="AT283" s="62"/>
      <c r="AU283" s="11"/>
      <c r="AV283" s="10"/>
      <c r="AW283" s="11"/>
      <c r="AX283" s="11"/>
      <c r="AY283" s="11"/>
      <c r="AZ283" s="11"/>
      <c r="BA283" s="11"/>
      <c r="BB283" s="59"/>
      <c r="BC283" s="59"/>
      <c r="BD283" s="59"/>
      <c r="BE283" s="59"/>
      <c r="BF283" s="59"/>
      <c r="BG283" s="59"/>
      <c r="BH283" s="138"/>
      <c r="BI283" s="138"/>
      <c r="BJ283" s="138"/>
      <c r="BK283" s="231"/>
      <c r="BL283" s="231"/>
      <c r="BM283" s="231"/>
      <c r="BN283" s="232"/>
      <c r="BO283" s="19"/>
      <c r="BP283" s="23"/>
      <c r="BQ283" s="23"/>
      <c r="BR283" s="23"/>
      <c r="BS283" s="149"/>
      <c r="BT283" s="150"/>
    </row>
    <row r="284" spans="1:72" ht="12.75" customHeight="1" x14ac:dyDescent="0.15">
      <c r="A284" s="48" t="s">
        <v>356</v>
      </c>
      <c r="B284" s="9" t="s">
        <v>2769</v>
      </c>
      <c r="C284" s="9"/>
      <c r="D284" s="9"/>
      <c r="E284" s="9"/>
      <c r="F284" s="10" t="s">
        <v>107</v>
      </c>
      <c r="G284" s="10" t="s">
        <v>2763</v>
      </c>
      <c r="H284" s="5" t="s">
        <v>961</v>
      </c>
      <c r="I284" s="11" t="s">
        <v>962</v>
      </c>
      <c r="J284" s="357" t="s">
        <v>320</v>
      </c>
      <c r="K284" s="353"/>
      <c r="L284" s="221">
        <v>150</v>
      </c>
      <c r="M284" s="221"/>
      <c r="N284" s="222" t="str">
        <f t="shared" si="8"/>
        <v>comité</v>
      </c>
      <c r="O284" s="729">
        <v>9</v>
      </c>
      <c r="P284" s="729"/>
      <c r="Q284" s="730" t="str">
        <f t="shared" si="9"/>
        <v>Vétérans - Hommes</v>
      </c>
      <c r="R284" s="731"/>
      <c r="S284" s="731"/>
      <c r="T284" s="731"/>
      <c r="U284" s="731"/>
      <c r="V284" s="731"/>
      <c r="W284" s="731"/>
      <c r="X284" s="731"/>
      <c r="Y284" s="731"/>
      <c r="Z284" s="731"/>
      <c r="AA284" s="731"/>
      <c r="AB284" s="12" t="s">
        <v>3000</v>
      </c>
      <c r="AC284" s="12" t="s">
        <v>3101</v>
      </c>
      <c r="AD284" s="12" t="s">
        <v>3101</v>
      </c>
      <c r="AE284" s="12"/>
      <c r="AF284" s="12"/>
      <c r="AG284" s="376"/>
      <c r="AH284" s="370"/>
      <c r="AI284" s="18">
        <v>34228</v>
      </c>
      <c r="AJ284" s="18">
        <v>34223</v>
      </c>
      <c r="AK284" s="14">
        <v>2027</v>
      </c>
      <c r="AL284" s="18">
        <v>31904</v>
      </c>
      <c r="AM284" s="19" t="s">
        <v>2084</v>
      </c>
      <c r="AN284" s="38" t="s">
        <v>2756</v>
      </c>
      <c r="AO284" s="10" t="s">
        <v>876</v>
      </c>
      <c r="AP284" s="40" t="s">
        <v>252</v>
      </c>
      <c r="AQ284" s="27" t="s">
        <v>2085</v>
      </c>
      <c r="AR284" s="29" t="s">
        <v>2086</v>
      </c>
      <c r="AS284" s="61"/>
      <c r="AT284" s="61"/>
      <c r="AU284" s="5"/>
      <c r="AV284" s="40"/>
      <c r="AW284" s="5"/>
      <c r="AX284" s="11"/>
      <c r="AY284" s="11"/>
      <c r="AZ284" s="11" t="s">
        <v>2811</v>
      </c>
      <c r="BA284" s="11"/>
      <c r="BB284" s="59" t="s">
        <v>2813</v>
      </c>
      <c r="BC284" s="59" t="s">
        <v>292</v>
      </c>
      <c r="BD284" s="59" t="s">
        <v>1168</v>
      </c>
      <c r="BE284" s="59">
        <v>125</v>
      </c>
      <c r="BF284" s="59"/>
      <c r="BG284" s="59"/>
      <c r="BH284" s="138"/>
      <c r="BI284" s="138"/>
      <c r="BJ284" s="138"/>
      <c r="BK284" s="231"/>
      <c r="BL284" s="231"/>
      <c r="BM284" s="231"/>
      <c r="BN284" s="232"/>
      <c r="BO284" s="19"/>
      <c r="BP284" s="23" t="s">
        <v>1537</v>
      </c>
      <c r="BQ284" s="23"/>
      <c r="BR284" s="23"/>
      <c r="BS284" s="149"/>
      <c r="BT284" s="150"/>
    </row>
    <row r="285" spans="1:72" ht="12.75" customHeight="1" x14ac:dyDescent="0.15">
      <c r="A285" s="103" t="s">
        <v>356</v>
      </c>
      <c r="B285" s="104" t="s">
        <v>1402</v>
      </c>
      <c r="C285" s="104"/>
      <c r="D285" s="104"/>
      <c r="E285" s="104"/>
      <c r="F285" s="122" t="s">
        <v>107</v>
      </c>
      <c r="G285" s="122" t="s">
        <v>3566</v>
      </c>
      <c r="H285" s="123" t="s">
        <v>3567</v>
      </c>
      <c r="I285" s="105" t="s">
        <v>1051</v>
      </c>
      <c r="J285" s="356" t="s">
        <v>4376</v>
      </c>
      <c r="K285" s="353" t="s">
        <v>5004</v>
      </c>
      <c r="L285" s="220">
        <v>252</v>
      </c>
      <c r="M285" s="220"/>
      <c r="N285" s="223" t="str">
        <f t="shared" si="8"/>
        <v>Arrêt jeune (garder licence)</v>
      </c>
      <c r="O285" s="733">
        <v>18</v>
      </c>
      <c r="P285" s="733"/>
      <c r="Q285" s="758" t="str">
        <f t="shared" si="9"/>
        <v>U 9 Dames</v>
      </c>
      <c r="R285" s="734"/>
      <c r="S285" s="734"/>
      <c r="T285" s="734"/>
      <c r="U285" s="734"/>
      <c r="V285" s="734"/>
      <c r="W285" s="734" t="s">
        <v>192</v>
      </c>
      <c r="X285" s="734"/>
      <c r="Y285" s="734"/>
      <c r="Z285" s="734"/>
      <c r="AA285" s="734"/>
      <c r="AB285" s="124" t="s">
        <v>3597</v>
      </c>
      <c r="AC285" s="124"/>
      <c r="AD285" s="124"/>
      <c r="AE285" s="124"/>
      <c r="AF285" s="124"/>
      <c r="AG285" s="373"/>
      <c r="AH285" s="372"/>
      <c r="AI285" s="143">
        <v>44124</v>
      </c>
      <c r="AJ285" s="143">
        <v>44111</v>
      </c>
      <c r="AK285" s="615">
        <v>2025</v>
      </c>
      <c r="AL285" s="143">
        <v>43141</v>
      </c>
      <c r="AM285" s="144" t="s">
        <v>3569</v>
      </c>
      <c r="AN285" s="151"/>
      <c r="AO285" s="122" t="s">
        <v>3570</v>
      </c>
      <c r="AP285" s="122" t="s">
        <v>3571</v>
      </c>
      <c r="AQ285" s="122" t="s">
        <v>3572</v>
      </c>
      <c r="AR285" s="152" t="s">
        <v>3573</v>
      </c>
      <c r="AS285" s="36"/>
      <c r="AT285" s="36"/>
      <c r="AU285" s="105"/>
      <c r="AV285" s="122"/>
      <c r="AW285" s="105"/>
      <c r="AX285" s="105"/>
      <c r="AY285" s="105"/>
      <c r="AZ285" s="105"/>
      <c r="BA285" s="105"/>
      <c r="BB285" s="130"/>
      <c r="BC285" s="130"/>
      <c r="BD285" s="130"/>
      <c r="BE285" s="130"/>
      <c r="BF285" s="130"/>
      <c r="BG285" s="130"/>
      <c r="BH285" s="147"/>
      <c r="BI285" s="147"/>
      <c r="BJ285" s="147"/>
      <c r="BK285" s="229"/>
      <c r="BL285" s="229"/>
      <c r="BM285" s="229"/>
      <c r="BN285" s="230"/>
      <c r="BO285" s="144"/>
      <c r="BP285" s="148"/>
      <c r="BQ285" s="148"/>
      <c r="BR285" s="148"/>
      <c r="BS285" s="149"/>
    </row>
    <row r="286" spans="1:72" s="150" customFormat="1" ht="12.75" customHeight="1" x14ac:dyDescent="0.15">
      <c r="A286" s="103" t="s">
        <v>356</v>
      </c>
      <c r="B286" s="104" t="s">
        <v>1488</v>
      </c>
      <c r="C286" s="104"/>
      <c r="D286" s="104"/>
      <c r="E286" s="104"/>
      <c r="F286" s="122" t="s">
        <v>107</v>
      </c>
      <c r="G286" s="122" t="s">
        <v>3566</v>
      </c>
      <c r="H286" s="123" t="s">
        <v>3567</v>
      </c>
      <c r="I286" s="105" t="s">
        <v>1051</v>
      </c>
      <c r="J286" s="356" t="s">
        <v>4376</v>
      </c>
      <c r="K286" s="353" t="s">
        <v>5004</v>
      </c>
      <c r="L286" s="220">
        <v>252</v>
      </c>
      <c r="M286" s="220"/>
      <c r="N286" s="223" t="str">
        <f t="shared" si="8"/>
        <v>Arrêt jeune (garder licence)</v>
      </c>
      <c r="O286" s="733">
        <v>7</v>
      </c>
      <c r="P286" s="733"/>
      <c r="Q286" s="758" t="str">
        <f t="shared" si="9"/>
        <v>U 11 Hommes</v>
      </c>
      <c r="R286" s="734"/>
      <c r="S286" s="734"/>
      <c r="T286" s="734"/>
      <c r="U286" s="734"/>
      <c r="V286" s="734" t="s">
        <v>192</v>
      </c>
      <c r="W286" s="734"/>
      <c r="X286" s="734"/>
      <c r="Y286" s="734"/>
      <c r="Z286" s="734"/>
      <c r="AA286" s="734"/>
      <c r="AB286" s="124" t="s">
        <v>3598</v>
      </c>
      <c r="AC286" s="124"/>
      <c r="AD286" s="124"/>
      <c r="AE286" s="124"/>
      <c r="AF286" s="124"/>
      <c r="AG286" s="373"/>
      <c r="AH286" s="372"/>
      <c r="AI286" s="143">
        <v>44124</v>
      </c>
      <c r="AJ286" s="143">
        <v>44111</v>
      </c>
      <c r="AK286" s="612">
        <v>2023</v>
      </c>
      <c r="AL286" s="143">
        <v>42464</v>
      </c>
      <c r="AM286" s="144" t="s">
        <v>3568</v>
      </c>
      <c r="AN286" s="151"/>
      <c r="AO286" s="122" t="s">
        <v>3570</v>
      </c>
      <c r="AP286" s="122" t="s">
        <v>3571</v>
      </c>
      <c r="AQ286" s="122" t="s">
        <v>3572</v>
      </c>
      <c r="AR286" s="152" t="s">
        <v>3573</v>
      </c>
      <c r="AS286" s="36"/>
      <c r="AT286" s="36"/>
      <c r="AU286" s="105"/>
      <c r="AV286" s="122"/>
      <c r="AW286" s="105"/>
      <c r="AX286" s="105"/>
      <c r="AY286" s="105"/>
      <c r="AZ286" s="105"/>
      <c r="BA286" s="105"/>
      <c r="BB286" s="130"/>
      <c r="BC286" s="130"/>
      <c r="BD286" s="130"/>
      <c r="BE286" s="130"/>
      <c r="BF286" s="130"/>
      <c r="BG286" s="130"/>
      <c r="BH286" s="147"/>
      <c r="BI286" s="147"/>
      <c r="BJ286" s="147"/>
      <c r="BK286" s="229"/>
      <c r="BL286" s="229"/>
      <c r="BM286" s="229"/>
      <c r="BN286" s="230"/>
      <c r="BO286" s="144"/>
      <c r="BP286" s="148"/>
      <c r="BQ286" s="148"/>
      <c r="BR286" s="148"/>
      <c r="BS286" s="149"/>
      <c r="BT286"/>
    </row>
    <row r="287" spans="1:72" s="150" customFormat="1" ht="12.75" customHeight="1" x14ac:dyDescent="0.15">
      <c r="A287" s="48" t="s">
        <v>963</v>
      </c>
      <c r="B287" s="9" t="s">
        <v>866</v>
      </c>
      <c r="C287" s="9"/>
      <c r="D287" s="9"/>
      <c r="E287" s="9"/>
      <c r="F287" s="10" t="s">
        <v>107</v>
      </c>
      <c r="G287" s="10" t="s">
        <v>3258</v>
      </c>
      <c r="H287" s="5" t="s">
        <v>925</v>
      </c>
      <c r="I287" s="11" t="s">
        <v>135</v>
      </c>
      <c r="J287" s="357" t="s">
        <v>320</v>
      </c>
      <c r="K287" s="353"/>
      <c r="L287" s="221">
        <v>2</v>
      </c>
      <c r="M287" s="221"/>
      <c r="N287" s="222" t="str">
        <f t="shared" si="8"/>
        <v>Seniors - Hommes</v>
      </c>
      <c r="O287" s="729">
        <v>2</v>
      </c>
      <c r="P287" s="729"/>
      <c r="Q287" s="730" t="str">
        <f t="shared" si="9"/>
        <v>Seniors - Hommes</v>
      </c>
      <c r="R287" s="731"/>
      <c r="S287" s="731"/>
      <c r="T287" s="731"/>
      <c r="U287" s="731"/>
      <c r="V287" s="731"/>
      <c r="W287" s="731"/>
      <c r="X287" s="731"/>
      <c r="Y287" s="731"/>
      <c r="Z287" s="731"/>
      <c r="AA287" s="731"/>
      <c r="AB287" s="12" t="s">
        <v>3338</v>
      </c>
      <c r="AC287" s="12"/>
      <c r="AD287" s="12"/>
      <c r="AE287" s="12"/>
      <c r="AF287" s="12"/>
      <c r="AG287" s="369"/>
      <c r="AH287" s="370"/>
      <c r="AI287" s="18">
        <v>43878</v>
      </c>
      <c r="AJ287" s="18">
        <v>43843</v>
      </c>
      <c r="AK287" s="62">
        <v>2031</v>
      </c>
      <c r="AL287" s="18">
        <v>33439</v>
      </c>
      <c r="AM287" s="19" t="s">
        <v>3259</v>
      </c>
      <c r="AN287" s="38"/>
      <c r="AO287" s="10" t="s">
        <v>3260</v>
      </c>
      <c r="AP287" s="40"/>
      <c r="AQ287" s="10" t="s">
        <v>3226</v>
      </c>
      <c r="AR287" s="47" t="s">
        <v>3227</v>
      </c>
      <c r="AS287" s="62"/>
      <c r="AT287" s="62"/>
      <c r="AU287" s="11"/>
      <c r="AV287" s="10"/>
      <c r="AW287" s="11"/>
      <c r="AX287" s="11"/>
      <c r="AY287" s="11"/>
      <c r="AZ287" s="11"/>
      <c r="BA287" s="11"/>
      <c r="BB287" s="59"/>
      <c r="BC287" s="59"/>
      <c r="BD287" s="59"/>
      <c r="BE287" s="59"/>
      <c r="BF287" s="59"/>
      <c r="BG287" s="59"/>
      <c r="BH287" s="138"/>
      <c r="BI287" s="138"/>
      <c r="BJ287" s="138"/>
      <c r="BK287" s="231"/>
      <c r="BL287" s="231"/>
      <c r="BM287" s="231"/>
      <c r="BN287" s="232"/>
      <c r="BO287" s="19"/>
      <c r="BP287" s="23"/>
      <c r="BQ287" s="23"/>
      <c r="BR287" s="23"/>
      <c r="BS287" s="149"/>
      <c r="BT287"/>
    </row>
    <row r="288" spans="1:72" s="150" customFormat="1" ht="12.75" customHeight="1" x14ac:dyDescent="0.15">
      <c r="A288" s="48" t="s">
        <v>963</v>
      </c>
      <c r="B288" s="9" t="s">
        <v>309</v>
      </c>
      <c r="C288" s="9"/>
      <c r="D288" s="9"/>
      <c r="E288" s="9"/>
      <c r="F288" s="10" t="s">
        <v>107</v>
      </c>
      <c r="G288" s="10" t="s">
        <v>4603</v>
      </c>
      <c r="H288" s="5" t="s">
        <v>134</v>
      </c>
      <c r="I288" s="11" t="s">
        <v>135</v>
      </c>
      <c r="J288" s="357" t="s">
        <v>405</v>
      </c>
      <c r="K288" s="353"/>
      <c r="L288" s="221">
        <v>9</v>
      </c>
      <c r="M288" s="221"/>
      <c r="N288" s="222" t="str">
        <f t="shared" si="8"/>
        <v>Vétérans - Hommes</v>
      </c>
      <c r="O288" s="729">
        <v>9</v>
      </c>
      <c r="P288" s="729"/>
      <c r="Q288" s="730" t="str">
        <f t="shared" si="9"/>
        <v>Vétérans - Hommes</v>
      </c>
      <c r="R288" s="731"/>
      <c r="S288" s="731"/>
      <c r="T288" s="731"/>
      <c r="U288" s="731"/>
      <c r="V288" s="731"/>
      <c r="W288" s="731"/>
      <c r="X288" s="731" t="s">
        <v>313</v>
      </c>
      <c r="Y288" s="731"/>
      <c r="Z288" s="731"/>
      <c r="AA288" s="731"/>
      <c r="AB288" s="12" t="s">
        <v>3001</v>
      </c>
      <c r="AC288" s="12"/>
      <c r="AD288" s="12"/>
      <c r="AE288" s="12"/>
      <c r="AF288" s="12"/>
      <c r="AG288" s="374"/>
      <c r="AH288" s="375"/>
      <c r="AI288" s="18">
        <v>43646</v>
      </c>
      <c r="AJ288" s="18">
        <v>43033</v>
      </c>
      <c r="AK288" s="62">
        <v>2028</v>
      </c>
      <c r="AL288" s="18">
        <v>30517</v>
      </c>
      <c r="AM288" s="19" t="s">
        <v>2087</v>
      </c>
      <c r="AN288" s="19"/>
      <c r="AO288" s="10"/>
      <c r="AP288" s="40"/>
      <c r="AQ288" s="20">
        <v>621791631</v>
      </c>
      <c r="AR288" s="47" t="s">
        <v>4605</v>
      </c>
      <c r="AS288" s="62"/>
      <c r="AT288" s="62"/>
      <c r="AU288" s="11"/>
      <c r="AV288" s="10"/>
      <c r="AW288" s="11"/>
      <c r="AX288" s="11"/>
      <c r="AY288" s="11"/>
      <c r="AZ288" s="11" t="s">
        <v>2812</v>
      </c>
      <c r="BA288" s="11"/>
      <c r="BB288" s="59" t="s">
        <v>2813</v>
      </c>
      <c r="BC288" s="59" t="s">
        <v>3151</v>
      </c>
      <c r="BD288" s="59" t="s">
        <v>2136</v>
      </c>
      <c r="BE288" s="59">
        <v>200</v>
      </c>
      <c r="BF288" s="59"/>
      <c r="BG288" s="59" t="s">
        <v>3162</v>
      </c>
      <c r="BH288" s="138"/>
      <c r="BI288" s="138"/>
      <c r="BJ288" s="138"/>
      <c r="BK288" s="231"/>
      <c r="BL288" s="231"/>
      <c r="BM288" s="231"/>
      <c r="BN288" s="232"/>
      <c r="BO288" s="19"/>
      <c r="BP288" s="23" t="s">
        <v>1141</v>
      </c>
      <c r="BQ288" s="23"/>
      <c r="BR288" s="23"/>
      <c r="BS288" s="149"/>
      <c r="BT288"/>
    </row>
    <row r="289" spans="1:72" ht="12.75" customHeight="1" x14ac:dyDescent="0.15">
      <c r="A289" s="48" t="s">
        <v>963</v>
      </c>
      <c r="B289" s="9" t="s">
        <v>4602</v>
      </c>
      <c r="C289" s="9"/>
      <c r="D289" s="9"/>
      <c r="E289" s="9"/>
      <c r="F289" s="10" t="s">
        <v>107</v>
      </c>
      <c r="G289" s="10" t="s">
        <v>4603</v>
      </c>
      <c r="H289" s="5" t="s">
        <v>134</v>
      </c>
      <c r="I289" s="11" t="s">
        <v>135</v>
      </c>
      <c r="J289" s="357" t="s">
        <v>405</v>
      </c>
      <c r="K289" s="353"/>
      <c r="L289" s="221">
        <v>21</v>
      </c>
      <c r="M289" s="221"/>
      <c r="N289" s="222" t="str">
        <f t="shared" si="8"/>
        <v>U7 Mixte</v>
      </c>
      <c r="O289" s="729">
        <v>21</v>
      </c>
      <c r="P289" s="729"/>
      <c r="Q289" s="730" t="str">
        <f t="shared" si="9"/>
        <v>U7 Mixte</v>
      </c>
      <c r="R289" s="731"/>
      <c r="S289" s="731"/>
      <c r="T289" s="731"/>
      <c r="U289" s="731"/>
      <c r="V289" s="731"/>
      <c r="W289" s="731"/>
      <c r="X289" s="731" t="s">
        <v>192</v>
      </c>
      <c r="Y289" s="731"/>
      <c r="Z289" s="731"/>
      <c r="AA289" s="731"/>
      <c r="AB289" s="12" t="s">
        <v>4676</v>
      </c>
      <c r="AC289" s="12"/>
      <c r="AD289" s="12"/>
      <c r="AE289" s="12"/>
      <c r="AF289" s="12"/>
      <c r="AG289" s="369"/>
      <c r="AH289" s="370"/>
      <c r="AI289" s="18">
        <v>45278</v>
      </c>
      <c r="AJ289" s="18">
        <v>45225</v>
      </c>
      <c r="AK289" s="62">
        <v>2028</v>
      </c>
      <c r="AL289" s="18">
        <v>44484</v>
      </c>
      <c r="AM289" s="19" t="s">
        <v>4604</v>
      </c>
      <c r="AN289" s="38"/>
      <c r="AO289" s="10"/>
      <c r="AP289" s="64" t="s">
        <v>4606</v>
      </c>
      <c r="AQ289" s="20" t="s">
        <v>4607</v>
      </c>
      <c r="AR289" s="47" t="s">
        <v>4605</v>
      </c>
      <c r="AS289" s="62"/>
      <c r="AT289" s="62"/>
      <c r="AU289" s="11"/>
      <c r="AV289" s="10"/>
      <c r="AW289" s="11"/>
      <c r="AX289" s="11"/>
      <c r="AY289" s="11"/>
      <c r="AZ289" s="11"/>
      <c r="BA289" s="11"/>
      <c r="BB289" s="59"/>
      <c r="BC289" s="59"/>
      <c r="BD289" s="59"/>
      <c r="BE289" s="59"/>
      <c r="BF289" s="59"/>
      <c r="BG289" s="59"/>
      <c r="BH289" s="138"/>
      <c r="BI289" s="138"/>
      <c r="BJ289" s="138"/>
      <c r="BK289" s="231"/>
      <c r="BL289" s="231"/>
      <c r="BM289" s="231"/>
      <c r="BN289" s="232"/>
      <c r="BO289" s="19"/>
      <c r="BP289" s="23"/>
      <c r="BQ289" s="23"/>
      <c r="BR289" s="23"/>
      <c r="BS289" s="43"/>
    </row>
    <row r="290" spans="1:72" ht="12.75" customHeight="1" x14ac:dyDescent="0.15">
      <c r="A290" s="48" t="s">
        <v>5351</v>
      </c>
      <c r="B290" s="9" t="s">
        <v>1113</v>
      </c>
      <c r="C290" s="9"/>
      <c r="D290" s="9"/>
      <c r="E290" s="9"/>
      <c r="F290" s="112" t="s">
        <v>107</v>
      </c>
      <c r="G290" s="11" t="s">
        <v>5347</v>
      </c>
      <c r="H290" s="5" t="s">
        <v>5348</v>
      </c>
      <c r="I290" s="11" t="s">
        <v>233</v>
      </c>
      <c r="J290" s="357" t="s">
        <v>5345</v>
      </c>
      <c r="K290" s="353"/>
      <c r="L290" s="221">
        <v>212</v>
      </c>
      <c r="M290" s="221"/>
      <c r="N290" s="222" t="str">
        <f t="shared" si="8"/>
        <v>Contact famille</v>
      </c>
      <c r="O290" s="729">
        <v>212</v>
      </c>
      <c r="P290" s="729"/>
      <c r="Q290" s="730" t="str">
        <f t="shared" si="9"/>
        <v>Contact famille</v>
      </c>
      <c r="R290" s="732"/>
      <c r="S290" s="732"/>
      <c r="T290" s="732" t="s">
        <v>313</v>
      </c>
      <c r="U290" s="732"/>
      <c r="V290" s="732"/>
      <c r="W290" s="732"/>
      <c r="X290" s="732"/>
      <c r="Y290" s="732"/>
      <c r="Z290" s="732"/>
      <c r="AA290" s="732"/>
      <c r="AB290" s="12"/>
      <c r="AC290" s="155"/>
      <c r="AD290" s="155"/>
      <c r="AE290" s="155"/>
      <c r="AF290" s="12"/>
      <c r="AG290" s="386"/>
      <c r="AH290" s="392"/>
      <c r="AI290" s="18" t="s">
        <v>242</v>
      </c>
      <c r="AJ290" s="18" t="s">
        <v>242</v>
      </c>
      <c r="AK290" s="13" t="s">
        <v>242</v>
      </c>
      <c r="AL290" s="18" t="s">
        <v>242</v>
      </c>
      <c r="AM290" s="19" t="s">
        <v>244</v>
      </c>
      <c r="AN290" s="10"/>
      <c r="AO290" s="11"/>
      <c r="AP290" s="53"/>
      <c r="AQ290" s="10"/>
      <c r="AR290" s="68" t="s">
        <v>5350</v>
      </c>
      <c r="AS290" s="62"/>
      <c r="AT290" s="62"/>
      <c r="AU290" s="10"/>
      <c r="AV290" s="10"/>
      <c r="AW290" s="13"/>
      <c r="AX290" s="11"/>
      <c r="AY290" s="11"/>
      <c r="AZ290" s="11"/>
      <c r="BA290" s="11"/>
      <c r="BB290" s="59"/>
      <c r="BC290" s="59"/>
      <c r="BD290" s="59"/>
      <c r="BE290" s="59"/>
      <c r="BF290" s="59"/>
      <c r="BG290" s="59"/>
      <c r="BH290" s="138"/>
      <c r="BI290" s="138"/>
      <c r="BJ290" s="138"/>
      <c r="BK290" s="231"/>
      <c r="BL290" s="231"/>
      <c r="BM290" s="231"/>
      <c r="BN290" s="232"/>
      <c r="BO290" s="11"/>
      <c r="BP290" s="11"/>
      <c r="BQ290" s="11"/>
      <c r="BR290" s="11"/>
      <c r="BS290" s="394"/>
    </row>
    <row r="291" spans="1:72" s="150" customFormat="1" ht="12.75" customHeight="1" x14ac:dyDescent="0.15">
      <c r="A291" s="48" t="s">
        <v>5642</v>
      </c>
      <c r="B291" s="9" t="s">
        <v>626</v>
      </c>
      <c r="C291" s="9"/>
      <c r="D291" s="9"/>
      <c r="E291" s="9"/>
      <c r="F291" s="11" t="s">
        <v>5643</v>
      </c>
      <c r="G291" s="11" t="s">
        <v>5644</v>
      </c>
      <c r="H291" s="5" t="s">
        <v>376</v>
      </c>
      <c r="I291" s="11" t="s">
        <v>241</v>
      </c>
      <c r="J291" s="357" t="s">
        <v>320</v>
      </c>
      <c r="K291" s="353"/>
      <c r="L291" s="221">
        <v>2</v>
      </c>
      <c r="M291" s="221"/>
      <c r="N291" s="222" t="str">
        <f t="shared" si="8"/>
        <v>Seniors - Hommes</v>
      </c>
      <c r="O291" s="729">
        <v>2</v>
      </c>
      <c r="P291" s="729"/>
      <c r="Q291" s="730" t="str">
        <f t="shared" si="9"/>
        <v>Seniors - Hommes</v>
      </c>
      <c r="R291" s="732"/>
      <c r="S291" s="732"/>
      <c r="T291" s="732"/>
      <c r="U291" s="732"/>
      <c r="V291" s="732"/>
      <c r="W291" s="732"/>
      <c r="X291" s="732"/>
      <c r="Y291" s="732"/>
      <c r="Z291" s="732"/>
      <c r="AA291" s="732"/>
      <c r="AB291" s="217" t="s">
        <v>2805</v>
      </c>
      <c r="AC291" s="155"/>
      <c r="AD291" s="155"/>
      <c r="AE291" s="155"/>
      <c r="AF291" s="12"/>
      <c r="AG291" s="386" t="s">
        <v>5578</v>
      </c>
      <c r="AH291" s="392"/>
      <c r="AI291" s="432"/>
      <c r="AJ291" s="18">
        <v>46214</v>
      </c>
      <c r="AK291" s="378"/>
      <c r="AL291" s="18">
        <v>37763</v>
      </c>
      <c r="AM291" s="5" t="s">
        <v>5645</v>
      </c>
      <c r="AN291" s="10"/>
      <c r="AO291" s="11"/>
      <c r="AP291" s="53"/>
      <c r="AQ291" s="20">
        <v>661786815</v>
      </c>
      <c r="AR291" s="68" t="s">
        <v>5646</v>
      </c>
      <c r="AS291" s="62"/>
      <c r="AT291" s="62"/>
      <c r="AU291" s="10"/>
      <c r="AV291" s="10"/>
      <c r="AW291" s="13"/>
      <c r="AX291" s="11"/>
      <c r="AY291" s="11"/>
      <c r="AZ291" s="11"/>
      <c r="BA291" s="11"/>
      <c r="BB291" s="59"/>
      <c r="BC291" s="59"/>
      <c r="BD291" s="59"/>
      <c r="BE291" s="59"/>
      <c r="BF291" s="59"/>
      <c r="BG291" s="59"/>
      <c r="BH291" s="138"/>
      <c r="BI291" s="138"/>
      <c r="BJ291" s="138"/>
      <c r="BK291" s="231"/>
      <c r="BL291" s="231"/>
      <c r="BM291" s="231"/>
      <c r="BN291" s="232"/>
      <c r="BO291" s="11"/>
      <c r="BP291" s="11"/>
      <c r="BQ291" s="11"/>
      <c r="BR291" s="11"/>
      <c r="BS291" s="394"/>
      <c r="BT291"/>
    </row>
    <row r="292" spans="1:72" ht="12.75" customHeight="1" x14ac:dyDescent="0.15">
      <c r="A292" s="48" t="s">
        <v>5436</v>
      </c>
      <c r="B292" s="9" t="s">
        <v>5438</v>
      </c>
      <c r="C292" s="9"/>
      <c r="D292" s="9"/>
      <c r="E292" s="9"/>
      <c r="F292" s="11" t="s">
        <v>5441</v>
      </c>
      <c r="G292" s="11" t="s">
        <v>5442</v>
      </c>
      <c r="H292" s="5" t="s">
        <v>4201</v>
      </c>
      <c r="I292" s="11" t="s">
        <v>241</v>
      </c>
      <c r="J292" s="357" t="s">
        <v>5435</v>
      </c>
      <c r="K292" s="353"/>
      <c r="L292" s="221">
        <v>212</v>
      </c>
      <c r="M292" s="221"/>
      <c r="N292" s="222" t="str">
        <f t="shared" si="8"/>
        <v>Contact famille</v>
      </c>
      <c r="O292" s="729">
        <v>212</v>
      </c>
      <c r="P292" s="729"/>
      <c r="Q292" s="730" t="str">
        <f t="shared" si="9"/>
        <v>Contact famille</v>
      </c>
      <c r="R292" s="732"/>
      <c r="S292" s="732"/>
      <c r="T292" s="732"/>
      <c r="U292" s="732"/>
      <c r="V292" s="732" t="s">
        <v>313</v>
      </c>
      <c r="W292" s="732"/>
      <c r="X292" s="732"/>
      <c r="Y292" s="732"/>
      <c r="Z292" s="732"/>
      <c r="AA292" s="732"/>
      <c r="AB292" s="12" t="s">
        <v>5443</v>
      </c>
      <c r="AC292" s="155"/>
      <c r="AD292" s="155"/>
      <c r="AE292" s="155"/>
      <c r="AF292" s="12"/>
      <c r="AG292" s="386"/>
      <c r="AH292" s="392"/>
      <c r="AI292" s="18" t="s">
        <v>242</v>
      </c>
      <c r="AJ292" s="18" t="s">
        <v>242</v>
      </c>
      <c r="AK292" s="13" t="s">
        <v>242</v>
      </c>
      <c r="AL292" s="13" t="s">
        <v>242</v>
      </c>
      <c r="AM292" s="46" t="s">
        <v>244</v>
      </c>
      <c r="AN292" s="10"/>
      <c r="AO292" s="11"/>
      <c r="AP292" s="53"/>
      <c r="AQ292" s="20"/>
      <c r="AR292" s="68"/>
      <c r="AS292" s="62"/>
      <c r="AT292" s="62"/>
      <c r="AU292" s="10"/>
      <c r="AV292" s="10"/>
      <c r="AW292" s="13"/>
      <c r="AX292" s="11"/>
      <c r="AY292" s="11"/>
      <c r="AZ292" s="11"/>
      <c r="BA292" s="11"/>
      <c r="BB292" s="59"/>
      <c r="BC292" s="59"/>
      <c r="BD292" s="59"/>
      <c r="BE292" s="59"/>
      <c r="BF292" s="59"/>
      <c r="BG292" s="59"/>
      <c r="BH292" s="138"/>
      <c r="BI292" s="138"/>
      <c r="BJ292" s="138"/>
      <c r="BK292" s="231"/>
      <c r="BL292" s="231"/>
      <c r="BM292" s="231"/>
      <c r="BN292" s="232"/>
      <c r="BO292" s="11"/>
      <c r="BP292" s="11"/>
      <c r="BQ292" s="11"/>
      <c r="BR292" s="11"/>
      <c r="BS292" s="394"/>
    </row>
    <row r="293" spans="1:72" s="150" customFormat="1" ht="12.75" customHeight="1" x14ac:dyDescent="0.15">
      <c r="A293" s="48" t="s">
        <v>5436</v>
      </c>
      <c r="B293" s="9" t="s">
        <v>5437</v>
      </c>
      <c r="C293" s="9"/>
      <c r="D293" s="9"/>
      <c r="E293" s="9"/>
      <c r="F293" s="11" t="s">
        <v>5441</v>
      </c>
      <c r="G293" s="11" t="s">
        <v>5442</v>
      </c>
      <c r="H293" s="5" t="s">
        <v>4201</v>
      </c>
      <c r="I293" s="11" t="s">
        <v>241</v>
      </c>
      <c r="J293" s="357" t="s">
        <v>5435</v>
      </c>
      <c r="K293" s="353"/>
      <c r="L293" s="221">
        <v>7</v>
      </c>
      <c r="M293" s="221"/>
      <c r="N293" s="222" t="str">
        <f t="shared" si="8"/>
        <v>U 11 Hommes</v>
      </c>
      <c r="O293" s="729">
        <v>7</v>
      </c>
      <c r="P293" s="729"/>
      <c r="Q293" s="730" t="str">
        <f t="shared" si="9"/>
        <v>U 11 Hommes</v>
      </c>
      <c r="R293" s="732"/>
      <c r="S293" s="732"/>
      <c r="T293" s="732"/>
      <c r="U293" s="732"/>
      <c r="V293" s="732" t="s">
        <v>192</v>
      </c>
      <c r="W293" s="732"/>
      <c r="X293" s="732"/>
      <c r="Y293" s="732"/>
      <c r="Z293" s="732"/>
      <c r="AA293" s="732"/>
      <c r="AB293" s="12" t="s">
        <v>5468</v>
      </c>
      <c r="AC293" s="155"/>
      <c r="AD293" s="155"/>
      <c r="AE293" s="155"/>
      <c r="AF293" s="12"/>
      <c r="AG293" s="386" t="s">
        <v>5173</v>
      </c>
      <c r="AH293" s="392"/>
      <c r="AI293" s="18">
        <v>46049</v>
      </c>
      <c r="AJ293" s="18">
        <v>46038</v>
      </c>
      <c r="AK293" s="13">
        <v>2029</v>
      </c>
      <c r="AL293" s="18">
        <v>42885</v>
      </c>
      <c r="AM293" s="5" t="s">
        <v>5444</v>
      </c>
      <c r="AN293" s="10"/>
      <c r="AO293" s="11"/>
      <c r="AP293" s="53"/>
      <c r="AQ293" s="20">
        <v>621667831</v>
      </c>
      <c r="AR293" s="68" t="s">
        <v>5445</v>
      </c>
      <c r="AS293" s="62"/>
      <c r="AT293" s="62"/>
      <c r="AU293" s="10"/>
      <c r="AV293" s="10"/>
      <c r="AW293" s="13"/>
      <c r="AX293" s="11"/>
      <c r="AY293" s="11"/>
      <c r="AZ293" s="11"/>
      <c r="BA293" s="11"/>
      <c r="BB293" s="59"/>
      <c r="BC293" s="59"/>
      <c r="BD293" s="59"/>
      <c r="BE293" s="59"/>
      <c r="BF293" s="59"/>
      <c r="BG293" s="59"/>
      <c r="BH293" s="138"/>
      <c r="BI293" s="138"/>
      <c r="BJ293" s="138"/>
      <c r="BK293" s="231"/>
      <c r="BL293" s="231"/>
      <c r="BM293" s="231"/>
      <c r="BN293" s="232"/>
      <c r="BO293" s="11"/>
      <c r="BP293" s="11"/>
      <c r="BQ293" s="11"/>
      <c r="BR293" s="11"/>
      <c r="BS293" s="394"/>
      <c r="BT293"/>
    </row>
    <row r="294" spans="1:72" ht="12.75" customHeight="1" x14ac:dyDescent="0.15">
      <c r="A294" s="48" t="s">
        <v>5439</v>
      </c>
      <c r="B294" s="9" t="s">
        <v>5440</v>
      </c>
      <c r="C294" s="9"/>
      <c r="D294" s="9"/>
      <c r="E294" s="9"/>
      <c r="F294" s="11" t="s">
        <v>5441</v>
      </c>
      <c r="G294" s="11" t="s">
        <v>5442</v>
      </c>
      <c r="H294" s="5" t="s">
        <v>4201</v>
      </c>
      <c r="I294" s="11" t="s">
        <v>241</v>
      </c>
      <c r="J294" s="357" t="s">
        <v>5435</v>
      </c>
      <c r="K294" s="353"/>
      <c r="L294" s="221">
        <v>212</v>
      </c>
      <c r="M294" s="221"/>
      <c r="N294" s="222" t="str">
        <f t="shared" si="8"/>
        <v>Contact famille</v>
      </c>
      <c r="O294" s="729">
        <v>212</v>
      </c>
      <c r="P294" s="729"/>
      <c r="Q294" s="730" t="str">
        <f t="shared" si="9"/>
        <v>Contact famille</v>
      </c>
      <c r="R294" s="732"/>
      <c r="S294" s="732"/>
      <c r="T294" s="732"/>
      <c r="U294" s="732"/>
      <c r="V294" s="732" t="s">
        <v>313</v>
      </c>
      <c r="W294" s="732"/>
      <c r="X294" s="732"/>
      <c r="Y294" s="732"/>
      <c r="Z294" s="732"/>
      <c r="AA294" s="732"/>
      <c r="AB294" s="12"/>
      <c r="AC294" s="155"/>
      <c r="AD294" s="155"/>
      <c r="AE294" s="155"/>
      <c r="AF294" s="12"/>
      <c r="AG294" s="386"/>
      <c r="AH294" s="392"/>
      <c r="AI294" s="18" t="s">
        <v>242</v>
      </c>
      <c r="AJ294" s="18" t="s">
        <v>242</v>
      </c>
      <c r="AK294" s="13" t="s">
        <v>242</v>
      </c>
      <c r="AL294" s="18" t="s">
        <v>242</v>
      </c>
      <c r="AM294" s="19" t="s">
        <v>244</v>
      </c>
      <c r="AN294" s="10"/>
      <c r="AO294" s="11"/>
      <c r="AP294" s="53"/>
      <c r="AQ294" s="20">
        <v>621667831</v>
      </c>
      <c r="AR294" s="68" t="s">
        <v>5445</v>
      </c>
      <c r="AS294" s="62"/>
      <c r="AT294" s="62"/>
      <c r="AU294" s="10"/>
      <c r="AV294" s="10"/>
      <c r="AW294" s="13"/>
      <c r="AX294" s="11"/>
      <c r="AY294" s="11"/>
      <c r="AZ294" s="11"/>
      <c r="BA294" s="11"/>
      <c r="BB294" s="59"/>
      <c r="BC294" s="59"/>
      <c r="BD294" s="59"/>
      <c r="BE294" s="59"/>
      <c r="BF294" s="59"/>
      <c r="BG294" s="59"/>
      <c r="BH294" s="138"/>
      <c r="BI294" s="138"/>
      <c r="BJ294" s="138"/>
      <c r="BK294" s="231"/>
      <c r="BL294" s="231"/>
      <c r="BM294" s="231"/>
      <c r="BN294" s="232"/>
      <c r="BO294" s="11"/>
      <c r="BP294" s="11"/>
      <c r="BQ294" s="11"/>
      <c r="BR294" s="11"/>
      <c r="BS294" s="394"/>
    </row>
    <row r="295" spans="1:72" ht="12.75" customHeight="1" x14ac:dyDescent="0.15">
      <c r="A295" s="48" t="s">
        <v>2743</v>
      </c>
      <c r="B295" s="9" t="s">
        <v>3165</v>
      </c>
      <c r="C295" s="9"/>
      <c r="D295" s="9"/>
      <c r="E295" s="9"/>
      <c r="F295" s="10" t="s">
        <v>616</v>
      </c>
      <c r="G295" s="10" t="s">
        <v>3166</v>
      </c>
      <c r="H295" s="5" t="s">
        <v>855</v>
      </c>
      <c r="I295" s="11" t="s">
        <v>241</v>
      </c>
      <c r="J295" s="357" t="s">
        <v>320</v>
      </c>
      <c r="K295" s="353"/>
      <c r="L295" s="221">
        <v>2</v>
      </c>
      <c r="M295" s="221"/>
      <c r="N295" s="222" t="str">
        <f t="shared" si="8"/>
        <v>Seniors - Hommes</v>
      </c>
      <c r="O295" s="729">
        <v>2</v>
      </c>
      <c r="P295" s="729"/>
      <c r="Q295" s="730" t="str">
        <f t="shared" si="9"/>
        <v>Seniors - Hommes</v>
      </c>
      <c r="R295" s="731"/>
      <c r="S295" s="731"/>
      <c r="T295" s="731"/>
      <c r="U295" s="731"/>
      <c r="V295" s="731"/>
      <c r="W295" s="731"/>
      <c r="X295" s="731"/>
      <c r="Y295" s="731"/>
      <c r="Z295" s="731"/>
      <c r="AA295" s="731"/>
      <c r="AB295" s="12" t="s">
        <v>3228</v>
      </c>
      <c r="AC295" s="12"/>
      <c r="AD295" s="12"/>
      <c r="AE295" s="12"/>
      <c r="AF295" s="12"/>
      <c r="AG295" s="369"/>
      <c r="AH295" s="370"/>
      <c r="AI295" s="18">
        <v>43844</v>
      </c>
      <c r="AJ295" s="18">
        <v>43801</v>
      </c>
      <c r="AK295" s="13">
        <v>2030</v>
      </c>
      <c r="AL295" s="18">
        <v>36652</v>
      </c>
      <c r="AM295" s="19" t="s">
        <v>3167</v>
      </c>
      <c r="AN295" s="38"/>
      <c r="AO295" s="10" t="s">
        <v>3168</v>
      </c>
      <c r="AP295" s="40" t="s">
        <v>252</v>
      </c>
      <c r="AQ295" s="10" t="s">
        <v>3169</v>
      </c>
      <c r="AR295" s="47" t="s">
        <v>3170</v>
      </c>
      <c r="AS295" s="62"/>
      <c r="AT295" s="62"/>
      <c r="AU295" s="11"/>
      <c r="AV295" s="10"/>
      <c r="AW295" s="11"/>
      <c r="AX295" s="11"/>
      <c r="AY295" s="11"/>
      <c r="AZ295" s="11"/>
      <c r="BA295" s="11"/>
      <c r="BB295" s="59"/>
      <c r="BC295" s="59"/>
      <c r="BD295" s="59"/>
      <c r="BE295" s="59"/>
      <c r="BF295" s="59"/>
      <c r="BG295" s="59"/>
      <c r="BH295" s="138"/>
      <c r="BI295" s="138"/>
      <c r="BJ295" s="138"/>
      <c r="BK295" s="231"/>
      <c r="BL295" s="231"/>
      <c r="BM295" s="231"/>
      <c r="BN295" s="232"/>
      <c r="BO295" s="19"/>
      <c r="BP295" s="23"/>
      <c r="BQ295" s="23"/>
      <c r="BR295" s="23"/>
      <c r="BS295" s="149"/>
    </row>
    <row r="296" spans="1:72" ht="12.75" customHeight="1" x14ac:dyDescent="0.15">
      <c r="A296" s="48" t="s">
        <v>2743</v>
      </c>
      <c r="B296" s="9" t="s">
        <v>1247</v>
      </c>
      <c r="C296" s="9"/>
      <c r="D296" s="9"/>
      <c r="E296" s="9"/>
      <c r="F296" s="10" t="s">
        <v>2744</v>
      </c>
      <c r="G296" s="10" t="s">
        <v>2745</v>
      </c>
      <c r="H296" s="5" t="s">
        <v>293</v>
      </c>
      <c r="I296" s="11" t="s">
        <v>294</v>
      </c>
      <c r="J296" s="357" t="s">
        <v>320</v>
      </c>
      <c r="K296" s="353"/>
      <c r="L296" s="221">
        <v>2</v>
      </c>
      <c r="M296" s="221"/>
      <c r="N296" s="222" t="str">
        <f t="shared" si="8"/>
        <v>Seniors - Hommes</v>
      </c>
      <c r="O296" s="729">
        <v>2</v>
      </c>
      <c r="P296" s="729"/>
      <c r="Q296" s="730" t="str">
        <f t="shared" si="9"/>
        <v>Seniors - Hommes</v>
      </c>
      <c r="R296" s="731"/>
      <c r="S296" s="731"/>
      <c r="T296" s="731"/>
      <c r="U296" s="731"/>
      <c r="V296" s="731"/>
      <c r="W296" s="731"/>
      <c r="X296" s="731"/>
      <c r="Y296" s="731"/>
      <c r="Z296" s="731"/>
      <c r="AA296" s="731"/>
      <c r="AB296" s="12" t="s">
        <v>3002</v>
      </c>
      <c r="AC296" s="12"/>
      <c r="AD296" s="12"/>
      <c r="AE296" s="12"/>
      <c r="AF296" s="12"/>
      <c r="AG296" s="369"/>
      <c r="AH296" s="370"/>
      <c r="AI296" s="18">
        <v>43712</v>
      </c>
      <c r="AJ296" s="18">
        <v>43696</v>
      </c>
      <c r="AK296" s="13">
        <v>2030</v>
      </c>
      <c r="AL296" s="18">
        <v>33214</v>
      </c>
      <c r="AM296" s="19" t="s">
        <v>2746</v>
      </c>
      <c r="AN296" s="19"/>
      <c r="AO296" s="10"/>
      <c r="AP296" s="40"/>
      <c r="AQ296" s="10" t="s">
        <v>2747</v>
      </c>
      <c r="AR296" s="47" t="s">
        <v>3330</v>
      </c>
      <c r="AS296" s="62"/>
      <c r="AT296" s="62"/>
      <c r="AU296" s="11"/>
      <c r="AV296" s="10"/>
      <c r="AW296" s="11"/>
      <c r="AX296" s="11"/>
      <c r="AY296" s="11"/>
      <c r="AZ296" s="11" t="s">
        <v>2792</v>
      </c>
      <c r="BA296" s="11"/>
      <c r="BB296" s="59" t="s">
        <v>2813</v>
      </c>
      <c r="BC296" s="59" t="s">
        <v>3151</v>
      </c>
      <c r="BD296" s="59"/>
      <c r="BE296" s="59">
        <v>200</v>
      </c>
      <c r="BF296" s="59"/>
      <c r="BG296" s="59" t="s">
        <v>3162</v>
      </c>
      <c r="BH296" s="138"/>
      <c r="BI296" s="138"/>
      <c r="BJ296" s="138"/>
      <c r="BK296" s="231"/>
      <c r="BL296" s="231"/>
      <c r="BM296" s="231"/>
      <c r="BN296" s="232"/>
      <c r="BO296" s="19"/>
      <c r="BP296" s="23"/>
      <c r="BQ296" s="23"/>
      <c r="BR296" s="23"/>
      <c r="BS296" s="149"/>
      <c r="BT296" s="150"/>
    </row>
    <row r="297" spans="1:72" ht="12.75" customHeight="1" x14ac:dyDescent="0.15">
      <c r="A297" s="103" t="s">
        <v>3994</v>
      </c>
      <c r="B297" s="104" t="s">
        <v>3767</v>
      </c>
      <c r="C297" s="104"/>
      <c r="D297" s="104"/>
      <c r="E297" s="104"/>
      <c r="F297" s="122" t="s">
        <v>107</v>
      </c>
      <c r="G297" s="122" t="s">
        <v>3995</v>
      </c>
      <c r="H297" s="123" t="s">
        <v>670</v>
      </c>
      <c r="I297" s="105" t="s">
        <v>223</v>
      </c>
      <c r="J297" s="356" t="s">
        <v>4376</v>
      </c>
      <c r="K297" s="353" t="s">
        <v>5004</v>
      </c>
      <c r="L297" s="220">
        <v>252</v>
      </c>
      <c r="M297" s="220"/>
      <c r="N297" s="223" t="str">
        <f t="shared" si="8"/>
        <v>Arrêt jeune (garder licence)</v>
      </c>
      <c r="O297" s="733">
        <v>5</v>
      </c>
      <c r="P297" s="733"/>
      <c r="Q297" s="758" t="str">
        <f t="shared" si="9"/>
        <v>U 15 Hommes</v>
      </c>
      <c r="R297" s="734"/>
      <c r="S297" s="734"/>
      <c r="T297" s="734" t="s">
        <v>192</v>
      </c>
      <c r="U297" s="734"/>
      <c r="V297" s="734"/>
      <c r="W297" s="734"/>
      <c r="X297" s="734"/>
      <c r="Y297" s="734"/>
      <c r="Z297" s="734"/>
      <c r="AA297" s="734"/>
      <c r="AB297" s="124" t="s">
        <v>3999</v>
      </c>
      <c r="AC297" s="124"/>
      <c r="AD297" s="124"/>
      <c r="AE297" s="124"/>
      <c r="AF297" s="124"/>
      <c r="AG297" s="373"/>
      <c r="AH297" s="372"/>
      <c r="AI297" s="143">
        <v>44645</v>
      </c>
      <c r="AJ297" s="143">
        <v>44638</v>
      </c>
      <c r="AK297" s="36">
        <v>2024</v>
      </c>
      <c r="AL297" s="143">
        <v>41181</v>
      </c>
      <c r="AM297" s="144" t="s">
        <v>3996</v>
      </c>
      <c r="AN297" s="151"/>
      <c r="AO297" s="122"/>
      <c r="AP297" s="122" t="s">
        <v>4783</v>
      </c>
      <c r="AQ297" s="153" t="s">
        <v>4782</v>
      </c>
      <c r="AR297" s="152" t="s">
        <v>3997</v>
      </c>
      <c r="AS297" s="36"/>
      <c r="AT297" s="36"/>
      <c r="AU297" s="105"/>
      <c r="AV297" s="122"/>
      <c r="AW297" s="105"/>
      <c r="AX297" s="105"/>
      <c r="AY297" s="105"/>
      <c r="AZ297" s="105"/>
      <c r="BA297" s="105"/>
      <c r="BB297" s="130"/>
      <c r="BC297" s="130"/>
      <c r="BD297" s="130"/>
      <c r="BE297" s="130"/>
      <c r="BF297" s="130"/>
      <c r="BG297" s="130"/>
      <c r="BH297" s="147"/>
      <c r="BI297" s="147"/>
      <c r="BJ297" s="147"/>
      <c r="BK297" s="229"/>
      <c r="BL297" s="229"/>
      <c r="BM297" s="229"/>
      <c r="BN297" s="230"/>
      <c r="BO297" s="144"/>
      <c r="BP297" s="148"/>
      <c r="BQ297" s="148"/>
      <c r="BR297" s="148"/>
      <c r="BS297" s="149"/>
      <c r="BT297" s="150"/>
    </row>
    <row r="298" spans="1:72" ht="12.75" customHeight="1" x14ac:dyDescent="0.15">
      <c r="A298" s="48" t="s">
        <v>3891</v>
      </c>
      <c r="B298" s="9" t="s">
        <v>854</v>
      </c>
      <c r="C298" s="9"/>
      <c r="D298" s="9"/>
      <c r="E298" s="9"/>
      <c r="F298" s="10" t="s">
        <v>107</v>
      </c>
      <c r="G298" s="10" t="s">
        <v>3894</v>
      </c>
      <c r="H298" s="5" t="s">
        <v>3895</v>
      </c>
      <c r="I298" s="11" t="s">
        <v>223</v>
      </c>
      <c r="J298" s="357" t="s">
        <v>2348</v>
      </c>
      <c r="K298" s="353"/>
      <c r="L298" s="221">
        <v>212</v>
      </c>
      <c r="M298" s="221"/>
      <c r="N298" s="222" t="str">
        <f t="shared" si="8"/>
        <v>Contact famille</v>
      </c>
      <c r="O298" s="729">
        <v>212</v>
      </c>
      <c r="P298" s="729"/>
      <c r="Q298" s="730" t="str">
        <f t="shared" si="9"/>
        <v>Contact famille</v>
      </c>
      <c r="R298" s="731"/>
      <c r="S298" s="731"/>
      <c r="T298" s="731"/>
      <c r="U298" s="731"/>
      <c r="V298" s="731" t="s">
        <v>313</v>
      </c>
      <c r="W298" s="731"/>
      <c r="X298" s="731"/>
      <c r="Y298" s="731"/>
      <c r="Z298" s="731"/>
      <c r="AA298" s="731"/>
      <c r="AB298" s="12"/>
      <c r="AC298" s="12"/>
      <c r="AD298" s="12"/>
      <c r="AE298" s="12"/>
      <c r="AF298" s="12"/>
      <c r="AG298" s="369"/>
      <c r="AH298" s="370"/>
      <c r="AI298" s="18" t="s">
        <v>242</v>
      </c>
      <c r="AJ298" s="18" t="s">
        <v>242</v>
      </c>
      <c r="AK298" s="427" t="s">
        <v>242</v>
      </c>
      <c r="AL298" s="18" t="s">
        <v>242</v>
      </c>
      <c r="AM298" s="19" t="s">
        <v>244</v>
      </c>
      <c r="AN298" s="38"/>
      <c r="AO298" s="10"/>
      <c r="AP298" s="40"/>
      <c r="AQ298" s="64">
        <v>691528563</v>
      </c>
      <c r="AR298" s="47" t="s">
        <v>3899</v>
      </c>
      <c r="AS298" s="62"/>
      <c r="AT298" s="62"/>
      <c r="AU298" s="11"/>
      <c r="AV298" s="10"/>
      <c r="AW298" s="11"/>
      <c r="AX298" s="11"/>
      <c r="AY298" s="11"/>
      <c r="AZ298" s="11"/>
      <c r="BA298" s="11"/>
      <c r="BB298" s="59"/>
      <c r="BC298" s="59"/>
      <c r="BD298" s="59"/>
      <c r="BE298" s="59"/>
      <c r="BF298" s="59"/>
      <c r="BG298" s="59"/>
      <c r="BH298" s="138"/>
      <c r="BI298" s="138"/>
      <c r="BJ298" s="138"/>
      <c r="BK298" s="231"/>
      <c r="BL298" s="231"/>
      <c r="BM298" s="231"/>
      <c r="BN298" s="232"/>
      <c r="BO298" s="19"/>
      <c r="BP298" s="23"/>
      <c r="BQ298" s="23"/>
      <c r="BR298" s="23"/>
      <c r="BS298" s="149"/>
    </row>
    <row r="299" spans="1:72" ht="12.75" customHeight="1" x14ac:dyDescent="0.15">
      <c r="A299" s="48" t="s">
        <v>3891</v>
      </c>
      <c r="B299" s="9" t="s">
        <v>3892</v>
      </c>
      <c r="C299" s="9"/>
      <c r="D299" s="9"/>
      <c r="E299" s="9"/>
      <c r="F299" s="10" t="s">
        <v>107</v>
      </c>
      <c r="G299" s="10" t="s">
        <v>3894</v>
      </c>
      <c r="H299" s="5" t="s">
        <v>3895</v>
      </c>
      <c r="I299" s="11" t="s">
        <v>223</v>
      </c>
      <c r="J299" s="357" t="s">
        <v>2348</v>
      </c>
      <c r="K299" s="353"/>
      <c r="L299" s="221">
        <v>7</v>
      </c>
      <c r="M299" s="221"/>
      <c r="N299" s="222" t="str">
        <f t="shared" si="8"/>
        <v>U 11 Hommes</v>
      </c>
      <c r="O299" s="729">
        <v>7</v>
      </c>
      <c r="P299" s="729"/>
      <c r="Q299" s="730" t="str">
        <f t="shared" si="9"/>
        <v>U 11 Hommes</v>
      </c>
      <c r="R299" s="731"/>
      <c r="S299" s="731"/>
      <c r="T299" s="731"/>
      <c r="U299" s="731"/>
      <c r="V299" s="731" t="s">
        <v>192</v>
      </c>
      <c r="W299" s="731"/>
      <c r="X299" s="731"/>
      <c r="Y299" s="731"/>
      <c r="Z299" s="731"/>
      <c r="AA299" s="731"/>
      <c r="AB299" s="12" t="s">
        <v>3905</v>
      </c>
      <c r="AC299" s="12"/>
      <c r="AD299" s="12"/>
      <c r="AE299" s="12"/>
      <c r="AF299" s="12"/>
      <c r="AG299" s="369"/>
      <c r="AH299" s="370"/>
      <c r="AI299" s="18" t="s">
        <v>3906</v>
      </c>
      <c r="AJ299" s="18">
        <v>44523</v>
      </c>
      <c r="AK299" s="13">
        <v>2029</v>
      </c>
      <c r="AL299" s="18">
        <v>42893</v>
      </c>
      <c r="AM299" s="19" t="s">
        <v>3896</v>
      </c>
      <c r="AN299" s="38"/>
      <c r="AO299" s="10"/>
      <c r="AP299" s="40" t="s">
        <v>3897</v>
      </c>
      <c r="AQ299" s="10" t="s">
        <v>3898</v>
      </c>
      <c r="AR299" s="47" t="s">
        <v>3899</v>
      </c>
      <c r="AS299" s="62"/>
      <c r="AT299" s="62"/>
      <c r="AU299" s="11"/>
      <c r="AV299" s="10"/>
      <c r="AW299" s="11"/>
      <c r="AX299" s="11"/>
      <c r="AY299" s="11"/>
      <c r="AZ299" s="11"/>
      <c r="BA299" s="11"/>
      <c r="BB299" s="59"/>
      <c r="BC299" s="59"/>
      <c r="BD299" s="59"/>
      <c r="BE299" s="59"/>
      <c r="BF299" s="59"/>
      <c r="BG299" s="59"/>
      <c r="BH299" s="138"/>
      <c r="BI299" s="138"/>
      <c r="BJ299" s="138"/>
      <c r="BK299" s="231"/>
      <c r="BL299" s="231"/>
      <c r="BM299" s="231"/>
      <c r="BN299" s="232" t="s">
        <v>3663</v>
      </c>
      <c r="BO299" s="19"/>
      <c r="BP299" s="23"/>
      <c r="BQ299" s="23"/>
      <c r="BR299" s="23"/>
      <c r="BS299" s="149"/>
    </row>
    <row r="300" spans="1:72" ht="12.75" customHeight="1" x14ac:dyDescent="0.15">
      <c r="A300" s="48" t="s">
        <v>5560</v>
      </c>
      <c r="B300" s="9" t="s">
        <v>2066</v>
      </c>
      <c r="C300" s="9"/>
      <c r="D300" s="9"/>
      <c r="E300" s="9"/>
      <c r="F300" s="112" t="s">
        <v>5477</v>
      </c>
      <c r="G300" s="11" t="s">
        <v>5563</v>
      </c>
      <c r="H300" s="5" t="s">
        <v>4127</v>
      </c>
      <c r="I300" s="11" t="s">
        <v>283</v>
      </c>
      <c r="J300" s="357" t="s">
        <v>5559</v>
      </c>
      <c r="K300" s="353"/>
      <c r="L300" s="221">
        <v>212</v>
      </c>
      <c r="M300" s="221"/>
      <c r="N300" s="222" t="str">
        <f t="shared" si="8"/>
        <v>Contact famille</v>
      </c>
      <c r="O300" s="729">
        <v>212</v>
      </c>
      <c r="P300" s="729"/>
      <c r="Q300" s="730" t="str">
        <f t="shared" si="9"/>
        <v>Contact famille</v>
      </c>
      <c r="R300" s="732"/>
      <c r="S300" s="732"/>
      <c r="T300" s="732"/>
      <c r="U300" s="732"/>
      <c r="V300" s="732"/>
      <c r="W300" s="732"/>
      <c r="X300" s="732"/>
      <c r="Y300" s="732"/>
      <c r="Z300" s="732"/>
      <c r="AA300" s="732" t="s">
        <v>313</v>
      </c>
      <c r="AB300" s="12"/>
      <c r="AC300" s="155"/>
      <c r="AD300" s="155"/>
      <c r="AE300" s="155"/>
      <c r="AF300" s="12"/>
      <c r="AG300" s="386"/>
      <c r="AH300" s="392"/>
      <c r="AI300" s="18" t="s">
        <v>242</v>
      </c>
      <c r="AJ300" s="18" t="s">
        <v>242</v>
      </c>
      <c r="AK300" s="13" t="s">
        <v>242</v>
      </c>
      <c r="AL300" s="18" t="s">
        <v>242</v>
      </c>
      <c r="AM300" s="19" t="s">
        <v>244</v>
      </c>
      <c r="AN300" s="10"/>
      <c r="AO300" s="11"/>
      <c r="AP300" s="53"/>
      <c r="AQ300" s="20">
        <v>691419128</v>
      </c>
      <c r="AR300" s="68"/>
      <c r="AS300" s="62"/>
      <c r="AT300" s="62"/>
      <c r="AU300" s="10"/>
      <c r="AV300" s="10"/>
      <c r="AW300" s="13"/>
      <c r="AX300" s="11"/>
      <c r="AY300" s="11"/>
      <c r="AZ300" s="11"/>
      <c r="BA300" s="11"/>
      <c r="BB300" s="59"/>
      <c r="BC300" s="59"/>
      <c r="BD300" s="59"/>
      <c r="BE300" s="59"/>
      <c r="BF300" s="59"/>
      <c r="BG300" s="59"/>
      <c r="BH300" s="138"/>
      <c r="BI300" s="138"/>
      <c r="BJ300" s="138"/>
      <c r="BK300" s="231"/>
      <c r="BL300" s="231"/>
      <c r="BM300" s="231"/>
      <c r="BN300" s="232"/>
      <c r="BO300" s="11"/>
      <c r="BP300" s="11"/>
      <c r="BQ300" s="11"/>
      <c r="BR300" s="11"/>
      <c r="BS300" s="394"/>
    </row>
    <row r="301" spans="1:72" s="150" customFormat="1" ht="12.75" customHeight="1" x14ac:dyDescent="0.15">
      <c r="A301" s="48" t="s">
        <v>5560</v>
      </c>
      <c r="B301" s="9" t="s">
        <v>5561</v>
      </c>
      <c r="C301" s="9"/>
      <c r="D301" s="9"/>
      <c r="E301" s="9"/>
      <c r="F301" s="112" t="s">
        <v>5477</v>
      </c>
      <c r="G301" s="11" t="s">
        <v>5563</v>
      </c>
      <c r="H301" s="5" t="s">
        <v>4127</v>
      </c>
      <c r="I301" s="11" t="s">
        <v>283</v>
      </c>
      <c r="J301" s="357" t="s">
        <v>5559</v>
      </c>
      <c r="K301" s="353"/>
      <c r="L301" s="221">
        <v>15</v>
      </c>
      <c r="M301" s="221"/>
      <c r="N301" s="222" t="str">
        <f t="shared" si="8"/>
        <v>U 13 Dames</v>
      </c>
      <c r="O301" s="729">
        <v>15</v>
      </c>
      <c r="P301" s="729"/>
      <c r="Q301" s="730" t="str">
        <f t="shared" si="9"/>
        <v>U 13 Dames</v>
      </c>
      <c r="R301" s="732"/>
      <c r="S301" s="732"/>
      <c r="T301" s="732"/>
      <c r="U301" s="732"/>
      <c r="V301" s="732"/>
      <c r="W301" s="732"/>
      <c r="X301" s="732"/>
      <c r="Y301" s="732"/>
      <c r="Z301" s="732"/>
      <c r="AA301" s="732" t="s">
        <v>192</v>
      </c>
      <c r="AB301" s="12" t="s">
        <v>5572</v>
      </c>
      <c r="AC301" s="155"/>
      <c r="AD301" s="155"/>
      <c r="AE301" s="155"/>
      <c r="AF301" s="12"/>
      <c r="AG301" s="386" t="s">
        <v>5173</v>
      </c>
      <c r="AH301" s="392"/>
      <c r="AI301" s="18">
        <v>46183</v>
      </c>
      <c r="AJ301" s="18">
        <v>46182</v>
      </c>
      <c r="AK301" s="13">
        <v>2029</v>
      </c>
      <c r="AL301" s="18">
        <v>41691</v>
      </c>
      <c r="AM301" s="5" t="s">
        <v>5564</v>
      </c>
      <c r="AN301" s="10"/>
      <c r="AO301" s="11"/>
      <c r="AP301" s="53" t="s">
        <v>5565</v>
      </c>
      <c r="AQ301" s="10" t="s">
        <v>5566</v>
      </c>
      <c r="AR301" s="68" t="s">
        <v>5567</v>
      </c>
      <c r="AS301" s="62"/>
      <c r="AT301" s="62"/>
      <c r="AU301" s="10"/>
      <c r="AV301" s="10"/>
      <c r="AW301" s="13"/>
      <c r="AX301" s="11"/>
      <c r="AY301" s="11"/>
      <c r="AZ301" s="11"/>
      <c r="BA301" s="11"/>
      <c r="BB301" s="59"/>
      <c r="BC301" s="59"/>
      <c r="BD301" s="59"/>
      <c r="BE301" s="59"/>
      <c r="BF301" s="59"/>
      <c r="BG301" s="59"/>
      <c r="BH301" s="138"/>
      <c r="BI301" s="138"/>
      <c r="BJ301" s="138"/>
      <c r="BK301" s="231"/>
      <c r="BL301" s="231"/>
      <c r="BM301" s="231"/>
      <c r="BN301" s="232"/>
      <c r="BO301" s="11"/>
      <c r="BP301" s="11"/>
      <c r="BQ301" s="11"/>
      <c r="BR301" s="11"/>
      <c r="BS301" s="394"/>
      <c r="BT301"/>
    </row>
    <row r="302" spans="1:72" s="150" customFormat="1" ht="12.75" customHeight="1" x14ac:dyDescent="0.15">
      <c r="A302" s="48" t="s">
        <v>378</v>
      </c>
      <c r="B302" s="9" t="s">
        <v>379</v>
      </c>
      <c r="C302" s="9"/>
      <c r="D302" s="9"/>
      <c r="E302" s="9"/>
      <c r="F302" s="10" t="s">
        <v>107</v>
      </c>
      <c r="G302" s="10" t="s">
        <v>3923</v>
      </c>
      <c r="H302" s="5" t="s">
        <v>3234</v>
      </c>
      <c r="I302" s="11" t="s">
        <v>848</v>
      </c>
      <c r="J302" s="357" t="s">
        <v>757</v>
      </c>
      <c r="K302" s="353"/>
      <c r="L302" s="221">
        <v>212</v>
      </c>
      <c r="M302" s="221"/>
      <c r="N302" s="222" t="str">
        <f t="shared" si="8"/>
        <v>Contact famille</v>
      </c>
      <c r="O302" s="729">
        <v>212</v>
      </c>
      <c r="P302" s="729"/>
      <c r="Q302" s="730" t="str">
        <f t="shared" si="9"/>
        <v>Contact famille</v>
      </c>
      <c r="R302" s="731"/>
      <c r="S302" s="731"/>
      <c r="T302" s="731"/>
      <c r="U302" s="731"/>
      <c r="V302" s="731"/>
      <c r="W302" s="731" t="s">
        <v>313</v>
      </c>
      <c r="X302" s="731" t="s">
        <v>313</v>
      </c>
      <c r="Y302" s="731"/>
      <c r="Z302" s="731"/>
      <c r="AA302" s="731"/>
      <c r="AB302" s="12"/>
      <c r="AC302" s="12"/>
      <c r="AD302" s="12"/>
      <c r="AE302" s="12"/>
      <c r="AF302" s="12"/>
      <c r="AG302" s="369"/>
      <c r="AH302" s="370"/>
      <c r="AI302" s="18" t="s">
        <v>242</v>
      </c>
      <c r="AJ302" s="18" t="s">
        <v>242</v>
      </c>
      <c r="AK302" s="13" t="s">
        <v>242</v>
      </c>
      <c r="AL302" s="18" t="s">
        <v>242</v>
      </c>
      <c r="AM302" s="19" t="s">
        <v>244</v>
      </c>
      <c r="AN302" s="38"/>
      <c r="AO302" s="10"/>
      <c r="AP302" s="40"/>
      <c r="AQ302" s="20">
        <v>691626937</v>
      </c>
      <c r="AR302" s="21" t="s">
        <v>3927</v>
      </c>
      <c r="AS302" s="62"/>
      <c r="AT302" s="62"/>
      <c r="AU302" s="11"/>
      <c r="AV302" s="10"/>
      <c r="AW302" s="11"/>
      <c r="AX302" s="11"/>
      <c r="AY302" s="11"/>
      <c r="AZ302" s="11"/>
      <c r="BA302" s="11"/>
      <c r="BB302" s="59"/>
      <c r="BC302" s="59"/>
      <c r="BD302" s="59"/>
      <c r="BE302" s="59"/>
      <c r="BF302" s="59"/>
      <c r="BG302" s="59"/>
      <c r="BH302" s="138"/>
      <c r="BI302" s="138"/>
      <c r="BJ302" s="138"/>
      <c r="BK302" s="231"/>
      <c r="BL302" s="231"/>
      <c r="BM302" s="231"/>
      <c r="BN302" s="232"/>
      <c r="BO302" s="19"/>
      <c r="BP302" s="23"/>
      <c r="BQ302" s="23"/>
      <c r="BR302" s="23"/>
      <c r="BS302" s="43"/>
    </row>
    <row r="303" spans="1:72" ht="12.75" customHeight="1" x14ac:dyDescent="0.15">
      <c r="A303" s="48" t="s">
        <v>4394</v>
      </c>
      <c r="B303" s="9" t="s">
        <v>4221</v>
      </c>
      <c r="C303" s="9"/>
      <c r="D303" s="9"/>
      <c r="E303" s="9"/>
      <c r="F303" s="112" t="s">
        <v>2251</v>
      </c>
      <c r="G303" s="10" t="s">
        <v>4396</v>
      </c>
      <c r="H303" s="5" t="s">
        <v>4397</v>
      </c>
      <c r="I303" s="11" t="s">
        <v>4398</v>
      </c>
      <c r="J303" s="357" t="s">
        <v>4392</v>
      </c>
      <c r="K303" s="353"/>
      <c r="L303" s="221">
        <v>212</v>
      </c>
      <c r="M303" s="221"/>
      <c r="N303" s="222" t="str">
        <f t="shared" si="8"/>
        <v>Contact famille</v>
      </c>
      <c r="O303" s="729">
        <v>212</v>
      </c>
      <c r="P303" s="729"/>
      <c r="Q303" s="730" t="str">
        <f t="shared" si="9"/>
        <v>Contact famille</v>
      </c>
      <c r="R303" s="731"/>
      <c r="S303" s="731"/>
      <c r="T303" s="731"/>
      <c r="U303" s="731"/>
      <c r="V303" s="731" t="s">
        <v>313</v>
      </c>
      <c r="W303" s="731"/>
      <c r="X303" s="731"/>
      <c r="Y303" s="731"/>
      <c r="Z303" s="731"/>
      <c r="AA303" s="731"/>
      <c r="AB303" s="12"/>
      <c r="AC303" s="12"/>
      <c r="AD303" s="12"/>
      <c r="AE303" s="12"/>
      <c r="AF303" s="12"/>
      <c r="AG303" s="369"/>
      <c r="AH303" s="370"/>
      <c r="AI303" s="18" t="s">
        <v>242</v>
      </c>
      <c r="AJ303" s="18" t="s">
        <v>242</v>
      </c>
      <c r="AK303" s="13" t="s">
        <v>242</v>
      </c>
      <c r="AL303" s="18">
        <v>28397</v>
      </c>
      <c r="AM303" s="19" t="s">
        <v>4400</v>
      </c>
      <c r="AN303" s="38"/>
      <c r="AO303" s="10"/>
      <c r="AP303" s="40"/>
      <c r="AQ303" s="20">
        <v>661977929</v>
      </c>
      <c r="AR303" s="47" t="s">
        <v>4402</v>
      </c>
      <c r="AS303" s="62"/>
      <c r="AT303" s="62"/>
      <c r="AU303" s="11"/>
      <c r="AV303" s="10"/>
      <c r="AW303" s="11"/>
      <c r="AX303" s="11"/>
      <c r="AY303" s="11"/>
      <c r="AZ303" s="11"/>
      <c r="BA303" s="11"/>
      <c r="BB303" s="59"/>
      <c r="BC303" s="59"/>
      <c r="BD303" s="59"/>
      <c r="BE303" s="59"/>
      <c r="BF303" s="59"/>
      <c r="BG303" s="59"/>
      <c r="BH303" s="138"/>
      <c r="BI303" s="138"/>
      <c r="BJ303" s="138"/>
      <c r="BK303" s="231"/>
      <c r="BL303" s="231"/>
      <c r="BM303" s="231"/>
      <c r="BN303" s="232"/>
      <c r="BO303" s="19"/>
      <c r="BP303" s="23"/>
      <c r="BQ303" s="23"/>
      <c r="BR303" s="23"/>
      <c r="BS303" s="43"/>
    </row>
    <row r="304" spans="1:72" s="111" customFormat="1" ht="12.75" customHeight="1" x14ac:dyDescent="0.15">
      <c r="A304" s="48" t="s">
        <v>4393</v>
      </c>
      <c r="B304" s="9" t="s">
        <v>3608</v>
      </c>
      <c r="C304" s="9"/>
      <c r="D304" s="9"/>
      <c r="E304" s="9"/>
      <c r="F304" s="112" t="s">
        <v>2251</v>
      </c>
      <c r="G304" s="10" t="s">
        <v>4396</v>
      </c>
      <c r="H304" s="5" t="s">
        <v>4397</v>
      </c>
      <c r="I304" s="11" t="s">
        <v>4398</v>
      </c>
      <c r="J304" s="357" t="s">
        <v>4392</v>
      </c>
      <c r="K304" s="353"/>
      <c r="L304" s="221">
        <v>7</v>
      </c>
      <c r="M304" s="221"/>
      <c r="N304" s="222" t="str">
        <f t="shared" si="8"/>
        <v>U 11 Hommes</v>
      </c>
      <c r="O304" s="729">
        <v>7</v>
      </c>
      <c r="P304" s="729"/>
      <c r="Q304" s="730" t="str">
        <f t="shared" si="9"/>
        <v>U 11 Hommes</v>
      </c>
      <c r="R304" s="731"/>
      <c r="S304" s="731"/>
      <c r="T304" s="731"/>
      <c r="U304" s="731"/>
      <c r="V304" s="731" t="s">
        <v>192</v>
      </c>
      <c r="W304" s="731"/>
      <c r="X304" s="731"/>
      <c r="Y304" s="731"/>
      <c r="Z304" s="731"/>
      <c r="AA304" s="731"/>
      <c r="AB304" s="12" t="s">
        <v>4591</v>
      </c>
      <c r="AC304" s="12"/>
      <c r="AD304" s="12"/>
      <c r="AE304" s="12"/>
      <c r="AF304" s="12"/>
      <c r="AG304" s="369"/>
      <c r="AH304" s="370"/>
      <c r="AI304" s="18">
        <v>45223</v>
      </c>
      <c r="AJ304" s="18">
        <v>45122</v>
      </c>
      <c r="AK304" s="13">
        <v>2029</v>
      </c>
      <c r="AL304" s="18">
        <v>43089</v>
      </c>
      <c r="AM304" s="19" t="s">
        <v>4399</v>
      </c>
      <c r="AN304" s="38"/>
      <c r="AO304" s="10"/>
      <c r="AP304" s="40"/>
      <c r="AQ304" s="20" t="s">
        <v>4581</v>
      </c>
      <c r="AR304" s="47" t="s">
        <v>4402</v>
      </c>
      <c r="AS304" s="62"/>
      <c r="AT304" s="62"/>
      <c r="AU304" s="11"/>
      <c r="AV304" s="10"/>
      <c r="AW304" s="11"/>
      <c r="AX304" s="11"/>
      <c r="AY304" s="11"/>
      <c r="AZ304" s="11"/>
      <c r="BA304" s="11"/>
      <c r="BB304" s="59"/>
      <c r="BC304" s="59"/>
      <c r="BD304" s="59"/>
      <c r="BE304" s="59"/>
      <c r="BF304" s="59"/>
      <c r="BG304" s="59"/>
      <c r="BH304" s="138"/>
      <c r="BI304" s="138"/>
      <c r="BJ304" s="138"/>
      <c r="BK304" s="231"/>
      <c r="BL304" s="231"/>
      <c r="BM304" s="231"/>
      <c r="BN304" s="232"/>
      <c r="BO304" s="19"/>
      <c r="BP304" s="23"/>
      <c r="BQ304" s="23"/>
      <c r="BR304" s="23"/>
      <c r="BS304" s="43"/>
      <c r="BT304"/>
    </row>
    <row r="305" spans="1:72" ht="12.75" customHeight="1" x14ac:dyDescent="0.15">
      <c r="A305" s="48" t="s">
        <v>4860</v>
      </c>
      <c r="B305" s="9" t="s">
        <v>4862</v>
      </c>
      <c r="C305" s="9"/>
      <c r="D305" s="9"/>
      <c r="E305" s="9"/>
      <c r="F305" s="112" t="s">
        <v>1681</v>
      </c>
      <c r="G305" s="10" t="s">
        <v>4863</v>
      </c>
      <c r="H305" s="5" t="s">
        <v>256</v>
      </c>
      <c r="I305" s="11" t="s">
        <v>618</v>
      </c>
      <c r="J305" s="357" t="s">
        <v>885</v>
      </c>
      <c r="K305" s="353"/>
      <c r="L305" s="221">
        <v>212</v>
      </c>
      <c r="M305" s="221"/>
      <c r="N305" s="222" t="str">
        <f t="shared" si="8"/>
        <v>Contact famille</v>
      </c>
      <c r="O305" s="729">
        <v>212</v>
      </c>
      <c r="P305" s="729"/>
      <c r="Q305" s="730" t="str">
        <f t="shared" si="9"/>
        <v>Contact famille</v>
      </c>
      <c r="R305" s="731"/>
      <c r="S305" s="731"/>
      <c r="T305" s="731"/>
      <c r="U305" s="731"/>
      <c r="V305" s="731" t="s">
        <v>313</v>
      </c>
      <c r="W305" s="731"/>
      <c r="X305" s="731"/>
      <c r="Y305" s="731"/>
      <c r="Z305" s="731"/>
      <c r="AA305" s="731"/>
      <c r="AB305" s="12"/>
      <c r="AC305" s="12"/>
      <c r="AD305" s="12"/>
      <c r="AE305" s="12"/>
      <c r="AF305" s="12"/>
      <c r="AG305" s="369"/>
      <c r="AH305" s="370"/>
      <c r="AI305" s="18" t="s">
        <v>242</v>
      </c>
      <c r="AJ305" s="18" t="s">
        <v>242</v>
      </c>
      <c r="AK305" s="13" t="s">
        <v>242</v>
      </c>
      <c r="AL305" s="18" t="s">
        <v>242</v>
      </c>
      <c r="AM305" s="19" t="s">
        <v>244</v>
      </c>
      <c r="AN305" s="38"/>
      <c r="AO305" s="10"/>
      <c r="AP305" s="40"/>
      <c r="AQ305" s="20">
        <v>661118094</v>
      </c>
      <c r="AR305" s="21" t="s">
        <v>4867</v>
      </c>
      <c r="AS305" s="62"/>
      <c r="AT305" s="62"/>
      <c r="AU305" s="11"/>
      <c r="AV305" s="10"/>
      <c r="AW305" s="11"/>
      <c r="AX305" s="11"/>
      <c r="AY305" s="11"/>
      <c r="AZ305" s="11"/>
      <c r="BA305" s="11"/>
      <c r="BB305" s="59"/>
      <c r="BC305" s="59"/>
      <c r="BD305" s="59"/>
      <c r="BE305" s="59"/>
      <c r="BF305" s="59"/>
      <c r="BG305" s="59"/>
      <c r="BH305" s="138"/>
      <c r="BI305" s="138"/>
      <c r="BJ305" s="138"/>
      <c r="BK305" s="231"/>
      <c r="BL305" s="231"/>
      <c r="BM305" s="231"/>
      <c r="BN305" s="232"/>
      <c r="BO305" s="19"/>
      <c r="BP305" s="23"/>
      <c r="BQ305" s="23"/>
      <c r="BR305" s="23"/>
      <c r="BS305" s="43"/>
    </row>
    <row r="306" spans="1:72" ht="12.75" customHeight="1" x14ac:dyDescent="0.15">
      <c r="A306" s="48" t="s">
        <v>2728</v>
      </c>
      <c r="B306" s="9" t="s">
        <v>3893</v>
      </c>
      <c r="C306" s="9"/>
      <c r="D306" s="9"/>
      <c r="E306" s="9"/>
      <c r="F306" s="10" t="s">
        <v>107</v>
      </c>
      <c r="G306" s="10" t="s">
        <v>3894</v>
      </c>
      <c r="H306" s="5" t="s">
        <v>3895</v>
      </c>
      <c r="I306" s="11" t="s">
        <v>223</v>
      </c>
      <c r="J306" s="357" t="s">
        <v>2348</v>
      </c>
      <c r="K306" s="353" t="s">
        <v>252</v>
      </c>
      <c r="L306" s="221">
        <v>212</v>
      </c>
      <c r="M306" s="221"/>
      <c r="N306" s="222" t="str">
        <f t="shared" si="8"/>
        <v>Contact famille</v>
      </c>
      <c r="O306" s="729">
        <v>212</v>
      </c>
      <c r="P306" s="729"/>
      <c r="Q306" s="730" t="str">
        <f t="shared" si="9"/>
        <v>Contact famille</v>
      </c>
      <c r="R306" s="731"/>
      <c r="S306" s="731"/>
      <c r="T306" s="731"/>
      <c r="U306" s="731"/>
      <c r="V306" s="731" t="s">
        <v>313</v>
      </c>
      <c r="W306" s="731"/>
      <c r="X306" s="731"/>
      <c r="Y306" s="731"/>
      <c r="Z306" s="731"/>
      <c r="AA306" s="731"/>
      <c r="AB306" s="12"/>
      <c r="AC306" s="12"/>
      <c r="AD306" s="12"/>
      <c r="AE306" s="12"/>
      <c r="AF306" s="12"/>
      <c r="AG306" s="369"/>
      <c r="AH306" s="370"/>
      <c r="AI306" s="18" t="s">
        <v>242</v>
      </c>
      <c r="AJ306" s="18" t="s">
        <v>242</v>
      </c>
      <c r="AK306" s="427" t="s">
        <v>242</v>
      </c>
      <c r="AL306" s="18" t="s">
        <v>242</v>
      </c>
      <c r="AM306" s="19" t="s">
        <v>244</v>
      </c>
      <c r="AN306" s="38"/>
      <c r="AO306" s="10"/>
      <c r="AP306" s="40"/>
      <c r="AQ306" s="20">
        <v>661875908</v>
      </c>
      <c r="AR306" s="47" t="s">
        <v>4579</v>
      </c>
      <c r="AS306" s="62"/>
      <c r="AT306" s="62"/>
      <c r="AU306" s="11"/>
      <c r="AV306" s="10"/>
      <c r="AW306" s="11"/>
      <c r="AX306" s="11"/>
      <c r="AY306" s="11"/>
      <c r="AZ306" s="11"/>
      <c r="BA306" s="11"/>
      <c r="BB306" s="59"/>
      <c r="BC306" s="59"/>
      <c r="BD306" s="59"/>
      <c r="BE306" s="59"/>
      <c r="BF306" s="59"/>
      <c r="BG306" s="59"/>
      <c r="BH306" s="138"/>
      <c r="BI306" s="138"/>
      <c r="BJ306" s="138"/>
      <c r="BK306" s="231"/>
      <c r="BL306" s="231"/>
      <c r="BM306" s="231"/>
      <c r="BN306" s="232"/>
      <c r="BO306" s="19"/>
      <c r="BP306" s="23"/>
      <c r="BQ306" s="23"/>
      <c r="BR306" s="23"/>
      <c r="BS306" s="149"/>
      <c r="BT306" s="150"/>
    </row>
    <row r="307" spans="1:72" ht="12.75" customHeight="1" x14ac:dyDescent="0.15">
      <c r="A307" s="48" t="s">
        <v>971</v>
      </c>
      <c r="B307" s="9" t="s">
        <v>972</v>
      </c>
      <c r="C307" s="9"/>
      <c r="D307" s="9"/>
      <c r="E307" s="9"/>
      <c r="F307" s="10" t="s">
        <v>107</v>
      </c>
      <c r="G307" s="10" t="s">
        <v>4418</v>
      </c>
      <c r="H307" s="5" t="s">
        <v>838</v>
      </c>
      <c r="I307" s="11" t="s">
        <v>840</v>
      </c>
      <c r="J307" s="357" t="s">
        <v>320</v>
      </c>
      <c r="K307" s="353"/>
      <c r="L307" s="221">
        <v>12</v>
      </c>
      <c r="M307" s="221"/>
      <c r="N307" s="222" t="str">
        <f t="shared" si="8"/>
        <v>Dames</v>
      </c>
      <c r="O307" s="729">
        <v>12</v>
      </c>
      <c r="P307" s="729"/>
      <c r="Q307" s="730" t="str">
        <f t="shared" si="9"/>
        <v>Dames</v>
      </c>
      <c r="R307" s="731"/>
      <c r="S307" s="731"/>
      <c r="T307" s="731"/>
      <c r="U307" s="731"/>
      <c r="V307" s="731"/>
      <c r="W307" s="731"/>
      <c r="X307" s="731"/>
      <c r="Y307" s="731"/>
      <c r="Z307" s="731"/>
      <c r="AA307" s="731"/>
      <c r="AB307" s="12" t="s">
        <v>3005</v>
      </c>
      <c r="AC307" s="12" t="s">
        <v>3005</v>
      </c>
      <c r="AD307" s="12" t="s">
        <v>3005</v>
      </c>
      <c r="AE307" s="12"/>
      <c r="AF307" s="12"/>
      <c r="AG307" s="376"/>
      <c r="AH307" s="370"/>
      <c r="AI307" s="18">
        <v>38639</v>
      </c>
      <c r="AJ307" s="18">
        <v>38639</v>
      </c>
      <c r="AK307" s="14">
        <v>2035</v>
      </c>
      <c r="AL307" s="18">
        <v>34741</v>
      </c>
      <c r="AM307" s="19" t="s">
        <v>2111</v>
      </c>
      <c r="AN307" s="38" t="s">
        <v>2756</v>
      </c>
      <c r="AO307" s="10" t="s">
        <v>2112</v>
      </c>
      <c r="AP307" s="40"/>
      <c r="AQ307" s="27" t="s">
        <v>2113</v>
      </c>
      <c r="AR307" s="54" t="s">
        <v>3685</v>
      </c>
      <c r="AS307" s="61"/>
      <c r="AT307" s="61"/>
      <c r="AU307" s="24"/>
      <c r="AV307" s="10"/>
      <c r="AW307" s="5"/>
      <c r="AX307" s="11"/>
      <c r="AY307" s="11"/>
      <c r="AZ307" s="11" t="s">
        <v>348</v>
      </c>
      <c r="BA307" s="11"/>
      <c r="BB307" s="59" t="s">
        <v>2813</v>
      </c>
      <c r="BC307" s="59" t="s">
        <v>3151</v>
      </c>
      <c r="BD307" s="59"/>
      <c r="BE307" s="59">
        <v>50</v>
      </c>
      <c r="BF307" s="59"/>
      <c r="BG307" s="59"/>
      <c r="BH307" s="138"/>
      <c r="BI307" s="138"/>
      <c r="BJ307" s="138"/>
      <c r="BK307" s="231"/>
      <c r="BL307" s="231"/>
      <c r="BM307" s="231"/>
      <c r="BN307" s="232"/>
      <c r="BO307" s="19"/>
      <c r="BP307" s="23" t="s">
        <v>1834</v>
      </c>
      <c r="BQ307" s="23"/>
      <c r="BR307" s="23"/>
      <c r="BS307" s="149"/>
      <c r="BT307" s="150"/>
    </row>
    <row r="308" spans="1:72" ht="12.75" customHeight="1" x14ac:dyDescent="0.15">
      <c r="A308" s="348" t="s">
        <v>914</v>
      </c>
      <c r="B308" s="9" t="s">
        <v>1552</v>
      </c>
      <c r="C308" s="9"/>
      <c r="D308" s="9"/>
      <c r="E308" s="9"/>
      <c r="F308" s="10" t="s">
        <v>107</v>
      </c>
      <c r="G308" s="10" t="s">
        <v>2114</v>
      </c>
      <c r="H308" s="5" t="s">
        <v>2115</v>
      </c>
      <c r="I308" s="11" t="s">
        <v>651</v>
      </c>
      <c r="J308" s="357" t="s">
        <v>2116</v>
      </c>
      <c r="K308" s="353"/>
      <c r="L308" s="221">
        <v>11</v>
      </c>
      <c r="M308" s="221"/>
      <c r="N308" s="222" t="str">
        <f t="shared" si="8"/>
        <v>Officiel D</v>
      </c>
      <c r="O308" s="729">
        <v>11</v>
      </c>
      <c r="P308" s="729"/>
      <c r="Q308" s="730" t="str">
        <f t="shared" si="9"/>
        <v>Officiel D</v>
      </c>
      <c r="R308" s="731"/>
      <c r="S308" s="731"/>
      <c r="T308" s="731" t="s">
        <v>313</v>
      </c>
      <c r="U308" s="731" t="s">
        <v>313</v>
      </c>
      <c r="V308" s="731"/>
      <c r="W308" s="731"/>
      <c r="X308" s="731"/>
      <c r="Y308" s="731"/>
      <c r="Z308" s="731"/>
      <c r="AA308" s="731"/>
      <c r="AB308" s="12" t="s">
        <v>4056</v>
      </c>
      <c r="AC308" s="12" t="s">
        <v>4056</v>
      </c>
      <c r="AD308" s="12" t="s">
        <v>4056</v>
      </c>
      <c r="AE308" s="12"/>
      <c r="AF308" s="12"/>
      <c r="AG308" s="369"/>
      <c r="AH308" s="370"/>
      <c r="AI308" s="18">
        <v>44656</v>
      </c>
      <c r="AJ308" s="18">
        <v>43531</v>
      </c>
      <c r="AK308" s="13">
        <v>2030</v>
      </c>
      <c r="AL308" s="45">
        <v>31180</v>
      </c>
      <c r="AM308" s="19" t="s">
        <v>3980</v>
      </c>
      <c r="AN308" s="19"/>
      <c r="AO308" s="10" t="s">
        <v>930</v>
      </c>
      <c r="AP308" s="40"/>
      <c r="AQ308" s="10" t="s">
        <v>931</v>
      </c>
      <c r="AR308" s="21" t="s">
        <v>1555</v>
      </c>
      <c r="AS308" s="62"/>
      <c r="AT308" s="62" t="s">
        <v>3969</v>
      </c>
      <c r="AU308" s="11"/>
      <c r="AV308" s="10"/>
      <c r="AW308" s="13" t="s">
        <v>3969</v>
      </c>
      <c r="AX308" s="11"/>
      <c r="AY308" s="11"/>
      <c r="AZ308" s="11" t="s">
        <v>209</v>
      </c>
      <c r="BA308" s="11"/>
      <c r="BB308" s="59" t="s">
        <v>2813</v>
      </c>
      <c r="BC308" s="59" t="s">
        <v>3151</v>
      </c>
      <c r="BD308" s="59"/>
      <c r="BE308" s="59" t="s">
        <v>988</v>
      </c>
      <c r="BF308" s="59"/>
      <c r="BG308" s="59"/>
      <c r="BH308" s="138"/>
      <c r="BI308" s="138"/>
      <c r="BJ308" s="138"/>
      <c r="BK308" s="231"/>
      <c r="BL308" s="231"/>
      <c r="BM308" s="231"/>
      <c r="BN308" s="232"/>
      <c r="BO308" s="19"/>
      <c r="BP308" s="23"/>
      <c r="BQ308" s="23"/>
      <c r="BR308" s="23"/>
      <c r="BS308" s="149"/>
    </row>
    <row r="309" spans="1:72" ht="12.75" customHeight="1" x14ac:dyDescent="0.15">
      <c r="A309" s="48" t="s">
        <v>5493</v>
      </c>
      <c r="B309" s="9" t="s">
        <v>5495</v>
      </c>
      <c r="C309" s="9"/>
      <c r="D309" s="9"/>
      <c r="E309" s="9"/>
      <c r="F309" s="11" t="s">
        <v>5498</v>
      </c>
      <c r="G309" s="11" t="s">
        <v>5499</v>
      </c>
      <c r="H309" s="5" t="s">
        <v>5500</v>
      </c>
      <c r="I309" s="11" t="s">
        <v>266</v>
      </c>
      <c r="J309" s="357" t="s">
        <v>738</v>
      </c>
      <c r="K309" s="353"/>
      <c r="L309" s="221">
        <v>212</v>
      </c>
      <c r="M309" s="221"/>
      <c r="N309" s="222" t="str">
        <f t="shared" si="8"/>
        <v>Contact famille</v>
      </c>
      <c r="O309" s="729">
        <v>212</v>
      </c>
      <c r="P309" s="729"/>
      <c r="Q309" s="730" t="str">
        <f t="shared" si="9"/>
        <v>Contact famille</v>
      </c>
      <c r="R309" s="732"/>
      <c r="S309" s="732"/>
      <c r="T309" s="732"/>
      <c r="U309" s="732"/>
      <c r="V309" s="732"/>
      <c r="W309" s="732"/>
      <c r="X309" s="732" t="s">
        <v>313</v>
      </c>
      <c r="Y309" s="732"/>
      <c r="Z309" s="732"/>
      <c r="AA309" s="732"/>
      <c r="AB309" s="12"/>
      <c r="AC309" s="155"/>
      <c r="AD309" s="155"/>
      <c r="AE309" s="155"/>
      <c r="AF309" s="12"/>
      <c r="AG309" s="386"/>
      <c r="AH309" s="392"/>
      <c r="AI309" s="18" t="s">
        <v>242</v>
      </c>
      <c r="AJ309" s="18" t="s">
        <v>242</v>
      </c>
      <c r="AK309" s="13" t="s">
        <v>242</v>
      </c>
      <c r="AL309" s="13" t="s">
        <v>242</v>
      </c>
      <c r="AM309" s="46" t="s">
        <v>244</v>
      </c>
      <c r="AN309" s="10"/>
      <c r="AO309" s="11"/>
      <c r="AP309" s="53"/>
      <c r="AQ309" s="20">
        <v>691123907</v>
      </c>
      <c r="AR309" s="68" t="s">
        <v>5502</v>
      </c>
      <c r="AS309" s="62"/>
      <c r="AT309" s="62"/>
      <c r="AU309" s="10"/>
      <c r="AV309" s="10"/>
      <c r="AW309" s="13"/>
      <c r="AX309" s="11"/>
      <c r="AY309" s="11"/>
      <c r="AZ309" s="11"/>
      <c r="BA309" s="11"/>
      <c r="BB309" s="59"/>
      <c r="BC309" s="59"/>
      <c r="BD309" s="59"/>
      <c r="BE309" s="59"/>
      <c r="BF309" s="59"/>
      <c r="BG309" s="59"/>
      <c r="BH309" s="138"/>
      <c r="BI309" s="138"/>
      <c r="BJ309" s="138"/>
      <c r="BK309" s="231"/>
      <c r="BL309" s="231"/>
      <c r="BM309" s="231"/>
      <c r="BN309" s="232"/>
      <c r="BO309" s="11"/>
      <c r="BP309" s="11"/>
      <c r="BQ309" s="11"/>
      <c r="BR309" s="11"/>
      <c r="BS309" s="394"/>
    </row>
    <row r="310" spans="1:72" ht="12.75" customHeight="1" x14ac:dyDescent="0.15">
      <c r="A310" s="48" t="s">
        <v>5493</v>
      </c>
      <c r="B310" s="9" t="s">
        <v>5494</v>
      </c>
      <c r="C310" s="9"/>
      <c r="D310" s="9"/>
      <c r="E310" s="9"/>
      <c r="F310" s="11" t="s">
        <v>5498</v>
      </c>
      <c r="G310" s="11" t="s">
        <v>5499</v>
      </c>
      <c r="H310" s="5" t="s">
        <v>5500</v>
      </c>
      <c r="I310" s="11" t="s">
        <v>266</v>
      </c>
      <c r="J310" s="357" t="s">
        <v>738</v>
      </c>
      <c r="K310" s="353"/>
      <c r="L310" s="221">
        <v>21</v>
      </c>
      <c r="M310" s="221"/>
      <c r="N310" s="222" t="str">
        <f t="shared" si="8"/>
        <v>U7 Mixte</v>
      </c>
      <c r="O310" s="729">
        <v>21</v>
      </c>
      <c r="P310" s="729"/>
      <c r="Q310" s="730" t="str">
        <f t="shared" si="9"/>
        <v>U7 Mixte</v>
      </c>
      <c r="R310" s="732"/>
      <c r="S310" s="732"/>
      <c r="T310" s="732"/>
      <c r="U310" s="732"/>
      <c r="V310" s="732"/>
      <c r="W310" s="732"/>
      <c r="X310" s="732" t="s">
        <v>192</v>
      </c>
      <c r="Y310" s="732"/>
      <c r="Z310" s="732"/>
      <c r="AA310" s="732"/>
      <c r="AB310" s="12" t="s">
        <v>5504</v>
      </c>
      <c r="AC310" s="155"/>
      <c r="AD310" s="155"/>
      <c r="AE310" s="155"/>
      <c r="AF310" s="12"/>
      <c r="AG310" s="386" t="s">
        <v>5173</v>
      </c>
      <c r="AH310" s="392"/>
      <c r="AI310" s="18">
        <v>46113</v>
      </c>
      <c r="AJ310" s="18">
        <v>46104</v>
      </c>
      <c r="AK310" s="13">
        <v>2026</v>
      </c>
      <c r="AL310" s="18">
        <v>43908</v>
      </c>
      <c r="AM310" s="5" t="s">
        <v>5501</v>
      </c>
      <c r="AN310" s="10"/>
      <c r="AO310" s="11"/>
      <c r="AP310" s="53"/>
      <c r="AQ310" s="20">
        <v>691123907</v>
      </c>
      <c r="AR310" s="68" t="s">
        <v>5502</v>
      </c>
      <c r="AS310" s="62"/>
      <c r="AT310" s="62"/>
      <c r="AU310" s="10"/>
      <c r="AV310" s="10"/>
      <c r="AW310" s="13"/>
      <c r="AX310" s="11"/>
      <c r="AY310" s="11"/>
      <c r="AZ310" s="11"/>
      <c r="BA310" s="11"/>
      <c r="BB310" s="59"/>
      <c r="BC310" s="59"/>
      <c r="BD310" s="59"/>
      <c r="BE310" s="59"/>
      <c r="BF310" s="59"/>
      <c r="BG310" s="59"/>
      <c r="BH310" s="138"/>
      <c r="BI310" s="138"/>
      <c r="BJ310" s="138"/>
      <c r="BK310" s="231"/>
      <c r="BL310" s="231"/>
      <c r="BM310" s="231"/>
      <c r="BN310" s="232"/>
      <c r="BO310" s="11"/>
      <c r="BP310" s="11"/>
      <c r="BQ310" s="11"/>
      <c r="BR310" s="11"/>
      <c r="BS310" s="394"/>
      <c r="BT310" s="150"/>
    </row>
    <row r="311" spans="1:72" s="150" customFormat="1" ht="12.75" customHeight="1" x14ac:dyDescent="0.15">
      <c r="A311" s="48" t="s">
        <v>4346</v>
      </c>
      <c r="B311" s="9" t="s">
        <v>4347</v>
      </c>
      <c r="C311" s="9"/>
      <c r="D311" s="9"/>
      <c r="E311" s="9"/>
      <c r="F311" s="10" t="s">
        <v>1693</v>
      </c>
      <c r="G311" s="10" t="s">
        <v>4350</v>
      </c>
      <c r="H311" s="5" t="s">
        <v>670</v>
      </c>
      <c r="I311" s="11" t="s">
        <v>223</v>
      </c>
      <c r="J311" s="357" t="s">
        <v>4345</v>
      </c>
      <c r="K311" s="353"/>
      <c r="L311" s="221">
        <v>212</v>
      </c>
      <c r="M311" s="221"/>
      <c r="N311" s="222" t="str">
        <f t="shared" si="8"/>
        <v>Contact famille</v>
      </c>
      <c r="O311" s="729">
        <v>212</v>
      </c>
      <c r="P311" s="729"/>
      <c r="Q311" s="730" t="str">
        <f t="shared" si="9"/>
        <v>Contact famille</v>
      </c>
      <c r="R311" s="731"/>
      <c r="S311" s="731"/>
      <c r="T311" s="731"/>
      <c r="U311" s="731"/>
      <c r="V311" s="731"/>
      <c r="W311" s="731" t="s">
        <v>313</v>
      </c>
      <c r="X311" s="731"/>
      <c r="Y311" s="731"/>
      <c r="Z311" s="731"/>
      <c r="AA311" s="731"/>
      <c r="AB311" s="12"/>
      <c r="AC311" s="12"/>
      <c r="AD311" s="12"/>
      <c r="AE311" s="12"/>
      <c r="AF311" s="12"/>
      <c r="AG311" s="369"/>
      <c r="AH311" s="370"/>
      <c r="AI311" s="18" t="s">
        <v>242</v>
      </c>
      <c r="AJ311" s="18" t="s">
        <v>242</v>
      </c>
      <c r="AK311" s="13" t="s">
        <v>242</v>
      </c>
      <c r="AL311" s="18" t="s">
        <v>242</v>
      </c>
      <c r="AM311" s="19" t="s">
        <v>244</v>
      </c>
      <c r="AN311" s="38"/>
      <c r="AO311" s="10"/>
      <c r="AP311" s="40"/>
      <c r="AQ311" s="20">
        <v>691435025</v>
      </c>
      <c r="AR311" s="47" t="s">
        <v>4354</v>
      </c>
      <c r="AS311" s="62"/>
      <c r="AT311" s="62"/>
      <c r="AU311" s="11"/>
      <c r="AV311" s="10"/>
      <c r="AW311" s="11"/>
      <c r="AX311" s="11"/>
      <c r="AY311" s="11"/>
      <c r="AZ311" s="11"/>
      <c r="BA311" s="11"/>
      <c r="BB311" s="59"/>
      <c r="BC311" s="59"/>
      <c r="BD311" s="59"/>
      <c r="BE311" s="59"/>
      <c r="BF311" s="59"/>
      <c r="BG311" s="59"/>
      <c r="BH311" s="138"/>
      <c r="BI311" s="138"/>
      <c r="BJ311" s="138"/>
      <c r="BK311" s="231"/>
      <c r="BL311" s="231"/>
      <c r="BM311" s="231"/>
      <c r="BN311" s="232"/>
      <c r="BO311" s="19"/>
      <c r="BP311" s="23"/>
      <c r="BQ311" s="23"/>
      <c r="BR311" s="23"/>
      <c r="BS311" s="43"/>
      <c r="BT311"/>
    </row>
    <row r="312" spans="1:72" ht="12.75" customHeight="1" x14ac:dyDescent="0.15">
      <c r="A312" s="48" t="s">
        <v>4346</v>
      </c>
      <c r="B312" s="9" t="s">
        <v>1882</v>
      </c>
      <c r="C312" s="9"/>
      <c r="D312" s="9"/>
      <c r="E312" s="9"/>
      <c r="F312" s="10" t="s">
        <v>1693</v>
      </c>
      <c r="G312" s="10" t="s">
        <v>4350</v>
      </c>
      <c r="H312" s="5" t="s">
        <v>670</v>
      </c>
      <c r="I312" s="11" t="s">
        <v>223</v>
      </c>
      <c r="J312" s="357" t="s">
        <v>4345</v>
      </c>
      <c r="K312" s="353"/>
      <c r="L312" s="221">
        <v>18</v>
      </c>
      <c r="M312" s="221"/>
      <c r="N312" s="222" t="str">
        <f t="shared" si="8"/>
        <v>U 9 Dames</v>
      </c>
      <c r="O312" s="729">
        <v>18</v>
      </c>
      <c r="P312" s="729"/>
      <c r="Q312" s="730" t="str">
        <f t="shared" si="9"/>
        <v>U 9 Dames</v>
      </c>
      <c r="R312" s="731"/>
      <c r="S312" s="731"/>
      <c r="T312" s="731"/>
      <c r="U312" s="731"/>
      <c r="V312" s="731"/>
      <c r="W312" s="731" t="s">
        <v>192</v>
      </c>
      <c r="X312" s="731"/>
      <c r="Y312" s="731"/>
      <c r="Z312" s="731"/>
      <c r="AA312" s="731"/>
      <c r="AB312" s="12" t="s">
        <v>4364</v>
      </c>
      <c r="AC312" s="12"/>
      <c r="AD312" s="12"/>
      <c r="AE312" s="12"/>
      <c r="AF312" s="12"/>
      <c r="AG312" s="369"/>
      <c r="AH312" s="370"/>
      <c r="AI312" s="18">
        <v>45061</v>
      </c>
      <c r="AJ312" s="18">
        <v>45037</v>
      </c>
      <c r="AK312" s="615">
        <v>2025</v>
      </c>
      <c r="AL312" s="18">
        <v>43292</v>
      </c>
      <c r="AM312" s="19" t="s">
        <v>4351</v>
      </c>
      <c r="AN312" s="38"/>
      <c r="AO312" s="10"/>
      <c r="AP312" s="40" t="s">
        <v>4352</v>
      </c>
      <c r="AQ312" s="10" t="s">
        <v>4353</v>
      </c>
      <c r="AR312" s="47" t="s">
        <v>4354</v>
      </c>
      <c r="AS312" s="62"/>
      <c r="AT312" s="62"/>
      <c r="AU312" s="11"/>
      <c r="AV312" s="10"/>
      <c r="AW312" s="11"/>
      <c r="AX312" s="11"/>
      <c r="AY312" s="11"/>
      <c r="AZ312" s="11"/>
      <c r="BA312" s="11"/>
      <c r="BB312" s="59"/>
      <c r="BC312" s="59"/>
      <c r="BD312" s="59"/>
      <c r="BE312" s="59"/>
      <c r="BF312" s="59"/>
      <c r="BG312" s="59"/>
      <c r="BH312" s="138"/>
      <c r="BI312" s="138"/>
      <c r="BJ312" s="138"/>
      <c r="BK312" s="231"/>
      <c r="BL312" s="231"/>
      <c r="BM312" s="231"/>
      <c r="BN312" s="232"/>
      <c r="BO312" s="19"/>
      <c r="BP312" s="23"/>
      <c r="BQ312" s="23"/>
      <c r="BR312" s="23"/>
      <c r="BS312" s="43"/>
    </row>
    <row r="313" spans="1:72" ht="12.75" customHeight="1" x14ac:dyDescent="0.15">
      <c r="A313" s="48" t="s">
        <v>5517</v>
      </c>
      <c r="B313" s="9" t="s">
        <v>1024</v>
      </c>
      <c r="C313" s="9"/>
      <c r="D313" s="9"/>
      <c r="E313" s="9"/>
      <c r="F313" s="112" t="s">
        <v>5477</v>
      </c>
      <c r="G313" s="11" t="s">
        <v>5518</v>
      </c>
      <c r="H313" s="5" t="s">
        <v>666</v>
      </c>
      <c r="I313" s="11" t="s">
        <v>493</v>
      </c>
      <c r="J313" s="357" t="s">
        <v>5514</v>
      </c>
      <c r="K313" s="353"/>
      <c r="L313" s="221">
        <v>212</v>
      </c>
      <c r="M313" s="221"/>
      <c r="N313" s="222" t="str">
        <f t="shared" si="8"/>
        <v>Contact famille</v>
      </c>
      <c r="O313" s="729">
        <v>212</v>
      </c>
      <c r="P313" s="729"/>
      <c r="Q313" s="730" t="str">
        <f t="shared" si="9"/>
        <v>Contact famille</v>
      </c>
      <c r="R313" s="732"/>
      <c r="S313" s="732"/>
      <c r="T313" s="732"/>
      <c r="U313" s="732" t="s">
        <v>313</v>
      </c>
      <c r="V313" s="732"/>
      <c r="W313" s="732"/>
      <c r="X313" s="732"/>
      <c r="Y313" s="732"/>
      <c r="Z313" s="732"/>
      <c r="AA313" s="732"/>
      <c r="AB313" s="12"/>
      <c r="AC313" s="155"/>
      <c r="AD313" s="155"/>
      <c r="AE313" s="155"/>
      <c r="AF313" s="12"/>
      <c r="AG313" s="386"/>
      <c r="AH313" s="392"/>
      <c r="AI313" s="18" t="s">
        <v>242</v>
      </c>
      <c r="AJ313" s="18" t="s">
        <v>242</v>
      </c>
      <c r="AK313" s="13" t="s">
        <v>242</v>
      </c>
      <c r="AL313" s="18" t="s">
        <v>242</v>
      </c>
      <c r="AM313" s="19" t="s">
        <v>244</v>
      </c>
      <c r="AN313" s="10"/>
      <c r="AO313" s="11"/>
      <c r="AP313" s="53"/>
      <c r="AQ313" s="20">
        <v>691567058</v>
      </c>
      <c r="AR313" s="11"/>
      <c r="AS313" s="62"/>
      <c r="AT313" s="62"/>
      <c r="AU313" s="10"/>
      <c r="AV313" s="10"/>
      <c r="AW313" s="13"/>
      <c r="AX313" s="11"/>
      <c r="AY313" s="11"/>
      <c r="AZ313" s="11"/>
      <c r="BA313" s="11"/>
      <c r="BB313" s="59"/>
      <c r="BC313" s="59"/>
      <c r="BD313" s="59"/>
      <c r="BE313" s="59"/>
      <c r="BF313" s="59"/>
      <c r="BG313" s="59"/>
      <c r="BH313" s="138"/>
      <c r="BI313" s="138"/>
      <c r="BJ313" s="138"/>
      <c r="BK313" s="231"/>
      <c r="BL313" s="231"/>
      <c r="BM313" s="231"/>
      <c r="BN313" s="232"/>
      <c r="BO313" s="11"/>
      <c r="BP313" s="11"/>
      <c r="BQ313" s="11"/>
      <c r="BR313" s="11"/>
      <c r="BS313" s="394"/>
      <c r="BT313" s="111"/>
    </row>
    <row r="314" spans="1:72" s="150" customFormat="1" ht="12.75" customHeight="1" x14ac:dyDescent="0.15">
      <c r="A314" s="48" t="s">
        <v>5653</v>
      </c>
      <c r="B314" s="9" t="s">
        <v>5654</v>
      </c>
      <c r="C314" s="9"/>
      <c r="D314" s="9"/>
      <c r="E314" s="9"/>
      <c r="F314" s="112" t="s">
        <v>5477</v>
      </c>
      <c r="G314" s="10" t="s">
        <v>5655</v>
      </c>
      <c r="H314" s="5" t="s">
        <v>750</v>
      </c>
      <c r="I314" s="11" t="s">
        <v>241</v>
      </c>
      <c r="J314" s="357" t="s">
        <v>671</v>
      </c>
      <c r="K314" s="353"/>
      <c r="L314" s="221">
        <v>212</v>
      </c>
      <c r="M314" s="221"/>
      <c r="N314" s="222" t="str">
        <f t="shared" si="8"/>
        <v>Contact famille</v>
      </c>
      <c r="O314" s="729">
        <v>212</v>
      </c>
      <c r="P314" s="729"/>
      <c r="Q314" s="730" t="str">
        <f t="shared" si="9"/>
        <v>Contact famille</v>
      </c>
      <c r="R314" s="731"/>
      <c r="S314" s="731"/>
      <c r="T314" s="731"/>
      <c r="U314" s="731"/>
      <c r="V314" s="731"/>
      <c r="W314" s="731" t="s">
        <v>313</v>
      </c>
      <c r="X314" s="731"/>
      <c r="Y314" s="731"/>
      <c r="Z314" s="731"/>
      <c r="AA314" s="731"/>
      <c r="AB314" s="12"/>
      <c r="AC314" s="12"/>
      <c r="AD314" s="12"/>
      <c r="AE314" s="12"/>
      <c r="AF314" s="12"/>
      <c r="AG314" s="386"/>
      <c r="AH314" s="370"/>
      <c r="AI314" s="18" t="s">
        <v>242</v>
      </c>
      <c r="AJ314" s="18" t="s">
        <v>242</v>
      </c>
      <c r="AK314" s="13" t="s">
        <v>242</v>
      </c>
      <c r="AL314" s="18" t="s">
        <v>242</v>
      </c>
      <c r="AM314" s="19" t="s">
        <v>244</v>
      </c>
      <c r="AN314" s="38"/>
      <c r="AO314" s="10"/>
      <c r="AP314" s="40"/>
      <c r="AQ314" s="20">
        <v>691258502</v>
      </c>
      <c r="AR314" s="47" t="s">
        <v>5659</v>
      </c>
      <c r="AS314" s="62"/>
      <c r="AT314" s="62"/>
      <c r="AU314" s="11"/>
      <c r="AV314" s="10"/>
      <c r="AW314" s="11"/>
      <c r="AX314" s="11"/>
      <c r="AY314" s="11"/>
      <c r="AZ314" s="11"/>
      <c r="BA314" s="11"/>
      <c r="BB314" s="59"/>
      <c r="BC314" s="59"/>
      <c r="BD314" s="59"/>
      <c r="BE314" s="59"/>
      <c r="BF314" s="59"/>
      <c r="BG314" s="59"/>
      <c r="BH314" s="138"/>
      <c r="BI314" s="138"/>
      <c r="BJ314" s="138"/>
      <c r="BK314" s="231"/>
      <c r="BL314" s="231"/>
      <c r="BM314" s="231"/>
      <c r="BN314" s="232"/>
      <c r="BO314" s="19"/>
      <c r="BP314" s="23"/>
      <c r="BQ314" s="23"/>
      <c r="BR314" s="23"/>
      <c r="BS314" s="141"/>
      <c r="BT314"/>
    </row>
    <row r="315" spans="1:72" ht="12.75" customHeight="1" x14ac:dyDescent="0.15">
      <c r="A315" s="106" t="s">
        <v>3493</v>
      </c>
      <c r="B315" s="107" t="s">
        <v>2544</v>
      </c>
      <c r="C315" s="107"/>
      <c r="D315" s="107"/>
      <c r="E315" s="107"/>
      <c r="F315" s="112" t="s">
        <v>107</v>
      </c>
      <c r="G315" s="112" t="s">
        <v>3494</v>
      </c>
      <c r="H315" s="113" t="s">
        <v>2538</v>
      </c>
      <c r="I315" s="110" t="s">
        <v>1051</v>
      </c>
      <c r="J315" s="497" t="s">
        <v>2539</v>
      </c>
      <c r="K315" s="498"/>
      <c r="L315" s="382">
        <v>212</v>
      </c>
      <c r="M315" s="382"/>
      <c r="N315" s="383" t="str">
        <f t="shared" si="8"/>
        <v>Contact famille</v>
      </c>
      <c r="O315" s="738">
        <v>212</v>
      </c>
      <c r="P315" s="738"/>
      <c r="Q315" s="782" t="str">
        <f t="shared" si="9"/>
        <v>Contact famille</v>
      </c>
      <c r="R315" s="731"/>
      <c r="S315" s="731"/>
      <c r="T315" s="731"/>
      <c r="U315" s="731"/>
      <c r="V315" s="731"/>
      <c r="W315" s="731"/>
      <c r="X315" s="731"/>
      <c r="Y315" s="731"/>
      <c r="Z315" s="731"/>
      <c r="AA315" s="731"/>
      <c r="AB315" s="61"/>
      <c r="AC315" s="61"/>
      <c r="AD315" s="61"/>
      <c r="AE315" s="61"/>
      <c r="AF315" s="61"/>
      <c r="AG315" s="374"/>
      <c r="AH315" s="375"/>
      <c r="AI315" s="114" t="s">
        <v>242</v>
      </c>
      <c r="AJ315" s="114">
        <v>43178</v>
      </c>
      <c r="AK315" s="62" t="s">
        <v>242</v>
      </c>
      <c r="AL315" s="62" t="s">
        <v>242</v>
      </c>
      <c r="AM315" s="115" t="s">
        <v>244</v>
      </c>
      <c r="AN315" s="115"/>
      <c r="AO315" s="112" t="s">
        <v>2541</v>
      </c>
      <c r="AP315" s="112"/>
      <c r="AQ315" s="112" t="s">
        <v>2545</v>
      </c>
      <c r="AR315" s="783" t="s">
        <v>3454</v>
      </c>
      <c r="AS315" s="62"/>
      <c r="AT315" s="62"/>
      <c r="AU315" s="110"/>
      <c r="AV315" s="112"/>
      <c r="AW315" s="110"/>
      <c r="AX315" s="110"/>
      <c r="AY315" s="110"/>
      <c r="AZ315" s="110" t="s">
        <v>420</v>
      </c>
      <c r="BA315" s="110"/>
      <c r="BB315" s="154" t="s">
        <v>2813</v>
      </c>
      <c r="BC315" s="154" t="s">
        <v>292</v>
      </c>
      <c r="BD315" s="154" t="s">
        <v>421</v>
      </c>
      <c r="BE315" s="154" t="s">
        <v>419</v>
      </c>
      <c r="BF315" s="154"/>
      <c r="BG315" s="154"/>
      <c r="BH315" s="508"/>
      <c r="BI315" s="508"/>
      <c r="BJ315" s="508"/>
      <c r="BK315" s="509"/>
      <c r="BL315" s="509"/>
      <c r="BM315" s="509"/>
      <c r="BN315" s="510"/>
      <c r="BO315" s="115"/>
      <c r="BP315" s="199" t="s">
        <v>260</v>
      </c>
      <c r="BQ315" s="199"/>
      <c r="BR315" s="199"/>
      <c r="BS315" s="507"/>
    </row>
    <row r="316" spans="1:72" ht="12.75" customHeight="1" x14ac:dyDescent="0.15">
      <c r="A316" s="48" t="s">
        <v>5534</v>
      </c>
      <c r="B316" s="9" t="s">
        <v>5535</v>
      </c>
      <c r="C316" s="9"/>
      <c r="D316" s="9"/>
      <c r="E316" s="9"/>
      <c r="F316" s="11" t="s">
        <v>263</v>
      </c>
      <c r="G316" s="11" t="s">
        <v>5537</v>
      </c>
      <c r="H316" s="5" t="s">
        <v>5538</v>
      </c>
      <c r="I316" s="11" t="s">
        <v>1714</v>
      </c>
      <c r="J316" s="357" t="s">
        <v>5531</v>
      </c>
      <c r="K316" s="353"/>
      <c r="L316" s="221">
        <v>212</v>
      </c>
      <c r="M316" s="221"/>
      <c r="N316" s="222" t="str">
        <f t="shared" si="8"/>
        <v>Contact famille</v>
      </c>
      <c r="O316" s="729">
        <v>212</v>
      </c>
      <c r="P316" s="729"/>
      <c r="Q316" s="730" t="str">
        <f t="shared" si="9"/>
        <v>Contact famille</v>
      </c>
      <c r="R316" s="732"/>
      <c r="S316" s="732"/>
      <c r="T316" s="732"/>
      <c r="U316" s="732" t="s">
        <v>313</v>
      </c>
      <c r="V316" s="732"/>
      <c r="W316" s="732"/>
      <c r="X316" s="732"/>
      <c r="Y316" s="732"/>
      <c r="Z316" s="732"/>
      <c r="AA316" s="732"/>
      <c r="AB316" s="12"/>
      <c r="AC316" s="155"/>
      <c r="AD316" s="155"/>
      <c r="AE316" s="155"/>
      <c r="AF316" s="12"/>
      <c r="AG316" s="386"/>
      <c r="AH316" s="392"/>
      <c r="AI316" s="18" t="s">
        <v>242</v>
      </c>
      <c r="AJ316" s="18" t="s">
        <v>242</v>
      </c>
      <c r="AK316" s="13" t="s">
        <v>242</v>
      </c>
      <c r="AL316" s="13" t="s">
        <v>242</v>
      </c>
      <c r="AM316" s="46" t="s">
        <v>244</v>
      </c>
      <c r="AN316" s="10"/>
      <c r="AO316" s="11"/>
      <c r="AP316" s="53"/>
      <c r="AQ316" s="20">
        <v>661113163</v>
      </c>
      <c r="AR316" s="68" t="s">
        <v>5542</v>
      </c>
      <c r="AS316" s="62"/>
      <c r="AT316" s="62"/>
      <c r="AU316" s="10"/>
      <c r="AV316" s="10"/>
      <c r="AW316" s="13"/>
      <c r="AX316" s="11"/>
      <c r="AY316" s="11"/>
      <c r="AZ316" s="11"/>
      <c r="BA316" s="11"/>
      <c r="BB316" s="59"/>
      <c r="BC316" s="59"/>
      <c r="BD316" s="59"/>
      <c r="BE316" s="59"/>
      <c r="BF316" s="59"/>
      <c r="BG316" s="59"/>
      <c r="BH316" s="138"/>
      <c r="BI316" s="138"/>
      <c r="BJ316" s="138"/>
      <c r="BK316" s="231"/>
      <c r="BL316" s="231"/>
      <c r="BM316" s="231"/>
      <c r="BN316" s="232"/>
      <c r="BO316" s="11"/>
      <c r="BP316" s="11"/>
      <c r="BQ316" s="11"/>
      <c r="BR316" s="11"/>
      <c r="BS316" s="394"/>
    </row>
    <row r="317" spans="1:72" ht="13.5" customHeight="1" x14ac:dyDescent="0.15">
      <c r="A317" s="48" t="s">
        <v>5532</v>
      </c>
      <c r="B317" s="9" t="s">
        <v>5533</v>
      </c>
      <c r="C317" s="9"/>
      <c r="D317" s="9"/>
      <c r="E317" s="9"/>
      <c r="F317" s="11" t="s">
        <v>263</v>
      </c>
      <c r="G317" s="11" t="s">
        <v>5537</v>
      </c>
      <c r="H317" s="5" t="s">
        <v>5538</v>
      </c>
      <c r="I317" s="11" t="s">
        <v>1714</v>
      </c>
      <c r="J317" s="357" t="s">
        <v>5531</v>
      </c>
      <c r="K317" s="353"/>
      <c r="L317" s="221">
        <v>6</v>
      </c>
      <c r="M317" s="221"/>
      <c r="N317" s="222" t="str">
        <f t="shared" si="8"/>
        <v>U 13 Hommes</v>
      </c>
      <c r="O317" s="729">
        <v>6</v>
      </c>
      <c r="P317" s="729"/>
      <c r="Q317" s="730" t="str">
        <f t="shared" si="9"/>
        <v>U 13 Hommes</v>
      </c>
      <c r="R317" s="732"/>
      <c r="S317" s="732"/>
      <c r="T317" s="732"/>
      <c r="U317" s="732" t="s">
        <v>192</v>
      </c>
      <c r="V317" s="732"/>
      <c r="W317" s="732"/>
      <c r="X317" s="732"/>
      <c r="Y317" s="732"/>
      <c r="Z317" s="732"/>
      <c r="AA317" s="732"/>
      <c r="AB317" s="12" t="s">
        <v>5544</v>
      </c>
      <c r="AC317" s="155"/>
      <c r="AD317" s="155"/>
      <c r="AE317" s="155"/>
      <c r="AF317" s="12"/>
      <c r="AG317" s="386" t="s">
        <v>5557</v>
      </c>
      <c r="AH317" s="392"/>
      <c r="AI317" s="18">
        <v>46164</v>
      </c>
      <c r="AJ317" s="18">
        <v>46161</v>
      </c>
      <c r="AK317" s="13">
        <v>2026</v>
      </c>
      <c r="AL317" s="18">
        <v>41895</v>
      </c>
      <c r="AM317" s="5" t="s">
        <v>5539</v>
      </c>
      <c r="AN317" s="10"/>
      <c r="AO317" s="11"/>
      <c r="AP317" s="53" t="s">
        <v>5541</v>
      </c>
      <c r="AQ317" s="53" t="s">
        <v>5540</v>
      </c>
      <c r="AR317" s="68" t="s">
        <v>5542</v>
      </c>
      <c r="AS317" s="62"/>
      <c r="AT317" s="62"/>
      <c r="AU317" s="10"/>
      <c r="AV317" s="10"/>
      <c r="AW317" s="13"/>
      <c r="AX317" s="11"/>
      <c r="AY317" s="11"/>
      <c r="AZ317" s="11"/>
      <c r="BA317" s="11"/>
      <c r="BB317" s="59"/>
      <c r="BC317" s="59"/>
      <c r="BD317" s="59"/>
      <c r="BE317" s="59"/>
      <c r="BF317" s="59"/>
      <c r="BG317" s="59"/>
      <c r="BH317" s="138"/>
      <c r="BI317" s="138"/>
      <c r="BJ317" s="138"/>
      <c r="BK317" s="231"/>
      <c r="BL317" s="231"/>
      <c r="BM317" s="231"/>
      <c r="BN317" s="232"/>
      <c r="BO317" s="11"/>
      <c r="BP317" s="11"/>
      <c r="BQ317" s="11"/>
      <c r="BR317" s="11"/>
      <c r="BS317" s="394"/>
    </row>
    <row r="318" spans="1:72" s="150" customFormat="1" ht="12.75" customHeight="1" x14ac:dyDescent="0.15">
      <c r="A318" s="48" t="s">
        <v>3229</v>
      </c>
      <c r="B318" s="9" t="s">
        <v>1909</v>
      </c>
      <c r="C318" s="9"/>
      <c r="D318" s="9"/>
      <c r="E318" s="9"/>
      <c r="F318" s="10" t="s">
        <v>107</v>
      </c>
      <c r="G318" s="10" t="s">
        <v>3233</v>
      </c>
      <c r="H318" s="5" t="s">
        <v>3234</v>
      </c>
      <c r="I318" s="11" t="s">
        <v>848</v>
      </c>
      <c r="J318" s="357" t="s">
        <v>1379</v>
      </c>
      <c r="K318" s="353"/>
      <c r="L318" s="221">
        <v>212</v>
      </c>
      <c r="M318" s="221"/>
      <c r="N318" s="222" t="str">
        <f t="shared" si="8"/>
        <v>Contact famille</v>
      </c>
      <c r="O318" s="729">
        <v>212</v>
      </c>
      <c r="P318" s="729"/>
      <c r="Q318" s="730" t="str">
        <f t="shared" si="9"/>
        <v>Contact famille</v>
      </c>
      <c r="R318" s="731"/>
      <c r="S318" s="731"/>
      <c r="T318" s="731" t="s">
        <v>313</v>
      </c>
      <c r="U318" s="731" t="s">
        <v>313</v>
      </c>
      <c r="V318" s="731"/>
      <c r="W318" s="731"/>
      <c r="X318" s="731"/>
      <c r="Y318" s="731"/>
      <c r="Z318" s="731"/>
      <c r="AA318" s="731"/>
      <c r="AB318" s="12"/>
      <c r="AC318" s="12"/>
      <c r="AD318" s="12"/>
      <c r="AE318" s="12"/>
      <c r="AF318" s="12"/>
      <c r="AG318" s="369"/>
      <c r="AH318" s="370"/>
      <c r="AI318" s="18" t="s">
        <v>242</v>
      </c>
      <c r="AJ318" s="18" t="s">
        <v>242</v>
      </c>
      <c r="AK318" s="13" t="s">
        <v>242</v>
      </c>
      <c r="AL318" s="13" t="s">
        <v>242</v>
      </c>
      <c r="AM318" s="46" t="s">
        <v>244</v>
      </c>
      <c r="AN318" s="38"/>
      <c r="AO318" s="10" t="s">
        <v>3237</v>
      </c>
      <c r="AP318" s="40"/>
      <c r="AQ318" s="10" t="s">
        <v>3240</v>
      </c>
      <c r="AR318" s="47"/>
      <c r="AS318" s="62"/>
      <c r="AT318" s="62"/>
      <c r="AU318" s="11"/>
      <c r="AV318" s="10"/>
      <c r="AW318" s="11"/>
      <c r="AX318" s="11"/>
      <c r="AY318" s="11"/>
      <c r="AZ318" s="11"/>
      <c r="BA318" s="11"/>
      <c r="BB318" s="59"/>
      <c r="BC318" s="59"/>
      <c r="BD318" s="59"/>
      <c r="BE318" s="59"/>
      <c r="BF318" s="59"/>
      <c r="BG318" s="59"/>
      <c r="BH318" s="138"/>
      <c r="BI318" s="138"/>
      <c r="BJ318" s="138"/>
      <c r="BK318" s="231"/>
      <c r="BL318" s="231"/>
      <c r="BM318" s="231"/>
      <c r="BN318" s="232"/>
      <c r="BO318" s="19"/>
      <c r="BP318" s="23"/>
      <c r="BQ318" s="23"/>
      <c r="BR318" s="23"/>
      <c r="BS318" s="149"/>
      <c r="BT318"/>
    </row>
    <row r="319" spans="1:72" ht="12.75" customHeight="1" x14ac:dyDescent="0.15">
      <c r="A319" s="48" t="s">
        <v>3229</v>
      </c>
      <c r="B319" s="9" t="s">
        <v>3230</v>
      </c>
      <c r="C319" s="9"/>
      <c r="D319" s="9"/>
      <c r="E319" s="9"/>
      <c r="F319" s="10" t="s">
        <v>107</v>
      </c>
      <c r="G319" s="10" t="s">
        <v>3233</v>
      </c>
      <c r="H319" s="5" t="s">
        <v>3234</v>
      </c>
      <c r="I319" s="11" t="s">
        <v>848</v>
      </c>
      <c r="J319" s="357" t="s">
        <v>1379</v>
      </c>
      <c r="K319" s="353"/>
      <c r="L319" s="221">
        <v>5</v>
      </c>
      <c r="M319" s="221"/>
      <c r="N319" s="222" t="str">
        <f t="shared" si="8"/>
        <v>U 15 Hommes</v>
      </c>
      <c r="O319" s="729">
        <v>5</v>
      </c>
      <c r="P319" s="729"/>
      <c r="Q319" s="730" t="str">
        <f t="shared" si="9"/>
        <v>U 15 Hommes</v>
      </c>
      <c r="R319" s="731"/>
      <c r="S319" s="731"/>
      <c r="T319" s="731" t="s">
        <v>192</v>
      </c>
      <c r="U319" s="731"/>
      <c r="V319" s="731"/>
      <c r="W319" s="731"/>
      <c r="X319" s="731"/>
      <c r="Y319" s="731"/>
      <c r="Z319" s="731"/>
      <c r="AA319" s="731"/>
      <c r="AB319" s="12" t="s">
        <v>3328</v>
      </c>
      <c r="AC319" s="12"/>
      <c r="AD319" s="12"/>
      <c r="AE319" s="12"/>
      <c r="AF319" s="12"/>
      <c r="AG319" s="369"/>
      <c r="AH319" s="370"/>
      <c r="AI319" s="18">
        <v>43865</v>
      </c>
      <c r="AJ319" s="18">
        <v>43848</v>
      </c>
      <c r="AK319" s="13">
        <v>2028</v>
      </c>
      <c r="AL319" s="18">
        <v>41284</v>
      </c>
      <c r="AM319" s="19" t="s">
        <v>3235</v>
      </c>
      <c r="AN319" s="38"/>
      <c r="AO319" s="10" t="s">
        <v>3237</v>
      </c>
      <c r="AP319" s="10" t="s">
        <v>3241</v>
      </c>
      <c r="AQ319" s="10" t="s">
        <v>3239</v>
      </c>
      <c r="AR319" s="47" t="s">
        <v>3242</v>
      </c>
      <c r="AS319" s="62"/>
      <c r="AT319" s="62"/>
      <c r="AU319" s="11"/>
      <c r="AV319" s="10"/>
      <c r="AW319" s="11"/>
      <c r="AX319" s="11"/>
      <c r="AY319" s="11"/>
      <c r="AZ319" s="11"/>
      <c r="BA319" s="11"/>
      <c r="BB319" s="59"/>
      <c r="BC319" s="59"/>
      <c r="BD319" s="59"/>
      <c r="BE319" s="67" t="s">
        <v>347</v>
      </c>
      <c r="BF319" s="59"/>
      <c r="BG319" s="59"/>
      <c r="BH319" s="138"/>
      <c r="BI319" s="138"/>
      <c r="BJ319" s="138"/>
      <c r="BK319" s="231"/>
      <c r="BL319" s="231"/>
      <c r="BM319" s="231"/>
      <c r="BN319" s="232"/>
      <c r="BO319" s="19"/>
      <c r="BP319" s="23"/>
      <c r="BQ319" s="23"/>
      <c r="BR319" s="23"/>
      <c r="BS319" s="149"/>
      <c r="BT319" s="150"/>
    </row>
    <row r="320" spans="1:72" ht="12.75" customHeight="1" x14ac:dyDescent="0.15">
      <c r="A320" s="48" t="s">
        <v>3229</v>
      </c>
      <c r="B320" s="9" t="s">
        <v>3231</v>
      </c>
      <c r="C320" s="9"/>
      <c r="D320" s="9"/>
      <c r="E320" s="9"/>
      <c r="F320" s="10" t="s">
        <v>107</v>
      </c>
      <c r="G320" s="10" t="s">
        <v>3233</v>
      </c>
      <c r="H320" s="5" t="s">
        <v>3234</v>
      </c>
      <c r="I320" s="11" t="s">
        <v>848</v>
      </c>
      <c r="J320" s="357" t="s">
        <v>1379</v>
      </c>
      <c r="K320" s="353"/>
      <c r="L320" s="221">
        <v>6</v>
      </c>
      <c r="M320" s="221"/>
      <c r="N320" s="222" t="str">
        <f t="shared" si="8"/>
        <v>U 13 Hommes</v>
      </c>
      <c r="O320" s="729">
        <v>6</v>
      </c>
      <c r="P320" s="729"/>
      <c r="Q320" s="730" t="str">
        <f t="shared" si="9"/>
        <v>U 13 Hommes</v>
      </c>
      <c r="R320" s="731"/>
      <c r="S320" s="731"/>
      <c r="T320" s="731"/>
      <c r="U320" s="731" t="s">
        <v>192</v>
      </c>
      <c r="V320" s="731"/>
      <c r="W320" s="731"/>
      <c r="X320" s="731"/>
      <c r="Y320" s="731"/>
      <c r="Z320" s="731"/>
      <c r="AA320" s="731"/>
      <c r="AB320" s="12" t="s">
        <v>3329</v>
      </c>
      <c r="AC320" s="12"/>
      <c r="AD320" s="12"/>
      <c r="AE320" s="12"/>
      <c r="AF320" s="12"/>
      <c r="AG320" s="369"/>
      <c r="AH320" s="370"/>
      <c r="AI320" s="18">
        <v>43865</v>
      </c>
      <c r="AJ320" s="18">
        <v>43848</v>
      </c>
      <c r="AK320" s="13">
        <v>2027</v>
      </c>
      <c r="AL320" s="18">
        <v>42240</v>
      </c>
      <c r="AM320" s="19" t="s">
        <v>3236</v>
      </c>
      <c r="AN320" s="38"/>
      <c r="AO320" s="10" t="s">
        <v>3237</v>
      </c>
      <c r="AP320" s="10" t="s">
        <v>3241</v>
      </c>
      <c r="AQ320" s="10" t="s">
        <v>3239</v>
      </c>
      <c r="AR320" s="47" t="s">
        <v>3242</v>
      </c>
      <c r="AS320" s="62"/>
      <c r="AT320" s="62"/>
      <c r="AU320" s="11"/>
      <c r="AV320" s="10"/>
      <c r="AW320" s="11"/>
      <c r="AX320" s="11"/>
      <c r="AY320" s="11"/>
      <c r="AZ320" s="11"/>
      <c r="BA320" s="11"/>
      <c r="BB320" s="59"/>
      <c r="BC320" s="59"/>
      <c r="BD320" s="59"/>
      <c r="BE320" s="67" t="s">
        <v>347</v>
      </c>
      <c r="BF320" s="59"/>
      <c r="BG320" s="59"/>
      <c r="BH320" s="138"/>
      <c r="BI320" s="138"/>
      <c r="BJ320" s="138"/>
      <c r="BK320" s="231"/>
      <c r="BL320" s="231"/>
      <c r="BM320" s="231"/>
      <c r="BN320" s="232"/>
      <c r="BO320" s="19"/>
      <c r="BP320" s="23"/>
      <c r="BQ320" s="23"/>
      <c r="BR320" s="23"/>
      <c r="BS320" s="149"/>
    </row>
    <row r="321" spans="1:72" s="150" customFormat="1" ht="12.75" customHeight="1" x14ac:dyDescent="0.15">
      <c r="A321" s="48" t="s">
        <v>3401</v>
      </c>
      <c r="B321" s="9" t="s">
        <v>3402</v>
      </c>
      <c r="C321" s="9"/>
      <c r="D321" s="9"/>
      <c r="E321" s="9"/>
      <c r="F321" s="10" t="s">
        <v>107</v>
      </c>
      <c r="G321" s="10" t="s">
        <v>3404</v>
      </c>
      <c r="H321" s="5" t="s">
        <v>3403</v>
      </c>
      <c r="I321" s="11" t="s">
        <v>1010</v>
      </c>
      <c r="J321" s="357" t="s">
        <v>320</v>
      </c>
      <c r="K321" s="353"/>
      <c r="L321" s="221">
        <v>2</v>
      </c>
      <c r="M321" s="221"/>
      <c r="N321" s="222" t="str">
        <f t="shared" si="8"/>
        <v>Seniors - Hommes</v>
      </c>
      <c r="O321" s="729">
        <v>2</v>
      </c>
      <c r="P321" s="729"/>
      <c r="Q321" s="730" t="str">
        <f t="shared" si="9"/>
        <v>Seniors - Hommes</v>
      </c>
      <c r="R321" s="731"/>
      <c r="S321" s="731"/>
      <c r="T321" s="731"/>
      <c r="U321" s="731"/>
      <c r="V321" s="731"/>
      <c r="W321" s="731"/>
      <c r="X321" s="731"/>
      <c r="Y321" s="731"/>
      <c r="Z321" s="731"/>
      <c r="AA321" s="731"/>
      <c r="AB321" s="12" t="s">
        <v>3433</v>
      </c>
      <c r="AC321" s="12"/>
      <c r="AD321" s="12"/>
      <c r="AE321" s="12"/>
      <c r="AF321" s="12"/>
      <c r="AG321" s="369"/>
      <c r="AH321" s="370"/>
      <c r="AI321" s="18">
        <v>44061</v>
      </c>
      <c r="AJ321" s="18">
        <v>44042</v>
      </c>
      <c r="AK321" s="13">
        <v>2027</v>
      </c>
      <c r="AL321" s="45">
        <v>35599</v>
      </c>
      <c r="AM321" s="19" t="s">
        <v>3405</v>
      </c>
      <c r="AN321" s="38"/>
      <c r="AO321" s="10"/>
      <c r="AP321" s="40"/>
      <c r="AQ321" s="10" t="s">
        <v>3396</v>
      </c>
      <c r="AR321" s="47" t="s">
        <v>3406</v>
      </c>
      <c r="AS321" s="62"/>
      <c r="AT321" s="62"/>
      <c r="AU321" s="11"/>
      <c r="AV321" s="10"/>
      <c r="AW321" s="11"/>
      <c r="AX321" s="11"/>
      <c r="AY321" s="11"/>
      <c r="AZ321" s="11"/>
      <c r="BA321" s="11"/>
      <c r="BB321" s="59"/>
      <c r="BC321" s="59"/>
      <c r="BD321" s="59"/>
      <c r="BE321" s="59"/>
      <c r="BF321" s="59"/>
      <c r="BG321" s="59"/>
      <c r="BH321" s="138"/>
      <c r="BI321" s="138"/>
      <c r="BJ321" s="138"/>
      <c r="BK321" s="231"/>
      <c r="BL321" s="231"/>
      <c r="BM321" s="231"/>
      <c r="BN321" s="232"/>
      <c r="BO321" s="19"/>
      <c r="BP321" s="23"/>
      <c r="BQ321" s="23"/>
      <c r="BR321" s="23"/>
      <c r="BS321" s="149"/>
    </row>
    <row r="322" spans="1:72" ht="12.75" customHeight="1" x14ac:dyDescent="0.15">
      <c r="A322" s="48" t="s">
        <v>3331</v>
      </c>
      <c r="B322" s="9" t="s">
        <v>4286</v>
      </c>
      <c r="C322" s="9"/>
      <c r="D322" s="9"/>
      <c r="E322" s="9"/>
      <c r="F322" s="112" t="s">
        <v>107</v>
      </c>
      <c r="G322" s="10" t="s">
        <v>4287</v>
      </c>
      <c r="H322" s="5" t="s">
        <v>354</v>
      </c>
      <c r="I322" s="11" t="s">
        <v>4126</v>
      </c>
      <c r="J322" s="357" t="s">
        <v>4284</v>
      </c>
      <c r="K322" s="353"/>
      <c r="L322" s="221">
        <v>212</v>
      </c>
      <c r="M322" s="221"/>
      <c r="N322" s="222" t="str">
        <f t="shared" ref="N322:N385" si="10">VLOOKUP(L322,CAT_JOUEUR,2,FALSE)</f>
        <v>Contact famille</v>
      </c>
      <c r="O322" s="729">
        <v>212</v>
      </c>
      <c r="P322" s="729"/>
      <c r="Q322" s="730" t="str">
        <f t="shared" ref="Q322:Q385" si="11">VLOOKUP(O322,CAT_JOUEUR,2,FALSE)</f>
        <v>Contact famille</v>
      </c>
      <c r="R322" s="731"/>
      <c r="S322" s="731"/>
      <c r="T322" s="731"/>
      <c r="U322" s="731"/>
      <c r="V322" s="731"/>
      <c r="W322" s="731"/>
      <c r="X322" s="731" t="s">
        <v>313</v>
      </c>
      <c r="Y322" s="731"/>
      <c r="Z322" s="731"/>
      <c r="AA322" s="731"/>
      <c r="AB322" s="12"/>
      <c r="AC322" s="12"/>
      <c r="AD322" s="12"/>
      <c r="AE322" s="12"/>
      <c r="AF322" s="12"/>
      <c r="AG322" s="369"/>
      <c r="AH322" s="370"/>
      <c r="AI322" s="18" t="s">
        <v>242</v>
      </c>
      <c r="AJ322" s="18" t="s">
        <v>242</v>
      </c>
      <c r="AK322" s="13" t="s">
        <v>242</v>
      </c>
      <c r="AL322" s="18" t="s">
        <v>242</v>
      </c>
      <c r="AM322" s="19" t="s">
        <v>244</v>
      </c>
      <c r="AN322" s="38"/>
      <c r="AO322" s="10"/>
      <c r="AP322" s="40"/>
      <c r="AQ322" s="20">
        <v>691930390</v>
      </c>
      <c r="AR322" s="47" t="s">
        <v>4291</v>
      </c>
      <c r="AS322" s="62"/>
      <c r="AT322" s="62"/>
      <c r="AU322" s="11"/>
      <c r="AV322" s="10"/>
      <c r="AW322" s="11"/>
      <c r="AX322" s="11"/>
      <c r="AY322" s="11"/>
      <c r="AZ322" s="11"/>
      <c r="BA322" s="11"/>
      <c r="BB322" s="59"/>
      <c r="BC322" s="59"/>
      <c r="BD322" s="59"/>
      <c r="BE322" s="59"/>
      <c r="BF322" s="59"/>
      <c r="BG322" s="59"/>
      <c r="BH322" s="138"/>
      <c r="BI322" s="138"/>
      <c r="BJ322" s="138"/>
      <c r="BK322" s="231"/>
      <c r="BL322" s="231"/>
      <c r="BM322" s="231"/>
      <c r="BN322" s="232"/>
      <c r="BO322" s="19"/>
      <c r="BP322" s="23"/>
      <c r="BQ322" s="23"/>
      <c r="BR322" s="23"/>
      <c r="BS322" s="43"/>
      <c r="BT322" s="150"/>
    </row>
    <row r="323" spans="1:72" s="150" customFormat="1" ht="12.75" customHeight="1" x14ac:dyDescent="0.15">
      <c r="A323" s="48" t="s">
        <v>3331</v>
      </c>
      <c r="B323" s="9" t="s">
        <v>979</v>
      </c>
      <c r="C323" s="9"/>
      <c r="D323" s="9"/>
      <c r="E323" s="9"/>
      <c r="F323" s="112" t="s">
        <v>107</v>
      </c>
      <c r="G323" s="10" t="s">
        <v>4266</v>
      </c>
      <c r="H323" s="5" t="s">
        <v>4201</v>
      </c>
      <c r="I323" s="11" t="s">
        <v>241</v>
      </c>
      <c r="J323" s="357" t="s">
        <v>2157</v>
      </c>
      <c r="K323" s="353"/>
      <c r="L323" s="221">
        <v>212</v>
      </c>
      <c r="M323" s="221"/>
      <c r="N323" s="222" t="str">
        <f t="shared" si="10"/>
        <v>Contact famille</v>
      </c>
      <c r="O323" s="729">
        <v>212</v>
      </c>
      <c r="P323" s="729"/>
      <c r="Q323" s="730" t="str">
        <f t="shared" si="11"/>
        <v>Contact famille</v>
      </c>
      <c r="R323" s="731"/>
      <c r="S323" s="731"/>
      <c r="T323" s="731"/>
      <c r="U323" s="731"/>
      <c r="V323" s="731"/>
      <c r="W323" s="731" t="s">
        <v>313</v>
      </c>
      <c r="X323" s="731"/>
      <c r="Y323" s="731"/>
      <c r="Z323" s="731"/>
      <c r="AA323" s="731"/>
      <c r="AB323" s="12"/>
      <c r="AC323" s="12"/>
      <c r="AD323" s="12"/>
      <c r="AE323" s="12"/>
      <c r="AF323" s="12"/>
      <c r="AG323" s="369"/>
      <c r="AH323" s="370"/>
      <c r="AI323" s="18" t="s">
        <v>242</v>
      </c>
      <c r="AJ323" s="18" t="s">
        <v>242</v>
      </c>
      <c r="AK323" s="13" t="s">
        <v>242</v>
      </c>
      <c r="AL323" s="18" t="s">
        <v>242</v>
      </c>
      <c r="AM323" s="19" t="s">
        <v>244</v>
      </c>
      <c r="AN323" s="38"/>
      <c r="AO323" s="10"/>
      <c r="AP323" s="40"/>
      <c r="AQ323" s="10"/>
      <c r="AR323" s="47"/>
      <c r="AS323" s="62"/>
      <c r="AT323" s="62"/>
      <c r="AU323" s="11"/>
      <c r="AV323" s="10"/>
      <c r="AW323" s="11"/>
      <c r="AX323" s="11"/>
      <c r="AY323" s="11"/>
      <c r="AZ323" s="11"/>
      <c r="BA323" s="11"/>
      <c r="BB323" s="59"/>
      <c r="BC323" s="59"/>
      <c r="BD323" s="59"/>
      <c r="BE323" s="59"/>
      <c r="BF323" s="59"/>
      <c r="BG323" s="59"/>
      <c r="BH323" s="138"/>
      <c r="BI323" s="138"/>
      <c r="BJ323" s="138"/>
      <c r="BK323" s="231"/>
      <c r="BL323" s="231"/>
      <c r="BM323" s="231"/>
      <c r="BN323" s="232"/>
      <c r="BO323" s="19"/>
      <c r="BP323" s="23"/>
      <c r="BQ323" s="23"/>
      <c r="BR323" s="23"/>
      <c r="BS323" s="43"/>
      <c r="BT323"/>
    </row>
    <row r="324" spans="1:72" ht="12.75" customHeight="1" x14ac:dyDescent="0.15">
      <c r="A324" s="103" t="s">
        <v>3331</v>
      </c>
      <c r="B324" s="104" t="s">
        <v>3857</v>
      </c>
      <c r="C324" s="104"/>
      <c r="D324" s="104"/>
      <c r="E324" s="104"/>
      <c r="F324" s="122" t="s">
        <v>107</v>
      </c>
      <c r="G324" s="122" t="s">
        <v>3333</v>
      </c>
      <c r="H324" s="123" t="s">
        <v>1666</v>
      </c>
      <c r="I324" s="105" t="s">
        <v>274</v>
      </c>
      <c r="J324" s="356" t="s">
        <v>4376</v>
      </c>
      <c r="K324" s="353" t="s">
        <v>5004</v>
      </c>
      <c r="L324" s="220">
        <v>252</v>
      </c>
      <c r="M324" s="220"/>
      <c r="N324" s="223" t="str">
        <f t="shared" si="10"/>
        <v>Arrêt jeune (garder licence)</v>
      </c>
      <c r="O324" s="733">
        <v>7</v>
      </c>
      <c r="P324" s="733"/>
      <c r="Q324" s="758" t="str">
        <f t="shared" si="11"/>
        <v>U 11 Hommes</v>
      </c>
      <c r="R324" s="734"/>
      <c r="S324" s="734"/>
      <c r="T324" s="734"/>
      <c r="U324" s="734"/>
      <c r="V324" s="734" t="s">
        <v>192</v>
      </c>
      <c r="W324" s="734"/>
      <c r="X324" s="734"/>
      <c r="Y324" s="734"/>
      <c r="Z324" s="734"/>
      <c r="AA324" s="734"/>
      <c r="AB324" s="124" t="s">
        <v>3907</v>
      </c>
      <c r="AC324" s="124"/>
      <c r="AD324" s="124"/>
      <c r="AE324" s="124"/>
      <c r="AF324" s="124"/>
      <c r="AG324" s="373"/>
      <c r="AH324" s="372"/>
      <c r="AI324" s="143">
        <v>44516</v>
      </c>
      <c r="AJ324" s="143">
        <v>44485</v>
      </c>
      <c r="AK324" s="36">
        <v>2029</v>
      </c>
      <c r="AL324" s="143">
        <v>42952</v>
      </c>
      <c r="AM324" s="144" t="s">
        <v>3858</v>
      </c>
      <c r="AN324" s="151"/>
      <c r="AO324" s="122"/>
      <c r="AP324" s="122" t="s">
        <v>3336</v>
      </c>
      <c r="AQ324" s="122" t="s">
        <v>3337</v>
      </c>
      <c r="AR324" s="152" t="s">
        <v>3335</v>
      </c>
      <c r="AS324" s="36"/>
      <c r="AT324" s="36"/>
      <c r="AU324" s="105"/>
      <c r="AV324" s="122"/>
      <c r="AW324" s="105"/>
      <c r="AX324" s="105"/>
      <c r="AY324" s="105"/>
      <c r="AZ324" s="105"/>
      <c r="BA324" s="105"/>
      <c r="BB324" s="130"/>
      <c r="BC324" s="130"/>
      <c r="BD324" s="130"/>
      <c r="BE324" s="130"/>
      <c r="BF324" s="130"/>
      <c r="BG324" s="130"/>
      <c r="BH324" s="147"/>
      <c r="BI324" s="147"/>
      <c r="BJ324" s="147"/>
      <c r="BK324" s="229"/>
      <c r="BL324" s="229"/>
      <c r="BM324" s="229"/>
      <c r="BN324" s="230" t="s">
        <v>3663</v>
      </c>
      <c r="BO324" s="144"/>
      <c r="BP324" s="148"/>
      <c r="BQ324" s="148"/>
      <c r="BR324" s="148"/>
      <c r="BS324" s="149"/>
      <c r="BT324" s="150"/>
    </row>
    <row r="325" spans="1:72" ht="12.75" customHeight="1" x14ac:dyDescent="0.15">
      <c r="A325" s="103" t="s">
        <v>3331</v>
      </c>
      <c r="B325" s="104" t="s">
        <v>3332</v>
      </c>
      <c r="C325" s="104"/>
      <c r="D325" s="104"/>
      <c r="E325" s="104"/>
      <c r="F325" s="122" t="s">
        <v>107</v>
      </c>
      <c r="G325" s="122" t="s">
        <v>3333</v>
      </c>
      <c r="H325" s="123" t="s">
        <v>1666</v>
      </c>
      <c r="I325" s="105" t="s">
        <v>274</v>
      </c>
      <c r="J325" s="356" t="s">
        <v>4376</v>
      </c>
      <c r="K325" s="353" t="s">
        <v>5004</v>
      </c>
      <c r="L325" s="220">
        <v>252</v>
      </c>
      <c r="M325" s="220"/>
      <c r="N325" s="223" t="str">
        <f t="shared" si="10"/>
        <v>Arrêt jeune (garder licence)</v>
      </c>
      <c r="O325" s="733">
        <v>6</v>
      </c>
      <c r="P325" s="733"/>
      <c r="Q325" s="758" t="str">
        <f t="shared" si="11"/>
        <v>U 13 Hommes</v>
      </c>
      <c r="R325" s="734"/>
      <c r="S325" s="734"/>
      <c r="T325" s="734"/>
      <c r="U325" s="734" t="s">
        <v>192</v>
      </c>
      <c r="V325" s="734"/>
      <c r="W325" s="734"/>
      <c r="X325" s="734"/>
      <c r="Y325" s="734"/>
      <c r="Z325" s="734"/>
      <c r="AA325" s="734"/>
      <c r="AB325" s="124" t="s">
        <v>3351</v>
      </c>
      <c r="AC325" s="124"/>
      <c r="AD325" s="124"/>
      <c r="AE325" s="124"/>
      <c r="AF325" s="124"/>
      <c r="AG325" s="373"/>
      <c r="AH325" s="372"/>
      <c r="AI325" s="143">
        <v>43892</v>
      </c>
      <c r="AJ325" s="143">
        <v>43871</v>
      </c>
      <c r="AK325" s="36">
        <v>2027</v>
      </c>
      <c r="AL325" s="143">
        <v>42233</v>
      </c>
      <c r="AM325" s="144" t="s">
        <v>3334</v>
      </c>
      <c r="AN325" s="151"/>
      <c r="AO325" s="122"/>
      <c r="AP325" s="122" t="s">
        <v>3336</v>
      </c>
      <c r="AQ325" s="122" t="s">
        <v>3337</v>
      </c>
      <c r="AR325" s="152" t="s">
        <v>3335</v>
      </c>
      <c r="AS325" s="36"/>
      <c r="AT325" s="36"/>
      <c r="AU325" s="105"/>
      <c r="AV325" s="122"/>
      <c r="AW325" s="105"/>
      <c r="AX325" s="105"/>
      <c r="AY325" s="105"/>
      <c r="AZ325" s="105"/>
      <c r="BA325" s="105"/>
      <c r="BB325" s="130"/>
      <c r="BC325" s="130"/>
      <c r="BD325" s="130"/>
      <c r="BE325" s="130">
        <v>100</v>
      </c>
      <c r="BF325" s="130"/>
      <c r="BG325" s="130"/>
      <c r="BH325" s="147"/>
      <c r="BI325" s="147"/>
      <c r="BJ325" s="147"/>
      <c r="BK325" s="229"/>
      <c r="BL325" s="229"/>
      <c r="BM325" s="229"/>
      <c r="BN325" s="230" t="s">
        <v>3663</v>
      </c>
      <c r="BO325" s="144"/>
      <c r="BP325" s="148"/>
      <c r="BQ325" s="148"/>
      <c r="BR325" s="148"/>
      <c r="BS325" s="149"/>
    </row>
    <row r="326" spans="1:72" s="111" customFormat="1" ht="12.75" customHeight="1" x14ac:dyDescent="0.15">
      <c r="A326" s="48" t="s">
        <v>3331</v>
      </c>
      <c r="B326" s="9" t="s">
        <v>1415</v>
      </c>
      <c r="C326" s="9"/>
      <c r="D326" s="9"/>
      <c r="E326" s="9"/>
      <c r="F326" s="112" t="s">
        <v>107</v>
      </c>
      <c r="G326" s="10" t="s">
        <v>4287</v>
      </c>
      <c r="H326" s="5" t="s">
        <v>354</v>
      </c>
      <c r="I326" s="11" t="s">
        <v>4126</v>
      </c>
      <c r="J326" s="357" t="s">
        <v>4284</v>
      </c>
      <c r="K326" s="353"/>
      <c r="L326" s="221">
        <v>21</v>
      </c>
      <c r="M326" s="221"/>
      <c r="N326" s="222" t="str">
        <f t="shared" si="10"/>
        <v>U7 Mixte</v>
      </c>
      <c r="O326" s="729">
        <v>21</v>
      </c>
      <c r="P326" s="729"/>
      <c r="Q326" s="730" t="str">
        <f t="shared" si="11"/>
        <v>U7 Mixte</v>
      </c>
      <c r="R326" s="731"/>
      <c r="S326" s="731"/>
      <c r="T326" s="731"/>
      <c r="U326" s="731"/>
      <c r="V326" s="731"/>
      <c r="W326" s="731"/>
      <c r="X326" s="731" t="s">
        <v>192</v>
      </c>
      <c r="Y326" s="731"/>
      <c r="Z326" s="731"/>
      <c r="AA326" s="731"/>
      <c r="AB326" s="12" t="s">
        <v>4325</v>
      </c>
      <c r="AC326" s="12"/>
      <c r="AD326" s="12"/>
      <c r="AE326" s="12"/>
      <c r="AF326" s="12"/>
      <c r="AG326" s="369"/>
      <c r="AH326" s="370"/>
      <c r="AI326" s="18">
        <v>44992</v>
      </c>
      <c r="AJ326" s="18">
        <v>44961</v>
      </c>
      <c r="AK326" s="13">
        <v>2027</v>
      </c>
      <c r="AL326" s="18">
        <v>43869</v>
      </c>
      <c r="AM326" s="19" t="s">
        <v>4288</v>
      </c>
      <c r="AN326" s="38"/>
      <c r="AO326" s="10"/>
      <c r="AP326" s="40" t="s">
        <v>4289</v>
      </c>
      <c r="AQ326" s="10" t="s">
        <v>4290</v>
      </c>
      <c r="AR326" s="47" t="s">
        <v>4291</v>
      </c>
      <c r="AS326" s="62"/>
      <c r="AT326" s="62"/>
      <c r="AU326" s="11"/>
      <c r="AV326" s="10"/>
      <c r="AW326" s="11"/>
      <c r="AX326" s="11"/>
      <c r="AY326" s="11"/>
      <c r="AZ326" s="11"/>
      <c r="BA326" s="11"/>
      <c r="BB326" s="59"/>
      <c r="BC326" s="59"/>
      <c r="BD326" s="59"/>
      <c r="BE326" s="59"/>
      <c r="BF326" s="59"/>
      <c r="BG326" s="59"/>
      <c r="BH326" s="138"/>
      <c r="BI326" s="138"/>
      <c r="BJ326" s="138"/>
      <c r="BK326" s="231"/>
      <c r="BL326" s="231"/>
      <c r="BM326" s="231"/>
      <c r="BN326" s="232"/>
      <c r="BO326" s="19"/>
      <c r="BP326" s="23"/>
      <c r="BQ326" s="23"/>
      <c r="BR326" s="23"/>
      <c r="BS326" s="43"/>
      <c r="BT326"/>
    </row>
    <row r="327" spans="1:72" ht="12.75" customHeight="1" x14ac:dyDescent="0.15">
      <c r="A327" s="106" t="s">
        <v>947</v>
      </c>
      <c r="B327" s="107" t="s">
        <v>949</v>
      </c>
      <c r="C327" s="107"/>
      <c r="D327" s="107"/>
      <c r="E327" s="107"/>
      <c r="F327" s="112" t="s">
        <v>107</v>
      </c>
      <c r="G327" s="112" t="s">
        <v>2133</v>
      </c>
      <c r="H327" s="113" t="s">
        <v>481</v>
      </c>
      <c r="I327" s="110" t="s">
        <v>223</v>
      </c>
      <c r="J327" s="497" t="s">
        <v>2409</v>
      </c>
      <c r="K327" s="498"/>
      <c r="L327" s="382">
        <v>212</v>
      </c>
      <c r="M327" s="382"/>
      <c r="N327" s="383" t="str">
        <f t="shared" si="10"/>
        <v>Contact famille</v>
      </c>
      <c r="O327" s="738">
        <v>212</v>
      </c>
      <c r="P327" s="738"/>
      <c r="Q327" s="730" t="str">
        <f t="shared" si="11"/>
        <v>Contact famille</v>
      </c>
      <c r="R327" s="731"/>
      <c r="S327" s="731"/>
      <c r="T327" s="731"/>
      <c r="U327" s="731"/>
      <c r="V327" s="731"/>
      <c r="W327" s="731"/>
      <c r="X327" s="731" t="s">
        <v>313</v>
      </c>
      <c r="Y327" s="731"/>
      <c r="Z327" s="731"/>
      <c r="AA327" s="731"/>
      <c r="AB327" s="61"/>
      <c r="AC327" s="61"/>
      <c r="AD327" s="61"/>
      <c r="AE327" s="61"/>
      <c r="AF327" s="61"/>
      <c r="AG327" s="371" t="s">
        <v>5190</v>
      </c>
      <c r="AH327" s="375"/>
      <c r="AI327" s="114">
        <v>43354</v>
      </c>
      <c r="AJ327" s="114">
        <v>43354</v>
      </c>
      <c r="AK327" s="62" t="s">
        <v>242</v>
      </c>
      <c r="AL327" s="114">
        <v>31500</v>
      </c>
      <c r="AM327" s="115" t="s">
        <v>2134</v>
      </c>
      <c r="AN327" s="115"/>
      <c r="AO327" s="112"/>
      <c r="AP327" s="112"/>
      <c r="AQ327" s="117">
        <v>621466686</v>
      </c>
      <c r="AR327" s="118" t="s">
        <v>2135</v>
      </c>
      <c r="AS327" s="62"/>
      <c r="AT327" s="62"/>
      <c r="AU327" s="110"/>
      <c r="AV327" s="112"/>
      <c r="AW327" s="62" t="s">
        <v>3969</v>
      </c>
      <c r="AX327" s="110"/>
      <c r="AY327" s="110"/>
      <c r="AZ327" s="110" t="s">
        <v>2812</v>
      </c>
      <c r="BA327" s="110"/>
      <c r="BB327" s="154" t="s">
        <v>2813</v>
      </c>
      <c r="BC327" s="154" t="s">
        <v>292</v>
      </c>
      <c r="BD327" s="154" t="s">
        <v>1168</v>
      </c>
      <c r="BE327" s="154">
        <v>50</v>
      </c>
      <c r="BF327" s="154"/>
      <c r="BG327" s="154"/>
      <c r="BH327" s="508"/>
      <c r="BI327" s="508"/>
      <c r="BJ327" s="508"/>
      <c r="BK327" s="509"/>
      <c r="BL327" s="509"/>
      <c r="BM327" s="509"/>
      <c r="BN327" s="510"/>
      <c r="BO327" s="115"/>
      <c r="BP327" s="199"/>
      <c r="BQ327" s="199"/>
      <c r="BR327" s="199"/>
      <c r="BS327" s="507"/>
      <c r="BT327" s="111"/>
    </row>
    <row r="328" spans="1:72" ht="12.75" customHeight="1" x14ac:dyDescent="0.15">
      <c r="A328" s="48" t="s">
        <v>947</v>
      </c>
      <c r="B328" s="9" t="s">
        <v>979</v>
      </c>
      <c r="C328" s="9"/>
      <c r="D328" s="9"/>
      <c r="E328" s="9"/>
      <c r="F328" s="10" t="s">
        <v>107</v>
      </c>
      <c r="G328" s="10" t="s">
        <v>980</v>
      </c>
      <c r="H328" s="5" t="s">
        <v>981</v>
      </c>
      <c r="I328" s="11" t="s">
        <v>982</v>
      </c>
      <c r="J328" s="357" t="s">
        <v>320</v>
      </c>
      <c r="K328" s="353"/>
      <c r="L328" s="221">
        <v>9</v>
      </c>
      <c r="M328" s="221"/>
      <c r="N328" s="222" t="str">
        <f t="shared" si="10"/>
        <v>Vétérans - Hommes</v>
      </c>
      <c r="O328" s="729">
        <v>9</v>
      </c>
      <c r="P328" s="729"/>
      <c r="Q328" s="730" t="str">
        <f t="shared" si="11"/>
        <v>Vétérans - Hommes</v>
      </c>
      <c r="R328" s="731"/>
      <c r="S328" s="731"/>
      <c r="T328" s="731"/>
      <c r="U328" s="731"/>
      <c r="V328" s="731"/>
      <c r="W328" s="731"/>
      <c r="X328" s="731"/>
      <c r="Y328" s="731"/>
      <c r="Z328" s="731"/>
      <c r="AA328" s="731"/>
      <c r="AB328" s="12" t="s">
        <v>3007</v>
      </c>
      <c r="AC328" s="12"/>
      <c r="AD328" s="12"/>
      <c r="AE328" s="12"/>
      <c r="AF328" s="12"/>
      <c r="AG328" s="376"/>
      <c r="AH328" s="370"/>
      <c r="AI328" s="18">
        <v>35754</v>
      </c>
      <c r="AJ328" s="18">
        <v>35754</v>
      </c>
      <c r="AK328" s="14">
        <v>2028</v>
      </c>
      <c r="AL328" s="18">
        <v>30607</v>
      </c>
      <c r="AM328" s="19" t="s">
        <v>2137</v>
      </c>
      <c r="AN328" s="19"/>
      <c r="AO328" s="10" t="s">
        <v>2138</v>
      </c>
      <c r="AP328" s="40"/>
      <c r="AQ328" s="27" t="s">
        <v>2139</v>
      </c>
      <c r="AR328" s="29" t="s">
        <v>2140</v>
      </c>
      <c r="AS328" s="61"/>
      <c r="AT328" s="61"/>
      <c r="AU328" s="5"/>
      <c r="AV328" s="10"/>
      <c r="AW328" s="5"/>
      <c r="AX328" s="11"/>
      <c r="AY328" s="11"/>
      <c r="AZ328" s="11" t="s">
        <v>348</v>
      </c>
      <c r="BA328" s="11"/>
      <c r="BB328" s="59" t="s">
        <v>2813</v>
      </c>
      <c r="BC328" s="59" t="s">
        <v>3151</v>
      </c>
      <c r="BD328" s="59"/>
      <c r="BE328" s="59">
        <v>200</v>
      </c>
      <c r="BF328" s="59"/>
      <c r="BG328" s="59"/>
      <c r="BH328" s="138"/>
      <c r="BI328" s="138"/>
      <c r="BJ328" s="138"/>
      <c r="BK328" s="231"/>
      <c r="BL328" s="231"/>
      <c r="BM328" s="231"/>
      <c r="BN328" s="232"/>
      <c r="BO328" s="19"/>
      <c r="BP328" s="23" t="s">
        <v>1141</v>
      </c>
      <c r="BQ328" s="23"/>
      <c r="BR328" s="23"/>
      <c r="BS328" s="43"/>
    </row>
    <row r="329" spans="1:72" s="150" customFormat="1" ht="12.75" customHeight="1" x14ac:dyDescent="0.15">
      <c r="A329" s="48" t="s">
        <v>947</v>
      </c>
      <c r="B329" s="9" t="s">
        <v>3876</v>
      </c>
      <c r="C329" s="9"/>
      <c r="D329" s="9"/>
      <c r="E329" s="9"/>
      <c r="F329" s="10" t="s">
        <v>107</v>
      </c>
      <c r="G329" s="10" t="s">
        <v>2133</v>
      </c>
      <c r="H329" s="5" t="s">
        <v>481</v>
      </c>
      <c r="I329" s="11" t="s">
        <v>223</v>
      </c>
      <c r="J329" s="357" t="s">
        <v>2409</v>
      </c>
      <c r="K329" s="353"/>
      <c r="L329" s="221">
        <v>21</v>
      </c>
      <c r="M329" s="221"/>
      <c r="N329" s="222" t="str">
        <f t="shared" si="10"/>
        <v>U7 Mixte</v>
      </c>
      <c r="O329" s="729">
        <v>21</v>
      </c>
      <c r="P329" s="729"/>
      <c r="Q329" s="730" t="str">
        <f t="shared" si="11"/>
        <v>U7 Mixte</v>
      </c>
      <c r="R329" s="731"/>
      <c r="S329" s="731"/>
      <c r="T329" s="731"/>
      <c r="U329" s="731"/>
      <c r="V329" s="731"/>
      <c r="W329" s="731"/>
      <c r="X329" s="731" t="s">
        <v>192</v>
      </c>
      <c r="Y329" s="731"/>
      <c r="Z329" s="731"/>
      <c r="AA329" s="731"/>
      <c r="AB329" s="12" t="s">
        <v>3916</v>
      </c>
      <c r="AC329" s="12"/>
      <c r="AD329" s="12"/>
      <c r="AE329" s="12"/>
      <c r="AF329" s="12"/>
      <c r="AG329" s="369"/>
      <c r="AH329" s="370"/>
      <c r="AI329" s="18">
        <v>44540</v>
      </c>
      <c r="AJ329" s="18">
        <v>44511</v>
      </c>
      <c r="AK329" s="13">
        <v>2027</v>
      </c>
      <c r="AL329" s="18">
        <v>43953</v>
      </c>
      <c r="AM329" s="19" t="s">
        <v>3877</v>
      </c>
      <c r="AN329" s="38"/>
      <c r="AO329" s="10"/>
      <c r="AP329" s="64" t="s">
        <v>3908</v>
      </c>
      <c r="AQ329" s="64" t="s">
        <v>4155</v>
      </c>
      <c r="AR329" s="47" t="s">
        <v>959</v>
      </c>
      <c r="AS329" s="62"/>
      <c r="AT329" s="62"/>
      <c r="AU329" s="11"/>
      <c r="AV329" s="10"/>
      <c r="AW329" s="11"/>
      <c r="AX329" s="11"/>
      <c r="AY329" s="11"/>
      <c r="AZ329" s="11"/>
      <c r="BA329" s="11"/>
      <c r="BB329" s="59"/>
      <c r="BC329" s="59"/>
      <c r="BD329" s="59"/>
      <c r="BE329" s="59"/>
      <c r="BF329" s="59"/>
      <c r="BG329" s="59"/>
      <c r="BH329" s="138"/>
      <c r="BI329" s="138"/>
      <c r="BJ329" s="138"/>
      <c r="BK329" s="231"/>
      <c r="BL329" s="231"/>
      <c r="BM329" s="231"/>
      <c r="BN329" s="232" t="s">
        <v>3663</v>
      </c>
      <c r="BO329" s="19"/>
      <c r="BP329" s="23"/>
      <c r="BQ329" s="23"/>
      <c r="BR329" s="23"/>
      <c r="BS329" s="43"/>
      <c r="BT329"/>
    </row>
    <row r="330" spans="1:72" ht="12.75" customHeight="1" x14ac:dyDescent="0.15">
      <c r="A330" s="48" t="s">
        <v>5447</v>
      </c>
      <c r="B330" s="9" t="s">
        <v>5448</v>
      </c>
      <c r="C330" s="9"/>
      <c r="D330" s="9"/>
      <c r="E330" s="9"/>
      <c r="F330" s="11" t="s">
        <v>5450</v>
      </c>
      <c r="G330" s="11" t="s">
        <v>5451</v>
      </c>
      <c r="H330" s="5" t="s">
        <v>750</v>
      </c>
      <c r="I330" s="11" t="s">
        <v>241</v>
      </c>
      <c r="J330" s="357" t="s">
        <v>5446</v>
      </c>
      <c r="K330" s="353"/>
      <c r="L330" s="221">
        <v>17</v>
      </c>
      <c r="M330" s="221"/>
      <c r="N330" s="222" t="str">
        <f t="shared" si="10"/>
        <v>U 11 Dames</v>
      </c>
      <c r="O330" s="729">
        <v>17</v>
      </c>
      <c r="P330" s="729"/>
      <c r="Q330" s="730" t="str">
        <f t="shared" si="11"/>
        <v>U 11 Dames</v>
      </c>
      <c r="R330" s="732"/>
      <c r="S330" s="732"/>
      <c r="T330" s="732"/>
      <c r="U330" s="732"/>
      <c r="V330" s="732" t="s">
        <v>192</v>
      </c>
      <c r="W330" s="732"/>
      <c r="X330" s="732"/>
      <c r="Y330" s="732"/>
      <c r="Z330" s="732"/>
      <c r="AA330" s="732"/>
      <c r="AB330" s="12" t="s">
        <v>5469</v>
      </c>
      <c r="AC330" s="155"/>
      <c r="AD330" s="155"/>
      <c r="AE330" s="155"/>
      <c r="AF330" s="12"/>
      <c r="AG330" s="386" t="s">
        <v>5173</v>
      </c>
      <c r="AH330" s="392"/>
      <c r="AI330" s="18">
        <v>46050</v>
      </c>
      <c r="AJ330" s="18">
        <v>46040</v>
      </c>
      <c r="AK330" s="13">
        <v>2029</v>
      </c>
      <c r="AL330" s="18">
        <v>42814</v>
      </c>
      <c r="AM330" s="5" t="s">
        <v>5453</v>
      </c>
      <c r="AN330" s="10"/>
      <c r="AO330" s="11"/>
      <c r="AP330" s="53"/>
      <c r="AQ330" s="20">
        <v>661115656</v>
      </c>
      <c r="AR330" s="68" t="s">
        <v>5454</v>
      </c>
      <c r="AS330" s="62"/>
      <c r="AT330" s="62"/>
      <c r="AU330" s="10"/>
      <c r="AV330" s="10"/>
      <c r="AW330" s="13"/>
      <c r="AX330" s="11"/>
      <c r="AY330" s="11"/>
      <c r="AZ330" s="11"/>
      <c r="BA330" s="11"/>
      <c r="BB330" s="59"/>
      <c r="BC330" s="59"/>
      <c r="BD330" s="59"/>
      <c r="BE330" s="59"/>
      <c r="BF330" s="59"/>
      <c r="BG330" s="59"/>
      <c r="BH330" s="138"/>
      <c r="BI330" s="138"/>
      <c r="BJ330" s="138"/>
      <c r="BK330" s="231"/>
      <c r="BL330" s="231"/>
      <c r="BM330" s="231"/>
      <c r="BN330" s="232"/>
      <c r="BO330" s="11"/>
      <c r="BP330" s="11"/>
      <c r="BQ330" s="11"/>
      <c r="BR330" s="11"/>
      <c r="BS330" s="394"/>
    </row>
    <row r="331" spans="1:72" ht="12.75" customHeight="1" x14ac:dyDescent="0.15">
      <c r="A331" s="48" t="s">
        <v>5526</v>
      </c>
      <c r="B331" s="9" t="s">
        <v>5527</v>
      </c>
      <c r="C331" s="9"/>
      <c r="D331" s="9"/>
      <c r="E331" s="9"/>
      <c r="F331" s="11" t="s">
        <v>5450</v>
      </c>
      <c r="G331" s="11" t="s">
        <v>5528</v>
      </c>
      <c r="H331" s="5" t="s">
        <v>750</v>
      </c>
      <c r="I331" s="11" t="s">
        <v>241</v>
      </c>
      <c r="J331" s="357" t="s">
        <v>5446</v>
      </c>
      <c r="K331" s="353"/>
      <c r="L331" s="221">
        <v>212</v>
      </c>
      <c r="M331" s="221"/>
      <c r="N331" s="222" t="str">
        <f t="shared" si="10"/>
        <v>Contact famille</v>
      </c>
      <c r="O331" s="729">
        <v>212</v>
      </c>
      <c r="P331" s="729"/>
      <c r="Q331" s="730" t="str">
        <f t="shared" si="11"/>
        <v>Contact famille</v>
      </c>
      <c r="R331" s="732"/>
      <c r="S331" s="732"/>
      <c r="T331" s="732"/>
      <c r="U331" s="732"/>
      <c r="V331" s="732" t="s">
        <v>313</v>
      </c>
      <c r="W331" s="732"/>
      <c r="X331" s="732"/>
      <c r="Y331" s="732"/>
      <c r="Z331" s="732"/>
      <c r="AA331" s="732"/>
      <c r="AB331" s="12"/>
      <c r="AC331" s="155"/>
      <c r="AD331" s="155"/>
      <c r="AE331" s="155"/>
      <c r="AF331" s="12"/>
      <c r="AG331" s="386"/>
      <c r="AH331" s="392"/>
      <c r="AI331" s="18" t="s">
        <v>242</v>
      </c>
      <c r="AJ331" s="18" t="s">
        <v>242</v>
      </c>
      <c r="AK331" s="13" t="s">
        <v>242</v>
      </c>
      <c r="AL331" s="18" t="s">
        <v>242</v>
      </c>
      <c r="AM331" s="19" t="s">
        <v>244</v>
      </c>
      <c r="AN331" s="10"/>
      <c r="AO331" s="11"/>
      <c r="AP331" s="53"/>
      <c r="AQ331" s="20">
        <v>661115657</v>
      </c>
      <c r="AR331" s="11"/>
      <c r="AS331" s="62"/>
      <c r="AT331" s="62"/>
      <c r="AU331" s="10"/>
      <c r="AV331" s="10"/>
      <c r="AW331" s="13"/>
      <c r="AX331" s="11"/>
      <c r="AY331" s="11"/>
      <c r="AZ331" s="11"/>
      <c r="BA331" s="11"/>
      <c r="BB331" s="59"/>
      <c r="BC331" s="59"/>
      <c r="BD331" s="59"/>
      <c r="BE331" s="59"/>
      <c r="BF331" s="59"/>
      <c r="BG331" s="59"/>
      <c r="BH331" s="138"/>
      <c r="BI331" s="138"/>
      <c r="BJ331" s="138"/>
      <c r="BK331" s="231"/>
      <c r="BL331" s="231"/>
      <c r="BM331" s="231"/>
      <c r="BN331" s="232"/>
      <c r="BO331" s="11"/>
      <c r="BP331" s="11"/>
      <c r="BQ331" s="11"/>
      <c r="BR331" s="11"/>
      <c r="BS331" s="394"/>
      <c r="BT331" s="150"/>
    </row>
    <row r="332" spans="1:72" s="150" customFormat="1" ht="12.75" customHeight="1" x14ac:dyDescent="0.15">
      <c r="A332" s="103" t="s">
        <v>4840</v>
      </c>
      <c r="B332" s="104" t="s">
        <v>1212</v>
      </c>
      <c r="C332" s="104"/>
      <c r="D332" s="104"/>
      <c r="E332" s="104"/>
      <c r="F332" s="122" t="s">
        <v>107</v>
      </c>
      <c r="G332" s="122" t="s">
        <v>4841</v>
      </c>
      <c r="H332" s="123" t="s">
        <v>4842</v>
      </c>
      <c r="I332" s="105" t="s">
        <v>233</v>
      </c>
      <c r="J332" s="356" t="s">
        <v>4376</v>
      </c>
      <c r="K332" s="353" t="s">
        <v>5489</v>
      </c>
      <c r="L332" s="220">
        <v>252</v>
      </c>
      <c r="M332" s="220"/>
      <c r="N332" s="223" t="str">
        <f t="shared" si="10"/>
        <v>Arrêt jeune (garder licence)</v>
      </c>
      <c r="O332" s="733">
        <v>6</v>
      </c>
      <c r="P332" s="733"/>
      <c r="Q332" s="758" t="str">
        <f t="shared" si="11"/>
        <v>U 13 Hommes</v>
      </c>
      <c r="R332" s="734"/>
      <c r="S332" s="734"/>
      <c r="T332" s="734"/>
      <c r="U332" s="734" t="s">
        <v>192</v>
      </c>
      <c r="V332" s="734"/>
      <c r="W332" s="734"/>
      <c r="X332" s="734"/>
      <c r="Y332" s="734"/>
      <c r="Z332" s="734"/>
      <c r="AA332" s="734"/>
      <c r="AB332" s="124" t="s">
        <v>4875</v>
      </c>
      <c r="AC332" s="124"/>
      <c r="AD332" s="124"/>
      <c r="AE332" s="124"/>
      <c r="AF332" s="124"/>
      <c r="AG332" s="373"/>
      <c r="AH332" s="372"/>
      <c r="AI332" s="143">
        <v>45552</v>
      </c>
      <c r="AJ332" s="143">
        <v>45513</v>
      </c>
      <c r="AK332" s="36">
        <v>2026</v>
      </c>
      <c r="AL332" s="143">
        <v>41947</v>
      </c>
      <c r="AM332" s="144" t="s">
        <v>4843</v>
      </c>
      <c r="AN332" s="151"/>
      <c r="AO332" s="122"/>
      <c r="AP332" s="122" t="s">
        <v>4844</v>
      </c>
      <c r="AQ332" s="122" t="s">
        <v>4845</v>
      </c>
      <c r="AR332" s="152" t="s">
        <v>4846</v>
      </c>
      <c r="AS332" s="36"/>
      <c r="AT332" s="36"/>
      <c r="AU332" s="105"/>
      <c r="AV332" s="122"/>
      <c r="AW332" s="105"/>
      <c r="AX332" s="105"/>
      <c r="AY332" s="105"/>
      <c r="AZ332" s="105"/>
      <c r="BA332" s="105"/>
      <c r="BB332" s="130"/>
      <c r="BC332" s="130"/>
      <c r="BD332" s="130"/>
      <c r="BE332" s="130"/>
      <c r="BF332" s="130"/>
      <c r="BG332" s="130"/>
      <c r="BH332" s="147"/>
      <c r="BI332" s="147"/>
      <c r="BJ332" s="147"/>
      <c r="BK332" s="229"/>
      <c r="BL332" s="229"/>
      <c r="BM332" s="229"/>
      <c r="BN332" s="230"/>
      <c r="BO332" s="144"/>
      <c r="BP332" s="148"/>
      <c r="BQ332" s="148"/>
      <c r="BR332" s="148"/>
      <c r="BS332" s="149"/>
    </row>
    <row r="333" spans="1:72" ht="12.75" customHeight="1" x14ac:dyDescent="0.15">
      <c r="A333" s="48" t="s">
        <v>2144</v>
      </c>
      <c r="B333" s="9" t="s">
        <v>2147</v>
      </c>
      <c r="C333" s="9"/>
      <c r="D333" s="9"/>
      <c r="E333" s="9"/>
      <c r="F333" s="10" t="s">
        <v>107</v>
      </c>
      <c r="G333" s="10" t="s">
        <v>1606</v>
      </c>
      <c r="H333" s="5" t="s">
        <v>1129</v>
      </c>
      <c r="I333" s="11" t="s">
        <v>274</v>
      </c>
      <c r="J333" s="357" t="s">
        <v>1607</v>
      </c>
      <c r="K333" s="353"/>
      <c r="L333" s="221">
        <v>150</v>
      </c>
      <c r="M333" s="221"/>
      <c r="N333" s="814" t="str">
        <f t="shared" si="10"/>
        <v>comité</v>
      </c>
      <c r="O333" s="729">
        <v>1</v>
      </c>
      <c r="P333" s="729"/>
      <c r="Q333" s="730" t="str">
        <f t="shared" si="11"/>
        <v>Officiel H</v>
      </c>
      <c r="R333" s="731"/>
      <c r="S333" s="731"/>
      <c r="T333" s="731" t="s">
        <v>313</v>
      </c>
      <c r="U333" s="731" t="s">
        <v>313</v>
      </c>
      <c r="V333" s="731"/>
      <c r="W333" s="731"/>
      <c r="X333" s="731"/>
      <c r="Y333" s="731"/>
      <c r="Z333" s="731"/>
      <c r="AA333" s="731"/>
      <c r="AB333" s="12"/>
      <c r="AC333" s="12" t="s">
        <v>4533</v>
      </c>
      <c r="AD333" s="12" t="s">
        <v>4533</v>
      </c>
      <c r="AE333" s="12"/>
      <c r="AF333" s="12"/>
      <c r="AG333" s="369"/>
      <c r="AH333" s="370"/>
      <c r="AI333" s="18">
        <v>45201</v>
      </c>
      <c r="AJ333" s="18">
        <v>43531</v>
      </c>
      <c r="AK333" s="13" t="s">
        <v>242</v>
      </c>
      <c r="AL333" s="45">
        <v>30905</v>
      </c>
      <c r="AM333" s="19" t="s">
        <v>5641</v>
      </c>
      <c r="AN333" s="19"/>
      <c r="AO333" s="10"/>
      <c r="AP333" s="40"/>
      <c r="AQ333" s="10" t="s">
        <v>2148</v>
      </c>
      <c r="AR333" s="21" t="s">
        <v>2149</v>
      </c>
      <c r="AS333" s="62"/>
      <c r="AT333" s="62"/>
      <c r="AU333" s="11"/>
      <c r="AV333" s="811" t="s">
        <v>5649</v>
      </c>
      <c r="AW333" s="13"/>
      <c r="AX333" s="11"/>
      <c r="AY333" s="11"/>
      <c r="AZ333" s="11" t="s">
        <v>209</v>
      </c>
      <c r="BA333" s="11"/>
      <c r="BB333" s="59" t="s">
        <v>2813</v>
      </c>
      <c r="BC333" s="59" t="s">
        <v>3151</v>
      </c>
      <c r="BD333" s="59"/>
      <c r="BE333" s="59" t="s">
        <v>419</v>
      </c>
      <c r="BF333" s="59"/>
      <c r="BG333" s="59"/>
      <c r="BH333" s="138"/>
      <c r="BI333" s="138"/>
      <c r="BJ333" s="138"/>
      <c r="BK333" s="231"/>
      <c r="BL333" s="231"/>
      <c r="BM333" s="231"/>
      <c r="BN333" s="232"/>
      <c r="BO333" s="19"/>
      <c r="BP333" s="23"/>
      <c r="BQ333" s="23"/>
      <c r="BR333" s="23"/>
      <c r="BS333" s="43"/>
    </row>
    <row r="334" spans="1:72" ht="12.75" customHeight="1" x14ac:dyDescent="0.15">
      <c r="A334" s="48" t="s">
        <v>2144</v>
      </c>
      <c r="B334" s="9" t="s">
        <v>895</v>
      </c>
      <c r="C334" s="9"/>
      <c r="D334" s="9"/>
      <c r="E334" s="9"/>
      <c r="F334" s="10" t="s">
        <v>107</v>
      </c>
      <c r="G334" s="10" t="s">
        <v>1606</v>
      </c>
      <c r="H334" s="5" t="s">
        <v>1129</v>
      </c>
      <c r="I334" s="11" t="s">
        <v>274</v>
      </c>
      <c r="J334" s="357" t="s">
        <v>1607</v>
      </c>
      <c r="K334" s="353"/>
      <c r="L334" s="221">
        <v>5</v>
      </c>
      <c r="M334" s="221"/>
      <c r="N334" s="222" t="str">
        <f t="shared" si="10"/>
        <v>U 15 Hommes</v>
      </c>
      <c r="O334" s="729">
        <v>5</v>
      </c>
      <c r="P334" s="729"/>
      <c r="Q334" s="730" t="str">
        <f t="shared" si="11"/>
        <v>U 15 Hommes</v>
      </c>
      <c r="R334" s="731"/>
      <c r="S334" s="731"/>
      <c r="T334" s="731" t="s">
        <v>192</v>
      </c>
      <c r="U334" s="731"/>
      <c r="V334" s="731"/>
      <c r="W334" s="731"/>
      <c r="X334" s="731"/>
      <c r="Y334" s="731"/>
      <c r="Z334" s="731"/>
      <c r="AA334" s="731"/>
      <c r="AB334" s="12" t="s">
        <v>3009</v>
      </c>
      <c r="AC334" s="12"/>
      <c r="AD334" s="12"/>
      <c r="AE334" s="12"/>
      <c r="AF334" s="12"/>
      <c r="AG334" s="369"/>
      <c r="AH334" s="370"/>
      <c r="AI334" s="18">
        <v>43587</v>
      </c>
      <c r="AJ334" s="18">
        <v>43531</v>
      </c>
      <c r="AK334" s="13">
        <v>2028</v>
      </c>
      <c r="AL334" s="18">
        <v>41374</v>
      </c>
      <c r="AM334" s="46" t="s">
        <v>3301</v>
      </c>
      <c r="AN334" s="19"/>
      <c r="AO334" s="10"/>
      <c r="AP334" s="40" t="s">
        <v>2145</v>
      </c>
      <c r="AQ334" s="10" t="s">
        <v>2146</v>
      </c>
      <c r="AR334" s="21" t="s">
        <v>1610</v>
      </c>
      <c r="AS334" s="62"/>
      <c r="AT334" s="62"/>
      <c r="AU334" s="11"/>
      <c r="AV334" s="10"/>
      <c r="AW334" s="11"/>
      <c r="AX334" s="11"/>
      <c r="AY334" s="11"/>
      <c r="AZ334" s="11" t="s">
        <v>209</v>
      </c>
      <c r="BA334" s="11"/>
      <c r="BB334" s="59" t="s">
        <v>2813</v>
      </c>
      <c r="BC334" s="59" t="s">
        <v>3151</v>
      </c>
      <c r="BD334" s="59"/>
      <c r="BE334" s="59">
        <v>250</v>
      </c>
      <c r="BF334" s="59"/>
      <c r="BG334" s="59"/>
      <c r="BH334" s="138"/>
      <c r="BI334" s="138"/>
      <c r="BJ334" s="138"/>
      <c r="BK334" s="231"/>
      <c r="BL334" s="231"/>
      <c r="BM334" s="231"/>
      <c r="BN334" s="232"/>
      <c r="BO334" s="19"/>
      <c r="BP334" s="23"/>
      <c r="BQ334" s="23"/>
      <c r="BR334" s="23"/>
      <c r="BS334" s="43"/>
    </row>
    <row r="335" spans="1:72" ht="12.75" customHeight="1" x14ac:dyDescent="0.15">
      <c r="A335" s="48" t="s">
        <v>2144</v>
      </c>
      <c r="B335" s="9" t="s">
        <v>1203</v>
      </c>
      <c r="C335" s="9"/>
      <c r="D335" s="9"/>
      <c r="E335" s="9"/>
      <c r="F335" s="10" t="s">
        <v>107</v>
      </c>
      <c r="G335" s="10" t="s">
        <v>1606</v>
      </c>
      <c r="H335" s="5" t="s">
        <v>1129</v>
      </c>
      <c r="I335" s="11" t="s">
        <v>274</v>
      </c>
      <c r="J335" s="357" t="s">
        <v>1607</v>
      </c>
      <c r="K335" s="353"/>
      <c r="L335" s="221">
        <v>6</v>
      </c>
      <c r="M335" s="221"/>
      <c r="N335" s="222" t="str">
        <f t="shared" si="10"/>
        <v>U 13 Hommes</v>
      </c>
      <c r="O335" s="729">
        <v>6</v>
      </c>
      <c r="P335" s="729"/>
      <c r="Q335" s="730" t="str">
        <f t="shared" si="11"/>
        <v>U 13 Hommes</v>
      </c>
      <c r="R335" s="731"/>
      <c r="S335" s="731"/>
      <c r="T335" s="731"/>
      <c r="U335" s="731" t="s">
        <v>192</v>
      </c>
      <c r="V335" s="731"/>
      <c r="W335" s="731"/>
      <c r="X335" s="731"/>
      <c r="Y335" s="731"/>
      <c r="Z335" s="731"/>
      <c r="AA335" s="731"/>
      <c r="AB335" s="12" t="s">
        <v>3981</v>
      </c>
      <c r="AC335" s="12"/>
      <c r="AD335" s="12"/>
      <c r="AE335" s="12"/>
      <c r="AF335" s="12"/>
      <c r="AG335" s="369"/>
      <c r="AH335" s="370"/>
      <c r="AI335" s="18">
        <v>44627</v>
      </c>
      <c r="AJ335" s="18">
        <v>44584</v>
      </c>
      <c r="AK335" s="13">
        <v>2027</v>
      </c>
      <c r="AL335" s="18">
        <v>42076</v>
      </c>
      <c r="AM335" s="19" t="s">
        <v>3966</v>
      </c>
      <c r="AN335" s="38"/>
      <c r="AO335" s="10"/>
      <c r="AP335" s="40" t="s">
        <v>2145</v>
      </c>
      <c r="AQ335" s="10" t="s">
        <v>2146</v>
      </c>
      <c r="AR335" s="21" t="s">
        <v>1610</v>
      </c>
      <c r="AS335" s="62"/>
      <c r="AT335" s="62"/>
      <c r="AU335" s="11"/>
      <c r="AV335" s="10"/>
      <c r="AW335" s="11"/>
      <c r="AX335" s="11"/>
      <c r="AY335" s="11"/>
      <c r="AZ335" s="11"/>
      <c r="BA335" s="11"/>
      <c r="BB335" s="59"/>
      <c r="BC335" s="59"/>
      <c r="BD335" s="59"/>
      <c r="BE335" s="59"/>
      <c r="BF335" s="59"/>
      <c r="BG335" s="59"/>
      <c r="BH335" s="138"/>
      <c r="BI335" s="138"/>
      <c r="BJ335" s="138"/>
      <c r="BK335" s="231"/>
      <c r="BL335" s="231"/>
      <c r="BM335" s="231"/>
      <c r="BN335" s="232"/>
      <c r="BO335" s="19"/>
      <c r="BP335" s="23"/>
      <c r="BQ335" s="23"/>
      <c r="BR335" s="23"/>
      <c r="BS335" s="43"/>
    </row>
    <row r="336" spans="1:72" s="150" customFormat="1" ht="12.75" customHeight="1" x14ac:dyDescent="0.15">
      <c r="A336" s="48" t="s">
        <v>2150</v>
      </c>
      <c r="B336" s="9" t="s">
        <v>2066</v>
      </c>
      <c r="C336" s="9"/>
      <c r="D336" s="9"/>
      <c r="E336" s="9"/>
      <c r="F336" s="10" t="s">
        <v>107</v>
      </c>
      <c r="G336" s="10" t="s">
        <v>2114</v>
      </c>
      <c r="H336" s="5" t="s">
        <v>2115</v>
      </c>
      <c r="I336" s="11" t="s">
        <v>651</v>
      </c>
      <c r="J336" s="357" t="s">
        <v>2116</v>
      </c>
      <c r="K336" s="353"/>
      <c r="L336" s="221">
        <v>6</v>
      </c>
      <c r="M336" s="221"/>
      <c r="N336" s="222" t="str">
        <f t="shared" si="10"/>
        <v>U 13 Hommes</v>
      </c>
      <c r="O336" s="729">
        <v>6</v>
      </c>
      <c r="P336" s="729"/>
      <c r="Q336" s="730" t="str">
        <f t="shared" si="11"/>
        <v>U 13 Hommes</v>
      </c>
      <c r="R336" s="731"/>
      <c r="S336" s="731"/>
      <c r="T336" s="731"/>
      <c r="U336" s="731" t="s">
        <v>192</v>
      </c>
      <c r="V336" s="731"/>
      <c r="W336" s="731"/>
      <c r="X336" s="731"/>
      <c r="Y336" s="731"/>
      <c r="Z336" s="731"/>
      <c r="AA336" s="731"/>
      <c r="AB336" s="12" t="s">
        <v>3010</v>
      </c>
      <c r="AC336" s="12"/>
      <c r="AD336" s="12"/>
      <c r="AE336" s="12"/>
      <c r="AF336" s="12"/>
      <c r="AG336" s="369"/>
      <c r="AH336" s="370"/>
      <c r="AI336" s="18">
        <v>43564</v>
      </c>
      <c r="AJ336" s="18">
        <v>43531</v>
      </c>
      <c r="AK336" s="13">
        <v>2029</v>
      </c>
      <c r="AL336" s="18">
        <v>41955</v>
      </c>
      <c r="AM336" s="19" t="s">
        <v>2151</v>
      </c>
      <c r="AN336" s="19"/>
      <c r="AO336" s="10" t="s">
        <v>930</v>
      </c>
      <c r="AP336" s="40"/>
      <c r="AQ336" s="10" t="s">
        <v>931</v>
      </c>
      <c r="AR336" s="21" t="s">
        <v>1555</v>
      </c>
      <c r="AS336" s="62"/>
      <c r="AT336" s="62"/>
      <c r="AU336" s="11"/>
      <c r="AV336" s="10"/>
      <c r="AW336" s="11"/>
      <c r="AX336" s="11"/>
      <c r="AY336" s="11"/>
      <c r="AZ336" s="11" t="s">
        <v>209</v>
      </c>
      <c r="BA336" s="11"/>
      <c r="BB336" s="59" t="s">
        <v>2813</v>
      </c>
      <c r="BC336" s="59" t="s">
        <v>3151</v>
      </c>
      <c r="BD336" s="59"/>
      <c r="BE336" s="59">
        <v>100</v>
      </c>
      <c r="BF336" s="59"/>
      <c r="BG336" s="59"/>
      <c r="BH336" s="138"/>
      <c r="BI336" s="138"/>
      <c r="BJ336" s="138"/>
      <c r="BK336" s="231"/>
      <c r="BL336" s="231"/>
      <c r="BM336" s="231"/>
      <c r="BN336" s="232"/>
      <c r="BO336" s="19"/>
      <c r="BP336" s="23"/>
      <c r="BQ336" s="23"/>
      <c r="BR336" s="23"/>
      <c r="BS336" s="43"/>
      <c r="BT336"/>
    </row>
    <row r="337" spans="1:72" s="150" customFormat="1" ht="12.75" customHeight="1" x14ac:dyDescent="0.15">
      <c r="A337" s="48" t="s">
        <v>2150</v>
      </c>
      <c r="B337" s="9" t="s">
        <v>733</v>
      </c>
      <c r="C337" s="9"/>
      <c r="D337" s="9"/>
      <c r="E337" s="9"/>
      <c r="F337" s="10" t="s">
        <v>107</v>
      </c>
      <c r="G337" s="10" t="s">
        <v>2114</v>
      </c>
      <c r="H337" s="5" t="s">
        <v>2115</v>
      </c>
      <c r="I337" s="11" t="s">
        <v>651</v>
      </c>
      <c r="J337" s="357" t="s">
        <v>2116</v>
      </c>
      <c r="K337" s="353"/>
      <c r="L337" s="221">
        <v>5</v>
      </c>
      <c r="M337" s="221"/>
      <c r="N337" s="222" t="str">
        <f t="shared" si="10"/>
        <v>U 15 Hommes</v>
      </c>
      <c r="O337" s="729">
        <v>5</v>
      </c>
      <c r="P337" s="729"/>
      <c r="Q337" s="730" t="str">
        <f t="shared" si="11"/>
        <v>U 15 Hommes</v>
      </c>
      <c r="R337" s="731"/>
      <c r="S337" s="731"/>
      <c r="T337" s="731" t="s">
        <v>192</v>
      </c>
      <c r="U337" s="731"/>
      <c r="V337" s="731"/>
      <c r="W337" s="731"/>
      <c r="X337" s="731"/>
      <c r="Y337" s="731"/>
      <c r="Z337" s="731"/>
      <c r="AA337" s="731"/>
      <c r="AB337" s="12" t="s">
        <v>3011</v>
      </c>
      <c r="AC337" s="12"/>
      <c r="AD337" s="12"/>
      <c r="AE337" s="12"/>
      <c r="AF337" s="12"/>
      <c r="AG337" s="369"/>
      <c r="AH337" s="370"/>
      <c r="AI337" s="18">
        <v>43564</v>
      </c>
      <c r="AJ337" s="18">
        <v>43531</v>
      </c>
      <c r="AK337" s="13">
        <v>2028</v>
      </c>
      <c r="AL337" s="18">
        <v>41479</v>
      </c>
      <c r="AM337" s="19" t="s">
        <v>2152</v>
      </c>
      <c r="AN337" s="19"/>
      <c r="AO337" s="10" t="s">
        <v>930</v>
      </c>
      <c r="AP337" s="40"/>
      <c r="AQ337" s="10" t="s">
        <v>931</v>
      </c>
      <c r="AR337" s="21" t="s">
        <v>1555</v>
      </c>
      <c r="AS337" s="62"/>
      <c r="AT337" s="62"/>
      <c r="AU337" s="11"/>
      <c r="AV337" s="10"/>
      <c r="AW337" s="11"/>
      <c r="AX337" s="11"/>
      <c r="AY337" s="11"/>
      <c r="AZ337" s="11" t="s">
        <v>209</v>
      </c>
      <c r="BA337" s="11"/>
      <c r="BB337" s="59" t="s">
        <v>2813</v>
      </c>
      <c r="BC337" s="59" t="s">
        <v>3151</v>
      </c>
      <c r="BD337" s="59"/>
      <c r="BE337" s="59">
        <v>100</v>
      </c>
      <c r="BF337" s="59"/>
      <c r="BG337" s="59"/>
      <c r="BH337" s="138"/>
      <c r="BI337" s="138"/>
      <c r="BJ337" s="138"/>
      <c r="BK337" s="231"/>
      <c r="BL337" s="231"/>
      <c r="BM337" s="231"/>
      <c r="BN337" s="232"/>
      <c r="BO337" s="19"/>
      <c r="BP337" s="23"/>
      <c r="BQ337" s="23"/>
      <c r="BR337" s="23"/>
      <c r="BS337" s="43"/>
      <c r="BT337"/>
    </row>
    <row r="338" spans="1:72" ht="12.75" customHeight="1" x14ac:dyDescent="0.15">
      <c r="A338" s="48" t="s">
        <v>2150</v>
      </c>
      <c r="B338" s="9" t="s">
        <v>678</v>
      </c>
      <c r="C338" s="9"/>
      <c r="D338" s="9"/>
      <c r="E338" s="9"/>
      <c r="F338" s="10" t="s">
        <v>107</v>
      </c>
      <c r="G338" s="10" t="s">
        <v>2114</v>
      </c>
      <c r="H338" s="5" t="s">
        <v>2115</v>
      </c>
      <c r="I338" s="11" t="s">
        <v>651</v>
      </c>
      <c r="J338" s="357" t="s">
        <v>2116</v>
      </c>
      <c r="K338" s="353"/>
      <c r="L338" s="221">
        <v>9</v>
      </c>
      <c r="M338" s="221"/>
      <c r="N338" s="222" t="str">
        <f t="shared" si="10"/>
        <v>Vétérans - Hommes</v>
      </c>
      <c r="O338" s="729">
        <v>9</v>
      </c>
      <c r="P338" s="729"/>
      <c r="Q338" s="730" t="str">
        <f t="shared" si="11"/>
        <v>Vétérans - Hommes</v>
      </c>
      <c r="R338" s="731"/>
      <c r="S338" s="731"/>
      <c r="T338" s="731" t="s">
        <v>313</v>
      </c>
      <c r="U338" s="731" t="s">
        <v>313</v>
      </c>
      <c r="V338" s="731"/>
      <c r="W338" s="731"/>
      <c r="X338" s="731"/>
      <c r="Y338" s="731"/>
      <c r="Z338" s="731"/>
      <c r="AA338" s="731"/>
      <c r="AB338" s="12" t="s">
        <v>4176</v>
      </c>
      <c r="AC338" s="12" t="s">
        <v>4176</v>
      </c>
      <c r="AD338" s="12" t="s">
        <v>4176</v>
      </c>
      <c r="AE338" s="12"/>
      <c r="AF338" s="12"/>
      <c r="AG338" s="853" t="s">
        <v>5648</v>
      </c>
      <c r="AH338" s="370"/>
      <c r="AI338" s="18">
        <v>44818</v>
      </c>
      <c r="AJ338" s="18">
        <v>43531</v>
      </c>
      <c r="AK338" s="615">
        <v>2025</v>
      </c>
      <c r="AL338" s="45">
        <v>31077</v>
      </c>
      <c r="AM338" s="46" t="s">
        <v>4091</v>
      </c>
      <c r="AN338" s="19"/>
      <c r="AO338" s="10" t="s">
        <v>930</v>
      </c>
      <c r="AP338" s="40"/>
      <c r="AQ338" s="10" t="s">
        <v>931</v>
      </c>
      <c r="AR338" s="21" t="s">
        <v>2153</v>
      </c>
      <c r="AS338" s="62"/>
      <c r="AT338" s="62"/>
      <c r="AU338" s="11"/>
      <c r="AV338" s="10"/>
      <c r="AW338" s="11"/>
      <c r="AX338" s="11"/>
      <c r="AY338" s="11"/>
      <c r="AZ338" s="11" t="s">
        <v>209</v>
      </c>
      <c r="BA338" s="11"/>
      <c r="BB338" s="59" t="s">
        <v>2813</v>
      </c>
      <c r="BC338" s="59" t="s">
        <v>3151</v>
      </c>
      <c r="BD338" s="59"/>
      <c r="BE338" s="59" t="s">
        <v>988</v>
      </c>
      <c r="BF338" s="59"/>
      <c r="BG338" s="59"/>
      <c r="BH338" s="138"/>
      <c r="BI338" s="138"/>
      <c r="BJ338" s="138"/>
      <c r="BK338" s="231"/>
      <c r="BL338" s="231"/>
      <c r="BM338" s="231"/>
      <c r="BN338" s="232"/>
      <c r="BO338" s="19"/>
      <c r="BP338" s="23"/>
      <c r="BQ338" s="23"/>
      <c r="BR338" s="23"/>
      <c r="BS338" s="43"/>
    </row>
    <row r="339" spans="1:72" s="150" customFormat="1" ht="12.75" customHeight="1" x14ac:dyDescent="0.15">
      <c r="A339" s="48" t="s">
        <v>4395</v>
      </c>
      <c r="B339" s="9" t="s">
        <v>857</v>
      </c>
      <c r="C339" s="9"/>
      <c r="D339" s="9"/>
      <c r="E339" s="9"/>
      <c r="F339" s="112" t="s">
        <v>490</v>
      </c>
      <c r="G339" s="10" t="s">
        <v>4396</v>
      </c>
      <c r="H339" s="5" t="s">
        <v>4397</v>
      </c>
      <c r="I339" s="11" t="s">
        <v>4398</v>
      </c>
      <c r="J339" s="357" t="s">
        <v>4392</v>
      </c>
      <c r="K339" s="353"/>
      <c r="L339" s="221">
        <v>212</v>
      </c>
      <c r="M339" s="221"/>
      <c r="N339" s="222" t="str">
        <f t="shared" si="10"/>
        <v>Contact famille</v>
      </c>
      <c r="O339" s="729">
        <v>212</v>
      </c>
      <c r="P339" s="729"/>
      <c r="Q339" s="730" t="str">
        <f t="shared" si="11"/>
        <v>Contact famille</v>
      </c>
      <c r="R339" s="731"/>
      <c r="S339" s="731"/>
      <c r="T339" s="731"/>
      <c r="U339" s="731"/>
      <c r="V339" s="731" t="s">
        <v>313</v>
      </c>
      <c r="W339" s="731"/>
      <c r="X339" s="731"/>
      <c r="Y339" s="731"/>
      <c r="Z339" s="731"/>
      <c r="AA339" s="731"/>
      <c r="AB339" s="12"/>
      <c r="AC339" s="12"/>
      <c r="AD339" s="12"/>
      <c r="AE339" s="12"/>
      <c r="AF339" s="12"/>
      <c r="AG339" s="369"/>
      <c r="AH339" s="370"/>
      <c r="AI339" s="18" t="s">
        <v>242</v>
      </c>
      <c r="AJ339" s="18" t="s">
        <v>242</v>
      </c>
      <c r="AK339" s="13" t="s">
        <v>242</v>
      </c>
      <c r="AL339" s="18">
        <v>28521</v>
      </c>
      <c r="AM339" s="19" t="s">
        <v>4401</v>
      </c>
      <c r="AN339" s="38"/>
      <c r="AO339" s="10"/>
      <c r="AP339" s="40"/>
      <c r="AQ339" s="10"/>
      <c r="AR339" s="21"/>
      <c r="AS339" s="62"/>
      <c r="AT339" s="62"/>
      <c r="AU339" s="11"/>
      <c r="AV339" s="10"/>
      <c r="AW339" s="11"/>
      <c r="AX339" s="11"/>
      <c r="AY339" s="11"/>
      <c r="AZ339" s="11"/>
      <c r="BA339" s="11"/>
      <c r="BB339" s="59"/>
      <c r="BC339" s="59"/>
      <c r="BD339" s="59"/>
      <c r="BE339" s="59"/>
      <c r="BF339" s="59"/>
      <c r="BG339" s="59"/>
      <c r="BH339" s="138"/>
      <c r="BI339" s="138"/>
      <c r="BJ339" s="138"/>
      <c r="BK339" s="231"/>
      <c r="BL339" s="231"/>
      <c r="BM339" s="231"/>
      <c r="BN339" s="232"/>
      <c r="BO339" s="19"/>
      <c r="BP339" s="23"/>
      <c r="BQ339" s="23"/>
      <c r="BR339" s="23"/>
      <c r="BS339" s="43"/>
    </row>
    <row r="340" spans="1:72" ht="12" customHeight="1" x14ac:dyDescent="0.15">
      <c r="A340" s="48" t="s">
        <v>5074</v>
      </c>
      <c r="B340" s="9" t="s">
        <v>2914</v>
      </c>
      <c r="C340" s="9"/>
      <c r="D340" s="9"/>
      <c r="E340" s="9"/>
      <c r="F340" s="11" t="s">
        <v>1681</v>
      </c>
      <c r="G340" s="11" t="s">
        <v>5079</v>
      </c>
      <c r="H340" s="5" t="s">
        <v>4729</v>
      </c>
      <c r="I340" s="11" t="s">
        <v>558</v>
      </c>
      <c r="J340" s="357" t="s">
        <v>5073</v>
      </c>
      <c r="K340" s="353"/>
      <c r="L340" s="221">
        <v>21</v>
      </c>
      <c r="M340" s="221"/>
      <c r="N340" s="222" t="str">
        <f t="shared" si="10"/>
        <v>U7 Mixte</v>
      </c>
      <c r="O340" s="729">
        <v>21</v>
      </c>
      <c r="P340" s="729"/>
      <c r="Q340" s="730" t="str">
        <f t="shared" si="11"/>
        <v>U7 Mixte</v>
      </c>
      <c r="R340" s="732"/>
      <c r="S340" s="732"/>
      <c r="T340" s="732"/>
      <c r="U340" s="732"/>
      <c r="V340" s="732"/>
      <c r="W340" s="732"/>
      <c r="X340" s="732" t="s">
        <v>192</v>
      </c>
      <c r="Y340" s="732"/>
      <c r="Z340" s="732"/>
      <c r="AA340" s="732"/>
      <c r="AB340" s="12" t="s">
        <v>5354</v>
      </c>
      <c r="AC340" s="155"/>
      <c r="AD340" s="155"/>
      <c r="AE340" s="155"/>
      <c r="AF340" s="12"/>
      <c r="AG340" s="386" t="s">
        <v>5173</v>
      </c>
      <c r="AH340" s="392"/>
      <c r="AI340" s="18">
        <v>45951</v>
      </c>
      <c r="AJ340" s="18">
        <v>45716</v>
      </c>
      <c r="AK340" s="13">
        <v>2028</v>
      </c>
      <c r="AL340" s="18">
        <v>44456</v>
      </c>
      <c r="AM340" s="5" t="s">
        <v>5342</v>
      </c>
      <c r="AN340" s="10"/>
      <c r="AO340" s="11"/>
      <c r="AP340" s="53" t="s">
        <v>5080</v>
      </c>
      <c r="AQ340" s="10" t="s">
        <v>5081</v>
      </c>
      <c r="AR340" s="68" t="s">
        <v>5082</v>
      </c>
      <c r="AS340" s="62"/>
      <c r="AT340" s="62"/>
      <c r="AU340" s="10"/>
      <c r="AV340" s="10"/>
      <c r="AW340" s="13"/>
      <c r="AX340" s="11"/>
      <c r="AY340" s="11"/>
      <c r="AZ340" s="11"/>
      <c r="BA340" s="11"/>
      <c r="BB340" s="59"/>
      <c r="BC340" s="59"/>
      <c r="BD340" s="59"/>
      <c r="BE340" s="59"/>
      <c r="BF340" s="59"/>
      <c r="BG340" s="59"/>
      <c r="BH340" s="138"/>
      <c r="BI340" s="138"/>
      <c r="BJ340" s="138"/>
      <c r="BK340" s="231"/>
      <c r="BL340" s="231"/>
      <c r="BM340" s="231"/>
      <c r="BN340" s="232"/>
      <c r="BO340" s="11"/>
      <c r="BP340" s="11"/>
      <c r="BQ340" s="11"/>
      <c r="BR340" s="11"/>
      <c r="BS340" s="394"/>
    </row>
    <row r="341" spans="1:72" ht="12.75" customHeight="1" x14ac:dyDescent="0.15">
      <c r="A341" s="48" t="s">
        <v>5075</v>
      </c>
      <c r="B341" s="9" t="s">
        <v>5076</v>
      </c>
      <c r="C341" s="9"/>
      <c r="D341" s="9"/>
      <c r="E341" s="9"/>
      <c r="F341" s="11" t="s">
        <v>1681</v>
      </c>
      <c r="G341" s="11" t="s">
        <v>5079</v>
      </c>
      <c r="H341" s="5" t="s">
        <v>4729</v>
      </c>
      <c r="I341" s="11" t="s">
        <v>558</v>
      </c>
      <c r="J341" s="357" t="s">
        <v>5073</v>
      </c>
      <c r="K341" s="353"/>
      <c r="L341" s="221">
        <v>212</v>
      </c>
      <c r="M341" s="221"/>
      <c r="N341" s="222" t="str">
        <f t="shared" si="10"/>
        <v>Contact famille</v>
      </c>
      <c r="O341" s="729">
        <v>212</v>
      </c>
      <c r="P341" s="729"/>
      <c r="Q341" s="730" t="str">
        <f t="shared" si="11"/>
        <v>Contact famille</v>
      </c>
      <c r="R341" s="732"/>
      <c r="S341" s="732"/>
      <c r="T341" s="732"/>
      <c r="U341" s="732"/>
      <c r="V341" s="732"/>
      <c r="W341" s="732"/>
      <c r="X341" s="732" t="s">
        <v>313</v>
      </c>
      <c r="Y341" s="732"/>
      <c r="Z341" s="732"/>
      <c r="AA341" s="732"/>
      <c r="AB341" s="12"/>
      <c r="AC341" s="155"/>
      <c r="AD341" s="155"/>
      <c r="AE341" s="155"/>
      <c r="AF341" s="12" t="s">
        <v>252</v>
      </c>
      <c r="AG341" s="386"/>
      <c r="AH341" s="392"/>
      <c r="AI341" s="18" t="s">
        <v>242</v>
      </c>
      <c r="AJ341" s="18" t="s">
        <v>242</v>
      </c>
      <c r="AK341" s="13" t="s">
        <v>242</v>
      </c>
      <c r="AL341" s="13" t="s">
        <v>242</v>
      </c>
      <c r="AM341" s="46" t="s">
        <v>244</v>
      </c>
      <c r="AN341" s="10"/>
      <c r="AO341" s="11"/>
      <c r="AP341" s="53"/>
      <c r="AQ341" s="20">
        <v>691982030</v>
      </c>
      <c r="AR341" s="68" t="s">
        <v>5082</v>
      </c>
      <c r="AS341" s="62"/>
      <c r="AT341" s="62"/>
      <c r="AU341" s="10"/>
      <c r="AV341" s="10"/>
      <c r="AW341" s="13"/>
      <c r="AX341" s="11"/>
      <c r="AY341" s="11"/>
      <c r="AZ341" s="11"/>
      <c r="BA341" s="11"/>
      <c r="BB341" s="59"/>
      <c r="BC341" s="59"/>
      <c r="BD341" s="59"/>
      <c r="BE341" s="59"/>
      <c r="BF341" s="59"/>
      <c r="BG341" s="59"/>
      <c r="BH341" s="138"/>
      <c r="BI341" s="138"/>
      <c r="BJ341" s="138"/>
      <c r="BK341" s="231"/>
      <c r="BL341" s="231"/>
      <c r="BM341" s="231"/>
      <c r="BN341" s="232"/>
      <c r="BO341" s="11"/>
      <c r="BP341" s="11"/>
      <c r="BQ341" s="11"/>
      <c r="BR341" s="11"/>
      <c r="BS341" s="394"/>
      <c r="BT341" s="150"/>
    </row>
    <row r="342" spans="1:72" ht="12.75" customHeight="1" x14ac:dyDescent="0.15">
      <c r="A342" s="48" t="s">
        <v>5575</v>
      </c>
      <c r="B342" s="9" t="s">
        <v>525</v>
      </c>
      <c r="C342" s="9"/>
      <c r="D342" s="9"/>
      <c r="E342" s="9"/>
      <c r="F342" s="112" t="s">
        <v>5477</v>
      </c>
      <c r="G342" s="11" t="s">
        <v>5577</v>
      </c>
      <c r="H342" s="5" t="s">
        <v>5240</v>
      </c>
      <c r="I342" s="11" t="s">
        <v>528</v>
      </c>
      <c r="J342" s="357" t="s">
        <v>5574</v>
      </c>
      <c r="K342" s="353"/>
      <c r="L342" s="221">
        <v>212</v>
      </c>
      <c r="M342" s="221"/>
      <c r="N342" s="222" t="str">
        <f t="shared" si="10"/>
        <v>Contact famille</v>
      </c>
      <c r="O342" s="729">
        <v>212</v>
      </c>
      <c r="P342" s="729"/>
      <c r="Q342" s="730" t="str">
        <f t="shared" si="11"/>
        <v>Contact famille</v>
      </c>
      <c r="R342" s="732"/>
      <c r="S342" s="732"/>
      <c r="T342" s="732" t="s">
        <v>313</v>
      </c>
      <c r="U342" s="732"/>
      <c r="V342" s="732"/>
      <c r="W342" s="732"/>
      <c r="X342" s="732"/>
      <c r="Y342" s="732"/>
      <c r="Z342" s="732"/>
      <c r="AA342" s="732"/>
      <c r="AB342" s="12"/>
      <c r="AC342" s="155"/>
      <c r="AD342" s="155"/>
      <c r="AE342" s="155"/>
      <c r="AF342" s="12"/>
      <c r="AG342" s="386"/>
      <c r="AH342" s="392"/>
      <c r="AI342" s="18" t="s">
        <v>242</v>
      </c>
      <c r="AJ342" s="18" t="s">
        <v>242</v>
      </c>
      <c r="AK342" s="13" t="s">
        <v>242</v>
      </c>
      <c r="AL342" s="13" t="s">
        <v>242</v>
      </c>
      <c r="AM342" s="46" t="s">
        <v>244</v>
      </c>
      <c r="AN342" s="10"/>
      <c r="AO342" s="11"/>
      <c r="AP342" s="53"/>
      <c r="AQ342" s="20">
        <v>621198606</v>
      </c>
      <c r="AR342" s="11"/>
      <c r="AS342" s="62"/>
      <c r="AT342" s="62"/>
      <c r="AU342" s="10"/>
      <c r="AV342" s="10"/>
      <c r="AW342" s="13"/>
      <c r="AX342" s="11"/>
      <c r="AY342" s="11"/>
      <c r="AZ342" s="11"/>
      <c r="BA342" s="11"/>
      <c r="BB342" s="59"/>
      <c r="BC342" s="59"/>
      <c r="BD342" s="59"/>
      <c r="BE342" s="59"/>
      <c r="BF342" s="59"/>
      <c r="BG342" s="59"/>
      <c r="BH342" s="138"/>
      <c r="BI342" s="138"/>
      <c r="BJ342" s="138"/>
      <c r="BK342" s="231"/>
      <c r="BL342" s="231"/>
      <c r="BM342" s="231"/>
      <c r="BN342" s="232"/>
      <c r="BO342" s="11"/>
      <c r="BP342" s="11"/>
      <c r="BQ342" s="11"/>
      <c r="BR342" s="11"/>
      <c r="BS342" s="394"/>
    </row>
    <row r="343" spans="1:72" ht="12.75" customHeight="1" x14ac:dyDescent="0.15">
      <c r="A343" s="48" t="s">
        <v>5575</v>
      </c>
      <c r="B343" s="9" t="s">
        <v>1941</v>
      </c>
      <c r="C343" s="9"/>
      <c r="D343" s="9"/>
      <c r="E343" s="9"/>
      <c r="F343" s="112" t="s">
        <v>5477</v>
      </c>
      <c r="G343" s="11" t="s">
        <v>5577</v>
      </c>
      <c r="H343" s="5" t="s">
        <v>5240</v>
      </c>
      <c r="I343" s="11" t="s">
        <v>528</v>
      </c>
      <c r="J343" s="357" t="s">
        <v>5574</v>
      </c>
      <c r="K343" s="353"/>
      <c r="L343" s="221">
        <v>5</v>
      </c>
      <c r="M343" s="221"/>
      <c r="N343" s="222" t="str">
        <f t="shared" si="10"/>
        <v>U 15 Hommes</v>
      </c>
      <c r="O343" s="729">
        <v>5</v>
      </c>
      <c r="P343" s="729"/>
      <c r="Q343" s="730" t="str">
        <f t="shared" si="11"/>
        <v>U 15 Hommes</v>
      </c>
      <c r="R343" s="732"/>
      <c r="S343" s="732"/>
      <c r="T343" s="732" t="s">
        <v>192</v>
      </c>
      <c r="U343" s="732"/>
      <c r="V343" s="732"/>
      <c r="W343" s="732"/>
      <c r="X343" s="732"/>
      <c r="Y343" s="732"/>
      <c r="Z343" s="732"/>
      <c r="AA343" s="732"/>
      <c r="AB343" s="12" t="s">
        <v>5608</v>
      </c>
      <c r="AC343" s="155"/>
      <c r="AD343" s="155"/>
      <c r="AE343" s="155"/>
      <c r="AF343" s="12"/>
      <c r="AG343" s="386" t="s">
        <v>5578</v>
      </c>
      <c r="AH343" s="392"/>
      <c r="AI343" s="18">
        <v>46202</v>
      </c>
      <c r="AJ343" s="18">
        <v>46195</v>
      </c>
      <c r="AK343" s="13">
        <v>2028</v>
      </c>
      <c r="AL343" s="18">
        <v>41586</v>
      </c>
      <c r="AM343" s="5" t="s">
        <v>5579</v>
      </c>
      <c r="AN343" s="10"/>
      <c r="AO343" s="11"/>
      <c r="AP343" s="53" t="s">
        <v>5580</v>
      </c>
      <c r="AQ343" s="10" t="s">
        <v>5581</v>
      </c>
      <c r="AR343" s="68" t="s">
        <v>5582</v>
      </c>
      <c r="AS343" s="62"/>
      <c r="AT343" s="62"/>
      <c r="AU343" s="10"/>
      <c r="AV343" s="10"/>
      <c r="AW343" s="13"/>
      <c r="AX343" s="11"/>
      <c r="AY343" s="11"/>
      <c r="AZ343" s="11"/>
      <c r="BA343" s="11"/>
      <c r="BB343" s="59"/>
      <c r="BC343" s="59"/>
      <c r="BD343" s="59"/>
      <c r="BE343" s="59"/>
      <c r="BF343" s="59"/>
      <c r="BG343" s="59"/>
      <c r="BH343" s="138"/>
      <c r="BI343" s="138"/>
      <c r="BJ343" s="138"/>
      <c r="BK343" s="231"/>
      <c r="BL343" s="231"/>
      <c r="BM343" s="231"/>
      <c r="BN343" s="232"/>
      <c r="BO343" s="11"/>
      <c r="BP343" s="11"/>
      <c r="BQ343" s="11"/>
      <c r="BR343" s="11"/>
      <c r="BS343" s="394"/>
    </row>
    <row r="344" spans="1:72" ht="12.75" customHeight="1" x14ac:dyDescent="0.15">
      <c r="A344" s="48" t="s">
        <v>5619</v>
      </c>
      <c r="B344" s="9" t="s">
        <v>2609</v>
      </c>
      <c r="C344" s="9"/>
      <c r="D344" s="9"/>
      <c r="E344" s="9"/>
      <c r="F344" s="112" t="s">
        <v>5477</v>
      </c>
      <c r="G344" s="53" t="s">
        <v>5623</v>
      </c>
      <c r="H344" s="52" t="s">
        <v>1713</v>
      </c>
      <c r="I344" s="53" t="s">
        <v>1714</v>
      </c>
      <c r="J344" s="357" t="s">
        <v>320</v>
      </c>
      <c r="K344" s="353"/>
      <c r="L344" s="221">
        <v>1</v>
      </c>
      <c r="M344" s="221"/>
      <c r="N344" s="222" t="str">
        <f t="shared" si="10"/>
        <v>Officiel H</v>
      </c>
      <c r="O344" s="729">
        <v>1</v>
      </c>
      <c r="P344" s="729"/>
      <c r="Q344" s="730" t="str">
        <f t="shared" si="11"/>
        <v>Officiel H</v>
      </c>
      <c r="R344" s="732"/>
      <c r="S344" s="732"/>
      <c r="T344" s="732"/>
      <c r="U344" s="732"/>
      <c r="V344" s="732"/>
      <c r="W344" s="732"/>
      <c r="X344" s="732"/>
      <c r="Y344" s="732"/>
      <c r="Z344" s="732"/>
      <c r="AA344" s="732"/>
      <c r="AB344" s="12"/>
      <c r="AC344" s="155"/>
      <c r="AD344" s="155"/>
      <c r="AE344" s="155"/>
      <c r="AF344" s="12" t="s">
        <v>5620</v>
      </c>
      <c r="AG344" s="386" t="s">
        <v>5578</v>
      </c>
      <c r="AH344" s="392"/>
      <c r="AI344" s="18">
        <v>46209</v>
      </c>
      <c r="AJ344" s="18">
        <v>46204</v>
      </c>
      <c r="AK344" s="13" t="s">
        <v>242</v>
      </c>
      <c r="AL344" s="18">
        <v>33180</v>
      </c>
      <c r="AM344" s="5" t="s">
        <v>5621</v>
      </c>
      <c r="AN344" s="10"/>
      <c r="AO344" s="11"/>
      <c r="AP344" s="53"/>
      <c r="AQ344" s="20">
        <v>691849175</v>
      </c>
      <c r="AR344" s="68" t="s">
        <v>5622</v>
      </c>
      <c r="AS344" s="62"/>
      <c r="AT344" s="62"/>
      <c r="AU344" s="10"/>
      <c r="AV344" s="10"/>
      <c r="AW344" s="13"/>
      <c r="AX344" s="11"/>
      <c r="AY344" s="11"/>
      <c r="AZ344" s="11"/>
      <c r="BA344" s="11"/>
      <c r="BB344" s="59"/>
      <c r="BC344" s="59"/>
      <c r="BD344" s="59"/>
      <c r="BE344" s="59"/>
      <c r="BF344" s="59"/>
      <c r="BG344" s="59"/>
      <c r="BH344" s="138"/>
      <c r="BI344" s="138"/>
      <c r="BJ344" s="138"/>
      <c r="BK344" s="231"/>
      <c r="BL344" s="231"/>
      <c r="BM344" s="231"/>
      <c r="BN344" s="232"/>
      <c r="BO344" s="11"/>
      <c r="BP344" s="11"/>
      <c r="BQ344" s="11"/>
      <c r="BR344" s="11"/>
      <c r="BS344" s="394"/>
    </row>
    <row r="345" spans="1:72" ht="12.75" customHeight="1" x14ac:dyDescent="0.15">
      <c r="A345" s="48" t="s">
        <v>4793</v>
      </c>
      <c r="B345" s="9" t="s">
        <v>4794</v>
      </c>
      <c r="C345" s="9"/>
      <c r="D345" s="9"/>
      <c r="E345" s="9"/>
      <c r="F345" s="10" t="s">
        <v>263</v>
      </c>
      <c r="G345" s="10" t="s">
        <v>4795</v>
      </c>
      <c r="H345" s="5" t="s">
        <v>4796</v>
      </c>
      <c r="I345" s="11" t="s">
        <v>994</v>
      </c>
      <c r="J345" s="357" t="s">
        <v>320</v>
      </c>
      <c r="K345" s="353"/>
      <c r="L345" s="221">
        <v>2</v>
      </c>
      <c r="M345" s="221"/>
      <c r="N345" s="222" t="str">
        <f t="shared" si="10"/>
        <v>Seniors - Hommes</v>
      </c>
      <c r="O345" s="729">
        <v>2</v>
      </c>
      <c r="P345" s="729"/>
      <c r="Q345" s="730" t="str">
        <f t="shared" si="11"/>
        <v>Seniors - Hommes</v>
      </c>
      <c r="R345" s="731"/>
      <c r="S345" s="731"/>
      <c r="T345" s="731"/>
      <c r="U345" s="731"/>
      <c r="V345" s="731"/>
      <c r="W345" s="731"/>
      <c r="X345" s="731"/>
      <c r="Y345" s="731"/>
      <c r="Z345" s="731"/>
      <c r="AA345" s="731"/>
      <c r="AB345" s="12" t="s">
        <v>4799</v>
      </c>
      <c r="AC345" s="12"/>
      <c r="AD345" s="12"/>
      <c r="AE345" s="12"/>
      <c r="AF345" s="12"/>
      <c r="AG345" s="369"/>
      <c r="AH345" s="370"/>
      <c r="AI345" s="18">
        <v>45387</v>
      </c>
      <c r="AJ345" s="18">
        <v>45378</v>
      </c>
      <c r="AK345" s="13">
        <v>2033</v>
      </c>
      <c r="AL345" s="18">
        <v>37845</v>
      </c>
      <c r="AM345" s="19" t="s">
        <v>4797</v>
      </c>
      <c r="AN345" s="38"/>
      <c r="AO345" s="10"/>
      <c r="AP345" s="40"/>
      <c r="AQ345" s="20">
        <v>691585223</v>
      </c>
      <c r="AR345" s="47" t="s">
        <v>4798</v>
      </c>
      <c r="AS345" s="62"/>
      <c r="AT345" s="62"/>
      <c r="AU345" s="11"/>
      <c r="AV345" s="10"/>
      <c r="AW345" s="11"/>
      <c r="AX345" s="11"/>
      <c r="AY345" s="11"/>
      <c r="AZ345" s="11"/>
      <c r="BA345" s="11"/>
      <c r="BB345" s="59"/>
      <c r="BC345" s="59"/>
      <c r="BD345" s="59"/>
      <c r="BE345" s="59"/>
      <c r="BF345" s="59"/>
      <c r="BG345" s="59"/>
      <c r="BH345" s="138"/>
      <c r="BI345" s="138"/>
      <c r="BJ345" s="138"/>
      <c r="BK345" s="231"/>
      <c r="BL345" s="231"/>
      <c r="BM345" s="231"/>
      <c r="BN345" s="232"/>
      <c r="BO345" s="19"/>
      <c r="BP345" s="23"/>
      <c r="BQ345" s="23"/>
      <c r="BR345" s="23"/>
      <c r="BS345" s="43"/>
    </row>
    <row r="346" spans="1:72" ht="12.75" customHeight="1" x14ac:dyDescent="0.15">
      <c r="A346" s="48" t="s">
        <v>4690</v>
      </c>
      <c r="B346" s="9" t="s">
        <v>1084</v>
      </c>
      <c r="C346" s="9"/>
      <c r="D346" s="9"/>
      <c r="E346" s="9"/>
      <c r="F346" s="112" t="s">
        <v>107</v>
      </c>
      <c r="G346" s="10" t="s">
        <v>4691</v>
      </c>
      <c r="H346" s="5" t="s">
        <v>3618</v>
      </c>
      <c r="I346" s="11" t="s">
        <v>223</v>
      </c>
      <c r="J346" s="357" t="s">
        <v>2027</v>
      </c>
      <c r="K346" s="353"/>
      <c r="L346" s="221">
        <v>212</v>
      </c>
      <c r="M346" s="221"/>
      <c r="N346" s="222" t="str">
        <f t="shared" si="10"/>
        <v>Contact famille</v>
      </c>
      <c r="O346" s="729">
        <v>212</v>
      </c>
      <c r="P346" s="729"/>
      <c r="Q346" s="730" t="str">
        <f t="shared" si="11"/>
        <v>Contact famille</v>
      </c>
      <c r="R346" s="731"/>
      <c r="S346" s="731"/>
      <c r="T346" s="731"/>
      <c r="U346" s="731"/>
      <c r="V346" s="731"/>
      <c r="W346" s="731"/>
      <c r="X346" s="731" t="s">
        <v>313</v>
      </c>
      <c r="Y346" s="731"/>
      <c r="Z346" s="731"/>
      <c r="AA346" s="731"/>
      <c r="AB346" s="12"/>
      <c r="AC346" s="12"/>
      <c r="AD346" s="12"/>
      <c r="AE346" s="12"/>
      <c r="AF346" s="12"/>
      <c r="AG346" s="369"/>
      <c r="AH346" s="370"/>
      <c r="AI346" s="18" t="s">
        <v>242</v>
      </c>
      <c r="AJ346" s="18" t="s">
        <v>242</v>
      </c>
      <c r="AK346" s="427" t="s">
        <v>242</v>
      </c>
      <c r="AL346" s="18">
        <v>27736</v>
      </c>
      <c r="AM346" s="19" t="s">
        <v>4694</v>
      </c>
      <c r="AN346" s="38"/>
      <c r="AO346" s="10" t="s">
        <v>4697</v>
      </c>
      <c r="AP346" s="40"/>
      <c r="AQ346" s="20">
        <v>691456576</v>
      </c>
      <c r="AR346" s="47" t="s">
        <v>4701</v>
      </c>
      <c r="AS346" s="62"/>
      <c r="AT346" s="62"/>
      <c r="AU346" s="11"/>
      <c r="AV346" s="10"/>
      <c r="AW346" s="11"/>
      <c r="AX346" s="11"/>
      <c r="AY346" s="11"/>
      <c r="AZ346" s="11"/>
      <c r="BA346" s="11"/>
      <c r="BB346" s="59"/>
      <c r="BC346" s="59"/>
      <c r="BD346" s="59"/>
      <c r="BE346" s="59"/>
      <c r="BF346" s="59"/>
      <c r="BG346" s="59"/>
      <c r="BH346" s="138"/>
      <c r="BI346" s="138"/>
      <c r="BJ346" s="138"/>
      <c r="BK346" s="231"/>
      <c r="BL346" s="231"/>
      <c r="BM346" s="231"/>
      <c r="BN346" s="232"/>
      <c r="BO346" s="19"/>
      <c r="BP346" s="23"/>
      <c r="BQ346" s="23"/>
      <c r="BR346" s="23"/>
      <c r="BS346" s="43"/>
    </row>
    <row r="347" spans="1:72" ht="12.75" customHeight="1" x14ac:dyDescent="0.15">
      <c r="A347" s="48" t="s">
        <v>5234</v>
      </c>
      <c r="B347" s="9" t="s">
        <v>854</v>
      </c>
      <c r="C347" s="9"/>
      <c r="D347" s="9"/>
      <c r="E347" s="9"/>
      <c r="F347" s="112" t="s">
        <v>107</v>
      </c>
      <c r="G347" s="11" t="s">
        <v>5237</v>
      </c>
      <c r="H347" s="5" t="s">
        <v>5238</v>
      </c>
      <c r="I347" s="11" t="s">
        <v>528</v>
      </c>
      <c r="J347" s="357" t="s">
        <v>5256</v>
      </c>
      <c r="K347" s="353"/>
      <c r="L347" s="221">
        <v>212</v>
      </c>
      <c r="M347" s="221"/>
      <c r="N347" s="222" t="str">
        <f t="shared" si="10"/>
        <v>Contact famille</v>
      </c>
      <c r="O347" s="729">
        <v>212</v>
      </c>
      <c r="P347" s="729"/>
      <c r="Q347" s="730" t="str">
        <f t="shared" si="11"/>
        <v>Contact famille</v>
      </c>
      <c r="R347" s="732"/>
      <c r="S347" s="732"/>
      <c r="T347" s="732"/>
      <c r="U347" s="732"/>
      <c r="V347" s="732"/>
      <c r="W347" s="732"/>
      <c r="X347" s="732"/>
      <c r="Y347" s="732"/>
      <c r="Z347" s="732"/>
      <c r="AA347" s="732" t="s">
        <v>313</v>
      </c>
      <c r="AB347" s="12"/>
      <c r="AC347" s="155"/>
      <c r="AD347" s="155"/>
      <c r="AE347" s="155"/>
      <c r="AF347" s="12"/>
      <c r="AG347" s="386"/>
      <c r="AH347" s="392"/>
      <c r="AI347" s="18" t="s">
        <v>242</v>
      </c>
      <c r="AJ347" s="18" t="s">
        <v>242</v>
      </c>
      <c r="AK347" s="13" t="s">
        <v>242</v>
      </c>
      <c r="AL347" s="13" t="s">
        <v>242</v>
      </c>
      <c r="AM347" s="46" t="s">
        <v>244</v>
      </c>
      <c r="AN347" s="10"/>
      <c r="AO347" s="11"/>
      <c r="AP347" s="53"/>
      <c r="AQ347" s="20">
        <v>691237686</v>
      </c>
      <c r="AR347" s="68" t="s">
        <v>5245</v>
      </c>
      <c r="AS347" s="62"/>
      <c r="AT347" s="62"/>
      <c r="AU347" s="10"/>
      <c r="AV347" s="10"/>
      <c r="AW347" s="13"/>
      <c r="AX347" s="11"/>
      <c r="AY347" s="11"/>
      <c r="AZ347" s="11"/>
      <c r="BA347" s="11"/>
      <c r="BB347" s="59"/>
      <c r="BC347" s="59"/>
      <c r="BD347" s="59"/>
      <c r="BE347" s="59"/>
      <c r="BF347" s="59"/>
      <c r="BG347" s="59"/>
      <c r="BH347" s="138"/>
      <c r="BI347" s="138"/>
      <c r="BJ347" s="138"/>
      <c r="BK347" s="231"/>
      <c r="BL347" s="231"/>
      <c r="BM347" s="231"/>
      <c r="BN347" s="232"/>
      <c r="BO347" s="11"/>
      <c r="BP347" s="11"/>
      <c r="BQ347" s="11"/>
      <c r="BR347" s="11"/>
      <c r="BS347" s="394"/>
    </row>
    <row r="348" spans="1:72" ht="13.5" customHeight="1" x14ac:dyDescent="0.15">
      <c r="A348" s="48" t="s">
        <v>5234</v>
      </c>
      <c r="B348" s="9" t="s">
        <v>768</v>
      </c>
      <c r="C348" s="9"/>
      <c r="D348" s="9"/>
      <c r="E348" s="9"/>
      <c r="F348" s="112" t="s">
        <v>107</v>
      </c>
      <c r="G348" s="11" t="s">
        <v>5237</v>
      </c>
      <c r="H348" s="5" t="s">
        <v>1225</v>
      </c>
      <c r="I348" s="11" t="s">
        <v>528</v>
      </c>
      <c r="J348" s="357" t="s">
        <v>5256</v>
      </c>
      <c r="K348" s="353"/>
      <c r="L348" s="221">
        <v>15</v>
      </c>
      <c r="M348" s="221"/>
      <c r="N348" s="222" t="str">
        <f t="shared" si="10"/>
        <v>U 13 Dames</v>
      </c>
      <c r="O348" s="729">
        <v>15</v>
      </c>
      <c r="P348" s="729"/>
      <c r="Q348" s="730" t="str">
        <f t="shared" si="11"/>
        <v>U 13 Dames</v>
      </c>
      <c r="R348" s="732"/>
      <c r="S348" s="732"/>
      <c r="T348" s="732"/>
      <c r="U348" s="732"/>
      <c r="V348" s="732"/>
      <c r="W348" s="732"/>
      <c r="X348" s="732"/>
      <c r="Y348" s="732"/>
      <c r="Z348" s="732"/>
      <c r="AA348" s="732" t="s">
        <v>192</v>
      </c>
      <c r="AB348" s="12" t="s">
        <v>5281</v>
      </c>
      <c r="AC348" s="155"/>
      <c r="AD348" s="155"/>
      <c r="AE348" s="155"/>
      <c r="AF348" s="12"/>
      <c r="AG348" s="386" t="s">
        <v>5173</v>
      </c>
      <c r="AH348" s="392"/>
      <c r="AI348" s="18">
        <v>45911</v>
      </c>
      <c r="AJ348" s="18">
        <v>45859</v>
      </c>
      <c r="AK348" s="13">
        <v>2029</v>
      </c>
      <c r="AL348" s="18">
        <v>41911</v>
      </c>
      <c r="AM348" s="5" t="s">
        <v>5241</v>
      </c>
      <c r="AN348" s="10"/>
      <c r="AO348" s="11"/>
      <c r="AP348" s="53" t="s">
        <v>5242</v>
      </c>
      <c r="AQ348" s="10" t="s">
        <v>5243</v>
      </c>
      <c r="AR348" s="68" t="s">
        <v>5244</v>
      </c>
      <c r="AS348" s="62"/>
      <c r="AT348" s="62"/>
      <c r="AU348" s="10"/>
      <c r="AV348" s="10"/>
      <c r="AW348" s="13"/>
      <c r="AX348" s="11"/>
      <c r="AY348" s="11"/>
      <c r="AZ348" s="11"/>
      <c r="BA348" s="11"/>
      <c r="BB348" s="59"/>
      <c r="BC348" s="59"/>
      <c r="BD348" s="59"/>
      <c r="BE348" s="59"/>
      <c r="BF348" s="59"/>
      <c r="BG348" s="59"/>
      <c r="BH348" s="138"/>
      <c r="BI348" s="138"/>
      <c r="BJ348" s="138"/>
      <c r="BK348" s="231"/>
      <c r="BL348" s="231"/>
      <c r="BM348" s="231"/>
      <c r="BN348" s="232"/>
      <c r="BO348" s="11"/>
      <c r="BP348" s="11"/>
      <c r="BQ348" s="11"/>
      <c r="BR348" s="11"/>
      <c r="BS348" s="394"/>
    </row>
    <row r="349" spans="1:72" ht="12.75" customHeight="1" x14ac:dyDescent="0.15">
      <c r="A349" s="48" t="s">
        <v>2196</v>
      </c>
      <c r="B349" s="9" t="s">
        <v>4918</v>
      </c>
      <c r="C349" s="9"/>
      <c r="D349" s="9"/>
      <c r="E349" s="9"/>
      <c r="F349" s="112" t="s">
        <v>107</v>
      </c>
      <c r="G349" s="10" t="s">
        <v>4930</v>
      </c>
      <c r="H349" s="5" t="s">
        <v>110</v>
      </c>
      <c r="I349" s="11" t="s">
        <v>111</v>
      </c>
      <c r="J349" s="357" t="s">
        <v>494</v>
      </c>
      <c r="K349" s="353"/>
      <c r="L349" s="221">
        <v>212</v>
      </c>
      <c r="M349" s="221"/>
      <c r="N349" s="222" t="str">
        <f t="shared" si="10"/>
        <v>Contact famille</v>
      </c>
      <c r="O349" s="729">
        <v>212</v>
      </c>
      <c r="P349" s="729"/>
      <c r="Q349" s="730" t="str">
        <f t="shared" si="11"/>
        <v>Contact famille</v>
      </c>
      <c r="R349" s="731"/>
      <c r="S349" s="731"/>
      <c r="T349" s="731"/>
      <c r="U349" s="731" t="s">
        <v>313</v>
      </c>
      <c r="V349" s="731"/>
      <c r="W349" s="731" t="s">
        <v>313</v>
      </c>
      <c r="X349" s="731"/>
      <c r="Y349" s="731"/>
      <c r="Z349" s="731"/>
      <c r="AA349" s="731"/>
      <c r="AB349" s="12"/>
      <c r="AC349" s="12" t="s">
        <v>5353</v>
      </c>
      <c r="AD349" s="12" t="s">
        <v>5353</v>
      </c>
      <c r="AE349" s="12"/>
      <c r="AF349" s="12"/>
      <c r="AG349" s="386" t="s">
        <v>5173</v>
      </c>
      <c r="AH349" s="370"/>
      <c r="AI349" s="18">
        <v>45950</v>
      </c>
      <c r="AJ349" s="18">
        <v>43382</v>
      </c>
      <c r="AK349" s="13" t="s">
        <v>242</v>
      </c>
      <c r="AL349" s="18">
        <v>31015</v>
      </c>
      <c r="AM349" s="19" t="s">
        <v>4935</v>
      </c>
      <c r="AN349" s="38"/>
      <c r="AO349" s="10"/>
      <c r="AP349" s="40"/>
      <c r="AQ349" s="20">
        <v>621730324</v>
      </c>
      <c r="AR349" s="47" t="s">
        <v>4938</v>
      </c>
      <c r="AS349" s="62"/>
      <c r="AT349" s="62"/>
      <c r="AU349" s="11"/>
      <c r="AV349" s="10"/>
      <c r="AW349" s="11"/>
      <c r="AX349" s="11"/>
      <c r="AY349" s="11"/>
      <c r="AZ349" s="11"/>
      <c r="BA349" s="11"/>
      <c r="BB349" s="59"/>
      <c r="BC349" s="59"/>
      <c r="BD349" s="59"/>
      <c r="BE349" s="59"/>
      <c r="BF349" s="59"/>
      <c r="BG349" s="59"/>
      <c r="BH349" s="138"/>
      <c r="BI349" s="138"/>
      <c r="BJ349" s="138"/>
      <c r="BK349" s="231"/>
      <c r="BL349" s="231"/>
      <c r="BM349" s="231"/>
      <c r="BN349" s="232"/>
      <c r="BO349" s="19"/>
      <c r="BP349" s="23"/>
      <c r="BQ349" s="23"/>
      <c r="BR349" s="23"/>
      <c r="BS349" s="43"/>
    </row>
    <row r="350" spans="1:72" ht="12.75" customHeight="1" x14ac:dyDescent="0.15">
      <c r="A350" s="48" t="s">
        <v>2196</v>
      </c>
      <c r="B350" s="9" t="s">
        <v>960</v>
      </c>
      <c r="C350" s="9"/>
      <c r="D350" s="9"/>
      <c r="E350" s="9"/>
      <c r="F350" s="10" t="s">
        <v>107</v>
      </c>
      <c r="G350" s="10" t="s">
        <v>2197</v>
      </c>
      <c r="H350" s="5" t="s">
        <v>683</v>
      </c>
      <c r="I350" s="11" t="s">
        <v>241</v>
      </c>
      <c r="J350" s="357" t="s">
        <v>2198</v>
      </c>
      <c r="K350" s="353"/>
      <c r="L350" s="221">
        <v>1</v>
      </c>
      <c r="M350" s="221"/>
      <c r="N350" s="222" t="str">
        <f t="shared" si="10"/>
        <v>Officiel H</v>
      </c>
      <c r="O350" s="729">
        <v>1</v>
      </c>
      <c r="P350" s="729"/>
      <c r="Q350" s="730" t="str">
        <f t="shared" si="11"/>
        <v>Officiel H</v>
      </c>
      <c r="R350" s="731"/>
      <c r="S350" s="731"/>
      <c r="T350" s="731" t="s">
        <v>313</v>
      </c>
      <c r="U350" s="731" t="s">
        <v>313</v>
      </c>
      <c r="V350" s="731"/>
      <c r="W350" s="731"/>
      <c r="X350" s="731"/>
      <c r="Y350" s="731"/>
      <c r="Z350" s="731"/>
      <c r="AA350" s="731"/>
      <c r="AB350" s="12"/>
      <c r="AC350" s="12" t="s">
        <v>4502</v>
      </c>
      <c r="AD350" s="12" t="s">
        <v>4502</v>
      </c>
      <c r="AE350" s="12"/>
      <c r="AF350" s="12"/>
      <c r="AG350" s="369"/>
      <c r="AH350" s="370"/>
      <c r="AI350" s="18">
        <v>45195</v>
      </c>
      <c r="AJ350" s="18">
        <v>43382</v>
      </c>
      <c r="AK350" s="13" t="s">
        <v>242</v>
      </c>
      <c r="AL350" s="45">
        <v>29384</v>
      </c>
      <c r="AM350" s="46" t="s">
        <v>4490</v>
      </c>
      <c r="AN350" s="19"/>
      <c r="AO350" s="10" t="s">
        <v>2199</v>
      </c>
      <c r="AP350" s="40"/>
      <c r="AQ350" s="10" t="s">
        <v>2200</v>
      </c>
      <c r="AR350" s="47" t="s">
        <v>2201</v>
      </c>
      <c r="AS350" s="62"/>
      <c r="AT350" s="62"/>
      <c r="AU350" s="11"/>
      <c r="AV350" s="10"/>
      <c r="AW350" s="13" t="s">
        <v>3969</v>
      </c>
      <c r="AX350" s="11"/>
      <c r="AY350" s="11"/>
      <c r="AZ350" s="11" t="s">
        <v>420</v>
      </c>
      <c r="BA350" s="11"/>
      <c r="BB350" s="59" t="s">
        <v>2813</v>
      </c>
      <c r="BC350" s="59" t="s">
        <v>3151</v>
      </c>
      <c r="BD350" s="59"/>
      <c r="BE350" s="59" t="s">
        <v>988</v>
      </c>
      <c r="BF350" s="59"/>
      <c r="BG350" s="59"/>
      <c r="BH350" s="138"/>
      <c r="BI350" s="138"/>
      <c r="BJ350" s="138"/>
      <c r="BK350" s="231"/>
      <c r="BL350" s="231"/>
      <c r="BM350" s="231"/>
      <c r="BN350" s="232"/>
      <c r="BO350" s="19"/>
      <c r="BP350" s="23"/>
      <c r="BQ350" s="23"/>
      <c r="BR350" s="23"/>
      <c r="BS350" s="43"/>
    </row>
    <row r="351" spans="1:72" ht="12.75" customHeight="1" x14ac:dyDescent="0.15">
      <c r="A351" s="48" t="s">
        <v>2196</v>
      </c>
      <c r="B351" s="9" t="s">
        <v>4120</v>
      </c>
      <c r="C351" s="9"/>
      <c r="D351" s="9"/>
      <c r="E351" s="9"/>
      <c r="F351" s="10" t="s">
        <v>107</v>
      </c>
      <c r="G351" s="10" t="s">
        <v>2197</v>
      </c>
      <c r="H351" s="5" t="s">
        <v>683</v>
      </c>
      <c r="I351" s="11" t="s">
        <v>241</v>
      </c>
      <c r="J351" s="357" t="s">
        <v>2198</v>
      </c>
      <c r="K351" s="353"/>
      <c r="L351" s="221">
        <v>6</v>
      </c>
      <c r="M351" s="221"/>
      <c r="N351" s="222" t="str">
        <f t="shared" si="10"/>
        <v>U 13 Hommes</v>
      </c>
      <c r="O351" s="729">
        <v>6</v>
      </c>
      <c r="P351" s="729"/>
      <c r="Q351" s="730" t="str">
        <f t="shared" si="11"/>
        <v>U 13 Hommes</v>
      </c>
      <c r="R351" s="731"/>
      <c r="S351" s="731"/>
      <c r="T351" s="731"/>
      <c r="U351" s="731" t="s">
        <v>192</v>
      </c>
      <c r="V351" s="731"/>
      <c r="W351" s="731"/>
      <c r="X351" s="731"/>
      <c r="Y351" s="731"/>
      <c r="Z351" s="731"/>
      <c r="AA351" s="731"/>
      <c r="AB351" s="12" t="s">
        <v>4175</v>
      </c>
      <c r="AC351" s="12"/>
      <c r="AD351" s="12"/>
      <c r="AE351" s="12"/>
      <c r="AF351" s="12"/>
      <c r="AG351" s="369"/>
      <c r="AH351" s="370"/>
      <c r="AI351" s="18">
        <v>44872</v>
      </c>
      <c r="AJ351" s="18">
        <v>44805</v>
      </c>
      <c r="AK351" s="13">
        <v>2027</v>
      </c>
      <c r="AL351" s="18">
        <v>42236</v>
      </c>
      <c r="AM351" s="19" t="s">
        <v>4121</v>
      </c>
      <c r="AN351" s="38"/>
      <c r="AO351" s="10" t="s">
        <v>2199</v>
      </c>
      <c r="AP351" s="40" t="s">
        <v>2204</v>
      </c>
      <c r="AQ351" s="10" t="s">
        <v>2205</v>
      </c>
      <c r="AR351" s="21" t="s">
        <v>2206</v>
      </c>
      <c r="AS351" s="62"/>
      <c r="AT351" s="62"/>
      <c r="AU351" s="11"/>
      <c r="AV351" s="10"/>
      <c r="AW351" s="11"/>
      <c r="AX351" s="11"/>
      <c r="AY351" s="11"/>
      <c r="AZ351" s="11"/>
      <c r="BA351" s="11"/>
      <c r="BB351" s="59"/>
      <c r="BC351" s="59"/>
      <c r="BD351" s="59"/>
      <c r="BE351" s="59"/>
      <c r="BF351" s="59"/>
      <c r="BG351" s="59"/>
      <c r="BH351" s="138"/>
      <c r="BI351" s="138"/>
      <c r="BJ351" s="138"/>
      <c r="BK351" s="231"/>
      <c r="BL351" s="231"/>
      <c r="BM351" s="231"/>
      <c r="BN351" s="232"/>
      <c r="BO351" s="19"/>
      <c r="BP351" s="23"/>
      <c r="BQ351" s="23"/>
      <c r="BR351" s="23"/>
      <c r="BS351" s="43"/>
    </row>
    <row r="352" spans="1:72" ht="12.75" customHeight="1" x14ac:dyDescent="0.15">
      <c r="A352" s="48" t="s">
        <v>2196</v>
      </c>
      <c r="B352" s="9" t="s">
        <v>2202</v>
      </c>
      <c r="C352" s="9"/>
      <c r="D352" s="9"/>
      <c r="E352" s="9"/>
      <c r="F352" s="10" t="s">
        <v>107</v>
      </c>
      <c r="G352" s="10" t="s">
        <v>2197</v>
      </c>
      <c r="H352" s="5" t="s">
        <v>683</v>
      </c>
      <c r="I352" s="11" t="s">
        <v>241</v>
      </c>
      <c r="J352" s="357" t="s">
        <v>2198</v>
      </c>
      <c r="K352" s="353"/>
      <c r="L352" s="221">
        <v>5</v>
      </c>
      <c r="M352" s="221"/>
      <c r="N352" s="222" t="str">
        <f t="shared" si="10"/>
        <v>U 15 Hommes</v>
      </c>
      <c r="O352" s="729">
        <v>5</v>
      </c>
      <c r="P352" s="729"/>
      <c r="Q352" s="730" t="str">
        <f t="shared" si="11"/>
        <v>U 15 Hommes</v>
      </c>
      <c r="R352" s="731"/>
      <c r="S352" s="731"/>
      <c r="T352" s="731" t="s">
        <v>192</v>
      </c>
      <c r="U352" s="731"/>
      <c r="V352" s="731"/>
      <c r="W352" s="731"/>
      <c r="X352" s="731"/>
      <c r="Y352" s="731"/>
      <c r="Z352" s="731"/>
      <c r="AA352" s="731"/>
      <c r="AB352" s="12" t="s">
        <v>3019</v>
      </c>
      <c r="AC352" s="12"/>
      <c r="AD352" s="12"/>
      <c r="AE352" s="12"/>
      <c r="AF352" s="12"/>
      <c r="AG352" s="373"/>
      <c r="AH352" s="370"/>
      <c r="AI352" s="18">
        <v>43424</v>
      </c>
      <c r="AJ352" s="18">
        <v>43382</v>
      </c>
      <c r="AK352" s="13">
        <v>2026</v>
      </c>
      <c r="AL352" s="18">
        <v>41192</v>
      </c>
      <c r="AM352" s="19" t="s">
        <v>2203</v>
      </c>
      <c r="AN352" s="19"/>
      <c r="AO352" s="10" t="s">
        <v>2199</v>
      </c>
      <c r="AP352" s="40" t="s">
        <v>2204</v>
      </c>
      <c r="AQ352" s="10" t="s">
        <v>2205</v>
      </c>
      <c r="AR352" s="21" t="s">
        <v>2206</v>
      </c>
      <c r="AS352" s="62"/>
      <c r="AT352" s="62"/>
      <c r="AU352" s="11"/>
      <c r="AV352" s="10"/>
      <c r="AW352" s="11"/>
      <c r="AX352" s="11"/>
      <c r="AY352" s="11"/>
      <c r="AZ352" s="11" t="s">
        <v>209</v>
      </c>
      <c r="BA352" s="11"/>
      <c r="BB352" s="59" t="s">
        <v>2813</v>
      </c>
      <c r="BC352" s="59" t="s">
        <v>3151</v>
      </c>
      <c r="BD352" s="59"/>
      <c r="BE352" s="59">
        <v>100</v>
      </c>
      <c r="BF352" s="59"/>
      <c r="BG352" s="59"/>
      <c r="BH352" s="138"/>
      <c r="BI352" s="138"/>
      <c r="BJ352" s="138"/>
      <c r="BK352" s="231"/>
      <c r="BL352" s="231"/>
      <c r="BM352" s="231"/>
      <c r="BN352" s="232"/>
      <c r="BO352" s="19"/>
      <c r="BP352" s="23"/>
      <c r="BQ352" s="23"/>
      <c r="BR352" s="23"/>
      <c r="BS352" s="43"/>
    </row>
    <row r="353" spans="1:72" ht="12.75" customHeight="1" x14ac:dyDescent="0.15">
      <c r="A353" s="48" t="s">
        <v>5319</v>
      </c>
      <c r="B353" s="9" t="s">
        <v>5320</v>
      </c>
      <c r="C353" s="9"/>
      <c r="D353" s="9"/>
      <c r="E353" s="9"/>
      <c r="F353" s="11" t="s">
        <v>5321</v>
      </c>
      <c r="G353" s="11" t="s">
        <v>5322</v>
      </c>
      <c r="H353" s="5" t="s">
        <v>5325</v>
      </c>
      <c r="I353" s="11" t="s">
        <v>294</v>
      </c>
      <c r="J353" s="357" t="s">
        <v>5306</v>
      </c>
      <c r="K353" s="353"/>
      <c r="L353" s="221">
        <v>212</v>
      </c>
      <c r="M353" s="221"/>
      <c r="N353" s="222" t="str">
        <f t="shared" si="10"/>
        <v>Contact famille</v>
      </c>
      <c r="O353" s="729">
        <v>212</v>
      </c>
      <c r="P353" s="729"/>
      <c r="Q353" s="730" t="str">
        <f t="shared" si="11"/>
        <v>Contact famille</v>
      </c>
      <c r="R353" s="732"/>
      <c r="S353" s="732"/>
      <c r="T353" s="732"/>
      <c r="U353" s="732"/>
      <c r="V353" s="732"/>
      <c r="W353" s="732"/>
      <c r="X353" s="732" t="s">
        <v>313</v>
      </c>
      <c r="Y353" s="732"/>
      <c r="Z353" s="732"/>
      <c r="AA353" s="732"/>
      <c r="AB353" s="12"/>
      <c r="AC353" s="155"/>
      <c r="AD353" s="155"/>
      <c r="AE353" s="155"/>
      <c r="AF353" s="12"/>
      <c r="AG353" s="386"/>
      <c r="AH353" s="392"/>
      <c r="AI353" s="18" t="s">
        <v>242</v>
      </c>
      <c r="AJ353" s="18" t="s">
        <v>242</v>
      </c>
      <c r="AK353" s="13" t="s">
        <v>242</v>
      </c>
      <c r="AL353" s="18" t="s">
        <v>242</v>
      </c>
      <c r="AM353" s="19" t="s">
        <v>244</v>
      </c>
      <c r="AN353" s="10"/>
      <c r="AO353" s="11"/>
      <c r="AP353" s="53"/>
      <c r="AQ353" s="20">
        <v>691202532</v>
      </c>
      <c r="AR353" s="68" t="s">
        <v>5330</v>
      </c>
      <c r="AS353" s="62"/>
      <c r="AT353" s="62"/>
      <c r="AU353" s="10"/>
      <c r="AV353" s="10"/>
      <c r="AW353" s="13"/>
      <c r="AX353" s="11"/>
      <c r="AY353" s="11"/>
      <c r="AZ353" s="11"/>
      <c r="BA353" s="11"/>
      <c r="BB353" s="59"/>
      <c r="BC353" s="59"/>
      <c r="BD353" s="59"/>
      <c r="BE353" s="59"/>
      <c r="BF353" s="59"/>
      <c r="BG353" s="59"/>
      <c r="BH353" s="138"/>
      <c r="BI353" s="138"/>
      <c r="BJ353" s="138"/>
      <c r="BK353" s="231"/>
      <c r="BL353" s="231"/>
      <c r="BM353" s="231"/>
      <c r="BN353" s="232"/>
      <c r="BO353" s="11"/>
      <c r="BP353" s="11"/>
      <c r="BQ353" s="11"/>
      <c r="BR353" s="11"/>
      <c r="BS353" s="394"/>
    </row>
    <row r="354" spans="1:72" ht="12.75" customHeight="1" x14ac:dyDescent="0.15">
      <c r="A354" s="48" t="s">
        <v>5332</v>
      </c>
      <c r="B354" s="9" t="s">
        <v>626</v>
      </c>
      <c r="C354" s="9"/>
      <c r="D354" s="9"/>
      <c r="E354" s="9"/>
      <c r="F354" s="112" t="s">
        <v>107</v>
      </c>
      <c r="G354" s="11" t="s">
        <v>5336</v>
      </c>
      <c r="H354" s="5" t="s">
        <v>5337</v>
      </c>
      <c r="I354" s="11" t="s">
        <v>500</v>
      </c>
      <c r="J354" s="357" t="s">
        <v>5313</v>
      </c>
      <c r="K354" s="353"/>
      <c r="L354" s="221">
        <v>212</v>
      </c>
      <c r="M354" s="221"/>
      <c r="N354" s="222" t="str">
        <f t="shared" si="10"/>
        <v>Contact famille</v>
      </c>
      <c r="O354" s="729">
        <v>212</v>
      </c>
      <c r="P354" s="729"/>
      <c r="Q354" s="730" t="str">
        <f t="shared" si="11"/>
        <v>Contact famille</v>
      </c>
      <c r="R354" s="732"/>
      <c r="S354" s="732"/>
      <c r="T354" s="732"/>
      <c r="U354" s="732"/>
      <c r="V354" s="732"/>
      <c r="W354" s="732" t="s">
        <v>313</v>
      </c>
      <c r="X354" s="732" t="s">
        <v>313</v>
      </c>
      <c r="Y354" s="732"/>
      <c r="Z354" s="732"/>
      <c r="AA354" s="732"/>
      <c r="AB354" s="12"/>
      <c r="AC354" s="155"/>
      <c r="AD354" s="155"/>
      <c r="AE354" s="155"/>
      <c r="AF354" s="12"/>
      <c r="AG354" s="386"/>
      <c r="AH354" s="392"/>
      <c r="AI354" s="18" t="s">
        <v>242</v>
      </c>
      <c r="AJ354" s="18" t="s">
        <v>242</v>
      </c>
      <c r="AK354" s="13" t="s">
        <v>242</v>
      </c>
      <c r="AL354" s="18" t="s">
        <v>242</v>
      </c>
      <c r="AM354" s="19" t="s">
        <v>244</v>
      </c>
      <c r="AN354" s="10"/>
      <c r="AO354" s="11"/>
      <c r="AP354" s="53"/>
      <c r="AQ354" s="20">
        <v>691842609</v>
      </c>
      <c r="AR354" s="68"/>
      <c r="AS354" s="62"/>
      <c r="AT354" s="62"/>
      <c r="AU354" s="10"/>
      <c r="AV354" s="10"/>
      <c r="AW354" s="13"/>
      <c r="AX354" s="11"/>
      <c r="AY354" s="11"/>
      <c r="AZ354" s="11"/>
      <c r="BA354" s="11"/>
      <c r="BB354" s="59"/>
      <c r="BC354" s="59"/>
      <c r="BD354" s="59"/>
      <c r="BE354" s="59"/>
      <c r="BF354" s="59"/>
      <c r="BG354" s="59"/>
      <c r="BH354" s="138"/>
      <c r="BI354" s="138"/>
      <c r="BJ354" s="138"/>
      <c r="BK354" s="231"/>
      <c r="BL354" s="231"/>
      <c r="BM354" s="231"/>
      <c r="BN354" s="232"/>
      <c r="BO354" s="11"/>
      <c r="BP354" s="11"/>
      <c r="BQ354" s="11"/>
      <c r="BR354" s="11"/>
      <c r="BS354" s="394"/>
    </row>
    <row r="355" spans="1:72" ht="12.75" customHeight="1" x14ac:dyDescent="0.15">
      <c r="A355" s="48" t="s">
        <v>5332</v>
      </c>
      <c r="B355" s="9" t="s">
        <v>5333</v>
      </c>
      <c r="C355" s="9"/>
      <c r="D355" s="9"/>
      <c r="E355" s="9"/>
      <c r="F355" s="112" t="s">
        <v>107</v>
      </c>
      <c r="G355" s="11" t="s">
        <v>5336</v>
      </c>
      <c r="H355" s="5" t="s">
        <v>5337</v>
      </c>
      <c r="I355" s="11" t="s">
        <v>500</v>
      </c>
      <c r="J355" s="357" t="s">
        <v>5313</v>
      </c>
      <c r="K355" s="353"/>
      <c r="L355" s="221">
        <v>21</v>
      </c>
      <c r="M355" s="221"/>
      <c r="N355" s="222" t="str">
        <f t="shared" si="10"/>
        <v>U7 Mixte</v>
      </c>
      <c r="O355" s="729">
        <v>21</v>
      </c>
      <c r="P355" s="729"/>
      <c r="Q355" s="730" t="str">
        <f t="shared" si="11"/>
        <v>U7 Mixte</v>
      </c>
      <c r="R355" s="732"/>
      <c r="S355" s="732"/>
      <c r="T355" s="732"/>
      <c r="U355" s="732"/>
      <c r="V355" s="732"/>
      <c r="W355" s="732"/>
      <c r="X355" s="732" t="s">
        <v>192</v>
      </c>
      <c r="Y355" s="732"/>
      <c r="Z355" s="732"/>
      <c r="AA355" s="732"/>
      <c r="AB355" s="12" t="s">
        <v>5344</v>
      </c>
      <c r="AC355" s="155"/>
      <c r="AD355" s="155"/>
      <c r="AE355" s="155"/>
      <c r="AF355" s="12"/>
      <c r="AG355" s="386" t="s">
        <v>5173</v>
      </c>
      <c r="AH355" s="392"/>
      <c r="AI355" s="18">
        <v>45945</v>
      </c>
      <c r="AJ355" s="18">
        <v>45940</v>
      </c>
      <c r="AK355" s="13">
        <v>2029</v>
      </c>
      <c r="AL355" s="18">
        <v>44582</v>
      </c>
      <c r="AM355" s="5" t="s">
        <v>5338</v>
      </c>
      <c r="AN355" s="10"/>
      <c r="AO355" s="11"/>
      <c r="AP355" s="53" t="s">
        <v>5339</v>
      </c>
      <c r="AQ355" s="10" t="s">
        <v>5340</v>
      </c>
      <c r="AR355" s="68" t="s">
        <v>5341</v>
      </c>
      <c r="AS355" s="62"/>
      <c r="AT355" s="62"/>
      <c r="AU355" s="10"/>
      <c r="AV355" s="10"/>
      <c r="AW355" s="13"/>
      <c r="AX355" s="11"/>
      <c r="AY355" s="11"/>
      <c r="AZ355" s="11"/>
      <c r="BA355" s="11"/>
      <c r="BB355" s="59"/>
      <c r="BC355" s="59"/>
      <c r="BD355" s="59"/>
      <c r="BE355" s="59"/>
      <c r="BF355" s="59"/>
      <c r="BG355" s="59"/>
      <c r="BH355" s="138"/>
      <c r="BI355" s="138"/>
      <c r="BJ355" s="138"/>
      <c r="BK355" s="231"/>
      <c r="BL355" s="231"/>
      <c r="BM355" s="231"/>
      <c r="BN355" s="232"/>
      <c r="BO355" s="11"/>
      <c r="BP355" s="11"/>
      <c r="BQ355" s="11"/>
      <c r="BR355" s="11"/>
      <c r="BS355" s="394"/>
    </row>
    <row r="356" spans="1:72" ht="12.75" customHeight="1" x14ac:dyDescent="0.15">
      <c r="A356" s="48" t="s">
        <v>5386</v>
      </c>
      <c r="B356" s="9" t="s">
        <v>5387</v>
      </c>
      <c r="C356" s="9"/>
      <c r="D356" s="9"/>
      <c r="E356" s="9"/>
      <c r="F356" s="112" t="s">
        <v>107</v>
      </c>
      <c r="G356" s="11" t="s">
        <v>5336</v>
      </c>
      <c r="H356" s="5" t="s">
        <v>5337</v>
      </c>
      <c r="I356" s="11" t="s">
        <v>500</v>
      </c>
      <c r="J356" s="357" t="s">
        <v>5313</v>
      </c>
      <c r="K356" s="353"/>
      <c r="L356" s="221">
        <v>8</v>
      </c>
      <c r="M356" s="221"/>
      <c r="N356" s="222" t="str">
        <f t="shared" si="10"/>
        <v xml:space="preserve">U 9 Hommes </v>
      </c>
      <c r="O356" s="729">
        <v>8</v>
      </c>
      <c r="P356" s="729"/>
      <c r="Q356" s="730" t="str">
        <f t="shared" si="11"/>
        <v xml:space="preserve">U 9 Hommes </v>
      </c>
      <c r="R356" s="732"/>
      <c r="S356" s="732"/>
      <c r="T356" s="732"/>
      <c r="U356" s="732"/>
      <c r="V356" s="732"/>
      <c r="W356" s="732" t="s">
        <v>192</v>
      </c>
      <c r="X356" s="732"/>
      <c r="Y356" s="732"/>
      <c r="Z356" s="732"/>
      <c r="AA356" s="732"/>
      <c r="AB356" s="12" t="s">
        <v>5391</v>
      </c>
      <c r="AC356" s="155"/>
      <c r="AD356" s="155"/>
      <c r="AE356" s="155"/>
      <c r="AF356" s="12"/>
      <c r="AG356" s="386" t="s">
        <v>5173</v>
      </c>
      <c r="AH356" s="392"/>
      <c r="AI356" s="18">
        <v>45966</v>
      </c>
      <c r="AJ356" s="18">
        <v>45962</v>
      </c>
      <c r="AK356" s="13">
        <v>2031</v>
      </c>
      <c r="AL356" s="18">
        <v>43745</v>
      </c>
      <c r="AM356" s="5" t="s">
        <v>5388</v>
      </c>
      <c r="AN356" s="10"/>
      <c r="AO356" s="11"/>
      <c r="AP356" s="53" t="s">
        <v>5339</v>
      </c>
      <c r="AQ356" s="10" t="s">
        <v>5340</v>
      </c>
      <c r="AR356" s="68" t="s">
        <v>5341</v>
      </c>
      <c r="AS356" s="62"/>
      <c r="AT356" s="62"/>
      <c r="AU356" s="10"/>
      <c r="AV356" s="10"/>
      <c r="AW356" s="13"/>
      <c r="AX356" s="11"/>
      <c r="AY356" s="11"/>
      <c r="AZ356" s="11"/>
      <c r="BA356" s="11"/>
      <c r="BB356" s="59"/>
      <c r="BC356" s="59"/>
      <c r="BD356" s="59"/>
      <c r="BE356" s="59"/>
      <c r="BF356" s="59"/>
      <c r="BG356" s="59"/>
      <c r="BH356" s="138"/>
      <c r="BI356" s="138"/>
      <c r="BJ356" s="138"/>
      <c r="BK356" s="231"/>
      <c r="BL356" s="231"/>
      <c r="BM356" s="231"/>
      <c r="BN356" s="232"/>
      <c r="BO356" s="11"/>
      <c r="BP356" s="11"/>
      <c r="BQ356" s="11"/>
      <c r="BR356" s="11"/>
      <c r="BS356" s="394"/>
    </row>
    <row r="357" spans="1:72" s="150" customFormat="1" ht="12.75" customHeight="1" x14ac:dyDescent="0.15">
      <c r="A357" s="48" t="s">
        <v>4385</v>
      </c>
      <c r="B357" s="9" t="s">
        <v>702</v>
      </c>
      <c r="C357" s="9"/>
      <c r="D357" s="9"/>
      <c r="E357" s="9"/>
      <c r="F357" s="112" t="s">
        <v>107</v>
      </c>
      <c r="G357" s="10" t="s">
        <v>4387</v>
      </c>
      <c r="H357" s="5" t="s">
        <v>4016</v>
      </c>
      <c r="I357" s="11" t="s">
        <v>4017</v>
      </c>
      <c r="J357" s="357" t="s">
        <v>1629</v>
      </c>
      <c r="K357" s="353"/>
      <c r="L357" s="221">
        <v>212</v>
      </c>
      <c r="M357" s="221"/>
      <c r="N357" s="222" t="str">
        <f t="shared" si="10"/>
        <v>Contact famille</v>
      </c>
      <c r="O357" s="729">
        <v>212</v>
      </c>
      <c r="P357" s="729"/>
      <c r="Q357" s="730" t="str">
        <f t="shared" si="11"/>
        <v>Contact famille</v>
      </c>
      <c r="R357" s="731"/>
      <c r="S357" s="731"/>
      <c r="T357" s="731"/>
      <c r="U357" s="731"/>
      <c r="V357" s="731"/>
      <c r="W357" s="731" t="s">
        <v>313</v>
      </c>
      <c r="X357" s="731"/>
      <c r="Y357" s="731"/>
      <c r="Z357" s="731"/>
      <c r="AA357" s="731"/>
      <c r="AB357" s="12"/>
      <c r="AC357" s="12"/>
      <c r="AD357" s="12"/>
      <c r="AE357" s="12"/>
      <c r="AF357" s="12"/>
      <c r="AG357" s="369"/>
      <c r="AH357" s="370"/>
      <c r="AI357" s="18" t="s">
        <v>242</v>
      </c>
      <c r="AJ357" s="18" t="s">
        <v>242</v>
      </c>
      <c r="AK357" s="13" t="s">
        <v>242</v>
      </c>
      <c r="AL357" s="13" t="s">
        <v>242</v>
      </c>
      <c r="AM357" s="46" t="s">
        <v>244</v>
      </c>
      <c r="AN357" s="38"/>
      <c r="AO357" s="10"/>
      <c r="AP357" s="40"/>
      <c r="AQ357" s="20">
        <v>621239604</v>
      </c>
      <c r="AR357" s="47" t="s">
        <v>4391</v>
      </c>
      <c r="AS357" s="62"/>
      <c r="AT357" s="62"/>
      <c r="AU357" s="11"/>
      <c r="AV357" s="10"/>
      <c r="AW357" s="11"/>
      <c r="AX357" s="11"/>
      <c r="AY357" s="11"/>
      <c r="AZ357" s="11"/>
      <c r="BA357" s="11"/>
      <c r="BB357" s="59"/>
      <c r="BC357" s="59"/>
      <c r="BD357" s="59"/>
      <c r="BE357" s="59"/>
      <c r="BF357" s="59"/>
      <c r="BG357" s="59"/>
      <c r="BH357" s="138"/>
      <c r="BI357" s="138"/>
      <c r="BJ357" s="138"/>
      <c r="BK357" s="231"/>
      <c r="BL357" s="231"/>
      <c r="BM357" s="231"/>
      <c r="BN357" s="232"/>
      <c r="BO357" s="19"/>
      <c r="BP357" s="23"/>
      <c r="BQ357" s="23"/>
      <c r="BR357" s="23"/>
      <c r="BS357" s="43"/>
      <c r="BT357"/>
    </row>
    <row r="358" spans="1:72" ht="12.75" customHeight="1" x14ac:dyDescent="0.15">
      <c r="A358" s="48" t="s">
        <v>4383</v>
      </c>
      <c r="B358" s="9" t="s">
        <v>4384</v>
      </c>
      <c r="C358" s="9"/>
      <c r="D358" s="9"/>
      <c r="E358" s="9"/>
      <c r="F358" s="112" t="s">
        <v>107</v>
      </c>
      <c r="G358" s="10" t="s">
        <v>4387</v>
      </c>
      <c r="H358" s="5" t="s">
        <v>4016</v>
      </c>
      <c r="I358" s="11" t="s">
        <v>4017</v>
      </c>
      <c r="J358" s="357" t="s">
        <v>1629</v>
      </c>
      <c r="K358" s="353"/>
      <c r="L358" s="221">
        <v>8</v>
      </c>
      <c r="M358" s="221"/>
      <c r="N358" s="222" t="str">
        <f t="shared" si="10"/>
        <v xml:space="preserve">U 9 Hommes </v>
      </c>
      <c r="O358" s="729">
        <v>8</v>
      </c>
      <c r="P358" s="729"/>
      <c r="Q358" s="730" t="str">
        <f t="shared" si="11"/>
        <v xml:space="preserve">U 9 Hommes </v>
      </c>
      <c r="R358" s="731"/>
      <c r="S358" s="731"/>
      <c r="T358" s="731"/>
      <c r="U358" s="731"/>
      <c r="V358" s="731"/>
      <c r="W358" s="731" t="s">
        <v>192</v>
      </c>
      <c r="X358" s="731"/>
      <c r="Y358" s="731"/>
      <c r="Z358" s="731"/>
      <c r="AA358" s="731"/>
      <c r="AB358" s="12" t="s">
        <v>4592</v>
      </c>
      <c r="AC358" s="12"/>
      <c r="AD358" s="12"/>
      <c r="AE358" s="12"/>
      <c r="AF358" s="12"/>
      <c r="AG358" s="369" t="s">
        <v>252</v>
      </c>
      <c r="AH358" s="370"/>
      <c r="AI358" s="18">
        <v>45223</v>
      </c>
      <c r="AJ358" s="18">
        <v>45105</v>
      </c>
      <c r="AK358" s="615">
        <v>2025</v>
      </c>
      <c r="AL358" s="18">
        <v>43186</v>
      </c>
      <c r="AM358" s="19" t="s">
        <v>4388</v>
      </c>
      <c r="AN358" s="38"/>
      <c r="AO358" s="10"/>
      <c r="AP358" s="40" t="s">
        <v>4389</v>
      </c>
      <c r="AQ358" s="10" t="s">
        <v>4390</v>
      </c>
      <c r="AR358" s="47" t="s">
        <v>4391</v>
      </c>
      <c r="AS358" s="62"/>
      <c r="AT358" s="62"/>
      <c r="AU358" s="11"/>
      <c r="AV358" s="10"/>
      <c r="AW358" s="11"/>
      <c r="AX358" s="11"/>
      <c r="AY358" s="11"/>
      <c r="AZ358" s="11"/>
      <c r="BA358" s="11"/>
      <c r="BB358" s="59"/>
      <c r="BC358" s="59"/>
      <c r="BD358" s="59"/>
      <c r="BE358" s="59"/>
      <c r="BF358" s="59"/>
      <c r="BG358" s="59"/>
      <c r="BH358" s="138"/>
      <c r="BI358" s="138"/>
      <c r="BJ358" s="138"/>
      <c r="BK358" s="231"/>
      <c r="BL358" s="231"/>
      <c r="BM358" s="231"/>
      <c r="BN358" s="232"/>
      <c r="BO358" s="19"/>
      <c r="BP358" s="23"/>
      <c r="BQ358" s="23"/>
      <c r="BR358" s="23"/>
      <c r="BS358" s="43"/>
    </row>
    <row r="359" spans="1:72" ht="12.75" customHeight="1" x14ac:dyDescent="0.15">
      <c r="A359" s="48" t="s">
        <v>386</v>
      </c>
      <c r="B359" s="9" t="s">
        <v>387</v>
      </c>
      <c r="C359" s="9"/>
      <c r="D359" s="9"/>
      <c r="E359" s="9"/>
      <c r="F359" s="10" t="s">
        <v>107</v>
      </c>
      <c r="G359" s="10" t="s">
        <v>3245</v>
      </c>
      <c r="H359" s="5" t="s">
        <v>3246</v>
      </c>
      <c r="I359" s="11" t="s">
        <v>1179</v>
      </c>
      <c r="J359" s="357" t="s">
        <v>320</v>
      </c>
      <c r="K359" s="353"/>
      <c r="L359" s="221">
        <v>19</v>
      </c>
      <c r="M359" s="221"/>
      <c r="N359" s="222" t="str">
        <f t="shared" si="10"/>
        <v>Vétérans - Dames</v>
      </c>
      <c r="O359" s="729">
        <v>19</v>
      </c>
      <c r="P359" s="729"/>
      <c r="Q359" s="730" t="str">
        <f t="shared" si="11"/>
        <v>Vétérans - Dames</v>
      </c>
      <c r="R359" s="731"/>
      <c r="S359" s="731"/>
      <c r="T359" s="731"/>
      <c r="U359" s="731"/>
      <c r="V359" s="731"/>
      <c r="W359" s="731"/>
      <c r="X359" s="731"/>
      <c r="Y359" s="731"/>
      <c r="Z359" s="731"/>
      <c r="AA359" s="731"/>
      <c r="AB359" s="12" t="s">
        <v>3350</v>
      </c>
      <c r="AC359" s="12"/>
      <c r="AD359" s="12"/>
      <c r="AE359" s="12"/>
      <c r="AF359" s="12"/>
      <c r="AG359" s="376"/>
      <c r="AH359" s="370"/>
      <c r="AI359" s="18">
        <v>43892</v>
      </c>
      <c r="AJ359" s="18">
        <v>43857</v>
      </c>
      <c r="AK359" s="14">
        <v>2029</v>
      </c>
      <c r="AL359" s="18">
        <v>28944</v>
      </c>
      <c r="AM359" s="19" t="s">
        <v>3261</v>
      </c>
      <c r="AN359" s="19"/>
      <c r="AO359" s="10"/>
      <c r="AP359" s="40"/>
      <c r="AQ359" s="27" t="s">
        <v>395</v>
      </c>
      <c r="AR359" s="54" t="s">
        <v>3325</v>
      </c>
      <c r="AS359" s="61"/>
      <c r="AT359" s="61"/>
      <c r="AU359" s="11"/>
      <c r="AV359" s="10"/>
      <c r="AW359" s="11"/>
      <c r="AX359" s="11"/>
      <c r="AY359" s="11"/>
      <c r="AZ359" s="11" t="s">
        <v>348</v>
      </c>
      <c r="BA359" s="11"/>
      <c r="BB359" s="59" t="s">
        <v>315</v>
      </c>
      <c r="BC359" s="59" t="s">
        <v>315</v>
      </c>
      <c r="BD359" s="59"/>
      <c r="BE359" s="59">
        <v>50</v>
      </c>
      <c r="BF359" s="59"/>
      <c r="BG359" s="59"/>
      <c r="BH359" s="138"/>
      <c r="BI359" s="138"/>
      <c r="BJ359" s="138"/>
      <c r="BK359" s="231"/>
      <c r="BL359" s="231"/>
      <c r="BM359" s="231"/>
      <c r="BN359" s="232"/>
      <c r="BO359" s="19"/>
      <c r="BP359" s="23"/>
      <c r="BQ359" s="23"/>
      <c r="BR359" s="23"/>
      <c r="BS359" s="43"/>
    </row>
    <row r="360" spans="1:72" ht="12.75" customHeight="1" x14ac:dyDescent="0.15">
      <c r="A360" s="48" t="s">
        <v>992</v>
      </c>
      <c r="B360" s="9" t="s">
        <v>993</v>
      </c>
      <c r="C360" s="9"/>
      <c r="D360" s="9"/>
      <c r="E360" s="9"/>
      <c r="F360" s="10" t="s">
        <v>107</v>
      </c>
      <c r="G360" s="10" t="s">
        <v>4263</v>
      </c>
      <c r="H360" s="5" t="s">
        <v>4264</v>
      </c>
      <c r="I360" s="11" t="s">
        <v>1592</v>
      </c>
      <c r="J360" s="357" t="s">
        <v>320</v>
      </c>
      <c r="K360" s="353"/>
      <c r="L360" s="221">
        <v>2</v>
      </c>
      <c r="M360" s="221"/>
      <c r="N360" s="222" t="str">
        <f t="shared" si="10"/>
        <v>Seniors - Hommes</v>
      </c>
      <c r="O360" s="729">
        <v>2</v>
      </c>
      <c r="P360" s="729"/>
      <c r="Q360" s="730" t="str">
        <f t="shared" si="11"/>
        <v>Seniors - Hommes</v>
      </c>
      <c r="R360" s="731"/>
      <c r="S360" s="731"/>
      <c r="T360" s="731"/>
      <c r="U360" s="731"/>
      <c r="V360" s="731"/>
      <c r="W360" s="731"/>
      <c r="X360" s="731"/>
      <c r="Y360" s="731"/>
      <c r="Z360" s="731"/>
      <c r="AA360" s="731"/>
      <c r="AB360" s="12" t="s">
        <v>3020</v>
      </c>
      <c r="AC360" s="12" t="s">
        <v>3102</v>
      </c>
      <c r="AD360" s="12"/>
      <c r="AE360" s="12"/>
      <c r="AF360" s="12"/>
      <c r="AG360" s="371"/>
      <c r="AH360" s="372"/>
      <c r="AI360" s="18">
        <v>36910</v>
      </c>
      <c r="AJ360" s="18">
        <v>36910</v>
      </c>
      <c r="AK360" s="71">
        <v>2029</v>
      </c>
      <c r="AL360" s="18">
        <v>32873</v>
      </c>
      <c r="AM360" s="19" t="s">
        <v>2207</v>
      </c>
      <c r="AN360" s="19"/>
      <c r="AO360" s="10" t="s">
        <v>2208</v>
      </c>
      <c r="AP360" s="40"/>
      <c r="AQ360" s="27" t="s">
        <v>2209</v>
      </c>
      <c r="AR360" s="29" t="s">
        <v>2210</v>
      </c>
      <c r="AS360" s="61"/>
      <c r="AT360" s="61"/>
      <c r="AU360" s="30" t="s">
        <v>1536</v>
      </c>
      <c r="AV360" s="10"/>
      <c r="AW360" s="5"/>
      <c r="AX360" s="11"/>
      <c r="AY360" s="11"/>
      <c r="AZ360" s="11" t="s">
        <v>348</v>
      </c>
      <c r="BA360" s="11"/>
      <c r="BB360" s="59" t="s">
        <v>2813</v>
      </c>
      <c r="BC360" s="59" t="s">
        <v>3151</v>
      </c>
      <c r="BD360" s="59" t="s">
        <v>2136</v>
      </c>
      <c r="BE360" s="59">
        <v>50</v>
      </c>
      <c r="BF360" s="59"/>
      <c r="BG360" s="67" t="s">
        <v>3164</v>
      </c>
      <c r="BH360" s="139"/>
      <c r="BI360" s="139"/>
      <c r="BJ360" s="139"/>
      <c r="BK360" s="231"/>
      <c r="BL360" s="231"/>
      <c r="BM360" s="231"/>
      <c r="BN360" s="232"/>
      <c r="BO360" s="19"/>
      <c r="BP360" s="23" t="s">
        <v>1537</v>
      </c>
      <c r="BQ360" s="23"/>
      <c r="BR360" s="23"/>
      <c r="BS360" s="43"/>
    </row>
    <row r="361" spans="1:72" ht="12.75" customHeight="1" x14ac:dyDescent="0.15">
      <c r="A361" s="48" t="s">
        <v>1333</v>
      </c>
      <c r="B361" s="9" t="s">
        <v>740</v>
      </c>
      <c r="C361" s="9"/>
      <c r="D361" s="9"/>
      <c r="E361" s="9"/>
      <c r="F361" s="10" t="s">
        <v>107</v>
      </c>
      <c r="G361" s="10" t="s">
        <v>2211</v>
      </c>
      <c r="H361" s="5" t="s">
        <v>2074</v>
      </c>
      <c r="I361" s="11" t="s">
        <v>558</v>
      </c>
      <c r="J361" s="357" t="s">
        <v>2212</v>
      </c>
      <c r="K361" s="353"/>
      <c r="L361" s="221">
        <v>212</v>
      </c>
      <c r="M361" s="221"/>
      <c r="N361" s="222" t="str">
        <f t="shared" si="10"/>
        <v>Contact famille</v>
      </c>
      <c r="O361" s="729">
        <v>212</v>
      </c>
      <c r="P361" s="729"/>
      <c r="Q361" s="730" t="str">
        <f t="shared" si="11"/>
        <v>Contact famille</v>
      </c>
      <c r="R361" s="731"/>
      <c r="S361" s="731"/>
      <c r="T361" s="731"/>
      <c r="U361" s="731"/>
      <c r="V361" s="731"/>
      <c r="W361" s="731"/>
      <c r="X361" s="731"/>
      <c r="Y361" s="731"/>
      <c r="Z361" s="731" t="s">
        <v>313</v>
      </c>
      <c r="AA361" s="731"/>
      <c r="AB361" s="12"/>
      <c r="AC361" s="12"/>
      <c r="AD361" s="12"/>
      <c r="AE361" s="12"/>
      <c r="AF361" s="12"/>
      <c r="AG361" s="369"/>
      <c r="AH361" s="370"/>
      <c r="AI361" s="18" t="s">
        <v>242</v>
      </c>
      <c r="AJ361" s="18" t="s">
        <v>242</v>
      </c>
      <c r="AK361" s="13" t="s">
        <v>242</v>
      </c>
      <c r="AL361" s="13" t="s">
        <v>242</v>
      </c>
      <c r="AM361" s="19" t="s">
        <v>244</v>
      </c>
      <c r="AN361" s="19"/>
      <c r="AO361" s="10" t="s">
        <v>2213</v>
      </c>
      <c r="AP361" s="40"/>
      <c r="AQ361" s="10" t="s">
        <v>2214</v>
      </c>
      <c r="AR361" s="21" t="s">
        <v>2215</v>
      </c>
      <c r="AS361" s="62"/>
      <c r="AT361" s="62"/>
      <c r="AU361" s="11"/>
      <c r="AV361" s="10"/>
      <c r="AW361" s="11"/>
      <c r="AX361" s="11"/>
      <c r="AY361" s="11"/>
      <c r="AZ361" s="11" t="s">
        <v>209</v>
      </c>
      <c r="BA361" s="11"/>
      <c r="BB361" s="59" t="s">
        <v>2813</v>
      </c>
      <c r="BC361" s="59" t="s">
        <v>292</v>
      </c>
      <c r="BD361" s="59"/>
      <c r="BE361" s="59" t="s">
        <v>988</v>
      </c>
      <c r="BF361" s="59"/>
      <c r="BG361" s="59"/>
      <c r="BH361" s="138"/>
      <c r="BI361" s="138"/>
      <c r="BJ361" s="138"/>
      <c r="BK361" s="231"/>
      <c r="BL361" s="231"/>
      <c r="BM361" s="231"/>
      <c r="BN361" s="232"/>
      <c r="BO361" s="19"/>
      <c r="BP361" s="23"/>
      <c r="BQ361" s="23"/>
      <c r="BR361" s="23"/>
      <c r="BS361" s="43"/>
    </row>
    <row r="362" spans="1:72" ht="12.75" customHeight="1" x14ac:dyDescent="0.15">
      <c r="A362" s="48" t="s">
        <v>1333</v>
      </c>
      <c r="B362" s="9" t="s">
        <v>648</v>
      </c>
      <c r="C362" s="9"/>
      <c r="D362" s="9"/>
      <c r="E362" s="9"/>
      <c r="F362" s="10" t="s">
        <v>107</v>
      </c>
      <c r="G362" s="10" t="s">
        <v>3186</v>
      </c>
      <c r="H362" s="5" t="s">
        <v>666</v>
      </c>
      <c r="I362" s="11" t="s">
        <v>493</v>
      </c>
      <c r="J362" s="357" t="s">
        <v>1558</v>
      </c>
      <c r="K362" s="353"/>
      <c r="L362" s="221">
        <v>212</v>
      </c>
      <c r="M362" s="221"/>
      <c r="N362" s="222" t="str">
        <f t="shared" si="10"/>
        <v>Contact famille</v>
      </c>
      <c r="O362" s="729">
        <v>212</v>
      </c>
      <c r="P362" s="729"/>
      <c r="Q362" s="730" t="str">
        <f t="shared" si="11"/>
        <v>Contact famille</v>
      </c>
      <c r="R362" s="731"/>
      <c r="S362" s="731"/>
      <c r="T362" s="731"/>
      <c r="U362" s="731"/>
      <c r="V362" s="731"/>
      <c r="W362" s="731"/>
      <c r="X362" s="731"/>
      <c r="Y362" s="731"/>
      <c r="Z362" s="731"/>
      <c r="AA362" s="731"/>
      <c r="AB362" s="12"/>
      <c r="AC362" s="12"/>
      <c r="AD362" s="12"/>
      <c r="AE362" s="12"/>
      <c r="AF362" s="12"/>
      <c r="AG362" s="369"/>
      <c r="AH362" s="370"/>
      <c r="AI362" s="18" t="s">
        <v>242</v>
      </c>
      <c r="AJ362" s="18" t="s">
        <v>242</v>
      </c>
      <c r="AK362" s="13" t="s">
        <v>242</v>
      </c>
      <c r="AL362" s="13" t="s">
        <v>242</v>
      </c>
      <c r="AM362" s="19" t="s">
        <v>244</v>
      </c>
      <c r="AN362" s="38"/>
      <c r="AO362" s="10"/>
      <c r="AP362" s="40"/>
      <c r="AQ362" s="10" t="s">
        <v>3192</v>
      </c>
      <c r="AR362" s="47" t="s">
        <v>3213</v>
      </c>
      <c r="AS362" s="62"/>
      <c r="AT362" s="62"/>
      <c r="AU362" s="11"/>
      <c r="AV362" s="10"/>
      <c r="AW362" s="11"/>
      <c r="AX362" s="11"/>
      <c r="AY362" s="11"/>
      <c r="AZ362" s="11"/>
      <c r="BA362" s="11"/>
      <c r="BB362" s="59"/>
      <c r="BC362" s="59"/>
      <c r="BD362" s="59"/>
      <c r="BE362" s="59"/>
      <c r="BF362" s="59"/>
      <c r="BG362" s="59"/>
      <c r="BH362" s="138"/>
      <c r="BI362" s="138"/>
      <c r="BJ362" s="138"/>
      <c r="BK362" s="231"/>
      <c r="BL362" s="231"/>
      <c r="BM362" s="231"/>
      <c r="BN362" s="232"/>
      <c r="BO362" s="19"/>
      <c r="BP362" s="23"/>
      <c r="BQ362" s="23"/>
      <c r="BR362" s="23"/>
      <c r="BS362" s="43"/>
    </row>
    <row r="363" spans="1:72" ht="12.75" customHeight="1" x14ac:dyDescent="0.15">
      <c r="A363" s="49" t="s">
        <v>995</v>
      </c>
      <c r="B363" s="9" t="s">
        <v>996</v>
      </c>
      <c r="C363" s="9"/>
      <c r="D363" s="9"/>
      <c r="E363" s="9"/>
      <c r="F363" s="10" t="s">
        <v>107</v>
      </c>
      <c r="G363" s="10" t="s">
        <v>4013</v>
      </c>
      <c r="H363" s="5" t="s">
        <v>4014</v>
      </c>
      <c r="I363" s="11" t="s">
        <v>360</v>
      </c>
      <c r="J363" s="357" t="s">
        <v>751</v>
      </c>
      <c r="K363" s="353"/>
      <c r="L363" s="221">
        <v>150</v>
      </c>
      <c r="M363" s="221"/>
      <c r="N363" s="814" t="str">
        <f t="shared" si="10"/>
        <v>comité</v>
      </c>
      <c r="O363" s="729">
        <v>1</v>
      </c>
      <c r="P363" s="729"/>
      <c r="Q363" s="730" t="str">
        <f t="shared" si="11"/>
        <v>Officiel H</v>
      </c>
      <c r="R363" s="731"/>
      <c r="S363" s="731"/>
      <c r="T363" s="731"/>
      <c r="U363" s="731"/>
      <c r="V363" s="731"/>
      <c r="W363" s="731"/>
      <c r="X363" s="731"/>
      <c r="Y363" s="731"/>
      <c r="Z363" s="731"/>
      <c r="AA363" s="731"/>
      <c r="AB363" s="12"/>
      <c r="AC363" s="12" t="s">
        <v>3103</v>
      </c>
      <c r="AD363" s="12" t="s">
        <v>3103</v>
      </c>
      <c r="AE363" s="12"/>
      <c r="AF363" s="12"/>
      <c r="AG363" s="376"/>
      <c r="AH363" s="370"/>
      <c r="AI363" s="18">
        <v>35359</v>
      </c>
      <c r="AJ363" s="18">
        <v>35359</v>
      </c>
      <c r="AK363" s="14" t="s">
        <v>210</v>
      </c>
      <c r="AL363" s="18">
        <v>19545</v>
      </c>
      <c r="AM363" s="19" t="s">
        <v>2736</v>
      </c>
      <c r="AN363" s="38" t="s">
        <v>2756</v>
      </c>
      <c r="AO363" s="10"/>
      <c r="AP363" s="40"/>
      <c r="AQ363" s="27" t="s">
        <v>2220</v>
      </c>
      <c r="AR363" s="29" t="s">
        <v>2221</v>
      </c>
      <c r="AS363" s="61"/>
      <c r="AT363" s="61"/>
      <c r="AU363" s="24"/>
      <c r="AV363" s="811" t="s">
        <v>2764</v>
      </c>
      <c r="AW363" s="11"/>
      <c r="AX363" s="11"/>
      <c r="AY363" s="11"/>
      <c r="AZ363" s="11" t="s">
        <v>420</v>
      </c>
      <c r="BA363" s="11"/>
      <c r="BB363" s="59" t="s">
        <v>2813</v>
      </c>
      <c r="BC363" s="59" t="s">
        <v>292</v>
      </c>
      <c r="BD363" s="59" t="s">
        <v>421</v>
      </c>
      <c r="BE363" s="59">
        <v>175</v>
      </c>
      <c r="BF363" s="59"/>
      <c r="BG363" s="59"/>
      <c r="BH363" s="138"/>
      <c r="BI363" s="138"/>
      <c r="BJ363" s="138"/>
      <c r="BK363" s="231"/>
      <c r="BL363" s="231"/>
      <c r="BM363" s="231"/>
      <c r="BN363" s="232"/>
      <c r="BO363" s="19"/>
      <c r="BP363" s="23" t="s">
        <v>1812</v>
      </c>
      <c r="BQ363" s="23"/>
      <c r="BR363" s="23"/>
      <c r="BS363" s="43"/>
    </row>
    <row r="364" spans="1:72" ht="12.75" customHeight="1" x14ac:dyDescent="0.15">
      <c r="A364" s="48" t="s">
        <v>995</v>
      </c>
      <c r="B364" s="9" t="s">
        <v>857</v>
      </c>
      <c r="C364" s="9"/>
      <c r="D364" s="9"/>
      <c r="E364" s="9"/>
      <c r="F364" s="10" t="s">
        <v>107</v>
      </c>
      <c r="G364" s="10" t="s">
        <v>4848</v>
      </c>
      <c r="H364" s="5" t="s">
        <v>4016</v>
      </c>
      <c r="I364" s="11" t="s">
        <v>4017</v>
      </c>
      <c r="J364" s="357" t="s">
        <v>320</v>
      </c>
      <c r="K364" s="353"/>
      <c r="L364" s="221">
        <v>9</v>
      </c>
      <c r="M364" s="221"/>
      <c r="N364" s="222" t="str">
        <f t="shared" si="10"/>
        <v>Vétérans - Hommes</v>
      </c>
      <c r="O364" s="729">
        <v>9</v>
      </c>
      <c r="P364" s="729"/>
      <c r="Q364" s="730" t="str">
        <f t="shared" si="11"/>
        <v>Vétérans - Hommes</v>
      </c>
      <c r="R364" s="731"/>
      <c r="S364" s="731"/>
      <c r="T364" s="731"/>
      <c r="U364" s="731"/>
      <c r="V364" s="731"/>
      <c r="W364" s="731"/>
      <c r="X364" s="731"/>
      <c r="Y364" s="731"/>
      <c r="Z364" s="731"/>
      <c r="AA364" s="731"/>
      <c r="AB364" s="12" t="s">
        <v>3021</v>
      </c>
      <c r="AC364" s="12"/>
      <c r="AD364" s="12"/>
      <c r="AE364" s="12"/>
      <c r="AF364" s="12"/>
      <c r="AG364" s="369" t="s">
        <v>5578</v>
      </c>
      <c r="AH364" s="370"/>
      <c r="AI364" s="18">
        <v>46193</v>
      </c>
      <c r="AJ364" s="18">
        <v>41565</v>
      </c>
      <c r="AK364" s="13">
        <v>2031</v>
      </c>
      <c r="AL364" s="18">
        <v>33288</v>
      </c>
      <c r="AM364" s="19" t="s">
        <v>2222</v>
      </c>
      <c r="AN364" s="38"/>
      <c r="AO364" s="10"/>
      <c r="AP364" s="40"/>
      <c r="AQ364" s="20">
        <v>691824057</v>
      </c>
      <c r="AR364" s="47" t="s">
        <v>2224</v>
      </c>
      <c r="AS364" s="62"/>
      <c r="AT364" s="62"/>
      <c r="AU364" s="11"/>
      <c r="AV364" s="10"/>
      <c r="AW364" s="13" t="s">
        <v>3969</v>
      </c>
      <c r="AX364" s="11"/>
      <c r="AY364" s="11"/>
      <c r="AZ364" s="11"/>
      <c r="BA364" s="11"/>
      <c r="BB364" s="59"/>
      <c r="BC364" s="59"/>
      <c r="BD364" s="59"/>
      <c r="BE364" s="59"/>
      <c r="BF364" s="59"/>
      <c r="BG364" s="59"/>
      <c r="BH364" s="138"/>
      <c r="BI364" s="138"/>
      <c r="BJ364" s="138"/>
      <c r="BK364" s="231"/>
      <c r="BL364" s="231"/>
      <c r="BM364" s="231"/>
      <c r="BN364" s="232"/>
      <c r="BO364" s="19"/>
      <c r="BP364" s="23"/>
      <c r="BQ364" s="23"/>
      <c r="BR364" s="23"/>
      <c r="BS364" s="43"/>
    </row>
    <row r="365" spans="1:72" ht="12.75" customHeight="1" x14ac:dyDescent="0.15">
      <c r="A365" s="48" t="s">
        <v>5471</v>
      </c>
      <c r="B365" s="9" t="s">
        <v>5475</v>
      </c>
      <c r="C365" s="9"/>
      <c r="D365" s="9"/>
      <c r="E365" s="9"/>
      <c r="F365" s="112" t="s">
        <v>5476</v>
      </c>
      <c r="G365" s="11" t="s">
        <v>5478</v>
      </c>
      <c r="H365" s="5" t="s">
        <v>418</v>
      </c>
      <c r="I365" s="11" t="s">
        <v>257</v>
      </c>
      <c r="J365" s="357" t="s">
        <v>1644</v>
      </c>
      <c r="K365" s="353"/>
      <c r="L365" s="221">
        <v>212</v>
      </c>
      <c r="M365" s="221"/>
      <c r="N365" s="222" t="str">
        <f t="shared" si="10"/>
        <v>Contact famille</v>
      </c>
      <c r="O365" s="729">
        <v>212</v>
      </c>
      <c r="P365" s="729"/>
      <c r="Q365" s="730" t="str">
        <f t="shared" si="11"/>
        <v>Contact famille</v>
      </c>
      <c r="R365" s="732"/>
      <c r="S365" s="732"/>
      <c r="T365" s="732"/>
      <c r="U365" s="732"/>
      <c r="V365" s="732"/>
      <c r="W365" s="732" t="s">
        <v>313</v>
      </c>
      <c r="X365" s="732"/>
      <c r="Y365" s="732"/>
      <c r="Z365" s="732"/>
      <c r="AA365" s="732"/>
      <c r="AB365" s="12"/>
      <c r="AC365" s="155"/>
      <c r="AD365" s="155"/>
      <c r="AE365" s="155"/>
      <c r="AF365" s="12"/>
      <c r="AG365" s="386"/>
      <c r="AH365" s="392"/>
      <c r="AI365" s="18" t="s">
        <v>242</v>
      </c>
      <c r="AJ365" s="18" t="s">
        <v>242</v>
      </c>
      <c r="AK365" s="13" t="s">
        <v>242</v>
      </c>
      <c r="AL365" s="18" t="s">
        <v>242</v>
      </c>
      <c r="AM365" s="19" t="s">
        <v>244</v>
      </c>
      <c r="AN365" s="10"/>
      <c r="AO365" s="11"/>
      <c r="AP365" s="53"/>
      <c r="AQ365" s="10"/>
      <c r="AR365" s="11"/>
      <c r="AS365" s="62"/>
      <c r="AT365" s="62"/>
      <c r="AU365" s="10"/>
      <c r="AV365" s="10"/>
      <c r="AW365" s="13"/>
      <c r="AX365" s="11"/>
      <c r="AY365" s="11"/>
      <c r="AZ365" s="11"/>
      <c r="BA365" s="11"/>
      <c r="BB365" s="59"/>
      <c r="BC365" s="59"/>
      <c r="BD365" s="59"/>
      <c r="BE365" s="59"/>
      <c r="BF365" s="59"/>
      <c r="BG365" s="59"/>
      <c r="BH365" s="138"/>
      <c r="BI365" s="138"/>
      <c r="BJ365" s="138"/>
      <c r="BK365" s="231"/>
      <c r="BL365" s="231"/>
      <c r="BM365" s="231"/>
      <c r="BN365" s="232"/>
      <c r="BO365" s="11"/>
      <c r="BP365" s="11"/>
      <c r="BQ365" s="11"/>
      <c r="BR365" s="11"/>
      <c r="BS365" s="394"/>
    </row>
    <row r="366" spans="1:72" ht="12.75" customHeight="1" x14ac:dyDescent="0.15">
      <c r="A366" s="48" t="s">
        <v>5471</v>
      </c>
      <c r="B366" s="9" t="s">
        <v>5472</v>
      </c>
      <c r="C366" s="9"/>
      <c r="D366" s="9"/>
      <c r="E366" s="9"/>
      <c r="F366" s="112" t="s">
        <v>5476</v>
      </c>
      <c r="G366" s="11" t="s">
        <v>5478</v>
      </c>
      <c r="H366" s="5" t="s">
        <v>418</v>
      </c>
      <c r="I366" s="11" t="s">
        <v>257</v>
      </c>
      <c r="J366" s="357" t="s">
        <v>1644</v>
      </c>
      <c r="K366" s="353"/>
      <c r="L366" s="221">
        <v>8</v>
      </c>
      <c r="M366" s="221"/>
      <c r="N366" s="222" t="str">
        <f t="shared" si="10"/>
        <v xml:space="preserve">U 9 Hommes </v>
      </c>
      <c r="O366" s="729">
        <v>8</v>
      </c>
      <c r="P366" s="729"/>
      <c r="Q366" s="730" t="str">
        <f t="shared" si="11"/>
        <v xml:space="preserve">U 9 Hommes </v>
      </c>
      <c r="R366" s="732"/>
      <c r="S366" s="732"/>
      <c r="T366" s="732"/>
      <c r="U366" s="732"/>
      <c r="V366" s="732"/>
      <c r="W366" s="732" t="s">
        <v>192</v>
      </c>
      <c r="X366" s="732"/>
      <c r="Y366" s="732"/>
      <c r="Z366" s="732"/>
      <c r="AA366" s="732"/>
      <c r="AB366" s="12" t="s">
        <v>5488</v>
      </c>
      <c r="AC366" s="155"/>
      <c r="AD366" s="155"/>
      <c r="AE366" s="155"/>
      <c r="AF366" s="12"/>
      <c r="AG366" s="386" t="s">
        <v>5173</v>
      </c>
      <c r="AH366" s="392"/>
      <c r="AI366" s="689">
        <v>46086</v>
      </c>
      <c r="AJ366" s="689">
        <v>46055</v>
      </c>
      <c r="AK366" s="388">
        <v>2031</v>
      </c>
      <c r="AL366" s="689">
        <v>43622</v>
      </c>
      <c r="AM366" s="385" t="s">
        <v>5479</v>
      </c>
      <c r="AN366" s="10"/>
      <c r="AO366" s="11"/>
      <c r="AP366" s="53"/>
      <c r="AQ366" s="20">
        <v>621508660</v>
      </c>
      <c r="AR366" s="68" t="s">
        <v>5480</v>
      </c>
      <c r="AS366" s="62"/>
      <c r="AT366" s="62"/>
      <c r="AU366" s="10"/>
      <c r="AV366" s="10"/>
      <c r="AW366" s="13"/>
      <c r="AX366" s="11"/>
      <c r="AY366" s="11"/>
      <c r="AZ366" s="11"/>
      <c r="BA366" s="11"/>
      <c r="BB366" s="59"/>
      <c r="BC366" s="59"/>
      <c r="BD366" s="59"/>
      <c r="BE366" s="59"/>
      <c r="BF366" s="59"/>
      <c r="BG366" s="59"/>
      <c r="BH366" s="138"/>
      <c r="BI366" s="138"/>
      <c r="BJ366" s="138"/>
      <c r="BK366" s="231"/>
      <c r="BL366" s="231"/>
      <c r="BM366" s="231"/>
      <c r="BN366" s="232"/>
      <c r="BO366" s="11"/>
      <c r="BP366" s="11"/>
      <c r="BQ366" s="11"/>
      <c r="BR366" s="11"/>
      <c r="BS366" s="394"/>
    </row>
    <row r="367" spans="1:72" s="457" customFormat="1" ht="12.75" customHeight="1" x14ac:dyDescent="0.15">
      <c r="A367" s="48" t="s">
        <v>5473</v>
      </c>
      <c r="B367" s="9" t="s">
        <v>5474</v>
      </c>
      <c r="C367" s="9"/>
      <c r="D367" s="9"/>
      <c r="E367" s="9"/>
      <c r="F367" s="112" t="s">
        <v>5476</v>
      </c>
      <c r="G367" s="11" t="s">
        <v>5478</v>
      </c>
      <c r="H367" s="5" t="s">
        <v>418</v>
      </c>
      <c r="I367" s="11" t="s">
        <v>257</v>
      </c>
      <c r="J367" s="357" t="s">
        <v>1644</v>
      </c>
      <c r="K367" s="353"/>
      <c r="L367" s="221">
        <v>212</v>
      </c>
      <c r="M367" s="221"/>
      <c r="N367" s="222" t="str">
        <f t="shared" si="10"/>
        <v>Contact famille</v>
      </c>
      <c r="O367" s="729">
        <v>212</v>
      </c>
      <c r="P367" s="729"/>
      <c r="Q367" s="730" t="str">
        <f t="shared" si="11"/>
        <v>Contact famille</v>
      </c>
      <c r="R367" s="732"/>
      <c r="S367" s="732"/>
      <c r="T367" s="732"/>
      <c r="U367" s="732"/>
      <c r="V367" s="732"/>
      <c r="W367" s="732" t="s">
        <v>313</v>
      </c>
      <c r="X367" s="732"/>
      <c r="Y367" s="732"/>
      <c r="Z367" s="732"/>
      <c r="AA367" s="732"/>
      <c r="AB367" s="12"/>
      <c r="AC367" s="155"/>
      <c r="AD367" s="155"/>
      <c r="AE367" s="155"/>
      <c r="AF367" s="12"/>
      <c r="AG367" s="386"/>
      <c r="AH367" s="392"/>
      <c r="AI367" s="18" t="s">
        <v>242</v>
      </c>
      <c r="AJ367" s="18" t="s">
        <v>242</v>
      </c>
      <c r="AK367" s="13" t="s">
        <v>242</v>
      </c>
      <c r="AL367" s="13" t="s">
        <v>242</v>
      </c>
      <c r="AM367" s="46" t="s">
        <v>244</v>
      </c>
      <c r="AN367" s="10"/>
      <c r="AO367" s="11"/>
      <c r="AP367" s="53"/>
      <c r="AQ367" s="20">
        <v>621508660</v>
      </c>
      <c r="AR367" s="68" t="s">
        <v>5480</v>
      </c>
      <c r="AS367" s="62"/>
      <c r="AT367" s="62"/>
      <c r="AU367" s="10"/>
      <c r="AV367" s="10"/>
      <c r="AW367" s="13"/>
      <c r="AX367" s="11"/>
      <c r="AY367" s="11"/>
      <c r="AZ367" s="11"/>
      <c r="BA367" s="11"/>
      <c r="BB367" s="59"/>
      <c r="BC367" s="59"/>
      <c r="BD367" s="59"/>
      <c r="BE367" s="59"/>
      <c r="BF367" s="59"/>
      <c r="BG367" s="59"/>
      <c r="BH367" s="138"/>
      <c r="BI367" s="138"/>
      <c r="BJ367" s="138"/>
      <c r="BK367" s="231"/>
      <c r="BL367" s="231"/>
      <c r="BM367" s="231"/>
      <c r="BN367" s="232"/>
      <c r="BO367" s="11"/>
      <c r="BP367" s="11"/>
      <c r="BQ367" s="11"/>
      <c r="BR367" s="11"/>
      <c r="BS367" s="394"/>
      <c r="BT367"/>
    </row>
    <row r="368" spans="1:72" ht="12.75" customHeight="1" x14ac:dyDescent="0.15">
      <c r="A368" s="48" t="s">
        <v>2232</v>
      </c>
      <c r="B368" s="9" t="s">
        <v>900</v>
      </c>
      <c r="C368" s="9"/>
      <c r="D368" s="9"/>
      <c r="E368" s="9"/>
      <c r="F368" s="10" t="s">
        <v>107</v>
      </c>
      <c r="G368" s="10" t="s">
        <v>2233</v>
      </c>
      <c r="H368" s="5" t="s">
        <v>2234</v>
      </c>
      <c r="I368" s="11" t="s">
        <v>800</v>
      </c>
      <c r="J368" s="357" t="s">
        <v>2235</v>
      </c>
      <c r="K368" s="353"/>
      <c r="L368" s="221">
        <v>212</v>
      </c>
      <c r="M368" s="221"/>
      <c r="N368" s="222" t="str">
        <f t="shared" si="10"/>
        <v>Contact famille</v>
      </c>
      <c r="O368" s="729">
        <v>212</v>
      </c>
      <c r="P368" s="729"/>
      <c r="Q368" s="730" t="str">
        <f t="shared" si="11"/>
        <v>Contact famille</v>
      </c>
      <c r="R368" s="731"/>
      <c r="S368" s="731"/>
      <c r="T368" s="731"/>
      <c r="U368" s="731"/>
      <c r="V368" s="731"/>
      <c r="W368" s="731"/>
      <c r="X368" s="731"/>
      <c r="Y368" s="731"/>
      <c r="Z368" s="731"/>
      <c r="AA368" s="731"/>
      <c r="AB368" s="12"/>
      <c r="AC368" s="12"/>
      <c r="AD368" s="12"/>
      <c r="AE368" s="12"/>
      <c r="AF368" s="12"/>
      <c r="AG368" s="369"/>
      <c r="AH368" s="370"/>
      <c r="AI368" s="18" t="s">
        <v>242</v>
      </c>
      <c r="AJ368" s="18">
        <v>43516</v>
      </c>
      <c r="AK368" s="13" t="s">
        <v>242</v>
      </c>
      <c r="AL368" s="13" t="s">
        <v>242</v>
      </c>
      <c r="AM368" s="19" t="s">
        <v>244</v>
      </c>
      <c r="AN368" s="19"/>
      <c r="AO368" s="10"/>
      <c r="AP368" s="40"/>
      <c r="AQ368" s="10" t="s">
        <v>2240</v>
      </c>
      <c r="AR368" s="21" t="s">
        <v>2239</v>
      </c>
      <c r="AS368" s="62"/>
      <c r="AT368" s="62"/>
      <c r="AU368" s="11"/>
      <c r="AV368" s="10"/>
      <c r="AW368" s="11"/>
      <c r="AX368" s="11"/>
      <c r="AY368" s="11"/>
      <c r="AZ368" s="11" t="s">
        <v>209</v>
      </c>
      <c r="BA368" s="11"/>
      <c r="BB368" s="59" t="s">
        <v>2813</v>
      </c>
      <c r="BC368" s="59" t="s">
        <v>292</v>
      </c>
      <c r="BD368" s="59"/>
      <c r="BE368" s="59" t="s">
        <v>988</v>
      </c>
      <c r="BF368" s="59"/>
      <c r="BG368" s="59"/>
      <c r="BH368" s="138"/>
      <c r="BI368" s="138"/>
      <c r="BJ368" s="138"/>
      <c r="BK368" s="231"/>
      <c r="BL368" s="231"/>
      <c r="BM368" s="231"/>
      <c r="BN368" s="232"/>
      <c r="BO368" s="19"/>
      <c r="BP368" s="23"/>
      <c r="BQ368" s="23"/>
      <c r="BR368" s="23"/>
      <c r="BS368" s="43"/>
    </row>
    <row r="369" spans="1:72" ht="12.75" customHeight="1" x14ac:dyDescent="0.15">
      <c r="A369" s="48" t="s">
        <v>2232</v>
      </c>
      <c r="B369" s="9" t="s">
        <v>1077</v>
      </c>
      <c r="C369" s="9"/>
      <c r="D369" s="9"/>
      <c r="E369" s="9"/>
      <c r="F369" s="10" t="s">
        <v>107</v>
      </c>
      <c r="G369" s="10" t="s">
        <v>2233</v>
      </c>
      <c r="H369" s="5" t="s">
        <v>2234</v>
      </c>
      <c r="I369" s="11" t="s">
        <v>800</v>
      </c>
      <c r="J369" s="357" t="s">
        <v>2235</v>
      </c>
      <c r="K369" s="353"/>
      <c r="L369" s="221">
        <v>3</v>
      </c>
      <c r="M369" s="221"/>
      <c r="N369" s="222" t="str">
        <f t="shared" si="10"/>
        <v>U 21 Hommes</v>
      </c>
      <c r="O369" s="729">
        <v>3</v>
      </c>
      <c r="P369" s="729"/>
      <c r="Q369" s="730" t="str">
        <f t="shared" si="11"/>
        <v>U 21 Hommes</v>
      </c>
      <c r="R369" s="731"/>
      <c r="S369" s="731"/>
      <c r="T369" s="731"/>
      <c r="U369" s="731"/>
      <c r="V369" s="731"/>
      <c r="W369" s="731"/>
      <c r="X369" s="731"/>
      <c r="Y369" s="731"/>
      <c r="Z369" s="731"/>
      <c r="AA369" s="731"/>
      <c r="AB369" s="12" t="s">
        <v>3023</v>
      </c>
      <c r="AC369" s="12"/>
      <c r="AD369" s="12"/>
      <c r="AE369" s="12"/>
      <c r="AF369" s="12"/>
      <c r="AG369" s="369"/>
      <c r="AH369" s="370"/>
      <c r="AI369" s="18">
        <v>43538</v>
      </c>
      <c r="AJ369" s="18">
        <v>43516</v>
      </c>
      <c r="AK369" s="13">
        <v>2027</v>
      </c>
      <c r="AL369" s="18">
        <v>39355</v>
      </c>
      <c r="AM369" s="19" t="s">
        <v>2236</v>
      </c>
      <c r="AN369" s="19"/>
      <c r="AO369" s="10"/>
      <c r="AP369" s="40" t="s">
        <v>2237</v>
      </c>
      <c r="AQ369" s="10" t="s">
        <v>2238</v>
      </c>
      <c r="AR369" s="21" t="s">
        <v>2239</v>
      </c>
      <c r="AS369" s="62"/>
      <c r="AT369" s="62"/>
      <c r="AU369" s="11"/>
      <c r="AV369" s="10"/>
      <c r="AW369" s="11"/>
      <c r="AX369" s="11"/>
      <c r="AY369" s="11"/>
      <c r="AZ369" s="11" t="s">
        <v>209</v>
      </c>
      <c r="BA369" s="11"/>
      <c r="BB369" s="59" t="s">
        <v>2813</v>
      </c>
      <c r="BC369" s="59" t="s">
        <v>292</v>
      </c>
      <c r="BD369" s="59" t="s">
        <v>1168</v>
      </c>
      <c r="BE369" s="59">
        <v>100</v>
      </c>
      <c r="BF369" s="59"/>
      <c r="BG369" s="59"/>
      <c r="BH369" s="138"/>
      <c r="BI369" s="138"/>
      <c r="BJ369" s="138"/>
      <c r="BK369" s="231"/>
      <c r="BL369" s="231"/>
      <c r="BM369" s="231"/>
      <c r="BN369" s="232"/>
      <c r="BO369" s="19"/>
      <c r="BP369" s="23"/>
      <c r="BQ369" s="23"/>
      <c r="BR369" s="23"/>
      <c r="BS369" s="43"/>
    </row>
    <row r="370" spans="1:72" ht="12.75" customHeight="1" x14ac:dyDescent="0.15">
      <c r="A370" s="48" t="s">
        <v>4888</v>
      </c>
      <c r="B370" s="9" t="s">
        <v>4889</v>
      </c>
      <c r="C370" s="9"/>
      <c r="D370" s="9"/>
      <c r="E370" s="9"/>
      <c r="F370" s="112" t="s">
        <v>107</v>
      </c>
      <c r="G370" s="10" t="s">
        <v>4890</v>
      </c>
      <c r="H370" s="5" t="s">
        <v>4891</v>
      </c>
      <c r="I370" s="11" t="s">
        <v>2455</v>
      </c>
      <c r="J370" s="357" t="s">
        <v>4887</v>
      </c>
      <c r="K370" s="353"/>
      <c r="L370" s="221">
        <v>212</v>
      </c>
      <c r="M370" s="221"/>
      <c r="N370" s="222" t="str">
        <f t="shared" si="10"/>
        <v>Contact famille</v>
      </c>
      <c r="O370" s="729">
        <v>212</v>
      </c>
      <c r="P370" s="729"/>
      <c r="Q370" s="730" t="str">
        <f t="shared" si="11"/>
        <v>Contact famille</v>
      </c>
      <c r="R370" s="731"/>
      <c r="S370" s="731"/>
      <c r="T370" s="731"/>
      <c r="U370" s="731"/>
      <c r="V370" s="731"/>
      <c r="W370" s="731"/>
      <c r="X370" s="731"/>
      <c r="Y370" s="731"/>
      <c r="Z370" s="731"/>
      <c r="AA370" s="731"/>
      <c r="AB370" s="12"/>
      <c r="AC370" s="12"/>
      <c r="AD370" s="12"/>
      <c r="AE370" s="12"/>
      <c r="AF370" s="12"/>
      <c r="AG370" s="369"/>
      <c r="AH370" s="370"/>
      <c r="AI370" s="18" t="s">
        <v>242</v>
      </c>
      <c r="AJ370" s="18" t="s">
        <v>242</v>
      </c>
      <c r="AK370" s="13" t="s">
        <v>242</v>
      </c>
      <c r="AL370" s="13" t="s">
        <v>242</v>
      </c>
      <c r="AM370" s="46" t="s">
        <v>244</v>
      </c>
      <c r="AN370" s="38"/>
      <c r="AO370" s="10"/>
      <c r="AP370" s="40"/>
      <c r="AQ370" s="20">
        <v>661874186</v>
      </c>
      <c r="AR370" s="47"/>
      <c r="AS370" s="62"/>
      <c r="AT370" s="62"/>
      <c r="AU370" s="11"/>
      <c r="AV370" s="10"/>
      <c r="AW370" s="11"/>
      <c r="AX370" s="11"/>
      <c r="AY370" s="11"/>
      <c r="AZ370" s="11"/>
      <c r="BA370" s="11"/>
      <c r="BB370" s="59"/>
      <c r="BC370" s="59"/>
      <c r="BD370" s="59"/>
      <c r="BE370" s="59"/>
      <c r="BF370" s="59"/>
      <c r="BG370" s="59"/>
      <c r="BH370" s="138"/>
      <c r="BI370" s="138"/>
      <c r="BJ370" s="138"/>
      <c r="BK370" s="231"/>
      <c r="BL370" s="231"/>
      <c r="BM370" s="231"/>
      <c r="BN370" s="232"/>
      <c r="BO370" s="19"/>
      <c r="BP370" s="23"/>
      <c r="BQ370" s="23"/>
      <c r="BR370" s="23"/>
      <c r="BS370" s="43"/>
    </row>
    <row r="371" spans="1:72" s="150" customFormat="1" ht="12.75" customHeight="1" x14ac:dyDescent="0.15">
      <c r="A371" s="48" t="s">
        <v>4888</v>
      </c>
      <c r="B371" s="9" t="s">
        <v>2387</v>
      </c>
      <c r="C371" s="9"/>
      <c r="D371" s="9"/>
      <c r="E371" s="9"/>
      <c r="F371" s="112" t="s">
        <v>107</v>
      </c>
      <c r="G371" s="10" t="s">
        <v>4890</v>
      </c>
      <c r="H371" s="5" t="s">
        <v>4891</v>
      </c>
      <c r="I371" s="11" t="s">
        <v>2455</v>
      </c>
      <c r="J371" s="357" t="s">
        <v>4887</v>
      </c>
      <c r="K371" s="353"/>
      <c r="L371" s="221">
        <v>3</v>
      </c>
      <c r="M371" s="221"/>
      <c r="N371" s="222" t="str">
        <f t="shared" si="10"/>
        <v>U 21 Hommes</v>
      </c>
      <c r="O371" s="729">
        <v>3</v>
      </c>
      <c r="P371" s="729"/>
      <c r="Q371" s="730" t="str">
        <f t="shared" si="11"/>
        <v>U 21 Hommes</v>
      </c>
      <c r="R371" s="731"/>
      <c r="S371" s="731"/>
      <c r="T371" s="731"/>
      <c r="U371" s="731"/>
      <c r="V371" s="731"/>
      <c r="W371" s="731"/>
      <c r="X371" s="731"/>
      <c r="Y371" s="731"/>
      <c r="Z371" s="731"/>
      <c r="AA371" s="731"/>
      <c r="AB371" s="12" t="s">
        <v>5058</v>
      </c>
      <c r="AC371" s="12"/>
      <c r="AD371" s="12"/>
      <c r="AE371" s="12"/>
      <c r="AF371" s="12"/>
      <c r="AG371" s="369"/>
      <c r="AH371" s="370"/>
      <c r="AI371" s="18">
        <v>42340</v>
      </c>
      <c r="AJ371" s="18">
        <v>45558</v>
      </c>
      <c r="AK371" s="13">
        <v>2027</v>
      </c>
      <c r="AL371" s="18">
        <v>39438</v>
      </c>
      <c r="AM371" s="19" t="s">
        <v>4892</v>
      </c>
      <c r="AN371" s="38"/>
      <c r="AO371" s="20">
        <v>621578731</v>
      </c>
      <c r="AP371" s="40" t="s">
        <v>4893</v>
      </c>
      <c r="AQ371" s="10" t="s">
        <v>4894</v>
      </c>
      <c r="AR371" s="47" t="s">
        <v>4895</v>
      </c>
      <c r="AS371" s="62"/>
      <c r="AT371" s="62"/>
      <c r="AU371" s="11"/>
      <c r="AV371" s="10"/>
      <c r="AW371" s="11"/>
      <c r="AX371" s="11"/>
      <c r="AY371" s="11"/>
      <c r="AZ371" s="11"/>
      <c r="BA371" s="11"/>
      <c r="BB371" s="59"/>
      <c r="BC371" s="59"/>
      <c r="BD371" s="59"/>
      <c r="BE371" s="59"/>
      <c r="BF371" s="59"/>
      <c r="BG371" s="59"/>
      <c r="BH371" s="138"/>
      <c r="BI371" s="138"/>
      <c r="BJ371" s="138"/>
      <c r="BK371" s="231"/>
      <c r="BL371" s="231"/>
      <c r="BM371" s="231"/>
      <c r="BN371" s="232"/>
      <c r="BO371" s="19"/>
      <c r="BP371" s="23"/>
      <c r="BQ371" s="23"/>
      <c r="BR371" s="23"/>
      <c r="BS371" s="43"/>
      <c r="BT371"/>
    </row>
    <row r="372" spans="1:72" ht="12.75" customHeight="1" x14ac:dyDescent="0.15">
      <c r="A372" s="48" t="s">
        <v>4858</v>
      </c>
      <c r="B372" s="9" t="s">
        <v>1359</v>
      </c>
      <c r="C372" s="9"/>
      <c r="D372" s="9"/>
      <c r="E372" s="9"/>
      <c r="F372" s="112" t="s">
        <v>1681</v>
      </c>
      <c r="G372" s="10" t="s">
        <v>4863</v>
      </c>
      <c r="H372" s="5" t="s">
        <v>256</v>
      </c>
      <c r="I372" s="11" t="s">
        <v>618</v>
      </c>
      <c r="J372" s="357" t="s">
        <v>885</v>
      </c>
      <c r="K372" s="353"/>
      <c r="L372" s="221">
        <v>7</v>
      </c>
      <c r="M372" s="221"/>
      <c r="N372" s="222" t="str">
        <f t="shared" si="10"/>
        <v>U 11 Hommes</v>
      </c>
      <c r="O372" s="729">
        <v>7</v>
      </c>
      <c r="P372" s="729"/>
      <c r="Q372" s="730" t="str">
        <f t="shared" si="11"/>
        <v>U 11 Hommes</v>
      </c>
      <c r="R372" s="731"/>
      <c r="S372" s="731"/>
      <c r="T372" s="731"/>
      <c r="U372" s="731"/>
      <c r="V372" s="731" t="s">
        <v>192</v>
      </c>
      <c r="W372" s="731"/>
      <c r="X372" s="731"/>
      <c r="Y372" s="731"/>
      <c r="Z372" s="731"/>
      <c r="AA372" s="731"/>
      <c r="AB372" s="12" t="s">
        <v>4899</v>
      </c>
      <c r="AC372" s="12"/>
      <c r="AD372" s="12"/>
      <c r="AE372" s="12"/>
      <c r="AF372" s="12"/>
      <c r="AG372" s="369"/>
      <c r="AH372" s="370"/>
      <c r="AI372" s="689">
        <v>45560</v>
      </c>
      <c r="AJ372" s="689">
        <v>45544</v>
      </c>
      <c r="AK372" s="388">
        <v>2029</v>
      </c>
      <c r="AL372" s="689">
        <v>42804</v>
      </c>
      <c r="AM372" s="690" t="s">
        <v>4864</v>
      </c>
      <c r="AN372" s="38"/>
      <c r="AO372" s="10"/>
      <c r="AP372" s="40" t="s">
        <v>4865</v>
      </c>
      <c r="AQ372" s="10" t="s">
        <v>4866</v>
      </c>
      <c r="AR372" s="47" t="s">
        <v>4867</v>
      </c>
      <c r="AS372" s="62"/>
      <c r="AT372" s="62"/>
      <c r="AU372" s="11"/>
      <c r="AV372" s="10"/>
      <c r="AW372" s="11"/>
      <c r="AX372" s="11"/>
      <c r="AY372" s="11"/>
      <c r="AZ372" s="11"/>
      <c r="BA372" s="11"/>
      <c r="BB372" s="59"/>
      <c r="BC372" s="59"/>
      <c r="BD372" s="59"/>
      <c r="BE372" s="59"/>
      <c r="BF372" s="59"/>
      <c r="BG372" s="59"/>
      <c r="BH372" s="138"/>
      <c r="BI372" s="138"/>
      <c r="BJ372" s="138"/>
      <c r="BK372" s="231"/>
      <c r="BL372" s="231"/>
      <c r="BM372" s="231"/>
      <c r="BN372" s="232"/>
      <c r="BO372" s="19"/>
      <c r="BP372" s="23"/>
      <c r="BQ372" s="23"/>
      <c r="BR372" s="23"/>
      <c r="BS372" s="43"/>
    </row>
    <row r="373" spans="1:72" ht="12.75" customHeight="1" x14ac:dyDescent="0.15">
      <c r="A373" s="48" t="s">
        <v>4859</v>
      </c>
      <c r="B373" s="9" t="s">
        <v>4861</v>
      </c>
      <c r="C373" s="9"/>
      <c r="D373" s="9"/>
      <c r="E373" s="9"/>
      <c r="F373" s="112" t="s">
        <v>1681</v>
      </c>
      <c r="G373" s="10" t="s">
        <v>4863</v>
      </c>
      <c r="H373" s="5" t="s">
        <v>256</v>
      </c>
      <c r="I373" s="11" t="s">
        <v>618</v>
      </c>
      <c r="J373" s="357" t="s">
        <v>885</v>
      </c>
      <c r="K373" s="353"/>
      <c r="L373" s="221">
        <v>212</v>
      </c>
      <c r="M373" s="221"/>
      <c r="N373" s="222" t="str">
        <f t="shared" si="10"/>
        <v>Contact famille</v>
      </c>
      <c r="O373" s="729">
        <v>212</v>
      </c>
      <c r="P373" s="729"/>
      <c r="Q373" s="730" t="str">
        <f t="shared" si="11"/>
        <v>Contact famille</v>
      </c>
      <c r="R373" s="731"/>
      <c r="S373" s="731"/>
      <c r="T373" s="731"/>
      <c r="U373" s="731"/>
      <c r="V373" s="731" t="s">
        <v>313</v>
      </c>
      <c r="W373" s="731"/>
      <c r="X373" s="731"/>
      <c r="Y373" s="731"/>
      <c r="Z373" s="731"/>
      <c r="AA373" s="731"/>
      <c r="AB373" s="12"/>
      <c r="AC373" s="12"/>
      <c r="AD373" s="12"/>
      <c r="AE373" s="12"/>
      <c r="AF373" s="12"/>
      <c r="AG373" s="369"/>
      <c r="AH373" s="370"/>
      <c r="AI373" s="18" t="s">
        <v>242</v>
      </c>
      <c r="AJ373" s="18" t="s">
        <v>242</v>
      </c>
      <c r="AK373" s="13" t="s">
        <v>242</v>
      </c>
      <c r="AL373" s="13" t="s">
        <v>242</v>
      </c>
      <c r="AM373" s="46" t="s">
        <v>244</v>
      </c>
      <c r="AN373" s="38"/>
      <c r="AO373" s="10"/>
      <c r="AP373" s="40"/>
      <c r="AQ373" s="20">
        <v>661118095</v>
      </c>
      <c r="AR373" s="47" t="s">
        <v>4868</v>
      </c>
      <c r="AS373" s="62"/>
      <c r="AT373" s="62"/>
      <c r="AU373" s="11"/>
      <c r="AV373" s="10"/>
      <c r="AW373" s="11"/>
      <c r="AX373" s="11"/>
      <c r="AY373" s="11"/>
      <c r="AZ373" s="11"/>
      <c r="BA373" s="11"/>
      <c r="BB373" s="59"/>
      <c r="BC373" s="59"/>
      <c r="BD373" s="59"/>
      <c r="BE373" s="59"/>
      <c r="BF373" s="59"/>
      <c r="BG373" s="59"/>
      <c r="BH373" s="138"/>
      <c r="BI373" s="138"/>
      <c r="BJ373" s="138"/>
      <c r="BK373" s="231"/>
      <c r="BL373" s="231"/>
      <c r="BM373" s="231"/>
      <c r="BN373" s="232"/>
      <c r="BO373" s="19"/>
      <c r="BP373" s="23"/>
      <c r="BQ373" s="23"/>
      <c r="BR373" s="23"/>
      <c r="BS373" s="43"/>
      <c r="BT373" s="150"/>
    </row>
    <row r="374" spans="1:72" ht="12.75" customHeight="1" x14ac:dyDescent="0.15">
      <c r="A374" s="48" t="s">
        <v>4647</v>
      </c>
      <c r="B374" s="9" t="s">
        <v>1113</v>
      </c>
      <c r="C374" s="9"/>
      <c r="D374" s="9"/>
      <c r="E374" s="9"/>
      <c r="F374" s="112" t="s">
        <v>107</v>
      </c>
      <c r="G374" s="10" t="s">
        <v>4648</v>
      </c>
      <c r="H374" s="5" t="s">
        <v>1235</v>
      </c>
      <c r="I374" s="11" t="s">
        <v>223</v>
      </c>
      <c r="J374" s="357" t="s">
        <v>4645</v>
      </c>
      <c r="K374" s="353"/>
      <c r="L374" s="221">
        <v>212</v>
      </c>
      <c r="M374" s="221"/>
      <c r="N374" s="222" t="str">
        <f t="shared" si="10"/>
        <v>Contact famille</v>
      </c>
      <c r="O374" s="729">
        <v>212</v>
      </c>
      <c r="P374" s="729"/>
      <c r="Q374" s="730" t="str">
        <f t="shared" si="11"/>
        <v>Contact famille</v>
      </c>
      <c r="R374" s="731"/>
      <c r="S374" s="731"/>
      <c r="T374" s="731"/>
      <c r="U374" s="731"/>
      <c r="V374" s="731"/>
      <c r="W374" s="731" t="s">
        <v>313</v>
      </c>
      <c r="X374" s="731" t="s">
        <v>313</v>
      </c>
      <c r="Y374" s="731"/>
      <c r="Z374" s="731"/>
      <c r="AA374" s="731"/>
      <c r="AB374" s="12"/>
      <c r="AC374" s="12"/>
      <c r="AD374" s="12"/>
      <c r="AE374" s="12"/>
      <c r="AF374" s="12"/>
      <c r="AG374" s="369"/>
      <c r="AH374" s="370"/>
      <c r="AI374" s="18"/>
      <c r="AJ374" s="18" t="s">
        <v>242</v>
      </c>
      <c r="AK374" s="13" t="s">
        <v>242</v>
      </c>
      <c r="AL374" s="13" t="s">
        <v>242</v>
      </c>
      <c r="AM374" s="46" t="s">
        <v>244</v>
      </c>
      <c r="AN374" s="38"/>
      <c r="AO374" s="10"/>
      <c r="AP374" s="40"/>
      <c r="AQ374" s="20">
        <v>691951984</v>
      </c>
      <c r="AR374" s="47" t="s">
        <v>4653</v>
      </c>
      <c r="AS374" s="62"/>
      <c r="AT374" s="62"/>
      <c r="AU374" s="11"/>
      <c r="AV374" s="10"/>
      <c r="AW374" s="11"/>
      <c r="AX374" s="11"/>
      <c r="AY374" s="11"/>
      <c r="AZ374" s="11"/>
      <c r="BA374" s="11"/>
      <c r="BB374" s="59"/>
      <c r="BC374" s="59"/>
      <c r="BD374" s="59"/>
      <c r="BE374" s="59"/>
      <c r="BF374" s="59"/>
      <c r="BG374" s="59"/>
      <c r="BH374" s="138"/>
      <c r="BI374" s="138"/>
      <c r="BJ374" s="138"/>
      <c r="BK374" s="231"/>
      <c r="BL374" s="231"/>
      <c r="BM374" s="231"/>
      <c r="BN374" s="232"/>
      <c r="BO374" s="19"/>
      <c r="BP374" s="23"/>
      <c r="BQ374" s="23"/>
      <c r="BR374" s="23"/>
      <c r="BS374" s="43"/>
    </row>
    <row r="375" spans="1:72" ht="12.75" customHeight="1" x14ac:dyDescent="0.15">
      <c r="A375" s="48" t="s">
        <v>396</v>
      </c>
      <c r="B375" s="9" t="s">
        <v>1605</v>
      </c>
      <c r="C375" s="9"/>
      <c r="D375" s="9"/>
      <c r="E375" s="9"/>
      <c r="F375" s="112" t="s">
        <v>107</v>
      </c>
      <c r="G375" s="10" t="s">
        <v>3947</v>
      </c>
      <c r="H375" s="5" t="s">
        <v>2115</v>
      </c>
      <c r="I375" s="11" t="s">
        <v>651</v>
      </c>
      <c r="J375" s="357" t="s">
        <v>1356</v>
      </c>
      <c r="K375" s="353"/>
      <c r="L375" s="221">
        <v>212</v>
      </c>
      <c r="M375" s="221"/>
      <c r="N375" s="222" t="str">
        <f t="shared" si="10"/>
        <v>Contact famille</v>
      </c>
      <c r="O375" s="729">
        <v>212</v>
      </c>
      <c r="P375" s="729"/>
      <c r="Q375" s="730" t="str">
        <f t="shared" si="11"/>
        <v>Contact famille</v>
      </c>
      <c r="R375" s="731"/>
      <c r="S375" s="731"/>
      <c r="T375" s="731" t="s">
        <v>313</v>
      </c>
      <c r="U375" s="731"/>
      <c r="V375" s="731"/>
      <c r="W375" s="731"/>
      <c r="X375" s="731"/>
      <c r="Y375" s="731"/>
      <c r="Z375" s="731"/>
      <c r="AA375" s="731"/>
      <c r="AB375" s="12"/>
      <c r="AC375" s="12"/>
      <c r="AD375" s="12"/>
      <c r="AE375" s="12"/>
      <c r="AF375" s="12"/>
      <c r="AG375" s="369"/>
      <c r="AH375" s="370"/>
      <c r="AI375" s="18" t="s">
        <v>242</v>
      </c>
      <c r="AJ375" s="18" t="s">
        <v>242</v>
      </c>
      <c r="AK375" s="13" t="s">
        <v>242</v>
      </c>
      <c r="AL375" s="18" t="s">
        <v>242</v>
      </c>
      <c r="AM375" s="19" t="s">
        <v>244</v>
      </c>
      <c r="AN375" s="38"/>
      <c r="AO375" s="10"/>
      <c r="AP375" s="857" t="s">
        <v>3952</v>
      </c>
      <c r="AQ375" s="20">
        <v>661810220</v>
      </c>
      <c r="AR375" s="47" t="s">
        <v>3951</v>
      </c>
      <c r="AS375" s="62"/>
      <c r="AT375" s="62"/>
      <c r="AU375" s="11"/>
      <c r="AV375" s="10"/>
      <c r="AW375" s="11"/>
      <c r="AX375" s="11"/>
      <c r="AY375" s="11"/>
      <c r="AZ375" s="11"/>
      <c r="BA375" s="11"/>
      <c r="BB375" s="59"/>
      <c r="BC375" s="59"/>
      <c r="BD375" s="59"/>
      <c r="BE375" s="59"/>
      <c r="BF375" s="59"/>
      <c r="BG375" s="59"/>
      <c r="BH375" s="138"/>
      <c r="BI375" s="138"/>
      <c r="BJ375" s="138"/>
      <c r="BK375" s="231"/>
      <c r="BL375" s="231"/>
      <c r="BM375" s="231"/>
      <c r="BN375" s="232"/>
      <c r="BO375" s="19"/>
      <c r="BP375" s="23"/>
      <c r="BQ375" s="23"/>
      <c r="BR375" s="23"/>
      <c r="BS375" s="43"/>
    </row>
    <row r="376" spans="1:72" ht="12.75" customHeight="1" x14ac:dyDescent="0.15">
      <c r="A376" s="48" t="s">
        <v>4812</v>
      </c>
      <c r="B376" s="9" t="s">
        <v>5086</v>
      </c>
      <c r="C376" s="9"/>
      <c r="D376" s="9"/>
      <c r="E376" s="9"/>
      <c r="F376" s="112" t="s">
        <v>107</v>
      </c>
      <c r="G376" s="10" t="s">
        <v>4816</v>
      </c>
      <c r="H376" s="5" t="s">
        <v>1666</v>
      </c>
      <c r="I376" s="11" t="s">
        <v>274</v>
      </c>
      <c r="J376" s="357" t="s">
        <v>1580</v>
      </c>
      <c r="K376" s="353"/>
      <c r="L376" s="221">
        <v>5</v>
      </c>
      <c r="M376" s="221"/>
      <c r="N376" s="222" t="str">
        <f t="shared" si="10"/>
        <v>U 15 Hommes</v>
      </c>
      <c r="O376" s="729">
        <v>5</v>
      </c>
      <c r="P376" s="729"/>
      <c r="Q376" s="730" t="str">
        <f t="shared" si="11"/>
        <v>U 15 Hommes</v>
      </c>
      <c r="R376" s="732"/>
      <c r="S376" s="732"/>
      <c r="T376" s="732" t="s">
        <v>192</v>
      </c>
      <c r="U376" s="732"/>
      <c r="V376" s="732"/>
      <c r="W376" s="732"/>
      <c r="X376" s="732"/>
      <c r="Y376" s="732"/>
      <c r="Z376" s="732"/>
      <c r="AA376" s="732"/>
      <c r="AB376" s="12" t="s">
        <v>5121</v>
      </c>
      <c r="AC376" s="155"/>
      <c r="AD376" s="155"/>
      <c r="AE376" s="155"/>
      <c r="AF376" s="12"/>
      <c r="AG376" s="369"/>
      <c r="AH376" s="392"/>
      <c r="AI376" s="18">
        <v>45776</v>
      </c>
      <c r="AJ376" s="18">
        <v>45734</v>
      </c>
      <c r="AK376" s="13">
        <v>2029</v>
      </c>
      <c r="AL376" s="18">
        <v>41950</v>
      </c>
      <c r="AM376" s="5" t="s">
        <v>5087</v>
      </c>
      <c r="AN376" s="10"/>
      <c r="AO376" s="11"/>
      <c r="AP376" s="40" t="s">
        <v>4818</v>
      </c>
      <c r="AQ376" s="10" t="s">
        <v>4819</v>
      </c>
      <c r="AR376" s="47" t="s">
        <v>4820</v>
      </c>
      <c r="AS376" s="62"/>
      <c r="AT376" s="62"/>
      <c r="AU376" s="10"/>
      <c r="AV376" s="10"/>
      <c r="AW376" s="13"/>
      <c r="AX376" s="11"/>
      <c r="AY376" s="11"/>
      <c r="AZ376" s="11"/>
      <c r="BA376" s="11"/>
      <c r="BB376" s="59"/>
      <c r="BC376" s="59"/>
      <c r="BD376" s="59"/>
      <c r="BE376" s="59"/>
      <c r="BF376" s="59"/>
      <c r="BG376" s="59"/>
      <c r="BH376" s="138"/>
      <c r="BI376" s="138"/>
      <c r="BJ376" s="138"/>
      <c r="BK376" s="231"/>
      <c r="BL376" s="231"/>
      <c r="BM376" s="231"/>
      <c r="BN376" s="232"/>
      <c r="BO376" s="11"/>
      <c r="BP376" s="11"/>
      <c r="BQ376" s="11"/>
      <c r="BR376" s="11"/>
      <c r="BS376" s="394"/>
    </row>
    <row r="377" spans="1:72" ht="12.75" customHeight="1" x14ac:dyDescent="0.15">
      <c r="A377" s="48" t="s">
        <v>4812</v>
      </c>
      <c r="B377" s="9" t="s">
        <v>4815</v>
      </c>
      <c r="C377" s="9"/>
      <c r="D377" s="9"/>
      <c r="E377" s="9"/>
      <c r="F377" s="112" t="s">
        <v>107</v>
      </c>
      <c r="G377" s="10" t="s">
        <v>4816</v>
      </c>
      <c r="H377" s="5" t="s">
        <v>1666</v>
      </c>
      <c r="I377" s="11" t="s">
        <v>274</v>
      </c>
      <c r="J377" s="357" t="s">
        <v>1580</v>
      </c>
      <c r="K377" s="353"/>
      <c r="L377" s="221">
        <v>17</v>
      </c>
      <c r="M377" s="221"/>
      <c r="N377" s="222" t="str">
        <f t="shared" si="10"/>
        <v>U 11 Dames</v>
      </c>
      <c r="O377" s="729">
        <v>17</v>
      </c>
      <c r="P377" s="729"/>
      <c r="Q377" s="730" t="str">
        <f t="shared" si="11"/>
        <v>U 11 Dames</v>
      </c>
      <c r="R377" s="731"/>
      <c r="S377" s="731"/>
      <c r="T377" s="731"/>
      <c r="U377" s="731"/>
      <c r="V377" s="731" t="s">
        <v>192</v>
      </c>
      <c r="W377" s="731"/>
      <c r="X377" s="731"/>
      <c r="Y377" s="731"/>
      <c r="Z377" s="731"/>
      <c r="AA377" s="731"/>
      <c r="AB377" s="12" t="s">
        <v>4876</v>
      </c>
      <c r="AC377" s="12"/>
      <c r="AD377" s="12"/>
      <c r="AE377" s="12"/>
      <c r="AF377" s="12"/>
      <c r="AG377" s="369"/>
      <c r="AH377" s="370"/>
      <c r="AI377" s="18">
        <v>45552</v>
      </c>
      <c r="AJ377" s="18">
        <v>45505</v>
      </c>
      <c r="AK377" s="13">
        <v>2028</v>
      </c>
      <c r="AL377" s="18">
        <v>42416</v>
      </c>
      <c r="AM377" s="19" t="s">
        <v>4817</v>
      </c>
      <c r="AN377" s="38"/>
      <c r="AO377" s="10"/>
      <c r="AP377" s="40" t="s">
        <v>4818</v>
      </c>
      <c r="AQ377" s="10" t="s">
        <v>4819</v>
      </c>
      <c r="AR377" s="47" t="s">
        <v>4820</v>
      </c>
      <c r="AS377" s="62"/>
      <c r="AT377" s="62"/>
      <c r="AU377" s="11"/>
      <c r="AV377" s="10"/>
      <c r="AW377" s="11"/>
      <c r="AX377" s="11"/>
      <c r="AY377" s="11"/>
      <c r="AZ377" s="11"/>
      <c r="BA377" s="11"/>
      <c r="BB377" s="59"/>
      <c r="BC377" s="59"/>
      <c r="BD377" s="59"/>
      <c r="BE377" s="59"/>
      <c r="BF377" s="59"/>
      <c r="BG377" s="59"/>
      <c r="BH377" s="138"/>
      <c r="BI377" s="138"/>
      <c r="BJ377" s="138"/>
      <c r="BK377" s="231"/>
      <c r="BL377" s="231"/>
      <c r="BM377" s="231"/>
      <c r="BN377" s="232"/>
      <c r="BO377" s="19"/>
      <c r="BP377" s="23"/>
      <c r="BQ377" s="23"/>
      <c r="BR377" s="23"/>
      <c r="BS377" s="43"/>
    </row>
    <row r="378" spans="1:72" ht="12.75" customHeight="1" x14ac:dyDescent="0.15">
      <c r="A378" s="48" t="s">
        <v>4813</v>
      </c>
      <c r="B378" s="9" t="s">
        <v>1055</v>
      </c>
      <c r="C378" s="9"/>
      <c r="D378" s="9"/>
      <c r="E378" s="9"/>
      <c r="F378" s="112" t="s">
        <v>107</v>
      </c>
      <c r="G378" s="10" t="s">
        <v>4816</v>
      </c>
      <c r="H378" s="5" t="s">
        <v>1666</v>
      </c>
      <c r="I378" s="11" t="s">
        <v>274</v>
      </c>
      <c r="J378" s="357" t="s">
        <v>1580</v>
      </c>
      <c r="K378" s="353"/>
      <c r="L378" s="221">
        <v>212</v>
      </c>
      <c r="M378" s="221"/>
      <c r="N378" s="222" t="str">
        <f t="shared" si="10"/>
        <v>Contact famille</v>
      </c>
      <c r="O378" s="729">
        <v>212</v>
      </c>
      <c r="P378" s="729"/>
      <c r="Q378" s="730" t="str">
        <f t="shared" si="11"/>
        <v>Contact famille</v>
      </c>
      <c r="R378" s="731"/>
      <c r="S378" s="731"/>
      <c r="T378" s="731" t="s">
        <v>313</v>
      </c>
      <c r="U378" s="731"/>
      <c r="V378" s="731" t="s">
        <v>313</v>
      </c>
      <c r="W378" s="731"/>
      <c r="X378" s="731"/>
      <c r="Y378" s="731"/>
      <c r="Z378" s="731"/>
      <c r="AA378" s="731"/>
      <c r="AB378" s="12"/>
      <c r="AC378" s="12"/>
      <c r="AD378" s="12"/>
      <c r="AE378" s="12"/>
      <c r="AF378" s="12"/>
      <c r="AG378" s="369"/>
      <c r="AH378" s="370"/>
      <c r="AI378" s="689" t="s">
        <v>242</v>
      </c>
      <c r="AJ378" s="689" t="s">
        <v>242</v>
      </c>
      <c r="AK378" s="388" t="s">
        <v>242</v>
      </c>
      <c r="AL378" s="388" t="s">
        <v>242</v>
      </c>
      <c r="AM378" s="854" t="s">
        <v>244</v>
      </c>
      <c r="AN378" s="38"/>
      <c r="AO378" s="10"/>
      <c r="AP378" s="40"/>
      <c r="AQ378" s="20">
        <v>661166999</v>
      </c>
      <c r="AR378" s="47" t="s">
        <v>4821</v>
      </c>
      <c r="AS378" s="62"/>
      <c r="AT378" s="62"/>
      <c r="AU378" s="11"/>
      <c r="AV378" s="10"/>
      <c r="AW378" s="11"/>
      <c r="AX378" s="11"/>
      <c r="AY378" s="11"/>
      <c r="AZ378" s="11"/>
      <c r="BA378" s="11"/>
      <c r="BB378" s="59"/>
      <c r="BC378" s="59"/>
      <c r="BD378" s="59"/>
      <c r="BE378" s="59"/>
      <c r="BF378" s="59"/>
      <c r="BG378" s="59"/>
      <c r="BH378" s="138"/>
      <c r="BI378" s="138"/>
      <c r="BJ378" s="138"/>
      <c r="BK378" s="231"/>
      <c r="BL378" s="231"/>
      <c r="BM378" s="231"/>
      <c r="BN378" s="232"/>
      <c r="BO378" s="19"/>
      <c r="BP378" s="23"/>
      <c r="BQ378" s="23"/>
      <c r="BR378" s="23"/>
      <c r="BS378" s="43"/>
    </row>
    <row r="379" spans="1:72" ht="12.75" customHeight="1" x14ac:dyDescent="0.15">
      <c r="A379" s="48" t="s">
        <v>5562</v>
      </c>
      <c r="B379" s="9" t="s">
        <v>3200</v>
      </c>
      <c r="C379" s="9"/>
      <c r="D379" s="9"/>
      <c r="E379" s="9"/>
      <c r="F379" s="112" t="s">
        <v>5477</v>
      </c>
      <c r="G379" s="11" t="s">
        <v>5563</v>
      </c>
      <c r="H379" s="5" t="s">
        <v>4127</v>
      </c>
      <c r="I379" s="11" t="s">
        <v>283</v>
      </c>
      <c r="J379" s="357" t="s">
        <v>5559</v>
      </c>
      <c r="K379" s="353"/>
      <c r="L379" s="221">
        <v>212</v>
      </c>
      <c r="M379" s="221"/>
      <c r="N379" s="222" t="str">
        <f t="shared" si="10"/>
        <v>Contact famille</v>
      </c>
      <c r="O379" s="729">
        <v>212</v>
      </c>
      <c r="P379" s="729"/>
      <c r="Q379" s="730" t="str">
        <f t="shared" si="11"/>
        <v>Contact famille</v>
      </c>
      <c r="R379" s="732"/>
      <c r="S379" s="732"/>
      <c r="T379" s="732"/>
      <c r="U379" s="732"/>
      <c r="V379" s="732"/>
      <c r="W379" s="732"/>
      <c r="X379" s="732"/>
      <c r="Y379" s="732"/>
      <c r="Z379" s="732"/>
      <c r="AA379" s="732" t="s">
        <v>313</v>
      </c>
      <c r="AB379" s="12"/>
      <c r="AC379" s="155"/>
      <c r="AD379" s="155"/>
      <c r="AE379" s="155"/>
      <c r="AF379" s="12"/>
      <c r="AG379" s="386"/>
      <c r="AH379" s="392"/>
      <c r="AI379" s="18" t="s">
        <v>242</v>
      </c>
      <c r="AJ379" s="18" t="s">
        <v>242</v>
      </c>
      <c r="AK379" s="13" t="s">
        <v>242</v>
      </c>
      <c r="AL379" s="13" t="s">
        <v>242</v>
      </c>
      <c r="AM379" s="46" t="s">
        <v>244</v>
      </c>
      <c r="AN379" s="10"/>
      <c r="AO379" s="11"/>
      <c r="AP379" s="53"/>
      <c r="AQ379" s="20">
        <v>691233822</v>
      </c>
      <c r="AR379" s="68" t="s">
        <v>5567</v>
      </c>
      <c r="AS379" s="62"/>
      <c r="AT379" s="62"/>
      <c r="AU379" s="10"/>
      <c r="AV379" s="10"/>
      <c r="AW379" s="13"/>
      <c r="AX379" s="11"/>
      <c r="AY379" s="11"/>
      <c r="AZ379" s="11"/>
      <c r="BA379" s="11"/>
      <c r="BB379" s="59"/>
      <c r="BC379" s="59"/>
      <c r="BD379" s="59"/>
      <c r="BE379" s="59"/>
      <c r="BF379" s="59"/>
      <c r="BG379" s="59"/>
      <c r="BH379" s="138"/>
      <c r="BI379" s="138"/>
      <c r="BJ379" s="138"/>
      <c r="BK379" s="231"/>
      <c r="BL379" s="231"/>
      <c r="BM379" s="231"/>
      <c r="BN379" s="232"/>
      <c r="BO379" s="11"/>
      <c r="BP379" s="11"/>
      <c r="BQ379" s="11"/>
      <c r="BR379" s="11"/>
      <c r="BS379" s="394"/>
    </row>
    <row r="380" spans="1:72" ht="12.75" customHeight="1" x14ac:dyDescent="0.15">
      <c r="A380" s="48" t="s">
        <v>3152</v>
      </c>
      <c r="B380" s="9" t="s">
        <v>3768</v>
      </c>
      <c r="C380" s="9"/>
      <c r="D380" s="9"/>
      <c r="E380" s="9"/>
      <c r="F380" s="10" t="s">
        <v>107</v>
      </c>
      <c r="G380" s="10" t="s">
        <v>3769</v>
      </c>
      <c r="H380" s="5" t="s">
        <v>773</v>
      </c>
      <c r="I380" s="11" t="s">
        <v>774</v>
      </c>
      <c r="J380" s="357" t="s">
        <v>1405</v>
      </c>
      <c r="K380" s="353"/>
      <c r="L380" s="221">
        <v>212</v>
      </c>
      <c r="M380" s="221"/>
      <c r="N380" s="222" t="str">
        <f t="shared" si="10"/>
        <v>Contact famille</v>
      </c>
      <c r="O380" s="729">
        <v>212</v>
      </c>
      <c r="P380" s="729"/>
      <c r="Q380" s="730" t="str">
        <f t="shared" si="11"/>
        <v>Contact famille</v>
      </c>
      <c r="R380" s="731" t="s">
        <v>313</v>
      </c>
      <c r="S380" s="731"/>
      <c r="T380" s="731"/>
      <c r="U380" s="731"/>
      <c r="V380" s="731"/>
      <c r="W380" s="731"/>
      <c r="X380" s="731"/>
      <c r="Y380" s="731"/>
      <c r="Z380" s="731"/>
      <c r="AA380" s="731"/>
      <c r="AB380" s="12"/>
      <c r="AC380" s="12"/>
      <c r="AD380" s="12"/>
      <c r="AE380" s="12"/>
      <c r="AF380" s="12"/>
      <c r="AG380" s="369"/>
      <c r="AH380" s="370"/>
      <c r="AI380" s="18" t="s">
        <v>242</v>
      </c>
      <c r="AJ380" s="18" t="s">
        <v>242</v>
      </c>
      <c r="AK380" s="13" t="s">
        <v>242</v>
      </c>
      <c r="AL380" s="13" t="s">
        <v>242</v>
      </c>
      <c r="AM380" s="19" t="s">
        <v>244</v>
      </c>
      <c r="AN380" s="38"/>
      <c r="AO380" s="10"/>
      <c r="AP380" s="40"/>
      <c r="AQ380" s="20">
        <v>621373017</v>
      </c>
      <c r="AR380" s="47" t="s">
        <v>3771</v>
      </c>
      <c r="AS380" s="62"/>
      <c r="AT380" s="62"/>
      <c r="AU380" s="11"/>
      <c r="AV380" s="10"/>
      <c r="AW380" s="11"/>
      <c r="AX380" s="11"/>
      <c r="AY380" s="11"/>
      <c r="AZ380" s="11"/>
      <c r="BA380" s="11"/>
      <c r="BB380" s="59"/>
      <c r="BC380" s="59"/>
      <c r="BD380" s="59"/>
      <c r="BE380" s="59"/>
      <c r="BF380" s="59"/>
      <c r="BG380" s="59"/>
      <c r="BH380" s="138"/>
      <c r="BI380" s="138"/>
      <c r="BJ380" s="138"/>
      <c r="BK380" s="231"/>
      <c r="BL380" s="231"/>
      <c r="BM380" s="231"/>
      <c r="BN380" s="232"/>
      <c r="BO380" s="19"/>
      <c r="BP380" s="23"/>
      <c r="BQ380" s="23"/>
      <c r="BR380" s="23"/>
      <c r="BS380" s="43"/>
    </row>
    <row r="381" spans="1:72" ht="12.75" customHeight="1" x14ac:dyDescent="0.15">
      <c r="A381" s="48" t="s">
        <v>3152</v>
      </c>
      <c r="B381" s="9" t="s">
        <v>857</v>
      </c>
      <c r="C381" s="9"/>
      <c r="D381" s="9"/>
      <c r="E381" s="9"/>
      <c r="F381" s="10" t="s">
        <v>1693</v>
      </c>
      <c r="G381" s="10" t="s">
        <v>3155</v>
      </c>
      <c r="H381" s="5" t="s">
        <v>273</v>
      </c>
      <c r="I381" s="11" t="s">
        <v>274</v>
      </c>
      <c r="J381" s="357" t="s">
        <v>1329</v>
      </c>
      <c r="K381" s="353"/>
      <c r="L381" s="221">
        <v>212</v>
      </c>
      <c r="M381" s="221"/>
      <c r="N381" s="222" t="str">
        <f t="shared" si="10"/>
        <v>Contact famille</v>
      </c>
      <c r="O381" s="729">
        <v>212</v>
      </c>
      <c r="P381" s="729"/>
      <c r="Q381" s="730" t="str">
        <f t="shared" si="11"/>
        <v>Contact famille</v>
      </c>
      <c r="R381" s="731"/>
      <c r="S381" s="731"/>
      <c r="T381" s="731" t="s">
        <v>313</v>
      </c>
      <c r="U381" s="731"/>
      <c r="V381" s="731"/>
      <c r="W381" s="731"/>
      <c r="X381" s="731"/>
      <c r="Y381" s="731"/>
      <c r="Z381" s="731"/>
      <c r="AA381" s="731"/>
      <c r="AB381" s="12"/>
      <c r="AC381" s="12"/>
      <c r="AD381" s="12"/>
      <c r="AE381" s="12"/>
      <c r="AF381" s="12"/>
      <c r="AG381" s="369"/>
      <c r="AH381" s="370"/>
      <c r="AI381" s="18" t="s">
        <v>242</v>
      </c>
      <c r="AJ381" s="18" t="s">
        <v>242</v>
      </c>
      <c r="AK381" s="13" t="s">
        <v>242</v>
      </c>
      <c r="AL381" s="18" t="s">
        <v>242</v>
      </c>
      <c r="AM381" s="19" t="s">
        <v>244</v>
      </c>
      <c r="AN381" s="38"/>
      <c r="AO381" s="10"/>
      <c r="AP381" s="40"/>
      <c r="AQ381" s="10" t="s">
        <v>3158</v>
      </c>
      <c r="AR381" s="47"/>
      <c r="AS381" s="62"/>
      <c r="AT381" s="62"/>
      <c r="AU381" s="11"/>
      <c r="AV381" s="10"/>
      <c r="AW381" s="11"/>
      <c r="AX381" s="11"/>
      <c r="AY381" s="11"/>
      <c r="AZ381" s="11" t="s">
        <v>533</v>
      </c>
      <c r="BA381" s="11"/>
      <c r="BB381" s="69" t="s">
        <v>315</v>
      </c>
      <c r="BC381" s="59"/>
      <c r="BD381" s="59"/>
      <c r="BE381" s="59"/>
      <c r="BF381" s="59"/>
      <c r="BG381" s="59"/>
      <c r="BH381" s="138"/>
      <c r="BI381" s="138"/>
      <c r="BJ381" s="138"/>
      <c r="BK381" s="231"/>
      <c r="BL381" s="231"/>
      <c r="BM381" s="231"/>
      <c r="BN381" s="232"/>
      <c r="BO381" s="19"/>
      <c r="BP381" s="23"/>
      <c r="BQ381" s="23"/>
      <c r="BR381" s="23"/>
      <c r="BS381" s="43"/>
    </row>
    <row r="382" spans="1:72" ht="12.75" customHeight="1" x14ac:dyDescent="0.15">
      <c r="A382" s="48" t="s">
        <v>3152</v>
      </c>
      <c r="B382" s="9" t="s">
        <v>3153</v>
      </c>
      <c r="C382" s="9"/>
      <c r="D382" s="9"/>
      <c r="E382" s="9"/>
      <c r="F382" s="10" t="s">
        <v>107</v>
      </c>
      <c r="G382" s="10" t="s">
        <v>3155</v>
      </c>
      <c r="H382" s="5" t="s">
        <v>273</v>
      </c>
      <c r="I382" s="11" t="s">
        <v>274</v>
      </c>
      <c r="J382" s="357" t="s">
        <v>1329</v>
      </c>
      <c r="K382" s="353"/>
      <c r="L382" s="221">
        <v>5</v>
      </c>
      <c r="M382" s="221"/>
      <c r="N382" s="222" t="str">
        <f t="shared" si="10"/>
        <v>U 15 Hommes</v>
      </c>
      <c r="O382" s="729">
        <v>5</v>
      </c>
      <c r="P382" s="729"/>
      <c r="Q382" s="730" t="str">
        <f t="shared" si="11"/>
        <v>U 15 Hommes</v>
      </c>
      <c r="R382" s="731"/>
      <c r="S382" s="731"/>
      <c r="T382" s="731" t="s">
        <v>192</v>
      </c>
      <c r="U382" s="731"/>
      <c r="V382" s="731"/>
      <c r="W382" s="731"/>
      <c r="X382" s="731"/>
      <c r="Y382" s="731"/>
      <c r="Z382" s="731"/>
      <c r="AA382" s="731"/>
      <c r="AB382" s="12" t="s">
        <v>3219</v>
      </c>
      <c r="AC382" s="12"/>
      <c r="AD382" s="12"/>
      <c r="AE382" s="12"/>
      <c r="AF382" s="12"/>
      <c r="AG382" s="369"/>
      <c r="AH382" s="370"/>
      <c r="AI382" s="18">
        <v>43817</v>
      </c>
      <c r="AJ382" s="18">
        <v>43794</v>
      </c>
      <c r="AK382" s="615">
        <v>2025</v>
      </c>
      <c r="AL382" s="18">
        <v>41486</v>
      </c>
      <c r="AM382" s="19" t="s">
        <v>3156</v>
      </c>
      <c r="AN382" s="38"/>
      <c r="AO382" s="10"/>
      <c r="AP382" s="40" t="s">
        <v>3157</v>
      </c>
      <c r="AQ382" s="10" t="s">
        <v>3159</v>
      </c>
      <c r="AR382" s="47" t="s">
        <v>3161</v>
      </c>
      <c r="AS382" s="62"/>
      <c r="AT382" s="62"/>
      <c r="AU382" s="11"/>
      <c r="AV382" s="10"/>
      <c r="AW382" s="11"/>
      <c r="AX382" s="11"/>
      <c r="AY382" s="11"/>
      <c r="AZ382" s="11" t="s">
        <v>533</v>
      </c>
      <c r="BA382" s="11"/>
      <c r="BB382" s="69" t="s">
        <v>3163</v>
      </c>
      <c r="BC382" s="59"/>
      <c r="BD382" s="59"/>
      <c r="BE382" s="67" t="s">
        <v>347</v>
      </c>
      <c r="BF382" s="59"/>
      <c r="BG382" s="59"/>
      <c r="BH382" s="138"/>
      <c r="BI382" s="138"/>
      <c r="BJ382" s="138"/>
      <c r="BK382" s="231"/>
      <c r="BL382" s="231"/>
      <c r="BM382" s="231"/>
      <c r="BN382" s="232"/>
      <c r="BO382" s="19"/>
      <c r="BP382" s="23"/>
      <c r="BQ382" s="23"/>
      <c r="BR382" s="23"/>
      <c r="BS382" s="43"/>
      <c r="BT382" s="150"/>
    </row>
    <row r="383" spans="1:72" s="150" customFormat="1" ht="12.75" customHeight="1" x14ac:dyDescent="0.15">
      <c r="A383" s="48" t="s">
        <v>1007</v>
      </c>
      <c r="B383" s="9" t="s">
        <v>1008</v>
      </c>
      <c r="C383" s="751"/>
      <c r="D383" s="751"/>
      <c r="E383" s="751"/>
      <c r="F383" s="829" t="s">
        <v>263</v>
      </c>
      <c r="G383" s="10" t="s">
        <v>1009</v>
      </c>
      <c r="H383" s="5" t="s">
        <v>418</v>
      </c>
      <c r="I383" s="11" t="s">
        <v>257</v>
      </c>
      <c r="J383" s="357" t="s">
        <v>320</v>
      </c>
      <c r="K383" s="353"/>
      <c r="L383" s="221">
        <v>2</v>
      </c>
      <c r="M383" s="221"/>
      <c r="N383" s="222" t="str">
        <f t="shared" si="10"/>
        <v>Seniors - Hommes</v>
      </c>
      <c r="O383" s="729">
        <v>2</v>
      </c>
      <c r="P383" s="729"/>
      <c r="Q383" s="730" t="str">
        <f t="shared" si="11"/>
        <v>Seniors - Hommes</v>
      </c>
      <c r="R383" s="731"/>
      <c r="S383" s="731"/>
      <c r="T383" s="731"/>
      <c r="U383" s="731"/>
      <c r="V383" s="731"/>
      <c r="W383" s="731"/>
      <c r="X383" s="731"/>
      <c r="Y383" s="731"/>
      <c r="Z383" s="731"/>
      <c r="AA383" s="731"/>
      <c r="AB383" s="12" t="s">
        <v>3029</v>
      </c>
      <c r="AC383" s="12"/>
      <c r="AD383" s="12"/>
      <c r="AE383" s="12"/>
      <c r="AF383" s="12"/>
      <c r="AG383" s="376"/>
      <c r="AH383" s="370"/>
      <c r="AI383" s="18">
        <v>42338</v>
      </c>
      <c r="AJ383" s="793">
        <v>42338</v>
      </c>
      <c r="AK383" s="471">
        <v>2026</v>
      </c>
      <c r="AL383" s="18">
        <v>38203</v>
      </c>
      <c r="AM383" s="19" t="s">
        <v>2287</v>
      </c>
      <c r="AN383" s="19"/>
      <c r="AO383" s="30" t="s">
        <v>1573</v>
      </c>
      <c r="AP383" s="40"/>
      <c r="AQ383" s="35" t="s">
        <v>4642</v>
      </c>
      <c r="AR383" s="29" t="s">
        <v>2288</v>
      </c>
      <c r="AS383" s="61"/>
      <c r="AT383" s="61"/>
      <c r="AU383" s="5"/>
      <c r="AV383" s="10"/>
      <c r="AW383" s="11"/>
      <c r="AX383" s="11"/>
      <c r="AY383" s="11"/>
      <c r="AZ383" s="11" t="s">
        <v>348</v>
      </c>
      <c r="BA383" s="11"/>
      <c r="BB383" s="59" t="s">
        <v>2813</v>
      </c>
      <c r="BC383" s="59" t="s">
        <v>3151</v>
      </c>
      <c r="BD383" s="59" t="s">
        <v>2136</v>
      </c>
      <c r="BE383" s="59">
        <v>100</v>
      </c>
      <c r="BF383" s="59"/>
      <c r="BG383" s="59"/>
      <c r="BH383" s="138"/>
      <c r="BI383" s="138"/>
      <c r="BJ383" s="138"/>
      <c r="BK383" s="231"/>
      <c r="BL383" s="231"/>
      <c r="BM383" s="231"/>
      <c r="BN383" s="232"/>
      <c r="BO383" s="19"/>
      <c r="BP383" s="23" t="s">
        <v>216</v>
      </c>
      <c r="BQ383" s="23"/>
      <c r="BR383" s="23"/>
      <c r="BS383" s="43"/>
      <c r="BT383"/>
    </row>
    <row r="384" spans="1:72" ht="12.75" customHeight="1" x14ac:dyDescent="0.15">
      <c r="A384" s="48" t="s">
        <v>4949</v>
      </c>
      <c r="B384" s="9" t="s">
        <v>3653</v>
      </c>
      <c r="C384" s="9"/>
      <c r="D384" s="9"/>
      <c r="E384" s="9"/>
      <c r="F384" s="112" t="s">
        <v>107</v>
      </c>
      <c r="G384" s="10" t="s">
        <v>4950</v>
      </c>
      <c r="H384" s="5" t="s">
        <v>1496</v>
      </c>
      <c r="I384" s="11" t="s">
        <v>1497</v>
      </c>
      <c r="J384" s="357" t="s">
        <v>1015</v>
      </c>
      <c r="K384" s="353"/>
      <c r="L384" s="221">
        <v>212</v>
      </c>
      <c r="M384" s="221"/>
      <c r="N384" s="222" t="str">
        <f t="shared" si="10"/>
        <v>Contact famille</v>
      </c>
      <c r="O384" s="729">
        <v>212</v>
      </c>
      <c r="P384" s="729"/>
      <c r="Q384" s="730" t="str">
        <f t="shared" si="11"/>
        <v>Contact famille</v>
      </c>
      <c r="R384" s="731"/>
      <c r="S384" s="731" t="s">
        <v>313</v>
      </c>
      <c r="T384" s="731"/>
      <c r="U384" s="731"/>
      <c r="V384" s="731"/>
      <c r="W384" s="731"/>
      <c r="X384" s="731"/>
      <c r="Y384" s="731"/>
      <c r="Z384" s="731"/>
      <c r="AA384" s="731"/>
      <c r="AB384" s="12"/>
      <c r="AC384" s="12"/>
      <c r="AD384" s="12"/>
      <c r="AE384" s="12"/>
      <c r="AF384" s="12"/>
      <c r="AG384" s="369"/>
      <c r="AH384" s="370"/>
      <c r="AI384" s="18" t="s">
        <v>242</v>
      </c>
      <c r="AJ384" s="18" t="s">
        <v>242</v>
      </c>
      <c r="AK384" s="13" t="s">
        <v>242</v>
      </c>
      <c r="AL384" s="18" t="s">
        <v>242</v>
      </c>
      <c r="AM384" s="19" t="s">
        <v>244</v>
      </c>
      <c r="AN384" s="38"/>
      <c r="AO384" s="10"/>
      <c r="AP384" s="40"/>
      <c r="AQ384" s="20">
        <v>661620125</v>
      </c>
      <c r="AR384" s="21" t="s">
        <v>4954</v>
      </c>
      <c r="AS384" s="62"/>
      <c r="AT384" s="62"/>
      <c r="AU384" s="11"/>
      <c r="AV384" s="10"/>
      <c r="AW384" s="11"/>
      <c r="AX384" s="11"/>
      <c r="AY384" s="11"/>
      <c r="AZ384" s="11"/>
      <c r="BA384" s="11"/>
      <c r="BB384" s="59"/>
      <c r="BC384" s="59"/>
      <c r="BD384" s="59"/>
      <c r="BE384" s="59"/>
      <c r="BF384" s="59"/>
      <c r="BG384" s="59"/>
      <c r="BH384" s="138"/>
      <c r="BI384" s="138"/>
      <c r="BJ384" s="138"/>
      <c r="BK384" s="231"/>
      <c r="BL384" s="231"/>
      <c r="BM384" s="231"/>
      <c r="BN384" s="232"/>
      <c r="BO384" s="19"/>
      <c r="BP384" s="23"/>
      <c r="BQ384" s="23"/>
      <c r="BR384" s="23"/>
      <c r="BS384" s="43"/>
    </row>
    <row r="385" spans="1:72" ht="12.75" customHeight="1" x14ac:dyDescent="0.15">
      <c r="A385" s="48" t="s">
        <v>5392</v>
      </c>
      <c r="B385" s="9" t="s">
        <v>5394</v>
      </c>
      <c r="C385" s="9"/>
      <c r="D385" s="9"/>
      <c r="E385" s="9"/>
      <c r="F385" s="112" t="s">
        <v>107</v>
      </c>
      <c r="G385" s="53" t="s">
        <v>5395</v>
      </c>
      <c r="H385" s="52" t="s">
        <v>5396</v>
      </c>
      <c r="I385" s="53" t="s">
        <v>241</v>
      </c>
      <c r="J385" s="357" t="s">
        <v>1044</v>
      </c>
      <c r="K385" s="353"/>
      <c r="L385" s="221">
        <v>212</v>
      </c>
      <c r="M385" s="221"/>
      <c r="N385" s="222" t="str">
        <f t="shared" si="10"/>
        <v>Contact famille</v>
      </c>
      <c r="O385" s="729">
        <v>212</v>
      </c>
      <c r="P385" s="729"/>
      <c r="Q385" s="730" t="str">
        <f t="shared" si="11"/>
        <v>Contact famille</v>
      </c>
      <c r="R385" s="732"/>
      <c r="S385" s="732"/>
      <c r="T385" s="732"/>
      <c r="U385" s="732"/>
      <c r="V385" s="732"/>
      <c r="W385" s="732"/>
      <c r="X385" s="732"/>
      <c r="Y385" s="732"/>
      <c r="Z385" s="732"/>
      <c r="AA385" s="732" t="s">
        <v>313</v>
      </c>
      <c r="AB385" s="12"/>
      <c r="AC385" s="155"/>
      <c r="AD385" s="155"/>
      <c r="AE385" s="155"/>
      <c r="AF385" s="12"/>
      <c r="AG385" s="386"/>
      <c r="AH385" s="392"/>
      <c r="AI385" s="18" t="s">
        <v>242</v>
      </c>
      <c r="AJ385" s="18" t="s">
        <v>242</v>
      </c>
      <c r="AK385" s="13" t="s">
        <v>242</v>
      </c>
      <c r="AL385" s="18" t="s">
        <v>242</v>
      </c>
      <c r="AM385" s="19" t="s">
        <v>244</v>
      </c>
      <c r="AN385" s="10"/>
      <c r="AO385" s="11"/>
      <c r="AP385" s="53"/>
      <c r="AQ385" s="20">
        <v>691044071</v>
      </c>
      <c r="AR385" s="53" t="s">
        <v>5398</v>
      </c>
      <c r="AS385" s="62"/>
      <c r="AT385" s="62"/>
      <c r="AU385" s="10"/>
      <c r="AV385" s="10"/>
      <c r="AW385" s="13"/>
      <c r="AX385" s="11"/>
      <c r="AY385" s="11"/>
      <c r="AZ385" s="11"/>
      <c r="BA385" s="11"/>
      <c r="BB385" s="59"/>
      <c r="BC385" s="59"/>
      <c r="BD385" s="59"/>
      <c r="BE385" s="59"/>
      <c r="BF385" s="59"/>
      <c r="BG385" s="59"/>
      <c r="BH385" s="138"/>
      <c r="BI385" s="138"/>
      <c r="BJ385" s="138"/>
      <c r="BK385" s="231"/>
      <c r="BL385" s="231"/>
      <c r="BM385" s="231"/>
      <c r="BN385" s="232"/>
      <c r="BO385" s="11"/>
      <c r="BP385" s="11"/>
      <c r="BQ385" s="11"/>
      <c r="BR385" s="11"/>
      <c r="BS385" s="394"/>
    </row>
    <row r="386" spans="1:72" ht="12.75" customHeight="1" x14ac:dyDescent="0.15">
      <c r="A386" s="48" t="s">
        <v>5392</v>
      </c>
      <c r="B386" s="9" t="s">
        <v>5393</v>
      </c>
      <c r="C386" s="752"/>
      <c r="D386" s="752"/>
      <c r="E386" s="752"/>
      <c r="F386" s="828" t="s">
        <v>107</v>
      </c>
      <c r="G386" s="832" t="s">
        <v>5395</v>
      </c>
      <c r="H386" s="52" t="s">
        <v>5396</v>
      </c>
      <c r="I386" s="53" t="s">
        <v>241</v>
      </c>
      <c r="J386" s="357" t="s">
        <v>1044</v>
      </c>
      <c r="K386" s="353"/>
      <c r="L386" s="221">
        <v>15</v>
      </c>
      <c r="M386" s="221"/>
      <c r="N386" s="222" t="str">
        <f t="shared" ref="N386:N449" si="12">VLOOKUP(L386,CAT_JOUEUR,2,FALSE)</f>
        <v>U 13 Dames</v>
      </c>
      <c r="O386" s="729">
        <v>15</v>
      </c>
      <c r="P386" s="729"/>
      <c r="Q386" s="730" t="str">
        <f t="shared" ref="Q386:Q449" si="13">VLOOKUP(O386,CAT_JOUEUR,2,FALSE)</f>
        <v>U 13 Dames</v>
      </c>
      <c r="R386" s="732"/>
      <c r="S386" s="732"/>
      <c r="T386" s="732"/>
      <c r="U386" s="732"/>
      <c r="V386" s="732"/>
      <c r="W386" s="732"/>
      <c r="X386" s="732"/>
      <c r="Y386" s="732"/>
      <c r="Z386" s="732"/>
      <c r="AA386" s="732" t="s">
        <v>192</v>
      </c>
      <c r="AB386" s="12" t="s">
        <v>5399</v>
      </c>
      <c r="AC386" s="155"/>
      <c r="AD386" s="155"/>
      <c r="AE386" s="155"/>
      <c r="AF386" s="12"/>
      <c r="AG386" s="386" t="s">
        <v>5486</v>
      </c>
      <c r="AH386" s="392"/>
      <c r="AI386" s="18">
        <v>45989</v>
      </c>
      <c r="AJ386" s="18">
        <v>45981</v>
      </c>
      <c r="AK386" s="13">
        <v>2026</v>
      </c>
      <c r="AL386" s="18">
        <v>41732</v>
      </c>
      <c r="AM386" s="52" t="s">
        <v>5397</v>
      </c>
      <c r="AN386" s="10"/>
      <c r="AO386" s="11"/>
      <c r="AP386" s="53"/>
      <c r="AQ386" s="20">
        <v>691044071</v>
      </c>
      <c r="AR386" s="53" t="s">
        <v>5398</v>
      </c>
      <c r="AS386" s="62"/>
      <c r="AT386" s="62"/>
      <c r="AU386" s="10"/>
      <c r="AV386" s="10"/>
      <c r="AW386" s="13"/>
      <c r="AX386" s="11"/>
      <c r="AY386" s="11"/>
      <c r="AZ386" s="11"/>
      <c r="BA386" s="11"/>
      <c r="BB386" s="59"/>
      <c r="BC386" s="59"/>
      <c r="BD386" s="59"/>
      <c r="BE386" s="59"/>
      <c r="BF386" s="59"/>
      <c r="BG386" s="59"/>
      <c r="BH386" s="138"/>
      <c r="BI386" s="138"/>
      <c r="BJ386" s="138"/>
      <c r="BK386" s="231"/>
      <c r="BL386" s="231"/>
      <c r="BM386" s="231"/>
      <c r="BN386" s="232"/>
      <c r="BO386" s="11"/>
      <c r="BP386" s="11"/>
      <c r="BQ386" s="11"/>
      <c r="BR386" s="11"/>
      <c r="BS386" s="394"/>
    </row>
    <row r="387" spans="1:72" ht="12.75" customHeight="1" x14ac:dyDescent="0.15">
      <c r="A387" s="48" t="s">
        <v>3652</v>
      </c>
      <c r="B387" s="9" t="s">
        <v>3653</v>
      </c>
      <c r="C387" s="751"/>
      <c r="D387" s="751"/>
      <c r="E387" s="751"/>
      <c r="F387" s="575" t="s">
        <v>107</v>
      </c>
      <c r="G387" s="10" t="s">
        <v>3654</v>
      </c>
      <c r="H387" s="5" t="s">
        <v>868</v>
      </c>
      <c r="I387" s="11" t="s">
        <v>869</v>
      </c>
      <c r="J387" s="357" t="s">
        <v>320</v>
      </c>
      <c r="K387" s="353"/>
      <c r="L387" s="221">
        <v>12</v>
      </c>
      <c r="M387" s="221"/>
      <c r="N387" s="222" t="str">
        <f t="shared" si="12"/>
        <v>Dames</v>
      </c>
      <c r="O387" s="729">
        <v>12</v>
      </c>
      <c r="P387" s="729"/>
      <c r="Q387" s="730" t="str">
        <f t="shared" si="13"/>
        <v>Dames</v>
      </c>
      <c r="R387" s="731"/>
      <c r="S387" s="731"/>
      <c r="T387" s="731"/>
      <c r="U387" s="731"/>
      <c r="V387" s="731"/>
      <c r="W387" s="731"/>
      <c r="X387" s="731"/>
      <c r="Y387" s="731"/>
      <c r="Z387" s="731"/>
      <c r="AA387" s="731"/>
      <c r="AB387" s="12" t="s">
        <v>3658</v>
      </c>
      <c r="AC387" s="12"/>
      <c r="AD387" s="12"/>
      <c r="AE387" s="12"/>
      <c r="AF387" s="12"/>
      <c r="AG387" s="373"/>
      <c r="AH387" s="370"/>
      <c r="AI387" s="18">
        <v>44258</v>
      </c>
      <c r="AJ387" s="18">
        <v>44253</v>
      </c>
      <c r="AK387" s="466">
        <v>2024</v>
      </c>
      <c r="AL387" s="18">
        <v>33677</v>
      </c>
      <c r="AM387" s="19" t="s">
        <v>3655</v>
      </c>
      <c r="AN387" s="38"/>
      <c r="AO387" s="10"/>
      <c r="AP387" s="40"/>
      <c r="AQ387" s="10" t="s">
        <v>3656</v>
      </c>
      <c r="AR387" s="47" t="s">
        <v>3657</v>
      </c>
      <c r="AS387" s="62"/>
      <c r="AT387" s="62"/>
      <c r="AU387" s="11"/>
      <c r="AV387" s="10"/>
      <c r="AW387" s="11"/>
      <c r="AX387" s="11"/>
      <c r="AY387" s="11"/>
      <c r="AZ387" s="11"/>
      <c r="BA387" s="11"/>
      <c r="BB387" s="59"/>
      <c r="BC387" s="59"/>
      <c r="BD387" s="59"/>
      <c r="BE387" s="59"/>
      <c r="BF387" s="59"/>
      <c r="BG387" s="59"/>
      <c r="BH387" s="138"/>
      <c r="BI387" s="138"/>
      <c r="BJ387" s="138"/>
      <c r="BK387" s="231"/>
      <c r="BL387" s="231"/>
      <c r="BM387" s="231"/>
      <c r="BN387" s="232"/>
      <c r="BO387" s="19"/>
      <c r="BP387" s="23"/>
      <c r="BQ387" s="23"/>
      <c r="BR387" s="23"/>
      <c r="BS387" s="43"/>
    </row>
    <row r="388" spans="1:72" s="150" customFormat="1" ht="12.75" customHeight="1" x14ac:dyDescent="0.15">
      <c r="A388" s="48" t="s">
        <v>3818</v>
      </c>
      <c r="B388" s="9" t="s">
        <v>3821</v>
      </c>
      <c r="C388" s="751"/>
      <c r="D388" s="751"/>
      <c r="E388" s="751"/>
      <c r="F388" s="575" t="s">
        <v>3824</v>
      </c>
      <c r="G388" s="10" t="s">
        <v>3825</v>
      </c>
      <c r="H388" s="5" t="s">
        <v>3582</v>
      </c>
      <c r="I388" s="11" t="s">
        <v>558</v>
      </c>
      <c r="J388" s="357" t="s">
        <v>2100</v>
      </c>
      <c r="K388" s="353"/>
      <c r="L388" s="221">
        <v>212</v>
      </c>
      <c r="M388" s="221"/>
      <c r="N388" s="222" t="str">
        <f t="shared" si="12"/>
        <v>Contact famille</v>
      </c>
      <c r="O388" s="729">
        <v>212</v>
      </c>
      <c r="P388" s="729"/>
      <c r="Q388" s="730" t="str">
        <f t="shared" si="13"/>
        <v>Contact famille</v>
      </c>
      <c r="R388" s="731"/>
      <c r="S388" s="731"/>
      <c r="T388" s="731"/>
      <c r="U388" s="731"/>
      <c r="V388" s="731"/>
      <c r="W388" s="731" t="s">
        <v>313</v>
      </c>
      <c r="X388" s="731" t="s">
        <v>313</v>
      </c>
      <c r="Y388" s="731"/>
      <c r="Z388" s="731"/>
      <c r="AA388" s="731"/>
      <c r="AB388" s="12"/>
      <c r="AC388" s="12"/>
      <c r="AD388" s="12"/>
      <c r="AE388" s="12"/>
      <c r="AF388" s="12"/>
      <c r="AG388" s="369"/>
      <c r="AH388" s="370"/>
      <c r="AI388" s="18" t="s">
        <v>242</v>
      </c>
      <c r="AJ388" s="18" t="s">
        <v>242</v>
      </c>
      <c r="AK388" s="13" t="s">
        <v>242</v>
      </c>
      <c r="AL388" s="18" t="s">
        <v>3196</v>
      </c>
      <c r="AM388" s="19" t="s">
        <v>244</v>
      </c>
      <c r="AN388" s="38"/>
      <c r="AO388" s="10"/>
      <c r="AP388" s="40" t="s">
        <v>252</v>
      </c>
      <c r="AQ388" s="20">
        <v>691661744</v>
      </c>
      <c r="AR388" s="47" t="s">
        <v>3830</v>
      </c>
      <c r="AS388" s="62"/>
      <c r="AT388" s="62"/>
      <c r="AU388" s="11"/>
      <c r="AV388" s="10"/>
      <c r="AW388" s="11"/>
      <c r="AX388" s="11"/>
      <c r="AY388" s="11"/>
      <c r="AZ388" s="11"/>
      <c r="BA388" s="11"/>
      <c r="BB388" s="59"/>
      <c r="BC388" s="59"/>
      <c r="BD388" s="59"/>
      <c r="BE388" s="59"/>
      <c r="BF388" s="59"/>
      <c r="BG388" s="59"/>
      <c r="BH388" s="138"/>
      <c r="BI388" s="138"/>
      <c r="BJ388" s="138"/>
      <c r="BK388" s="231"/>
      <c r="BL388" s="231"/>
      <c r="BM388" s="231"/>
      <c r="BN388" s="232"/>
      <c r="BO388" s="19"/>
      <c r="BP388" s="23"/>
      <c r="BQ388" s="23"/>
      <c r="BR388" s="23"/>
      <c r="BS388" s="43"/>
      <c r="BT388"/>
    </row>
    <row r="389" spans="1:72" s="150" customFormat="1" ht="12.75" customHeight="1" x14ac:dyDescent="0.15">
      <c r="A389" s="48" t="s">
        <v>3816</v>
      </c>
      <c r="B389" s="9" t="s">
        <v>3819</v>
      </c>
      <c r="C389" s="751"/>
      <c r="D389" s="751"/>
      <c r="E389" s="751"/>
      <c r="F389" s="575" t="s">
        <v>3822</v>
      </c>
      <c r="G389" s="10" t="s">
        <v>3825</v>
      </c>
      <c r="H389" s="5" t="s">
        <v>3582</v>
      </c>
      <c r="I389" s="11" t="s">
        <v>558</v>
      </c>
      <c r="J389" s="357" t="s">
        <v>2100</v>
      </c>
      <c r="K389" s="353"/>
      <c r="L389" s="221">
        <v>18</v>
      </c>
      <c r="M389" s="221"/>
      <c r="N389" s="222" t="str">
        <f t="shared" si="12"/>
        <v>U 9 Dames</v>
      </c>
      <c r="O389" s="729">
        <v>18</v>
      </c>
      <c r="P389" s="729"/>
      <c r="Q389" s="730" t="str">
        <f t="shared" si="13"/>
        <v>U 9 Dames</v>
      </c>
      <c r="R389" s="731"/>
      <c r="S389" s="731"/>
      <c r="T389" s="731"/>
      <c r="U389" s="731"/>
      <c r="V389" s="731"/>
      <c r="W389" s="731" t="s">
        <v>192</v>
      </c>
      <c r="X389" s="731"/>
      <c r="Y389" s="731"/>
      <c r="Z389" s="731"/>
      <c r="AA389" s="731"/>
      <c r="AB389" s="12" t="s">
        <v>3900</v>
      </c>
      <c r="AC389" s="12"/>
      <c r="AD389" s="12"/>
      <c r="AE389" s="12"/>
      <c r="AF389" s="12"/>
      <c r="AG389" s="369"/>
      <c r="AH389" s="370"/>
      <c r="AI389" s="18">
        <v>44494</v>
      </c>
      <c r="AJ389" s="18">
        <v>44477</v>
      </c>
      <c r="AK389" s="36">
        <v>2030</v>
      </c>
      <c r="AL389" s="18">
        <v>43352</v>
      </c>
      <c r="AM389" s="19" t="s">
        <v>3826</v>
      </c>
      <c r="AN389" s="38"/>
      <c r="AO389" s="10"/>
      <c r="AP389" s="40" t="s">
        <v>3827</v>
      </c>
      <c r="AQ389" s="10" t="s">
        <v>3828</v>
      </c>
      <c r="AR389" s="47" t="s">
        <v>3829</v>
      </c>
      <c r="AS389" s="62"/>
      <c r="AT389" s="62"/>
      <c r="AU389" s="11"/>
      <c r="AV389" s="10"/>
      <c r="AW389" s="11"/>
      <c r="AX389" s="11"/>
      <c r="AY389" s="11"/>
      <c r="AZ389" s="11"/>
      <c r="BA389" s="11"/>
      <c r="BB389" s="59"/>
      <c r="BC389" s="59"/>
      <c r="BD389" s="59"/>
      <c r="BE389" s="59"/>
      <c r="BF389" s="59"/>
      <c r="BG389" s="59"/>
      <c r="BH389" s="138"/>
      <c r="BI389" s="138"/>
      <c r="BJ389" s="138"/>
      <c r="BK389" s="231"/>
      <c r="BL389" s="231"/>
      <c r="BM389" s="231"/>
      <c r="BN389" s="232"/>
      <c r="BO389" s="19"/>
      <c r="BP389" s="23"/>
      <c r="BQ389" s="23"/>
      <c r="BR389" s="23"/>
      <c r="BS389" s="43"/>
      <c r="BT389"/>
    </row>
    <row r="390" spans="1:72" s="150" customFormat="1" ht="15" customHeight="1" x14ac:dyDescent="0.15">
      <c r="A390" s="48" t="s">
        <v>3816</v>
      </c>
      <c r="B390" s="9" t="s">
        <v>4778</v>
      </c>
      <c r="C390" s="751"/>
      <c r="D390" s="751"/>
      <c r="E390" s="751"/>
      <c r="F390" s="575" t="s">
        <v>3822</v>
      </c>
      <c r="G390" s="10" t="s">
        <v>3825</v>
      </c>
      <c r="H390" s="5" t="s">
        <v>3582</v>
      </c>
      <c r="I390" s="11" t="s">
        <v>558</v>
      </c>
      <c r="J390" s="357" t="s">
        <v>2100</v>
      </c>
      <c r="K390" s="353"/>
      <c r="L390" s="221">
        <v>21</v>
      </c>
      <c r="M390" s="221"/>
      <c r="N390" s="222" t="str">
        <f t="shared" si="12"/>
        <v>U7 Mixte</v>
      </c>
      <c r="O390" s="729">
        <v>21</v>
      </c>
      <c r="P390" s="729"/>
      <c r="Q390" s="730" t="str">
        <f t="shared" si="13"/>
        <v>U7 Mixte</v>
      </c>
      <c r="R390" s="731"/>
      <c r="S390" s="731"/>
      <c r="T390" s="731"/>
      <c r="U390" s="731"/>
      <c r="V390" s="731"/>
      <c r="W390" s="731"/>
      <c r="X390" s="731" t="s">
        <v>192</v>
      </c>
      <c r="Y390" s="731"/>
      <c r="Z390" s="731"/>
      <c r="AA390" s="731"/>
      <c r="AB390" s="12" t="s">
        <v>4811</v>
      </c>
      <c r="AC390" s="12"/>
      <c r="AD390" s="12"/>
      <c r="AE390" s="12"/>
      <c r="AF390" s="12"/>
      <c r="AG390" s="369"/>
      <c r="AH390" s="370"/>
      <c r="AI390" s="18">
        <v>45474</v>
      </c>
      <c r="AJ390" s="18">
        <v>45348</v>
      </c>
      <c r="AK390" s="13">
        <v>2028</v>
      </c>
      <c r="AL390" s="18">
        <v>44217</v>
      </c>
      <c r="AM390" s="19" t="s">
        <v>4779</v>
      </c>
      <c r="AN390" s="38"/>
      <c r="AO390" s="10"/>
      <c r="AP390" s="40" t="s">
        <v>3827</v>
      </c>
      <c r="AQ390" s="10" t="s">
        <v>3828</v>
      </c>
      <c r="AR390" s="47" t="s">
        <v>3829</v>
      </c>
      <c r="AS390" s="62"/>
      <c r="AT390" s="62"/>
      <c r="AU390" s="11"/>
      <c r="AV390" s="10"/>
      <c r="AW390" s="11"/>
      <c r="AX390" s="11"/>
      <c r="AY390" s="11"/>
      <c r="AZ390" s="11"/>
      <c r="BA390" s="11"/>
      <c r="BB390" s="59"/>
      <c r="BC390" s="59"/>
      <c r="BD390" s="59"/>
      <c r="BE390" s="59"/>
      <c r="BF390" s="59"/>
      <c r="BG390" s="59"/>
      <c r="BH390" s="138"/>
      <c r="BI390" s="138"/>
      <c r="BJ390" s="138"/>
      <c r="BK390" s="231"/>
      <c r="BL390" s="231"/>
      <c r="BM390" s="231"/>
      <c r="BN390" s="232"/>
      <c r="BO390" s="19"/>
      <c r="BP390" s="23"/>
      <c r="BQ390" s="23"/>
      <c r="BR390" s="23"/>
      <c r="BS390" s="43"/>
      <c r="BT390"/>
    </row>
    <row r="391" spans="1:72" s="150" customFormat="1" ht="15" customHeight="1" x14ac:dyDescent="0.15">
      <c r="A391" s="48" t="s">
        <v>5417</v>
      </c>
      <c r="B391" s="9" t="s">
        <v>1124</v>
      </c>
      <c r="C391" s="751"/>
      <c r="D391" s="751"/>
      <c r="E391" s="751"/>
      <c r="F391" s="816" t="s">
        <v>4085</v>
      </c>
      <c r="G391" s="53" t="s">
        <v>5420</v>
      </c>
      <c r="H391" s="52" t="s">
        <v>2234</v>
      </c>
      <c r="I391" s="53" t="s">
        <v>800</v>
      </c>
      <c r="J391" s="357" t="s">
        <v>5416</v>
      </c>
      <c r="K391" s="353"/>
      <c r="L391" s="221">
        <v>212</v>
      </c>
      <c r="M391" s="221"/>
      <c r="N391" s="222" t="str">
        <f t="shared" si="12"/>
        <v>Contact famille</v>
      </c>
      <c r="O391" s="729">
        <v>212</v>
      </c>
      <c r="P391" s="729"/>
      <c r="Q391" s="730" t="str">
        <f t="shared" si="13"/>
        <v>Contact famille</v>
      </c>
      <c r="R391" s="732"/>
      <c r="S391" s="732"/>
      <c r="T391" s="732"/>
      <c r="U391" s="732" t="s">
        <v>313</v>
      </c>
      <c r="V391" s="732"/>
      <c r="W391" s="732"/>
      <c r="X391" s="732"/>
      <c r="Y391" s="732"/>
      <c r="Z391" s="732"/>
      <c r="AA391" s="732"/>
      <c r="AB391" s="12"/>
      <c r="AC391" s="155"/>
      <c r="AD391" s="155"/>
      <c r="AE391" s="155"/>
      <c r="AF391" s="12"/>
      <c r="AG391" s="386"/>
      <c r="AH391" s="392"/>
      <c r="AI391" s="18" t="s">
        <v>242</v>
      </c>
      <c r="AJ391" s="18" t="s">
        <v>242</v>
      </c>
      <c r="AK391" s="13" t="s">
        <v>242</v>
      </c>
      <c r="AL391" s="18" t="s">
        <v>242</v>
      </c>
      <c r="AM391" s="19" t="s">
        <v>244</v>
      </c>
      <c r="AN391" s="10"/>
      <c r="AO391" s="11"/>
      <c r="AP391" s="53"/>
      <c r="AQ391" s="10"/>
      <c r="AR391" s="11"/>
      <c r="AS391" s="62"/>
      <c r="AT391" s="62"/>
      <c r="AU391" s="10"/>
      <c r="AV391" s="10"/>
      <c r="AW391" s="13"/>
      <c r="AX391" s="11"/>
      <c r="AY391" s="11"/>
      <c r="AZ391" s="11"/>
      <c r="BA391" s="11"/>
      <c r="BB391" s="59"/>
      <c r="BC391" s="59"/>
      <c r="BD391" s="59"/>
      <c r="BE391" s="59"/>
      <c r="BF391" s="59"/>
      <c r="BG391" s="59"/>
      <c r="BH391" s="138"/>
      <c r="BI391" s="138"/>
      <c r="BJ391" s="138"/>
      <c r="BK391" s="231"/>
      <c r="BL391" s="231"/>
      <c r="BM391" s="231"/>
      <c r="BN391" s="232"/>
      <c r="BO391" s="11"/>
      <c r="BP391" s="11"/>
      <c r="BQ391" s="11"/>
      <c r="BR391" s="11"/>
      <c r="BS391" s="394"/>
      <c r="BT391"/>
    </row>
    <row r="392" spans="1:72" ht="15" customHeight="1" x14ac:dyDescent="0.15">
      <c r="A392" s="48" t="s">
        <v>5417</v>
      </c>
      <c r="B392" s="9" t="s">
        <v>5419</v>
      </c>
      <c r="C392" s="751"/>
      <c r="D392" s="751"/>
      <c r="E392" s="751"/>
      <c r="F392" s="816" t="s">
        <v>4085</v>
      </c>
      <c r="G392" s="53" t="s">
        <v>5420</v>
      </c>
      <c r="H392" s="52" t="s">
        <v>2234</v>
      </c>
      <c r="I392" s="53" t="s">
        <v>800</v>
      </c>
      <c r="J392" s="357" t="s">
        <v>5416</v>
      </c>
      <c r="K392" s="353"/>
      <c r="L392" s="221">
        <v>212</v>
      </c>
      <c r="M392" s="221"/>
      <c r="N392" s="222" t="str">
        <f t="shared" si="12"/>
        <v>Contact famille</v>
      </c>
      <c r="O392" s="729">
        <v>212</v>
      </c>
      <c r="P392" s="729"/>
      <c r="Q392" s="730" t="str">
        <f t="shared" si="13"/>
        <v>Contact famille</v>
      </c>
      <c r="R392" s="732"/>
      <c r="S392" s="732"/>
      <c r="T392" s="732"/>
      <c r="U392" s="732" t="s">
        <v>313</v>
      </c>
      <c r="V392" s="732"/>
      <c r="W392" s="732"/>
      <c r="X392" s="732"/>
      <c r="Y392" s="732"/>
      <c r="Z392" s="732"/>
      <c r="AA392" s="732"/>
      <c r="AB392" s="12"/>
      <c r="AC392" s="155"/>
      <c r="AD392" s="155"/>
      <c r="AE392" s="155"/>
      <c r="AF392" s="12"/>
      <c r="AG392" s="386"/>
      <c r="AH392" s="392"/>
      <c r="AI392" s="18" t="s">
        <v>242</v>
      </c>
      <c r="AJ392" s="18" t="s">
        <v>242</v>
      </c>
      <c r="AK392" s="13" t="s">
        <v>242</v>
      </c>
      <c r="AL392" s="13" t="s">
        <v>242</v>
      </c>
      <c r="AM392" s="46" t="s">
        <v>244</v>
      </c>
      <c r="AN392" s="10"/>
      <c r="AO392" s="11"/>
      <c r="AP392" s="53"/>
      <c r="AQ392" s="53" t="s">
        <v>5423</v>
      </c>
      <c r="AR392" s="53" t="s">
        <v>5422</v>
      </c>
      <c r="AS392" s="62"/>
      <c r="AT392" s="62"/>
      <c r="AU392" s="10"/>
      <c r="AV392" s="10"/>
      <c r="AW392" s="13"/>
      <c r="AX392" s="11"/>
      <c r="AY392" s="11"/>
      <c r="AZ392" s="11"/>
      <c r="BA392" s="11"/>
      <c r="BB392" s="59"/>
      <c r="BC392" s="59"/>
      <c r="BD392" s="59"/>
      <c r="BE392" s="59"/>
      <c r="BF392" s="59"/>
      <c r="BG392" s="59"/>
      <c r="BH392" s="138"/>
      <c r="BI392" s="138"/>
      <c r="BJ392" s="138"/>
      <c r="BK392" s="231"/>
      <c r="BL392" s="231"/>
      <c r="BM392" s="231"/>
      <c r="BN392" s="232"/>
      <c r="BO392" s="11"/>
      <c r="BP392" s="11"/>
      <c r="BQ392" s="11"/>
      <c r="BR392" s="11"/>
      <c r="BS392" s="394"/>
    </row>
    <row r="393" spans="1:72" ht="15" customHeight="1" x14ac:dyDescent="0.15">
      <c r="A393" s="48" t="s">
        <v>5417</v>
      </c>
      <c r="B393" s="9" t="s">
        <v>5418</v>
      </c>
      <c r="C393" s="751"/>
      <c r="D393" s="751"/>
      <c r="E393" s="751"/>
      <c r="F393" s="816" t="s">
        <v>4085</v>
      </c>
      <c r="G393" s="53" t="s">
        <v>5420</v>
      </c>
      <c r="H393" s="52" t="s">
        <v>2234</v>
      </c>
      <c r="I393" s="53" t="s">
        <v>800</v>
      </c>
      <c r="J393" s="357" t="s">
        <v>5416</v>
      </c>
      <c r="K393" s="353"/>
      <c r="L393" s="221">
        <v>6</v>
      </c>
      <c r="M393" s="221"/>
      <c r="N393" s="222" t="str">
        <f t="shared" si="12"/>
        <v>U 13 Hommes</v>
      </c>
      <c r="O393" s="729">
        <v>6</v>
      </c>
      <c r="P393" s="729"/>
      <c r="Q393" s="730" t="str">
        <f t="shared" si="13"/>
        <v>U 13 Hommes</v>
      </c>
      <c r="R393" s="732"/>
      <c r="S393" s="732"/>
      <c r="T393" s="732"/>
      <c r="U393" s="732" t="s">
        <v>192</v>
      </c>
      <c r="V393" s="732"/>
      <c r="W393" s="732"/>
      <c r="X393" s="732"/>
      <c r="Y393" s="732"/>
      <c r="Z393" s="732"/>
      <c r="AA393" s="732"/>
      <c r="AB393" s="12" t="s">
        <v>5434</v>
      </c>
      <c r="AC393" s="155"/>
      <c r="AD393" s="155"/>
      <c r="AE393" s="155"/>
      <c r="AF393" s="12"/>
      <c r="AG393" s="369" t="s">
        <v>5173</v>
      </c>
      <c r="AH393" s="392"/>
      <c r="AI393" s="18">
        <v>46036</v>
      </c>
      <c r="AJ393" s="18">
        <v>46030</v>
      </c>
      <c r="AK393" s="13">
        <v>2027</v>
      </c>
      <c r="AL393" s="18">
        <v>42053</v>
      </c>
      <c r="AM393" s="52" t="s">
        <v>5421</v>
      </c>
      <c r="AN393" s="10"/>
      <c r="AO393" s="11"/>
      <c r="AP393" s="53"/>
      <c r="AQ393" s="53" t="s">
        <v>5423</v>
      </c>
      <c r="AR393" s="53" t="s">
        <v>5422</v>
      </c>
      <c r="AS393" s="62"/>
      <c r="AT393" s="62"/>
      <c r="AU393" s="10"/>
      <c r="AV393" s="10"/>
      <c r="AW393" s="13"/>
      <c r="AX393" s="11"/>
      <c r="AY393" s="11"/>
      <c r="AZ393" s="11"/>
      <c r="BA393" s="11"/>
      <c r="BB393" s="59"/>
      <c r="BC393" s="59"/>
      <c r="BD393" s="59"/>
      <c r="BE393" s="59"/>
      <c r="BF393" s="59"/>
      <c r="BG393" s="59"/>
      <c r="BH393" s="138"/>
      <c r="BI393" s="138"/>
      <c r="BJ393" s="138"/>
      <c r="BK393" s="231"/>
      <c r="BL393" s="231"/>
      <c r="BM393" s="231"/>
      <c r="BN393" s="232"/>
      <c r="BO393" s="11"/>
      <c r="BP393" s="11"/>
      <c r="BQ393" s="11"/>
      <c r="BR393" s="11"/>
      <c r="BS393" s="394"/>
    </row>
    <row r="394" spans="1:72" ht="15" customHeight="1" x14ac:dyDescent="0.15">
      <c r="A394" s="48" t="s">
        <v>3578</v>
      </c>
      <c r="B394" s="9" t="s">
        <v>3580</v>
      </c>
      <c r="C394" s="9"/>
      <c r="D394" s="9"/>
      <c r="E394" s="9"/>
      <c r="F394" s="10" t="s">
        <v>107</v>
      </c>
      <c r="G394" s="10" t="s">
        <v>3581</v>
      </c>
      <c r="H394" s="5" t="s">
        <v>3582</v>
      </c>
      <c r="I394" s="11" t="s">
        <v>558</v>
      </c>
      <c r="J394" s="357" t="s">
        <v>1705</v>
      </c>
      <c r="K394" s="353"/>
      <c r="L394" s="221">
        <v>212</v>
      </c>
      <c r="M394" s="221"/>
      <c r="N394" s="222" t="str">
        <f t="shared" si="12"/>
        <v>Contact famille</v>
      </c>
      <c r="O394" s="729">
        <v>212</v>
      </c>
      <c r="P394" s="729"/>
      <c r="Q394" s="730" t="str">
        <f t="shared" si="13"/>
        <v>Contact famille</v>
      </c>
      <c r="R394" s="731"/>
      <c r="S394" s="731"/>
      <c r="T394" s="731"/>
      <c r="U394" s="731"/>
      <c r="V394" s="731"/>
      <c r="W394" s="731" t="s">
        <v>313</v>
      </c>
      <c r="X394" s="731" t="s">
        <v>313</v>
      </c>
      <c r="Y394" s="731"/>
      <c r="Z394" s="731"/>
      <c r="AA394" s="731"/>
      <c r="AB394" s="12"/>
      <c r="AC394" s="12"/>
      <c r="AD394" s="12"/>
      <c r="AE394" s="12"/>
      <c r="AF394" s="12"/>
      <c r="AG394" s="369"/>
      <c r="AH394" s="370"/>
      <c r="AI394" s="18" t="s">
        <v>242</v>
      </c>
      <c r="AJ394" s="18">
        <v>44118</v>
      </c>
      <c r="AK394" s="13" t="s">
        <v>242</v>
      </c>
      <c r="AL394" s="18">
        <v>30689</v>
      </c>
      <c r="AM394" s="19" t="s">
        <v>4565</v>
      </c>
      <c r="AN394" s="38"/>
      <c r="AO394" s="10"/>
      <c r="AP394" s="40"/>
      <c r="AQ394" s="10" t="s">
        <v>3586</v>
      </c>
      <c r="AR394" s="47" t="s">
        <v>3588</v>
      </c>
      <c r="AS394" s="62"/>
      <c r="AT394" s="62"/>
      <c r="AU394" s="11"/>
      <c r="AV394" s="10"/>
      <c r="AW394" s="11"/>
      <c r="AX394" s="11"/>
      <c r="AY394" s="11"/>
      <c r="AZ394" s="11"/>
      <c r="BA394" s="11"/>
      <c r="BB394" s="59"/>
      <c r="BC394" s="59"/>
      <c r="BD394" s="59"/>
      <c r="BE394" s="59"/>
      <c r="BF394" s="59"/>
      <c r="BG394" s="59"/>
      <c r="BH394" s="138"/>
      <c r="BI394" s="138"/>
      <c r="BJ394" s="138"/>
      <c r="BK394" s="231"/>
      <c r="BL394" s="231"/>
      <c r="BM394" s="231"/>
      <c r="BN394" s="232"/>
      <c r="BO394" s="19"/>
      <c r="BP394" s="23"/>
      <c r="BQ394" s="23"/>
      <c r="BR394" s="23"/>
      <c r="BS394" s="43"/>
      <c r="BT394" s="150"/>
    </row>
    <row r="395" spans="1:72" ht="15" customHeight="1" x14ac:dyDescent="0.15">
      <c r="A395" s="48" t="s">
        <v>3935</v>
      </c>
      <c r="B395" s="9" t="s">
        <v>1166</v>
      </c>
      <c r="C395" s="9"/>
      <c r="D395" s="9"/>
      <c r="E395" s="9"/>
      <c r="F395" s="40" t="s">
        <v>3938</v>
      </c>
      <c r="G395" s="40" t="s">
        <v>3939</v>
      </c>
      <c r="H395" s="52" t="s">
        <v>3940</v>
      </c>
      <c r="I395" s="53" t="s">
        <v>1656</v>
      </c>
      <c r="J395" s="357" t="s">
        <v>3933</v>
      </c>
      <c r="K395" s="353"/>
      <c r="L395" s="221">
        <v>212</v>
      </c>
      <c r="M395" s="221"/>
      <c r="N395" s="222" t="str">
        <f t="shared" si="12"/>
        <v>Contact famille</v>
      </c>
      <c r="O395" s="729">
        <v>212</v>
      </c>
      <c r="P395" s="729"/>
      <c r="Q395" s="730" t="str">
        <f t="shared" si="13"/>
        <v>Contact famille</v>
      </c>
      <c r="R395" s="731"/>
      <c r="S395" s="731"/>
      <c r="T395" s="731"/>
      <c r="U395" s="731"/>
      <c r="V395" s="731"/>
      <c r="W395" s="731" t="s">
        <v>313</v>
      </c>
      <c r="X395" s="731"/>
      <c r="Y395" s="731"/>
      <c r="Z395" s="731"/>
      <c r="AA395" s="731"/>
      <c r="AB395" s="12"/>
      <c r="AC395" s="12"/>
      <c r="AD395" s="12"/>
      <c r="AE395" s="12"/>
      <c r="AF395" s="12"/>
      <c r="AG395" s="369"/>
      <c r="AH395" s="370"/>
      <c r="AI395" s="45" t="s">
        <v>242</v>
      </c>
      <c r="AJ395" s="45" t="s">
        <v>242</v>
      </c>
      <c r="AK395" s="427" t="s">
        <v>242</v>
      </c>
      <c r="AL395" s="45" t="s">
        <v>242</v>
      </c>
      <c r="AM395" s="45" t="s">
        <v>242</v>
      </c>
      <c r="AN395" s="38"/>
      <c r="AO395" s="10"/>
      <c r="AP395" s="40"/>
      <c r="AQ395" s="20">
        <v>621322578</v>
      </c>
      <c r="AR395" s="47" t="s">
        <v>4925</v>
      </c>
      <c r="AS395" s="62"/>
      <c r="AT395" s="62"/>
      <c r="AU395" s="11"/>
      <c r="AV395" s="10"/>
      <c r="AW395" s="11"/>
      <c r="AX395" s="11"/>
      <c r="AY395" s="11"/>
      <c r="AZ395" s="11"/>
      <c r="BA395" s="11"/>
      <c r="BB395" s="59"/>
      <c r="BC395" s="59"/>
      <c r="BD395" s="59"/>
      <c r="BE395" s="59"/>
      <c r="BF395" s="59"/>
      <c r="BG395" s="59"/>
      <c r="BH395" s="138"/>
      <c r="BI395" s="138"/>
      <c r="BJ395" s="138"/>
      <c r="BK395" s="231"/>
      <c r="BL395" s="231"/>
      <c r="BM395" s="231"/>
      <c r="BN395" s="232"/>
      <c r="BO395" s="19"/>
      <c r="BP395" s="23"/>
      <c r="BQ395" s="23"/>
      <c r="BR395" s="23"/>
      <c r="BS395" s="43"/>
    </row>
    <row r="396" spans="1:72" ht="15" customHeight="1" x14ac:dyDescent="0.15">
      <c r="A396" s="48" t="s">
        <v>3127</v>
      </c>
      <c r="B396" s="9" t="s">
        <v>3128</v>
      </c>
      <c r="C396" s="9"/>
      <c r="D396" s="9"/>
      <c r="E396" s="9"/>
      <c r="F396" s="10" t="s">
        <v>616</v>
      </c>
      <c r="G396" s="10" t="s">
        <v>3126</v>
      </c>
      <c r="H396" s="5" t="s">
        <v>1336</v>
      </c>
      <c r="I396" s="11" t="s">
        <v>241</v>
      </c>
      <c r="J396" s="357" t="s">
        <v>3124</v>
      </c>
      <c r="K396" s="353"/>
      <c r="L396" s="221">
        <v>212</v>
      </c>
      <c r="M396" s="221"/>
      <c r="N396" s="222" t="str">
        <f t="shared" si="12"/>
        <v>Contact famille</v>
      </c>
      <c r="O396" s="729">
        <v>212</v>
      </c>
      <c r="P396" s="729"/>
      <c r="Q396" s="730" t="str">
        <f t="shared" si="13"/>
        <v>Contact famille</v>
      </c>
      <c r="R396" s="731"/>
      <c r="S396" s="731"/>
      <c r="T396" s="731"/>
      <c r="U396" s="731"/>
      <c r="V396" s="731"/>
      <c r="W396" s="731"/>
      <c r="X396" s="731"/>
      <c r="Y396" s="731"/>
      <c r="Z396" s="731"/>
      <c r="AA396" s="731"/>
      <c r="AB396" s="12"/>
      <c r="AC396" s="12"/>
      <c r="AD396" s="12"/>
      <c r="AE396" s="12"/>
      <c r="AF396" s="12"/>
      <c r="AG396" s="369"/>
      <c r="AH396" s="370"/>
      <c r="AI396" s="18" t="s">
        <v>242</v>
      </c>
      <c r="AJ396" s="18" t="s">
        <v>242</v>
      </c>
      <c r="AK396" s="13" t="s">
        <v>242</v>
      </c>
      <c r="AL396" s="18" t="s">
        <v>242</v>
      </c>
      <c r="AM396" s="19" t="s">
        <v>244</v>
      </c>
      <c r="AN396" s="38"/>
      <c r="AO396" s="10"/>
      <c r="AP396" s="40"/>
      <c r="AQ396" s="10" t="s">
        <v>3133</v>
      </c>
      <c r="AR396" s="47"/>
      <c r="AS396" s="62"/>
      <c r="AT396" s="62"/>
      <c r="AU396" s="11"/>
      <c r="AV396" s="10"/>
      <c r="AW396" s="11"/>
      <c r="AX396" s="11"/>
      <c r="AY396" s="11"/>
      <c r="AZ396" s="11" t="s">
        <v>533</v>
      </c>
      <c r="BA396" s="11"/>
      <c r="BB396" s="69" t="s">
        <v>315</v>
      </c>
      <c r="BC396" s="59"/>
      <c r="BD396" s="59"/>
      <c r="BE396" s="59"/>
      <c r="BF396" s="59"/>
      <c r="BG396" s="59"/>
      <c r="BH396" s="138"/>
      <c r="BI396" s="138"/>
      <c r="BJ396" s="138"/>
      <c r="BK396" s="231"/>
      <c r="BL396" s="231"/>
      <c r="BM396" s="231"/>
      <c r="BN396" s="232"/>
      <c r="BO396" s="19"/>
      <c r="BP396" s="23"/>
      <c r="BQ396" s="23"/>
      <c r="BR396" s="23"/>
      <c r="BS396" s="43"/>
    </row>
    <row r="397" spans="1:72" ht="15" customHeight="1" x14ac:dyDescent="0.15">
      <c r="A397" s="48" t="s">
        <v>5613</v>
      </c>
      <c r="B397" s="9" t="s">
        <v>5614</v>
      </c>
      <c r="C397" s="9"/>
      <c r="D397" s="9"/>
      <c r="E397" s="9"/>
      <c r="F397" s="722"/>
      <c r="G397" s="11" t="s">
        <v>5615</v>
      </c>
      <c r="H397" s="5" t="s">
        <v>222</v>
      </c>
      <c r="I397" s="11" t="s">
        <v>223</v>
      </c>
      <c r="J397" s="357" t="s">
        <v>5611</v>
      </c>
      <c r="K397" s="353"/>
      <c r="L397" s="221">
        <v>212</v>
      </c>
      <c r="M397" s="221"/>
      <c r="N397" s="222" t="str">
        <f t="shared" si="12"/>
        <v>Contact famille</v>
      </c>
      <c r="O397" s="729">
        <v>212</v>
      </c>
      <c r="P397" s="729"/>
      <c r="Q397" s="730" t="str">
        <f t="shared" si="13"/>
        <v>Contact famille</v>
      </c>
      <c r="R397" s="732"/>
      <c r="S397" s="732"/>
      <c r="T397" s="732"/>
      <c r="U397" s="732"/>
      <c r="V397" s="732" t="s">
        <v>313</v>
      </c>
      <c r="W397" s="732"/>
      <c r="X397" s="732"/>
      <c r="Y397" s="732"/>
      <c r="Z397" s="732"/>
      <c r="AA397" s="732"/>
      <c r="AB397" s="12"/>
      <c r="AC397" s="155"/>
      <c r="AD397" s="155"/>
      <c r="AE397" s="155"/>
      <c r="AF397" s="12"/>
      <c r="AG397" s="386"/>
      <c r="AH397" s="392"/>
      <c r="AI397" s="18" t="s">
        <v>242</v>
      </c>
      <c r="AJ397" s="18" t="s">
        <v>242</v>
      </c>
      <c r="AK397" s="13" t="s">
        <v>242</v>
      </c>
      <c r="AL397" s="13" t="s">
        <v>242</v>
      </c>
      <c r="AM397" s="46" t="s">
        <v>244</v>
      </c>
      <c r="AN397" s="10"/>
      <c r="AO397" s="11"/>
      <c r="AP397" s="53"/>
      <c r="AQ397" s="20">
        <v>691833590</v>
      </c>
      <c r="AR397" s="68" t="s">
        <v>5618</v>
      </c>
      <c r="AS397" s="62"/>
      <c r="AT397" s="62"/>
      <c r="AU397" s="10"/>
      <c r="AV397" s="10"/>
      <c r="AW397" s="13"/>
      <c r="AX397" s="11"/>
      <c r="AY397" s="11"/>
      <c r="AZ397" s="11"/>
      <c r="BA397" s="11"/>
      <c r="BB397" s="59"/>
      <c r="BC397" s="59"/>
      <c r="BD397" s="59"/>
      <c r="BE397" s="59"/>
      <c r="BF397" s="59"/>
      <c r="BG397" s="59"/>
      <c r="BH397" s="138"/>
      <c r="BI397" s="138"/>
      <c r="BJ397" s="138"/>
      <c r="BK397" s="231"/>
      <c r="BL397" s="231"/>
      <c r="BM397" s="231"/>
      <c r="BN397" s="232"/>
      <c r="BO397" s="11"/>
      <c r="BP397" s="11"/>
      <c r="BQ397" s="11"/>
      <c r="BR397" s="11"/>
      <c r="BS397" s="394"/>
    </row>
    <row r="398" spans="1:72" ht="15" customHeight="1" x14ac:dyDescent="0.15">
      <c r="A398" s="48" t="s">
        <v>3513</v>
      </c>
      <c r="B398" s="9" t="s">
        <v>3514</v>
      </c>
      <c r="C398" s="9"/>
      <c r="D398" s="9"/>
      <c r="E398" s="9"/>
      <c r="F398" s="10" t="s">
        <v>107</v>
      </c>
      <c r="G398" s="10" t="s">
        <v>3517</v>
      </c>
      <c r="H398" s="5" t="s">
        <v>3518</v>
      </c>
      <c r="I398" s="11" t="s">
        <v>266</v>
      </c>
      <c r="J398" s="357" t="s">
        <v>1394</v>
      </c>
      <c r="K398" s="353"/>
      <c r="L398" s="221">
        <v>212</v>
      </c>
      <c r="M398" s="221"/>
      <c r="N398" s="222" t="str">
        <f t="shared" si="12"/>
        <v>Contact famille</v>
      </c>
      <c r="O398" s="729">
        <v>212</v>
      </c>
      <c r="P398" s="729"/>
      <c r="Q398" s="730" t="str">
        <f t="shared" si="13"/>
        <v>Contact famille</v>
      </c>
      <c r="R398" s="731"/>
      <c r="S398" s="731"/>
      <c r="T398" s="731"/>
      <c r="U398" s="731"/>
      <c r="V398" s="731" t="s">
        <v>313</v>
      </c>
      <c r="W398" s="731"/>
      <c r="X398" s="731"/>
      <c r="Y398" s="731"/>
      <c r="Z398" s="731"/>
      <c r="AA398" s="731" t="s">
        <v>313</v>
      </c>
      <c r="AB398" s="12"/>
      <c r="AC398" s="12"/>
      <c r="AD398" s="12"/>
      <c r="AE398" s="12"/>
      <c r="AF398" s="12"/>
      <c r="AG398" s="369"/>
      <c r="AH398" s="370"/>
      <c r="AI398" s="18" t="s">
        <v>242</v>
      </c>
      <c r="AJ398" s="18">
        <v>44092</v>
      </c>
      <c r="AK398" s="13" t="s">
        <v>242</v>
      </c>
      <c r="AL398" s="13" t="s">
        <v>242</v>
      </c>
      <c r="AM398" s="13" t="s">
        <v>242</v>
      </c>
      <c r="AN398" s="38"/>
      <c r="AO398" s="10"/>
      <c r="AP398" s="40"/>
      <c r="AQ398" s="10" t="s">
        <v>3521</v>
      </c>
      <c r="AR398" s="47" t="s">
        <v>3523</v>
      </c>
      <c r="AS398" s="62"/>
      <c r="AT398" s="62"/>
      <c r="AU398" s="11"/>
      <c r="AV398" s="10"/>
      <c r="AW398" s="11"/>
      <c r="AX398" s="11"/>
      <c r="AY398" s="11"/>
      <c r="AZ398" s="11"/>
      <c r="BA398" s="11"/>
      <c r="BB398" s="59"/>
      <c r="BC398" s="59"/>
      <c r="BD398" s="59"/>
      <c r="BE398" s="59"/>
      <c r="BF398" s="59"/>
      <c r="BG398" s="59"/>
      <c r="BH398" s="138"/>
      <c r="BI398" s="138"/>
      <c r="BJ398" s="138"/>
      <c r="BK398" s="231"/>
      <c r="BL398" s="231"/>
      <c r="BM398" s="231"/>
      <c r="BN398" s="232"/>
      <c r="BO398" s="19"/>
      <c r="BP398" s="23"/>
      <c r="BQ398" s="23"/>
      <c r="BR398" s="23"/>
      <c r="BS398" s="43"/>
    </row>
    <row r="399" spans="1:72" ht="15" customHeight="1" x14ac:dyDescent="0.15">
      <c r="A399" s="48" t="s">
        <v>4550</v>
      </c>
      <c r="B399" s="9" t="s">
        <v>4551</v>
      </c>
      <c r="C399" s="9"/>
      <c r="D399" s="9"/>
      <c r="E399" s="9"/>
      <c r="F399" s="10" t="s">
        <v>4552</v>
      </c>
      <c r="G399" s="10" t="s">
        <v>4553</v>
      </c>
      <c r="H399" s="5" t="s">
        <v>4554</v>
      </c>
      <c r="I399" s="11" t="s">
        <v>177</v>
      </c>
      <c r="J399" s="357" t="s">
        <v>320</v>
      </c>
      <c r="K399" s="353"/>
      <c r="L399" s="221">
        <v>2</v>
      </c>
      <c r="M399" s="221"/>
      <c r="N399" s="222" t="str">
        <f t="shared" si="12"/>
        <v>Seniors - Hommes</v>
      </c>
      <c r="O399" s="729">
        <v>2</v>
      </c>
      <c r="P399" s="729"/>
      <c r="Q399" s="730" t="str">
        <f t="shared" si="13"/>
        <v>Seniors - Hommes</v>
      </c>
      <c r="R399" s="731"/>
      <c r="S399" s="731"/>
      <c r="T399" s="731"/>
      <c r="U399" s="731"/>
      <c r="V399" s="731"/>
      <c r="W399" s="731"/>
      <c r="X399" s="731"/>
      <c r="Y399" s="731"/>
      <c r="Z399" s="731"/>
      <c r="AA399" s="731"/>
      <c r="AB399" s="12" t="s">
        <v>4622</v>
      </c>
      <c r="AC399" s="12"/>
      <c r="AD399" s="12"/>
      <c r="AE399" s="12"/>
      <c r="AF399" s="12"/>
      <c r="AG399" s="373" t="s">
        <v>4886</v>
      </c>
      <c r="AH399" s="370"/>
      <c r="AI399" s="18">
        <v>45238</v>
      </c>
      <c r="AJ399" s="18">
        <v>45205</v>
      </c>
      <c r="AK399" s="36">
        <v>2024</v>
      </c>
      <c r="AL399" s="18">
        <v>33905</v>
      </c>
      <c r="AM399" s="19" t="s">
        <v>4555</v>
      </c>
      <c r="AN399" s="38"/>
      <c r="AO399" s="10"/>
      <c r="AP399" s="40"/>
      <c r="AQ399" s="20">
        <v>621623759</v>
      </c>
      <c r="AR399" s="47" t="s">
        <v>4556</v>
      </c>
      <c r="AS399" s="62"/>
      <c r="AT399" s="62"/>
      <c r="AU399" s="11"/>
      <c r="AV399" s="10"/>
      <c r="AW399" s="11"/>
      <c r="AX399" s="11"/>
      <c r="AY399" s="11"/>
      <c r="AZ399" s="11"/>
      <c r="BA399" s="11"/>
      <c r="BB399" s="59"/>
      <c r="BC399" s="59"/>
      <c r="BD399" s="59"/>
      <c r="BE399" s="59"/>
      <c r="BF399" s="59"/>
      <c r="BG399" s="59"/>
      <c r="BH399" s="138"/>
      <c r="BI399" s="138"/>
      <c r="BJ399" s="138"/>
      <c r="BK399" s="231"/>
      <c r="BL399" s="231"/>
      <c r="BM399" s="231"/>
      <c r="BN399" s="232"/>
      <c r="BO399" s="19"/>
      <c r="BP399" s="23"/>
      <c r="BQ399" s="23"/>
      <c r="BR399" s="23"/>
      <c r="BS399" s="43"/>
      <c r="BT399" s="150"/>
    </row>
    <row r="400" spans="1:72" ht="15" customHeight="1" x14ac:dyDescent="0.15">
      <c r="A400" s="48" t="s">
        <v>1011</v>
      </c>
      <c r="B400" s="9" t="s">
        <v>1012</v>
      </c>
      <c r="C400" s="9"/>
      <c r="D400" s="9"/>
      <c r="E400" s="9"/>
      <c r="F400" s="10" t="s">
        <v>107</v>
      </c>
      <c r="G400" s="10" t="s">
        <v>4279</v>
      </c>
      <c r="H400" s="5" t="s">
        <v>4280</v>
      </c>
      <c r="I400" s="11" t="s">
        <v>4281</v>
      </c>
      <c r="J400" s="357" t="s">
        <v>320</v>
      </c>
      <c r="K400" s="353"/>
      <c r="L400" s="221">
        <v>2</v>
      </c>
      <c r="M400" s="221"/>
      <c r="N400" s="222" t="str">
        <f t="shared" si="12"/>
        <v>Seniors - Hommes</v>
      </c>
      <c r="O400" s="729">
        <v>2</v>
      </c>
      <c r="P400" s="729"/>
      <c r="Q400" s="730" t="str">
        <f t="shared" si="13"/>
        <v>Seniors - Hommes</v>
      </c>
      <c r="R400" s="731"/>
      <c r="S400" s="731"/>
      <c r="T400" s="731"/>
      <c r="U400" s="731"/>
      <c r="V400" s="731"/>
      <c r="W400" s="731"/>
      <c r="X400" s="731"/>
      <c r="Y400" s="731"/>
      <c r="Z400" s="731"/>
      <c r="AA400" s="731"/>
      <c r="AB400" s="12" t="s">
        <v>3033</v>
      </c>
      <c r="AC400" s="12"/>
      <c r="AD400" s="12"/>
      <c r="AE400" s="12"/>
      <c r="AF400" s="12"/>
      <c r="AG400" s="369"/>
      <c r="AH400" s="370"/>
      <c r="AI400" s="18">
        <v>39141</v>
      </c>
      <c r="AJ400" s="18">
        <v>39141</v>
      </c>
      <c r="AK400" s="616">
        <v>2025</v>
      </c>
      <c r="AL400" s="18">
        <v>34930</v>
      </c>
      <c r="AM400" s="19" t="s">
        <v>2338</v>
      </c>
      <c r="AN400" s="19"/>
      <c r="AO400" s="10" t="s">
        <v>2333</v>
      </c>
      <c r="AP400" s="65" t="s">
        <v>2339</v>
      </c>
      <c r="AQ400" s="27" t="s">
        <v>2340</v>
      </c>
      <c r="AR400" s="29" t="s">
        <v>2341</v>
      </c>
      <c r="AS400" s="61"/>
      <c r="AT400" s="61"/>
      <c r="AU400" s="24"/>
      <c r="AV400" s="10"/>
      <c r="AW400" s="11"/>
      <c r="AX400" s="11"/>
      <c r="AY400" s="11"/>
      <c r="AZ400" s="11" t="s">
        <v>209</v>
      </c>
      <c r="BA400" s="11"/>
      <c r="BB400" s="59" t="s">
        <v>2813</v>
      </c>
      <c r="BC400" s="59" t="s">
        <v>292</v>
      </c>
      <c r="BD400" s="59" t="s">
        <v>421</v>
      </c>
      <c r="BE400" s="59" t="s">
        <v>419</v>
      </c>
      <c r="BF400" s="59"/>
      <c r="BG400" s="59"/>
      <c r="BH400" s="138"/>
      <c r="BI400" s="138"/>
      <c r="BJ400" s="138"/>
      <c r="BK400" s="231"/>
      <c r="BL400" s="231"/>
      <c r="BM400" s="231"/>
      <c r="BN400" s="232"/>
      <c r="BO400" s="19"/>
      <c r="BP400" s="23" t="s">
        <v>1537</v>
      </c>
      <c r="BQ400" s="23"/>
      <c r="BR400" s="23"/>
      <c r="BS400" s="43"/>
      <c r="BT400" s="150"/>
    </row>
    <row r="401" spans="1:72" ht="15" customHeight="1" x14ac:dyDescent="0.15">
      <c r="A401" s="103" t="s">
        <v>1011</v>
      </c>
      <c r="B401" s="104" t="s">
        <v>3178</v>
      </c>
      <c r="C401" s="104"/>
      <c r="D401" s="104"/>
      <c r="E401" s="104"/>
      <c r="F401" s="122" t="s">
        <v>107</v>
      </c>
      <c r="G401" s="122" t="s">
        <v>1013</v>
      </c>
      <c r="H401" s="123" t="s">
        <v>1014</v>
      </c>
      <c r="I401" s="105" t="s">
        <v>241</v>
      </c>
      <c r="J401" s="356" t="s">
        <v>4376</v>
      </c>
      <c r="K401" s="353" t="s">
        <v>5004</v>
      </c>
      <c r="L401" s="220">
        <v>252</v>
      </c>
      <c r="M401" s="220"/>
      <c r="N401" s="223" t="str">
        <f t="shared" si="12"/>
        <v>Arrêt jeune (garder licence)</v>
      </c>
      <c r="O401" s="733">
        <v>6</v>
      </c>
      <c r="P401" s="733"/>
      <c r="Q401" s="758" t="str">
        <f t="shared" si="13"/>
        <v>U 13 Hommes</v>
      </c>
      <c r="R401" s="734"/>
      <c r="S401" s="734"/>
      <c r="T401" s="734"/>
      <c r="U401" s="734" t="s">
        <v>192</v>
      </c>
      <c r="V401" s="734"/>
      <c r="W401" s="734"/>
      <c r="X401" s="734"/>
      <c r="Y401" s="734"/>
      <c r="Z401" s="734"/>
      <c r="AA401" s="734"/>
      <c r="AB401" s="124" t="s">
        <v>3352</v>
      </c>
      <c r="AC401" s="124"/>
      <c r="AD401" s="124"/>
      <c r="AE401" s="124"/>
      <c r="AF401" s="124"/>
      <c r="AG401" s="373" t="s">
        <v>4671</v>
      </c>
      <c r="AH401" s="372"/>
      <c r="AI401" s="143">
        <v>43892</v>
      </c>
      <c r="AJ401" s="143">
        <v>43801</v>
      </c>
      <c r="AK401" s="612">
        <v>2021</v>
      </c>
      <c r="AL401" s="143">
        <v>41907</v>
      </c>
      <c r="AM401" s="144" t="s">
        <v>3180</v>
      </c>
      <c r="AN401" s="151"/>
      <c r="AO401" s="122" t="s">
        <v>2333</v>
      </c>
      <c r="AP401" s="122" t="s">
        <v>3183</v>
      </c>
      <c r="AQ401" s="122" t="s">
        <v>3182</v>
      </c>
      <c r="AR401" s="70" t="s">
        <v>2334</v>
      </c>
      <c r="AS401" s="36"/>
      <c r="AT401" s="36"/>
      <c r="AU401" s="105"/>
      <c r="AV401" s="122"/>
      <c r="AW401" s="105"/>
      <c r="AX401" s="105"/>
      <c r="AY401" s="105"/>
      <c r="AZ401" s="105"/>
      <c r="BA401" s="105"/>
      <c r="BB401" s="130"/>
      <c r="BC401" s="130"/>
      <c r="BD401" s="130"/>
      <c r="BE401" s="130" t="s">
        <v>347</v>
      </c>
      <c r="BF401" s="130"/>
      <c r="BG401" s="130"/>
      <c r="BH401" s="147"/>
      <c r="BI401" s="147"/>
      <c r="BJ401" s="147"/>
      <c r="BK401" s="229"/>
      <c r="BL401" s="229"/>
      <c r="BM401" s="229"/>
      <c r="BN401" s="230"/>
      <c r="BO401" s="144"/>
      <c r="BP401" s="148"/>
      <c r="BQ401" s="148"/>
      <c r="BR401" s="148"/>
      <c r="BS401" s="149"/>
      <c r="BT401" s="150"/>
    </row>
    <row r="402" spans="1:72" ht="15" customHeight="1" x14ac:dyDescent="0.15">
      <c r="A402" s="48" t="s">
        <v>4512</v>
      </c>
      <c r="B402" s="9" t="s">
        <v>4515</v>
      </c>
      <c r="C402" s="9"/>
      <c r="D402" s="9"/>
      <c r="E402" s="9"/>
      <c r="F402" s="10" t="s">
        <v>310</v>
      </c>
      <c r="G402" s="10" t="s">
        <v>4518</v>
      </c>
      <c r="H402" s="5" t="s">
        <v>4519</v>
      </c>
      <c r="I402" s="11" t="s">
        <v>1179</v>
      </c>
      <c r="J402" s="357" t="s">
        <v>1699</v>
      </c>
      <c r="K402" s="353"/>
      <c r="L402" s="221">
        <v>212</v>
      </c>
      <c r="M402" s="221"/>
      <c r="N402" s="222" t="str">
        <f t="shared" si="12"/>
        <v>Contact famille</v>
      </c>
      <c r="O402" s="729">
        <v>212</v>
      </c>
      <c r="P402" s="729"/>
      <c r="Q402" s="730" t="str">
        <f t="shared" si="13"/>
        <v>Contact famille</v>
      </c>
      <c r="R402" s="731"/>
      <c r="S402" s="731"/>
      <c r="T402" s="731"/>
      <c r="U402" s="731"/>
      <c r="V402" s="731"/>
      <c r="W402" s="731"/>
      <c r="X402" s="731"/>
      <c r="Y402" s="731"/>
      <c r="Z402" s="731" t="s">
        <v>313</v>
      </c>
      <c r="AA402" s="731"/>
      <c r="AB402" s="12"/>
      <c r="AC402" s="12"/>
      <c r="AD402" s="12"/>
      <c r="AE402" s="12"/>
      <c r="AF402" s="12"/>
      <c r="AG402" s="369"/>
      <c r="AH402" s="370"/>
      <c r="AI402" s="18" t="s">
        <v>242</v>
      </c>
      <c r="AJ402" s="18" t="s">
        <v>242</v>
      </c>
      <c r="AK402" s="13" t="s">
        <v>242</v>
      </c>
      <c r="AL402" s="18" t="s">
        <v>242</v>
      </c>
      <c r="AM402" s="19" t="s">
        <v>244</v>
      </c>
      <c r="AN402" s="38"/>
      <c r="AO402" s="10"/>
      <c r="AP402" s="40"/>
      <c r="AQ402" s="10"/>
      <c r="AR402" s="47"/>
      <c r="AS402" s="62"/>
      <c r="AT402" s="62"/>
      <c r="AU402" s="11"/>
      <c r="AV402" s="10"/>
      <c r="AW402" s="11"/>
      <c r="AX402" s="11"/>
      <c r="AY402" s="11"/>
      <c r="AZ402" s="11"/>
      <c r="BA402" s="11"/>
      <c r="BB402" s="59"/>
      <c r="BC402" s="59"/>
      <c r="BD402" s="59"/>
      <c r="BE402" s="59"/>
      <c r="BF402" s="59"/>
      <c r="BG402" s="59"/>
      <c r="BH402" s="138"/>
      <c r="BI402" s="138"/>
      <c r="BJ402" s="138"/>
      <c r="BK402" s="231"/>
      <c r="BL402" s="231"/>
      <c r="BM402" s="231"/>
      <c r="BN402" s="232"/>
      <c r="BO402" s="19"/>
      <c r="BP402" s="23"/>
      <c r="BQ402" s="23"/>
      <c r="BR402" s="23"/>
      <c r="BS402" s="43"/>
    </row>
    <row r="403" spans="1:72" ht="15" customHeight="1" x14ac:dyDescent="0.15">
      <c r="A403" s="48" t="s">
        <v>4512</v>
      </c>
      <c r="B403" s="9" t="s">
        <v>4514</v>
      </c>
      <c r="C403" s="9"/>
      <c r="D403" s="9"/>
      <c r="E403" s="9"/>
      <c r="F403" s="10" t="s">
        <v>4516</v>
      </c>
      <c r="G403" s="10" t="s">
        <v>4518</v>
      </c>
      <c r="H403" s="5" t="s">
        <v>4519</v>
      </c>
      <c r="I403" s="11" t="s">
        <v>1179</v>
      </c>
      <c r="J403" s="357" t="s">
        <v>1699</v>
      </c>
      <c r="K403" s="353"/>
      <c r="L403" s="221">
        <v>16</v>
      </c>
      <c r="M403" s="221"/>
      <c r="N403" s="222" t="str">
        <f t="shared" si="12"/>
        <v>U15 Dames</v>
      </c>
      <c r="O403" s="729">
        <v>16</v>
      </c>
      <c r="P403" s="729"/>
      <c r="Q403" s="730" t="str">
        <f t="shared" si="13"/>
        <v>U15 Dames</v>
      </c>
      <c r="R403" s="731"/>
      <c r="S403" s="731"/>
      <c r="T403" s="731"/>
      <c r="U403" s="731"/>
      <c r="V403" s="731"/>
      <c r="W403" s="731"/>
      <c r="X403" s="731"/>
      <c r="Y403" s="731"/>
      <c r="Z403" s="731" t="s">
        <v>192</v>
      </c>
      <c r="AA403" s="731"/>
      <c r="AB403" s="12" t="s">
        <v>4621</v>
      </c>
      <c r="AC403" s="12"/>
      <c r="AD403" s="12"/>
      <c r="AE403" s="12"/>
      <c r="AF403" s="12"/>
      <c r="AG403" s="369"/>
      <c r="AH403" s="370"/>
      <c r="AI403" s="18">
        <v>45236</v>
      </c>
      <c r="AJ403" s="18">
        <v>45193</v>
      </c>
      <c r="AK403" s="36">
        <v>2024</v>
      </c>
      <c r="AL403" s="18">
        <v>41033</v>
      </c>
      <c r="AM403" s="19" t="s">
        <v>4520</v>
      </c>
      <c r="AN403" s="38"/>
      <c r="AO403" s="10"/>
      <c r="AP403" s="40"/>
      <c r="AQ403" s="10" t="s">
        <v>4521</v>
      </c>
      <c r="AR403" s="47" t="s">
        <v>4522</v>
      </c>
      <c r="AS403" s="62"/>
      <c r="AT403" s="62"/>
      <c r="AU403" s="11"/>
      <c r="AV403" s="10"/>
      <c r="AW403" s="11"/>
      <c r="AX403" s="11"/>
      <c r="AY403" s="11"/>
      <c r="AZ403" s="11"/>
      <c r="BA403" s="11"/>
      <c r="BB403" s="59"/>
      <c r="BC403" s="59"/>
      <c r="BD403" s="59"/>
      <c r="BE403" s="59"/>
      <c r="BF403" s="59"/>
      <c r="BG403" s="59"/>
      <c r="BH403" s="138"/>
      <c r="BI403" s="138"/>
      <c r="BJ403" s="138"/>
      <c r="BK403" s="231"/>
      <c r="BL403" s="231"/>
      <c r="BM403" s="231"/>
      <c r="BN403" s="232"/>
      <c r="BO403" s="19"/>
      <c r="BP403" s="23"/>
      <c r="BQ403" s="23"/>
      <c r="BR403" s="23"/>
      <c r="BS403" s="43"/>
    </row>
    <row r="404" spans="1:72" ht="15" customHeight="1" x14ac:dyDescent="0.15">
      <c r="A404" s="48" t="s">
        <v>443</v>
      </c>
      <c r="B404" s="9" t="s">
        <v>458</v>
      </c>
      <c r="C404" s="9"/>
      <c r="D404" s="9"/>
      <c r="E404" s="9"/>
      <c r="F404" s="10" t="s">
        <v>445</v>
      </c>
      <c r="G404" s="10" t="s">
        <v>4870</v>
      </c>
      <c r="H404" s="5" t="s">
        <v>4871</v>
      </c>
      <c r="I404" s="11" t="s">
        <v>4398</v>
      </c>
      <c r="J404" s="357" t="s">
        <v>320</v>
      </c>
      <c r="K404" s="353"/>
      <c r="L404" s="221">
        <v>11</v>
      </c>
      <c r="M404" s="221"/>
      <c r="N404" s="222" t="str">
        <f t="shared" si="12"/>
        <v>Officiel D</v>
      </c>
      <c r="O404" s="729">
        <v>11</v>
      </c>
      <c r="P404" s="729"/>
      <c r="Q404" s="730" t="str">
        <f t="shared" si="13"/>
        <v>Officiel D</v>
      </c>
      <c r="R404" s="731"/>
      <c r="S404" s="731"/>
      <c r="T404" s="731"/>
      <c r="U404" s="731"/>
      <c r="V404" s="731"/>
      <c r="W404" s="731"/>
      <c r="X404" s="731"/>
      <c r="Y404" s="731"/>
      <c r="Z404" s="731"/>
      <c r="AA404" s="731"/>
      <c r="AB404" s="12"/>
      <c r="AC404" s="12" t="s">
        <v>4872</v>
      </c>
      <c r="AD404" s="12"/>
      <c r="AE404" s="12"/>
      <c r="AF404" s="12"/>
      <c r="AG404" s="369"/>
      <c r="AH404" s="370"/>
      <c r="AI404" s="18">
        <v>45544</v>
      </c>
      <c r="AJ404" s="18">
        <v>37289</v>
      </c>
      <c r="AK404" s="13" t="s">
        <v>242</v>
      </c>
      <c r="AL404" s="18">
        <v>27812</v>
      </c>
      <c r="AM404" s="19" t="s">
        <v>4873</v>
      </c>
      <c r="AN404" s="38"/>
      <c r="AO404" s="10"/>
      <c r="AP404" s="40"/>
      <c r="AQ404" s="20">
        <v>621432718</v>
      </c>
      <c r="AR404" s="47" t="s">
        <v>4874</v>
      </c>
      <c r="AS404" s="62"/>
      <c r="AT404" s="62"/>
      <c r="AU404" s="11"/>
      <c r="AV404" s="10"/>
      <c r="AW404" s="13" t="s">
        <v>3969</v>
      </c>
      <c r="AX404" s="11"/>
      <c r="AY404" s="11"/>
      <c r="AZ404" s="11"/>
      <c r="BA404" s="11"/>
      <c r="BB404" s="59"/>
      <c r="BC404" s="59"/>
      <c r="BD404" s="59"/>
      <c r="BE404" s="59"/>
      <c r="BF404" s="59"/>
      <c r="BG404" s="59"/>
      <c r="BH404" s="138"/>
      <c r="BI404" s="138"/>
      <c r="BJ404" s="138"/>
      <c r="BK404" s="231"/>
      <c r="BL404" s="231"/>
      <c r="BM404" s="231"/>
      <c r="BN404" s="232"/>
      <c r="BO404" s="19"/>
      <c r="BP404" s="23"/>
      <c r="BQ404" s="23"/>
      <c r="BR404" s="23"/>
      <c r="BS404" s="43"/>
    </row>
    <row r="405" spans="1:72" ht="15" customHeight="1" x14ac:dyDescent="0.15">
      <c r="A405" s="48" t="s">
        <v>4206</v>
      </c>
      <c r="B405" s="9" t="s">
        <v>4207</v>
      </c>
      <c r="C405" s="9"/>
      <c r="D405" s="9"/>
      <c r="E405" s="9"/>
      <c r="F405" s="10" t="s">
        <v>4171</v>
      </c>
      <c r="G405" s="10" t="s">
        <v>4172</v>
      </c>
      <c r="H405" s="5" t="s">
        <v>1666</v>
      </c>
      <c r="I405" s="11" t="s">
        <v>274</v>
      </c>
      <c r="J405" s="357" t="s">
        <v>2717</v>
      </c>
      <c r="K405" s="353"/>
      <c r="L405" s="221">
        <v>212</v>
      </c>
      <c r="M405" s="221"/>
      <c r="N405" s="222" t="str">
        <f t="shared" si="12"/>
        <v>Contact famille</v>
      </c>
      <c r="O405" s="729">
        <v>212</v>
      </c>
      <c r="P405" s="729"/>
      <c r="Q405" s="730" t="str">
        <f t="shared" si="13"/>
        <v>Contact famille</v>
      </c>
      <c r="R405" s="731"/>
      <c r="S405" s="731"/>
      <c r="T405" s="731"/>
      <c r="U405" s="731"/>
      <c r="V405" s="731"/>
      <c r="W405" s="731" t="s">
        <v>313</v>
      </c>
      <c r="X405" s="731" t="s">
        <v>313</v>
      </c>
      <c r="Y405" s="731"/>
      <c r="Z405" s="731"/>
      <c r="AA405" s="731"/>
      <c r="AB405" s="12"/>
      <c r="AC405" s="12"/>
      <c r="AD405" s="12"/>
      <c r="AE405" s="12"/>
      <c r="AF405" s="12"/>
      <c r="AG405" s="369"/>
      <c r="AH405" s="370"/>
      <c r="AI405" s="18" t="s">
        <v>242</v>
      </c>
      <c r="AJ405" s="18" t="s">
        <v>242</v>
      </c>
      <c r="AK405" s="13" t="s">
        <v>242</v>
      </c>
      <c r="AL405" s="13" t="s">
        <v>242</v>
      </c>
      <c r="AM405" s="46" t="s">
        <v>244</v>
      </c>
      <c r="AN405" s="38"/>
      <c r="AO405" s="10"/>
      <c r="AP405" s="40"/>
      <c r="AQ405" s="226"/>
      <c r="AR405" s="226"/>
      <c r="AS405" s="62"/>
      <c r="AT405" s="62"/>
      <c r="AU405" s="11"/>
      <c r="AV405" s="10"/>
      <c r="AW405" s="11"/>
      <c r="AX405" s="11"/>
      <c r="AY405" s="11"/>
      <c r="AZ405" s="11"/>
      <c r="BA405" s="11"/>
      <c r="BB405" s="59"/>
      <c r="BC405" s="59"/>
      <c r="BD405" s="59"/>
      <c r="BE405" s="59"/>
      <c r="BF405" s="59"/>
      <c r="BG405" s="59"/>
      <c r="BH405" s="138"/>
      <c r="BI405" s="138"/>
      <c r="BJ405" s="138"/>
      <c r="BK405" s="231"/>
      <c r="BL405" s="231"/>
      <c r="BM405" s="231"/>
      <c r="BN405" s="232"/>
      <c r="BO405" s="19"/>
      <c r="BP405" s="23"/>
      <c r="BQ405" s="23"/>
      <c r="BR405" s="23"/>
      <c r="BS405" s="43"/>
    </row>
    <row r="406" spans="1:72" ht="15" customHeight="1" x14ac:dyDescent="0.15">
      <c r="A406" s="48" t="s">
        <v>2831</v>
      </c>
      <c r="B406" s="9" t="s">
        <v>1408</v>
      </c>
      <c r="C406" s="9"/>
      <c r="D406" s="9"/>
      <c r="E406" s="9"/>
      <c r="F406" s="112" t="s">
        <v>616</v>
      </c>
      <c r="G406" s="10" t="s">
        <v>4248</v>
      </c>
      <c r="H406" s="5" t="s">
        <v>4249</v>
      </c>
      <c r="I406" s="11" t="s">
        <v>1714</v>
      </c>
      <c r="J406" s="357" t="s">
        <v>912</v>
      </c>
      <c r="K406" s="852"/>
      <c r="L406" s="221">
        <v>212</v>
      </c>
      <c r="M406" s="221"/>
      <c r="N406" s="222" t="str">
        <f t="shared" si="12"/>
        <v>Contact famille</v>
      </c>
      <c r="O406" s="729">
        <v>212</v>
      </c>
      <c r="P406" s="729"/>
      <c r="Q406" s="730" t="str">
        <f t="shared" si="13"/>
        <v>Contact famille</v>
      </c>
      <c r="R406" s="731"/>
      <c r="S406" s="731"/>
      <c r="T406" s="731"/>
      <c r="U406" s="731"/>
      <c r="V406" s="731"/>
      <c r="W406" s="731" t="s">
        <v>313</v>
      </c>
      <c r="X406" s="731"/>
      <c r="Y406" s="731"/>
      <c r="Z406" s="731"/>
      <c r="AA406" s="731"/>
      <c r="AB406" s="12"/>
      <c r="AC406" s="391"/>
      <c r="AD406" s="391"/>
      <c r="AE406" s="12"/>
      <c r="AF406" s="12"/>
      <c r="AG406" s="369"/>
      <c r="AH406" s="370"/>
      <c r="AI406" s="18" t="s">
        <v>242</v>
      </c>
      <c r="AJ406" s="18" t="s">
        <v>242</v>
      </c>
      <c r="AK406" s="13" t="s">
        <v>242</v>
      </c>
      <c r="AL406" s="13" t="s">
        <v>242</v>
      </c>
      <c r="AM406" s="46" t="s">
        <v>244</v>
      </c>
      <c r="AN406" s="856"/>
      <c r="AO406" s="10"/>
      <c r="AP406" s="40"/>
      <c r="AQ406" s="20">
        <v>691130785</v>
      </c>
      <c r="AR406" s="47" t="s">
        <v>4254</v>
      </c>
      <c r="AS406" s="62"/>
      <c r="AT406" s="62"/>
      <c r="AU406" s="11"/>
      <c r="AV406" s="10"/>
      <c r="AW406" s="11"/>
      <c r="AX406" s="11"/>
      <c r="AY406" s="11"/>
      <c r="AZ406" s="11"/>
      <c r="BA406" s="11"/>
      <c r="BB406" s="59"/>
      <c r="BC406" s="59"/>
      <c r="BD406" s="59"/>
      <c r="BE406" s="59"/>
      <c r="BF406" s="59"/>
      <c r="BG406" s="59"/>
      <c r="BH406" s="138"/>
      <c r="BI406" s="138"/>
      <c r="BJ406" s="138"/>
      <c r="BK406" s="231"/>
      <c r="BL406" s="231"/>
      <c r="BM406" s="231"/>
      <c r="BN406" s="232"/>
      <c r="BO406" s="19"/>
      <c r="BP406" s="23"/>
      <c r="BQ406" s="23"/>
      <c r="BR406" s="23"/>
      <c r="BS406" s="43"/>
    </row>
    <row r="407" spans="1:72" ht="15" customHeight="1" x14ac:dyDescent="0.15">
      <c r="A407" s="48" t="s">
        <v>2831</v>
      </c>
      <c r="B407" s="9" t="s">
        <v>775</v>
      </c>
      <c r="C407" s="9"/>
      <c r="D407" s="9"/>
      <c r="E407" s="9"/>
      <c r="F407" s="10" t="s">
        <v>2830</v>
      </c>
      <c r="G407" s="10" t="s">
        <v>2827</v>
      </c>
      <c r="H407" s="5" t="s">
        <v>1496</v>
      </c>
      <c r="I407" s="11" t="s">
        <v>1497</v>
      </c>
      <c r="J407" s="357" t="s">
        <v>2824</v>
      </c>
      <c r="K407" s="353"/>
      <c r="L407" s="221">
        <v>212</v>
      </c>
      <c r="M407" s="221"/>
      <c r="N407" s="222" t="str">
        <f t="shared" si="12"/>
        <v>Contact famille</v>
      </c>
      <c r="O407" s="729">
        <v>212</v>
      </c>
      <c r="P407" s="729"/>
      <c r="Q407" s="730" t="str">
        <f t="shared" si="13"/>
        <v>Contact famille</v>
      </c>
      <c r="R407" s="731"/>
      <c r="S407" s="731"/>
      <c r="T407" s="731"/>
      <c r="U407" s="731"/>
      <c r="V407" s="731"/>
      <c r="W407" s="731"/>
      <c r="X407" s="731"/>
      <c r="Y407" s="731"/>
      <c r="Z407" s="731"/>
      <c r="AA407" s="731"/>
      <c r="AB407" s="12"/>
      <c r="AC407" s="12"/>
      <c r="AD407" s="12"/>
      <c r="AE407" s="12"/>
      <c r="AF407" s="12"/>
      <c r="AG407" s="369"/>
      <c r="AH407" s="370"/>
      <c r="AI407" s="18" t="s">
        <v>242</v>
      </c>
      <c r="AJ407" s="18" t="s">
        <v>242</v>
      </c>
      <c r="AK407" s="13" t="s">
        <v>242</v>
      </c>
      <c r="AL407" s="13" t="s">
        <v>242</v>
      </c>
      <c r="AM407" s="19" t="s">
        <v>244</v>
      </c>
      <c r="AN407" s="38"/>
      <c r="AO407" s="10"/>
      <c r="AP407" s="40"/>
      <c r="AQ407" s="10" t="s">
        <v>2833</v>
      </c>
      <c r="AR407" s="47" t="s">
        <v>2835</v>
      </c>
      <c r="AS407" s="62"/>
      <c r="AT407" s="62"/>
      <c r="AU407" s="11"/>
      <c r="AV407" s="10"/>
      <c r="AW407" s="11"/>
      <c r="AX407" s="11"/>
      <c r="AY407" s="11"/>
      <c r="AZ407" s="11" t="s">
        <v>533</v>
      </c>
      <c r="BA407" s="11"/>
      <c r="BB407" s="59"/>
      <c r="BC407" s="59" t="s">
        <v>292</v>
      </c>
      <c r="BD407" s="59" t="s">
        <v>1168</v>
      </c>
      <c r="BE407" s="59">
        <v>20</v>
      </c>
      <c r="BF407" s="59"/>
      <c r="BG407" s="59"/>
      <c r="BH407" s="138"/>
      <c r="BI407" s="138"/>
      <c r="BJ407" s="138"/>
      <c r="BK407" s="231"/>
      <c r="BL407" s="231"/>
      <c r="BM407" s="231"/>
      <c r="BN407" s="232"/>
      <c r="BO407" s="19"/>
      <c r="BP407" s="23"/>
      <c r="BQ407" s="23"/>
      <c r="BR407" s="23"/>
      <c r="BS407" s="43"/>
    </row>
    <row r="408" spans="1:72" ht="15" customHeight="1" x14ac:dyDescent="0.15">
      <c r="A408" s="48" t="s">
        <v>4244</v>
      </c>
      <c r="B408" s="9" t="s">
        <v>4245</v>
      </c>
      <c r="C408" s="9"/>
      <c r="D408" s="9"/>
      <c r="E408" s="9"/>
      <c r="F408" s="112" t="s">
        <v>616</v>
      </c>
      <c r="G408" s="10" t="s">
        <v>4248</v>
      </c>
      <c r="H408" s="5" t="s">
        <v>4249</v>
      </c>
      <c r="I408" s="11" t="s">
        <v>1714</v>
      </c>
      <c r="J408" s="357" t="s">
        <v>912</v>
      </c>
      <c r="K408" s="353"/>
      <c r="L408" s="221">
        <v>18</v>
      </c>
      <c r="M408" s="221"/>
      <c r="N408" s="222" t="str">
        <f t="shared" si="12"/>
        <v>U 9 Dames</v>
      </c>
      <c r="O408" s="729">
        <v>18</v>
      </c>
      <c r="P408" s="729"/>
      <c r="Q408" s="730" t="str">
        <f t="shared" si="13"/>
        <v>U 9 Dames</v>
      </c>
      <c r="R408" s="731"/>
      <c r="S408" s="731"/>
      <c r="T408" s="731"/>
      <c r="U408" s="731"/>
      <c r="V408" s="731"/>
      <c r="W408" s="731" t="s">
        <v>192</v>
      </c>
      <c r="X408" s="731"/>
      <c r="Y408" s="731"/>
      <c r="Z408" s="731"/>
      <c r="AA408" s="731"/>
      <c r="AB408" s="12" t="s">
        <v>4261</v>
      </c>
      <c r="AC408" s="12"/>
      <c r="AD408" s="12"/>
      <c r="AE408" s="12"/>
      <c r="AF408" s="12"/>
      <c r="AG408" s="369" t="s">
        <v>252</v>
      </c>
      <c r="AH408" s="370"/>
      <c r="AI408" s="18">
        <v>44943</v>
      </c>
      <c r="AJ408" s="18">
        <v>44936</v>
      </c>
      <c r="AK408" s="615">
        <v>2025</v>
      </c>
      <c r="AL408" s="18">
        <v>43314</v>
      </c>
      <c r="AM408" s="19" t="s">
        <v>4250</v>
      </c>
      <c r="AN408" s="38"/>
      <c r="AO408" s="10"/>
      <c r="AP408" s="40" t="s">
        <v>4251</v>
      </c>
      <c r="AQ408" s="10" t="s">
        <v>4252</v>
      </c>
      <c r="AR408" s="47" t="s">
        <v>4253</v>
      </c>
      <c r="AS408" s="62"/>
      <c r="AT408" s="62"/>
      <c r="AU408" s="11"/>
      <c r="AV408" s="10"/>
      <c r="AW408" s="11"/>
      <c r="AX408" s="11"/>
      <c r="AY408" s="11"/>
      <c r="AZ408" s="11"/>
      <c r="BA408" s="11"/>
      <c r="BB408" s="59"/>
      <c r="BC408" s="59"/>
      <c r="BD408" s="59"/>
      <c r="BE408" s="59"/>
      <c r="BF408" s="59"/>
      <c r="BG408" s="59"/>
      <c r="BH408" s="138"/>
      <c r="BI408" s="138"/>
      <c r="BJ408" s="138"/>
      <c r="BK408" s="231"/>
      <c r="BL408" s="231"/>
      <c r="BM408" s="231"/>
      <c r="BN408" s="232"/>
      <c r="BO408" s="19"/>
      <c r="BP408" s="23"/>
      <c r="BQ408" s="23"/>
      <c r="BR408" s="23"/>
      <c r="BS408" s="43"/>
    </row>
    <row r="409" spans="1:72" ht="15" customHeight="1" x14ac:dyDescent="0.15">
      <c r="A409" s="48" t="s">
        <v>4195</v>
      </c>
      <c r="B409" s="9" t="s">
        <v>4191</v>
      </c>
      <c r="C409" s="9"/>
      <c r="D409" s="9"/>
      <c r="E409" s="9"/>
      <c r="F409" s="112" t="s">
        <v>107</v>
      </c>
      <c r="G409" s="10" t="s">
        <v>4192</v>
      </c>
      <c r="H409" s="5" t="s">
        <v>542</v>
      </c>
      <c r="I409" s="11" t="s">
        <v>544</v>
      </c>
      <c r="J409" s="357" t="s">
        <v>320</v>
      </c>
      <c r="K409" s="353"/>
      <c r="L409" s="221">
        <v>2</v>
      </c>
      <c r="M409" s="221"/>
      <c r="N409" s="222" t="str">
        <f t="shared" si="12"/>
        <v>Seniors - Hommes</v>
      </c>
      <c r="O409" s="729">
        <v>2</v>
      </c>
      <c r="P409" s="729"/>
      <c r="Q409" s="730" t="str">
        <f t="shared" si="13"/>
        <v>Seniors - Hommes</v>
      </c>
      <c r="R409" s="731"/>
      <c r="S409" s="731"/>
      <c r="T409" s="731"/>
      <c r="U409" s="731"/>
      <c r="V409" s="731"/>
      <c r="W409" s="731"/>
      <c r="X409" s="731"/>
      <c r="Y409" s="731"/>
      <c r="Z409" s="731"/>
      <c r="AA409" s="731"/>
      <c r="AB409" s="12" t="s">
        <v>4257</v>
      </c>
      <c r="AC409" s="12"/>
      <c r="AD409" s="12" t="s">
        <v>4257</v>
      </c>
      <c r="AE409" s="12"/>
      <c r="AF409" s="12"/>
      <c r="AG409" s="369"/>
      <c r="AH409" s="370"/>
      <c r="AI409" s="18">
        <v>44939</v>
      </c>
      <c r="AJ409" s="18">
        <v>44872</v>
      </c>
      <c r="AK409" s="13">
        <v>2032</v>
      </c>
      <c r="AL409" s="18">
        <v>37308</v>
      </c>
      <c r="AM409" s="19" t="s">
        <v>4193</v>
      </c>
      <c r="AN409" s="38"/>
      <c r="AO409" s="10"/>
      <c r="AP409" s="40"/>
      <c r="AQ409" s="20">
        <v>621344151</v>
      </c>
      <c r="AR409" s="47" t="s">
        <v>4194</v>
      </c>
      <c r="AS409" s="62"/>
      <c r="AT409" s="62"/>
      <c r="AU409" s="11"/>
      <c r="AV409" s="10"/>
      <c r="AW409" s="11"/>
      <c r="AX409" s="11"/>
      <c r="AY409" s="11"/>
      <c r="AZ409" s="11"/>
      <c r="BA409" s="11"/>
      <c r="BB409" s="59"/>
      <c r="BC409" s="59"/>
      <c r="BD409" s="59"/>
      <c r="BE409" s="59"/>
      <c r="BF409" s="59"/>
      <c r="BG409" s="59"/>
      <c r="BH409" s="138"/>
      <c r="BI409" s="138"/>
      <c r="BJ409" s="138"/>
      <c r="BK409" s="231"/>
      <c r="BL409" s="231"/>
      <c r="BM409" s="231"/>
      <c r="BN409" s="232"/>
      <c r="BO409" s="19"/>
      <c r="BP409" s="23"/>
      <c r="BQ409" s="23"/>
      <c r="BR409" s="23"/>
      <c r="BS409" s="43"/>
    </row>
    <row r="410" spans="1:72" ht="15" customHeight="1" x14ac:dyDescent="0.15">
      <c r="A410" s="48" t="s">
        <v>1016</v>
      </c>
      <c r="B410" s="9" t="s">
        <v>174</v>
      </c>
      <c r="C410" s="9"/>
      <c r="D410" s="9"/>
      <c r="E410" s="9"/>
      <c r="F410" s="10" t="s">
        <v>107</v>
      </c>
      <c r="G410" s="10" t="s">
        <v>852</v>
      </c>
      <c r="H410" s="5" t="s">
        <v>773</v>
      </c>
      <c r="I410" s="11" t="s">
        <v>774</v>
      </c>
      <c r="J410" s="357" t="s">
        <v>849</v>
      </c>
      <c r="K410" s="353"/>
      <c r="L410" s="221">
        <v>212</v>
      </c>
      <c r="M410" s="221"/>
      <c r="N410" s="222" t="str">
        <f t="shared" si="12"/>
        <v>Contact famille</v>
      </c>
      <c r="O410" s="729">
        <v>212</v>
      </c>
      <c r="P410" s="729"/>
      <c r="Q410" s="730" t="str">
        <f t="shared" si="13"/>
        <v>Contact famille</v>
      </c>
      <c r="R410" s="731"/>
      <c r="S410" s="731"/>
      <c r="T410" s="731"/>
      <c r="U410" s="731"/>
      <c r="V410" s="731"/>
      <c r="W410" s="731"/>
      <c r="X410" s="731"/>
      <c r="Y410" s="731"/>
      <c r="Z410" s="731"/>
      <c r="AA410" s="731"/>
      <c r="AB410" s="12"/>
      <c r="AC410" s="12"/>
      <c r="AD410" s="12"/>
      <c r="AE410" s="12"/>
      <c r="AF410" s="12"/>
      <c r="AG410" s="376"/>
      <c r="AH410" s="370"/>
      <c r="AI410" s="18" t="s">
        <v>242</v>
      </c>
      <c r="AJ410" s="18" t="s">
        <v>242</v>
      </c>
      <c r="AK410" s="14" t="s">
        <v>242</v>
      </c>
      <c r="AL410" s="18">
        <v>26728</v>
      </c>
      <c r="AM410" s="19" t="s">
        <v>244</v>
      </c>
      <c r="AN410" s="19"/>
      <c r="AO410" s="10"/>
      <c r="AP410" s="40"/>
      <c r="AQ410" s="27" t="s">
        <v>2344</v>
      </c>
      <c r="AR410" s="29" t="s">
        <v>1847</v>
      </c>
      <c r="AS410" s="61"/>
      <c r="AT410" s="61"/>
      <c r="AU410" s="11"/>
      <c r="AV410" s="10"/>
      <c r="AW410" s="11"/>
      <c r="AX410" s="11"/>
      <c r="AY410" s="11"/>
      <c r="AZ410" s="11" t="s">
        <v>209</v>
      </c>
      <c r="BA410" s="11"/>
      <c r="BB410" s="59" t="s">
        <v>2813</v>
      </c>
      <c r="BC410" s="59" t="s">
        <v>292</v>
      </c>
      <c r="BD410" s="59" t="s">
        <v>421</v>
      </c>
      <c r="BE410" s="59" t="s">
        <v>419</v>
      </c>
      <c r="BF410" s="59"/>
      <c r="BG410" s="59"/>
      <c r="BH410" s="138"/>
      <c r="BI410" s="138"/>
      <c r="BJ410" s="138"/>
      <c r="BK410" s="231"/>
      <c r="BL410" s="231"/>
      <c r="BM410" s="231"/>
      <c r="BN410" s="232"/>
      <c r="BO410" s="19"/>
      <c r="BP410" s="23" t="s">
        <v>260</v>
      </c>
      <c r="BQ410" s="23"/>
      <c r="BR410" s="23"/>
      <c r="BS410" s="43"/>
    </row>
    <row r="411" spans="1:72" ht="15" customHeight="1" x14ac:dyDescent="0.15">
      <c r="A411" s="452" t="s">
        <v>5225</v>
      </c>
      <c r="B411" s="9" t="s">
        <v>5227</v>
      </c>
      <c r="C411" s="9"/>
      <c r="D411" s="9"/>
      <c r="E411" s="9"/>
      <c r="F411" s="10" t="s">
        <v>490</v>
      </c>
      <c r="G411" s="53" t="s">
        <v>5228</v>
      </c>
      <c r="H411" s="52" t="s">
        <v>376</v>
      </c>
      <c r="I411" s="53" t="s">
        <v>241</v>
      </c>
      <c r="J411" s="357" t="s">
        <v>5216</v>
      </c>
      <c r="K411" s="353"/>
      <c r="L411" s="221">
        <v>212</v>
      </c>
      <c r="M411" s="221"/>
      <c r="N411" s="222" t="str">
        <f t="shared" si="12"/>
        <v>Contact famille</v>
      </c>
      <c r="O411" s="729">
        <v>212</v>
      </c>
      <c r="P411" s="729"/>
      <c r="Q411" s="730" t="str">
        <f t="shared" si="13"/>
        <v>Contact famille</v>
      </c>
      <c r="R411" s="732"/>
      <c r="S411" s="732"/>
      <c r="T411" s="732"/>
      <c r="U411" s="732"/>
      <c r="V411" s="732" t="s">
        <v>313</v>
      </c>
      <c r="W411" s="732"/>
      <c r="X411" s="732"/>
      <c r="Y411" s="732"/>
      <c r="Z411" s="732"/>
      <c r="AA411" s="732" t="s">
        <v>313</v>
      </c>
      <c r="AB411" s="12"/>
      <c r="AC411" s="155"/>
      <c r="AD411" s="155"/>
      <c r="AE411" s="155"/>
      <c r="AF411" s="12"/>
      <c r="AG411" s="386"/>
      <c r="AH411" s="392"/>
      <c r="AI411" s="18" t="s">
        <v>242</v>
      </c>
      <c r="AJ411" s="18" t="s">
        <v>242</v>
      </c>
      <c r="AK411" s="13" t="s">
        <v>242</v>
      </c>
      <c r="AL411" s="18" t="s">
        <v>242</v>
      </c>
      <c r="AM411" s="19" t="s">
        <v>244</v>
      </c>
      <c r="AN411" s="10"/>
      <c r="AO411" s="11"/>
      <c r="AP411" s="53"/>
      <c r="AQ411" s="20">
        <v>661792917</v>
      </c>
      <c r="AR411" s="529" t="s">
        <v>5230</v>
      </c>
      <c r="AS411" s="62"/>
      <c r="AT411" s="62"/>
      <c r="AU411" s="10"/>
      <c r="AV411" s="10"/>
      <c r="AW411" s="13"/>
      <c r="AX411" s="11"/>
      <c r="AY411" s="11"/>
      <c r="AZ411" s="11"/>
      <c r="BA411" s="11"/>
      <c r="BB411" s="59"/>
      <c r="BC411" s="59"/>
      <c r="BD411" s="59"/>
      <c r="BE411" s="59"/>
      <c r="BF411" s="59"/>
      <c r="BG411" s="59"/>
      <c r="BH411" s="138"/>
      <c r="BI411" s="138"/>
      <c r="BJ411" s="138"/>
      <c r="BK411" s="231"/>
      <c r="BL411" s="231"/>
      <c r="BM411" s="231"/>
      <c r="BN411" s="232"/>
      <c r="BO411" s="11"/>
      <c r="BP411" s="11"/>
      <c r="BQ411" s="11"/>
      <c r="BR411" s="11"/>
      <c r="BS411" s="394"/>
    </row>
    <row r="412" spans="1:72" ht="15" customHeight="1" x14ac:dyDescent="0.15">
      <c r="A412" s="452" t="s">
        <v>5225</v>
      </c>
      <c r="B412" s="9" t="s">
        <v>560</v>
      </c>
      <c r="C412" s="9"/>
      <c r="D412" s="9"/>
      <c r="E412" s="9"/>
      <c r="F412" s="10" t="s">
        <v>490</v>
      </c>
      <c r="G412" s="53" t="s">
        <v>5228</v>
      </c>
      <c r="H412" s="52" t="s">
        <v>376</v>
      </c>
      <c r="I412" s="53" t="s">
        <v>241</v>
      </c>
      <c r="J412" s="357" t="s">
        <v>5216</v>
      </c>
      <c r="K412" s="353"/>
      <c r="L412" s="221">
        <v>212</v>
      </c>
      <c r="M412" s="221"/>
      <c r="N412" s="222" t="str">
        <f t="shared" si="12"/>
        <v>Contact famille</v>
      </c>
      <c r="O412" s="729">
        <v>212</v>
      </c>
      <c r="P412" s="729"/>
      <c r="Q412" s="730" t="str">
        <f t="shared" si="13"/>
        <v>Contact famille</v>
      </c>
      <c r="R412" s="732"/>
      <c r="S412" s="732"/>
      <c r="T412" s="732"/>
      <c r="U412" s="732"/>
      <c r="V412" s="732" t="s">
        <v>313</v>
      </c>
      <c r="W412" s="732"/>
      <c r="X412" s="732"/>
      <c r="Y412" s="732"/>
      <c r="Z412" s="732"/>
      <c r="AA412" s="732" t="s">
        <v>313</v>
      </c>
      <c r="AB412" s="12"/>
      <c r="AC412" s="155"/>
      <c r="AD412" s="155"/>
      <c r="AE412" s="155"/>
      <c r="AF412" s="12"/>
      <c r="AG412" s="386"/>
      <c r="AH412" s="392"/>
      <c r="AI412" s="18" t="s">
        <v>242</v>
      </c>
      <c r="AJ412" s="18" t="s">
        <v>242</v>
      </c>
      <c r="AK412" s="13" t="s">
        <v>242</v>
      </c>
      <c r="AL412" s="13" t="s">
        <v>242</v>
      </c>
      <c r="AM412" s="46" t="s">
        <v>244</v>
      </c>
      <c r="AN412" s="10"/>
      <c r="AO412" s="11"/>
      <c r="AP412" s="53"/>
      <c r="AQ412" s="20">
        <v>401412833</v>
      </c>
      <c r="AR412" s="529" t="s">
        <v>5231</v>
      </c>
      <c r="AS412" s="62"/>
      <c r="AT412" s="62"/>
      <c r="AU412" s="10"/>
      <c r="AV412" s="10"/>
      <c r="AW412" s="13"/>
      <c r="AX412" s="11"/>
      <c r="AY412" s="11"/>
      <c r="AZ412" s="11"/>
      <c r="BA412" s="11"/>
      <c r="BB412" s="59"/>
      <c r="BC412" s="59"/>
      <c r="BD412" s="59"/>
      <c r="BE412" s="59"/>
      <c r="BF412" s="59"/>
      <c r="BG412" s="59"/>
      <c r="BH412" s="138"/>
      <c r="BI412" s="138"/>
      <c r="BJ412" s="138"/>
      <c r="BK412" s="231"/>
      <c r="BL412" s="231"/>
      <c r="BM412" s="231"/>
      <c r="BN412" s="232"/>
      <c r="BO412" s="11"/>
      <c r="BP412" s="11"/>
      <c r="BQ412" s="11"/>
      <c r="BR412" s="11"/>
      <c r="BS412" s="394"/>
    </row>
    <row r="413" spans="1:72" ht="15" customHeight="1" x14ac:dyDescent="0.15">
      <c r="A413" s="452" t="s">
        <v>5225</v>
      </c>
      <c r="B413" s="9" t="s">
        <v>5299</v>
      </c>
      <c r="C413" s="9"/>
      <c r="D413" s="9"/>
      <c r="E413" s="9"/>
      <c r="F413" s="10" t="s">
        <v>490</v>
      </c>
      <c r="G413" s="53" t="s">
        <v>5228</v>
      </c>
      <c r="H413" s="52" t="s">
        <v>376</v>
      </c>
      <c r="I413" s="53" t="s">
        <v>241</v>
      </c>
      <c r="J413" s="357" t="s">
        <v>5216</v>
      </c>
      <c r="K413" s="353"/>
      <c r="L413" s="221">
        <v>7</v>
      </c>
      <c r="M413" s="221"/>
      <c r="N413" s="222" t="str">
        <f t="shared" si="12"/>
        <v>U 11 Hommes</v>
      </c>
      <c r="O413" s="729">
        <v>7</v>
      </c>
      <c r="P413" s="729"/>
      <c r="Q413" s="730" t="str">
        <f t="shared" si="13"/>
        <v>U 11 Hommes</v>
      </c>
      <c r="R413" s="732"/>
      <c r="S413" s="732"/>
      <c r="T413" s="732"/>
      <c r="U413" s="732"/>
      <c r="V413" s="732" t="s">
        <v>192</v>
      </c>
      <c r="W413" s="732"/>
      <c r="X413" s="732"/>
      <c r="Y413" s="732"/>
      <c r="Z413" s="732"/>
      <c r="AA413" s="732"/>
      <c r="AB413" s="12" t="s">
        <v>5352</v>
      </c>
      <c r="AC413" s="155"/>
      <c r="AD413" s="155"/>
      <c r="AE413" s="155"/>
      <c r="AF413" s="12"/>
      <c r="AG413" s="386" t="s">
        <v>5173</v>
      </c>
      <c r="AH413" s="392"/>
      <c r="AI413" s="18">
        <v>45946</v>
      </c>
      <c r="AJ413" s="18">
        <v>45932</v>
      </c>
      <c r="AK413" s="13">
        <v>2028</v>
      </c>
      <c r="AL413" s="18">
        <v>42567</v>
      </c>
      <c r="AM413" s="5" t="s">
        <v>5300</v>
      </c>
      <c r="AN413" s="10"/>
      <c r="AO413" s="11"/>
      <c r="AP413" s="16" t="s">
        <v>5232</v>
      </c>
      <c r="AQ413" s="40" t="s">
        <v>5233</v>
      </c>
      <c r="AR413" s="529" t="s">
        <v>5230</v>
      </c>
      <c r="AS413" s="62"/>
      <c r="AT413" s="62"/>
      <c r="AU413" s="10"/>
      <c r="AV413" s="10"/>
      <c r="AW413" s="13"/>
      <c r="AX413" s="11"/>
      <c r="AY413" s="11"/>
      <c r="AZ413" s="11"/>
      <c r="BA413" s="11"/>
      <c r="BB413" s="59"/>
      <c r="BC413" s="59"/>
      <c r="BD413" s="59"/>
      <c r="BE413" s="59"/>
      <c r="BF413" s="59"/>
      <c r="BG413" s="59"/>
      <c r="BH413" s="138"/>
      <c r="BI413" s="138"/>
      <c r="BJ413" s="138"/>
      <c r="BK413" s="231"/>
      <c r="BL413" s="231"/>
      <c r="BM413" s="231"/>
      <c r="BN413" s="232"/>
      <c r="BO413" s="11"/>
      <c r="BP413" s="11"/>
      <c r="BQ413" s="11"/>
      <c r="BR413" s="11"/>
      <c r="BS413" s="394"/>
    </row>
    <row r="414" spans="1:72" ht="15" customHeight="1" x14ac:dyDescent="0.15">
      <c r="A414" s="452" t="s">
        <v>5225</v>
      </c>
      <c r="B414" s="9" t="s">
        <v>5226</v>
      </c>
      <c r="C414" s="9"/>
      <c r="D414" s="9"/>
      <c r="E414" s="9"/>
      <c r="F414" s="10" t="s">
        <v>490</v>
      </c>
      <c r="G414" s="53" t="s">
        <v>5228</v>
      </c>
      <c r="H414" s="52" t="s">
        <v>376</v>
      </c>
      <c r="I414" s="53" t="s">
        <v>241</v>
      </c>
      <c r="J414" s="357" t="s">
        <v>5216</v>
      </c>
      <c r="K414" s="353"/>
      <c r="L414" s="221">
        <v>15</v>
      </c>
      <c r="M414" s="221"/>
      <c r="N414" s="222" t="str">
        <f t="shared" si="12"/>
        <v>U 13 Dames</v>
      </c>
      <c r="O414" s="729">
        <v>15</v>
      </c>
      <c r="P414" s="729"/>
      <c r="Q414" s="730" t="str">
        <f t="shared" si="13"/>
        <v>U 13 Dames</v>
      </c>
      <c r="R414" s="732"/>
      <c r="S414" s="732"/>
      <c r="T414" s="732"/>
      <c r="U414" s="732"/>
      <c r="V414" s="732"/>
      <c r="W414" s="732"/>
      <c r="X414" s="732"/>
      <c r="Y414" s="732"/>
      <c r="Z414" s="732"/>
      <c r="AA414" s="732" t="s">
        <v>192</v>
      </c>
      <c r="AB414" s="217" t="s">
        <v>2805</v>
      </c>
      <c r="AC414" s="155"/>
      <c r="AD414" s="155"/>
      <c r="AE414" s="155"/>
      <c r="AF414" s="12"/>
      <c r="AG414" s="386" t="s">
        <v>5173</v>
      </c>
      <c r="AH414" s="392"/>
      <c r="AI414" s="432"/>
      <c r="AJ414" s="18">
        <v>45863</v>
      </c>
      <c r="AK414" s="13">
        <v>2027</v>
      </c>
      <c r="AL414" s="18">
        <v>42014</v>
      </c>
      <c r="AM414" s="52" t="s">
        <v>5229</v>
      </c>
      <c r="AN414" s="10"/>
      <c r="AO414" s="11"/>
      <c r="AP414" s="16" t="s">
        <v>5232</v>
      </c>
      <c r="AQ414" s="40" t="s">
        <v>5233</v>
      </c>
      <c r="AR414" s="529" t="s">
        <v>5230</v>
      </c>
      <c r="AS414" s="62"/>
      <c r="AT414" s="62"/>
      <c r="AU414" s="10"/>
      <c r="AV414" s="10"/>
      <c r="AW414" s="13"/>
      <c r="AX414" s="11"/>
      <c r="AY414" s="11"/>
      <c r="AZ414" s="11"/>
      <c r="BA414" s="11"/>
      <c r="BB414" s="59"/>
      <c r="BC414" s="59"/>
      <c r="BD414" s="59"/>
      <c r="BE414" s="59"/>
      <c r="BF414" s="59"/>
      <c r="BG414" s="59"/>
      <c r="BH414" s="138"/>
      <c r="BI414" s="138"/>
      <c r="BJ414" s="138"/>
      <c r="BK414" s="231"/>
      <c r="BL414" s="231"/>
      <c r="BM414" s="231"/>
      <c r="BN414" s="232"/>
      <c r="BO414" s="11"/>
      <c r="BP414" s="11"/>
      <c r="BQ414" s="11"/>
      <c r="BR414" s="11"/>
      <c r="BS414" s="394"/>
    </row>
    <row r="415" spans="1:72" ht="15" customHeight="1" x14ac:dyDescent="0.15">
      <c r="A415" s="48" t="s">
        <v>5550</v>
      </c>
      <c r="B415" s="9" t="s">
        <v>5551</v>
      </c>
      <c r="C415" s="9"/>
      <c r="D415" s="9"/>
      <c r="E415" s="9"/>
      <c r="F415" s="11" t="s">
        <v>490</v>
      </c>
      <c r="G415" s="11" t="s">
        <v>5552</v>
      </c>
      <c r="H415" s="5" t="s">
        <v>3718</v>
      </c>
      <c r="I415" s="11" t="s">
        <v>223</v>
      </c>
      <c r="J415" s="357" t="s">
        <v>5545</v>
      </c>
      <c r="K415" s="353"/>
      <c r="L415" s="221">
        <v>212</v>
      </c>
      <c r="M415" s="221"/>
      <c r="N415" s="222" t="str">
        <f t="shared" si="12"/>
        <v>Contact famille</v>
      </c>
      <c r="O415" s="729">
        <v>212</v>
      </c>
      <c r="P415" s="729"/>
      <c r="Q415" s="730" t="str">
        <f t="shared" si="13"/>
        <v>Contact famille</v>
      </c>
      <c r="R415" s="732"/>
      <c r="S415" s="732"/>
      <c r="T415" s="732"/>
      <c r="U415" s="732"/>
      <c r="V415" s="732"/>
      <c r="W415" s="732"/>
      <c r="X415" s="732" t="s">
        <v>313</v>
      </c>
      <c r="Y415" s="732"/>
      <c r="Z415" s="732"/>
      <c r="AA415" s="732"/>
      <c r="AB415" s="12"/>
      <c r="AC415" s="155"/>
      <c r="AD415" s="155"/>
      <c r="AE415" s="155"/>
      <c r="AF415" s="12"/>
      <c r="AG415" s="386"/>
      <c r="AH415" s="392"/>
      <c r="AI415" s="18" t="s">
        <v>242</v>
      </c>
      <c r="AJ415" s="18" t="s">
        <v>242</v>
      </c>
      <c r="AK415" s="13" t="s">
        <v>242</v>
      </c>
      <c r="AL415" s="18" t="s">
        <v>242</v>
      </c>
      <c r="AM415" s="19" t="s">
        <v>244</v>
      </c>
      <c r="AN415" s="10"/>
      <c r="AO415" s="11"/>
      <c r="AP415" s="53"/>
      <c r="AQ415" s="20">
        <v>691114419</v>
      </c>
      <c r="AR415" s="68" t="s">
        <v>5556</v>
      </c>
      <c r="AS415" s="62"/>
      <c r="AT415" s="62"/>
      <c r="AU415" s="10"/>
      <c r="AV415" s="10"/>
      <c r="AW415" s="13"/>
      <c r="AX415" s="11"/>
      <c r="AY415" s="11"/>
      <c r="AZ415" s="11"/>
      <c r="BA415" s="11"/>
      <c r="BB415" s="59"/>
      <c r="BC415" s="59"/>
      <c r="BD415" s="59"/>
      <c r="BE415" s="59"/>
      <c r="BF415" s="59"/>
      <c r="BG415" s="59"/>
      <c r="BH415" s="138"/>
      <c r="BI415" s="138"/>
      <c r="BJ415" s="138"/>
      <c r="BK415" s="231"/>
      <c r="BL415" s="231"/>
      <c r="BM415" s="231"/>
      <c r="BN415" s="232"/>
      <c r="BO415" s="11"/>
      <c r="BP415" s="11"/>
      <c r="BQ415" s="11"/>
      <c r="BR415" s="11"/>
      <c r="BS415" s="394"/>
    </row>
    <row r="416" spans="1:72" ht="15" customHeight="1" x14ac:dyDescent="0.15">
      <c r="A416" s="48" t="s">
        <v>5355</v>
      </c>
      <c r="B416" s="9" t="s">
        <v>2335</v>
      </c>
      <c r="C416" s="753"/>
      <c r="D416" s="753"/>
      <c r="E416" s="753"/>
      <c r="F416" s="827" t="s">
        <v>107</v>
      </c>
      <c r="G416" s="831" t="s">
        <v>5358</v>
      </c>
      <c r="H416" s="717" t="s">
        <v>1095</v>
      </c>
      <c r="I416" s="718" t="s">
        <v>241</v>
      </c>
      <c r="J416" s="357" t="s">
        <v>5359</v>
      </c>
      <c r="K416" s="353"/>
      <c r="L416" s="221">
        <v>212</v>
      </c>
      <c r="M416" s="221"/>
      <c r="N416" s="222" t="str">
        <f t="shared" si="12"/>
        <v>Contact famille</v>
      </c>
      <c r="O416" s="729">
        <v>212</v>
      </c>
      <c r="P416" s="729"/>
      <c r="Q416" s="730" t="str">
        <f t="shared" si="13"/>
        <v>Contact famille</v>
      </c>
      <c r="R416" s="740"/>
      <c r="S416" s="740"/>
      <c r="T416" s="740"/>
      <c r="U416" s="740"/>
      <c r="V416" s="740" t="s">
        <v>313</v>
      </c>
      <c r="W416" s="740"/>
      <c r="X416" s="740"/>
      <c r="Y416" s="740"/>
      <c r="Z416" s="740"/>
      <c r="AA416" s="740"/>
      <c r="AB416" s="619"/>
      <c r="AC416" s="834"/>
      <c r="AD416" s="834"/>
      <c r="AE416" s="836"/>
      <c r="AF416" s="619"/>
      <c r="AG416" s="839"/>
      <c r="AH416" s="841"/>
      <c r="AI416" s="18" t="s">
        <v>242</v>
      </c>
      <c r="AJ416" s="18" t="s">
        <v>242</v>
      </c>
      <c r="AK416" s="13" t="s">
        <v>242</v>
      </c>
      <c r="AL416" s="13" t="s">
        <v>242</v>
      </c>
      <c r="AM416" s="46" t="s">
        <v>244</v>
      </c>
      <c r="AN416" s="10"/>
      <c r="AO416" s="11"/>
      <c r="AP416" s="53"/>
      <c r="AQ416" s="20">
        <v>661737558</v>
      </c>
      <c r="AR416" s="68" t="s">
        <v>5364</v>
      </c>
      <c r="AS416" s="62"/>
      <c r="AT416" s="62"/>
      <c r="AU416" s="10"/>
      <c r="AV416" s="10"/>
      <c r="AW416" s="13"/>
      <c r="AX416" s="623"/>
      <c r="AY416" s="11"/>
      <c r="AZ416" s="11"/>
      <c r="BA416" s="624"/>
      <c r="BB416" s="625"/>
      <c r="BC416" s="59"/>
      <c r="BD416" s="59"/>
      <c r="BE416" s="626"/>
      <c r="BF416" s="625"/>
      <c r="BG416" s="59"/>
      <c r="BH416" s="627"/>
      <c r="BI416" s="628"/>
      <c r="BJ416" s="138"/>
      <c r="BK416" s="231"/>
      <c r="BL416" s="231"/>
      <c r="BM416" s="231"/>
      <c r="BN416" s="232"/>
      <c r="BO416" s="11"/>
      <c r="BP416" s="11"/>
      <c r="BQ416" s="11"/>
      <c r="BR416" s="624"/>
      <c r="BS416" s="851"/>
    </row>
    <row r="417" spans="1:72" ht="15" customHeight="1" x14ac:dyDescent="0.15">
      <c r="A417" s="629" t="s">
        <v>5355</v>
      </c>
      <c r="B417" s="348" t="s">
        <v>5357</v>
      </c>
      <c r="F417" s="826" t="s">
        <v>107</v>
      </c>
      <c r="G417" s="830" t="s">
        <v>5358</v>
      </c>
      <c r="H417" s="712" t="s">
        <v>1095</v>
      </c>
      <c r="I417" s="73" t="s">
        <v>241</v>
      </c>
      <c r="J417" s="357" t="s">
        <v>5359</v>
      </c>
      <c r="K417" s="353"/>
      <c r="L417" s="221">
        <v>17</v>
      </c>
      <c r="M417" s="221"/>
      <c r="N417" s="222" t="str">
        <f t="shared" si="12"/>
        <v>U 11 Dames</v>
      </c>
      <c r="O417" s="729">
        <v>17</v>
      </c>
      <c r="P417" s="729"/>
      <c r="Q417" s="730" t="str">
        <f t="shared" si="13"/>
        <v>U 11 Dames</v>
      </c>
      <c r="R417" s="740"/>
      <c r="S417" s="740"/>
      <c r="T417" s="740"/>
      <c r="U417" s="740"/>
      <c r="V417" s="740" t="s">
        <v>192</v>
      </c>
      <c r="W417" s="740"/>
      <c r="X417" s="740"/>
      <c r="Y417" s="740"/>
      <c r="Z417" s="740"/>
      <c r="AA417" s="740"/>
      <c r="AB417" s="714" t="s">
        <v>5360</v>
      </c>
      <c r="AC417" s="833"/>
      <c r="AD417" s="833"/>
      <c r="AE417" s="835"/>
      <c r="AF417" s="714"/>
      <c r="AG417" s="680" t="s">
        <v>5173</v>
      </c>
      <c r="AH417" s="840"/>
      <c r="AI417" s="635">
        <v>45952</v>
      </c>
      <c r="AJ417" s="635">
        <v>45938</v>
      </c>
      <c r="AK417" s="720">
        <v>2028</v>
      </c>
      <c r="AL417" s="635">
        <v>42573</v>
      </c>
      <c r="AM417" s="855" t="s">
        <v>5361</v>
      </c>
      <c r="AN417" s="640"/>
      <c r="AO417" s="843"/>
      <c r="AP417" s="844" t="s">
        <v>5362</v>
      </c>
      <c r="AQ417" s="859" t="s">
        <v>5363</v>
      </c>
      <c r="AR417" s="639" t="s">
        <v>5364</v>
      </c>
      <c r="AS417" s="638"/>
      <c r="AT417" s="638"/>
      <c r="AU417" s="640"/>
      <c r="AV417" s="640"/>
      <c r="AX417" s="643"/>
      <c r="AZ417" s="639"/>
      <c r="BA417" s="645"/>
      <c r="BB417" s="647"/>
      <c r="BC417" s="647"/>
      <c r="BD417" s="647"/>
      <c r="BE417" s="721"/>
      <c r="BF417" s="647"/>
      <c r="BG417" s="647"/>
      <c r="BH417" s="649"/>
      <c r="BI417" s="650"/>
      <c r="BJ417" s="650"/>
      <c r="BK417" s="652"/>
      <c r="BL417" s="652"/>
      <c r="BM417" s="652"/>
      <c r="BN417" s="654"/>
      <c r="BO417" s="639"/>
      <c r="BP417" s="639"/>
      <c r="BQ417" s="639"/>
      <c r="BR417" s="645"/>
      <c r="BS417" s="850"/>
    </row>
    <row r="418" spans="1:72" s="150" customFormat="1" ht="15" customHeight="1" x14ac:dyDescent="0.15">
      <c r="A418" s="657" t="s">
        <v>2904</v>
      </c>
      <c r="B418" s="659" t="s">
        <v>1035</v>
      </c>
      <c r="C418" s="659"/>
      <c r="D418" s="659"/>
      <c r="E418" s="659"/>
      <c r="F418" s="412" t="s">
        <v>555</v>
      </c>
      <c r="G418" s="430" t="s">
        <v>2908</v>
      </c>
      <c r="H418" s="416" t="s">
        <v>2696</v>
      </c>
      <c r="I418" s="400" t="s">
        <v>800</v>
      </c>
      <c r="J418" s="664" t="s">
        <v>1114</v>
      </c>
      <c r="K418" s="353"/>
      <c r="L418" s="221">
        <v>11</v>
      </c>
      <c r="M418" s="221"/>
      <c r="N418" s="222" t="str">
        <f t="shared" si="12"/>
        <v>Officiel D</v>
      </c>
      <c r="O418" s="729">
        <v>11</v>
      </c>
      <c r="P418" s="729"/>
      <c r="Q418" s="730" t="str">
        <f t="shared" si="13"/>
        <v>Officiel D</v>
      </c>
      <c r="R418" s="795"/>
      <c r="S418" s="795" t="s">
        <v>313</v>
      </c>
      <c r="T418" s="795"/>
      <c r="U418" s="795"/>
      <c r="V418" s="795"/>
      <c r="W418" s="795"/>
      <c r="X418" s="795"/>
      <c r="Y418" s="795"/>
      <c r="Z418" s="795"/>
      <c r="AA418" s="795"/>
      <c r="AB418" s="422"/>
      <c r="AC418" s="422" t="s">
        <v>4498</v>
      </c>
      <c r="AD418" s="422" t="s">
        <v>4498</v>
      </c>
      <c r="AE418" s="422"/>
      <c r="AF418" s="422"/>
      <c r="AG418" s="369"/>
      <c r="AH418" s="431"/>
      <c r="AI418" s="429">
        <v>45194</v>
      </c>
      <c r="AJ418" s="429">
        <v>43803</v>
      </c>
      <c r="AK418" s="428" t="s">
        <v>242</v>
      </c>
      <c r="AL418" s="429">
        <v>28106</v>
      </c>
      <c r="AM418" s="842" t="s">
        <v>4489</v>
      </c>
      <c r="AN418" s="434"/>
      <c r="AO418" s="430" t="s">
        <v>2910</v>
      </c>
      <c r="AP418" s="435" t="s">
        <v>252</v>
      </c>
      <c r="AQ418" s="430" t="s">
        <v>2911</v>
      </c>
      <c r="AR418" s="436" t="s">
        <v>2913</v>
      </c>
      <c r="AS418" s="413" t="s">
        <v>252</v>
      </c>
      <c r="AT418" s="413"/>
      <c r="AU418" s="400"/>
      <c r="AV418" s="412"/>
      <c r="AW418" s="399" t="s">
        <v>3969</v>
      </c>
      <c r="AX418" s="72"/>
      <c r="AY418" s="398"/>
      <c r="AZ418" s="400" t="s">
        <v>533</v>
      </c>
      <c r="BA418" s="400"/>
      <c r="BB418" s="468" t="s">
        <v>3163</v>
      </c>
      <c r="BC418" s="404"/>
      <c r="BD418" s="404"/>
      <c r="BE418" s="443" t="s">
        <v>988</v>
      </c>
      <c r="BF418" s="404"/>
      <c r="BG418" s="404"/>
      <c r="BH418" s="403"/>
      <c r="BI418" s="403"/>
      <c r="BJ418" s="403"/>
      <c r="BK418" s="402"/>
      <c r="BL418" s="402"/>
      <c r="BM418" s="402"/>
      <c r="BN418" s="401"/>
      <c r="BO418" s="437"/>
      <c r="BP418" s="438"/>
      <c r="BQ418" s="438"/>
      <c r="BR418" s="438"/>
      <c r="BS418" s="692"/>
      <c r="BT418"/>
    </row>
    <row r="419" spans="1:72" ht="15" customHeight="1" x14ac:dyDescent="0.15">
      <c r="A419" s="419" t="s">
        <v>2904</v>
      </c>
      <c r="B419" s="405" t="s">
        <v>2906</v>
      </c>
      <c r="C419" s="405"/>
      <c r="D419" s="405"/>
      <c r="E419" s="405"/>
      <c r="F419" s="412" t="s">
        <v>2907</v>
      </c>
      <c r="G419" s="441" t="s">
        <v>2908</v>
      </c>
      <c r="H419" s="442" t="s">
        <v>2696</v>
      </c>
      <c r="I419" s="406" t="s">
        <v>800</v>
      </c>
      <c r="J419" s="407" t="s">
        <v>1114</v>
      </c>
      <c r="K419" s="408"/>
      <c r="L419" s="409">
        <v>212</v>
      </c>
      <c r="M419" s="409"/>
      <c r="N419" s="410" t="str">
        <f t="shared" si="12"/>
        <v>Contact famille</v>
      </c>
      <c r="O419" s="739">
        <v>212</v>
      </c>
      <c r="P419" s="863"/>
      <c r="Q419" s="730" t="str">
        <f t="shared" si="13"/>
        <v>Contact famille</v>
      </c>
      <c r="R419" s="741"/>
      <c r="S419" s="741" t="s">
        <v>313</v>
      </c>
      <c r="T419" s="741"/>
      <c r="U419" s="741"/>
      <c r="V419" s="741"/>
      <c r="W419" s="741"/>
      <c r="X419" s="741"/>
      <c r="Y419" s="741"/>
      <c r="Z419" s="741"/>
      <c r="AA419" s="741"/>
      <c r="AB419" s="423"/>
      <c r="AC419" s="423"/>
      <c r="AD419" s="423"/>
      <c r="AE419" s="423"/>
      <c r="AF419" s="422"/>
      <c r="AG419" s="369"/>
      <c r="AH419" s="431"/>
      <c r="AI419" s="429" t="s">
        <v>242</v>
      </c>
      <c r="AJ419" s="429" t="s">
        <v>242</v>
      </c>
      <c r="AK419" s="428" t="s">
        <v>242</v>
      </c>
      <c r="AL419" s="399" t="s">
        <v>242</v>
      </c>
      <c r="AM419" s="433" t="s">
        <v>244</v>
      </c>
      <c r="AN419" s="434"/>
      <c r="AO419" s="430" t="s">
        <v>2910</v>
      </c>
      <c r="AP419" s="435"/>
      <c r="AQ419" s="430"/>
      <c r="AR419" s="436"/>
      <c r="AS419" s="413"/>
      <c r="AT419" s="413"/>
      <c r="AU419" s="400"/>
      <c r="AV419" s="412"/>
      <c r="AW419" s="398"/>
      <c r="AX419" s="72"/>
      <c r="AY419" s="398"/>
      <c r="AZ419" s="400" t="s">
        <v>533</v>
      </c>
      <c r="BA419" s="72"/>
      <c r="BB419" s="468" t="s">
        <v>315</v>
      </c>
      <c r="BC419" s="404"/>
      <c r="BD419" s="404"/>
      <c r="BE419" s="443" t="s">
        <v>988</v>
      </c>
      <c r="BF419" s="404"/>
      <c r="BG419" s="404"/>
      <c r="BH419" s="403"/>
      <c r="BI419" s="403"/>
      <c r="BJ419" s="403"/>
      <c r="BK419" s="402"/>
      <c r="BL419" s="402"/>
      <c r="BM419" s="402"/>
      <c r="BN419" s="401"/>
      <c r="BO419" s="437"/>
      <c r="BP419" s="438"/>
      <c r="BQ419" s="438"/>
      <c r="BR419" s="444"/>
      <c r="BS419" s="445"/>
    </row>
    <row r="420" spans="1:72" ht="15" customHeight="1" x14ac:dyDescent="0.15">
      <c r="A420" s="419" t="s">
        <v>2904</v>
      </c>
      <c r="B420" s="405" t="s">
        <v>2905</v>
      </c>
      <c r="C420" s="405"/>
      <c r="D420" s="405"/>
      <c r="E420" s="405"/>
      <c r="F420" s="412" t="s">
        <v>555</v>
      </c>
      <c r="G420" s="441" t="s">
        <v>2908</v>
      </c>
      <c r="H420" s="442" t="s">
        <v>2696</v>
      </c>
      <c r="I420" s="406" t="s">
        <v>800</v>
      </c>
      <c r="J420" s="407" t="s">
        <v>1114</v>
      </c>
      <c r="K420" s="408"/>
      <c r="L420" s="409">
        <v>4</v>
      </c>
      <c r="M420" s="409"/>
      <c r="N420" s="410" t="str">
        <f t="shared" si="12"/>
        <v>U 17 Hommes</v>
      </c>
      <c r="O420" s="739">
        <v>4</v>
      </c>
      <c r="P420" s="863"/>
      <c r="Q420" s="730" t="str">
        <f t="shared" si="13"/>
        <v>U 17 Hommes</v>
      </c>
      <c r="R420" s="741"/>
      <c r="S420" s="741" t="s">
        <v>192</v>
      </c>
      <c r="T420" s="741"/>
      <c r="U420" s="741"/>
      <c r="V420" s="741"/>
      <c r="W420" s="741"/>
      <c r="X420" s="741"/>
      <c r="Y420" s="741"/>
      <c r="Z420" s="741"/>
      <c r="AA420" s="741"/>
      <c r="AB420" s="423" t="s">
        <v>3353</v>
      </c>
      <c r="AC420" s="423"/>
      <c r="AD420" s="423"/>
      <c r="AE420" s="423"/>
      <c r="AF420" s="422"/>
      <c r="AG420" s="369"/>
      <c r="AH420" s="431"/>
      <c r="AI420" s="18">
        <v>43789</v>
      </c>
      <c r="AJ420" s="18">
        <v>43773</v>
      </c>
      <c r="AK420" s="13">
        <v>2031</v>
      </c>
      <c r="AL420" s="18">
        <v>40675</v>
      </c>
      <c r="AM420" s="19" t="s">
        <v>2909</v>
      </c>
      <c r="AN420" s="434"/>
      <c r="AO420" s="430" t="s">
        <v>2910</v>
      </c>
      <c r="AP420" s="435"/>
      <c r="AQ420" s="430" t="s">
        <v>2912</v>
      </c>
      <c r="AR420" s="436" t="s">
        <v>2913</v>
      </c>
      <c r="AS420" s="413"/>
      <c r="AT420" s="413"/>
      <c r="AU420" s="400"/>
      <c r="AV420" s="412"/>
      <c r="AW420" s="398"/>
      <c r="AX420" s="72"/>
      <c r="AY420" s="398"/>
      <c r="AZ420" s="400" t="s">
        <v>533</v>
      </c>
      <c r="BA420" s="72"/>
      <c r="BB420" s="468" t="s">
        <v>3163</v>
      </c>
      <c r="BC420" s="404"/>
      <c r="BD420" s="404"/>
      <c r="BE420" s="404">
        <v>50</v>
      </c>
      <c r="BF420" s="404"/>
      <c r="BG420" s="404"/>
      <c r="BH420" s="403"/>
      <c r="BI420" s="403"/>
      <c r="BJ420" s="403"/>
      <c r="BK420" s="402"/>
      <c r="BL420" s="402"/>
      <c r="BM420" s="402"/>
      <c r="BN420" s="401"/>
      <c r="BO420" s="437"/>
      <c r="BP420" s="438"/>
      <c r="BQ420" s="438"/>
      <c r="BR420" s="444"/>
      <c r="BS420" s="445"/>
    </row>
    <row r="421" spans="1:72" ht="15" customHeight="1" x14ac:dyDescent="0.15">
      <c r="A421" s="419" t="s">
        <v>4823</v>
      </c>
      <c r="B421" s="405" t="s">
        <v>4824</v>
      </c>
      <c r="C421" s="405"/>
      <c r="D421" s="405"/>
      <c r="E421" s="405"/>
      <c r="F421" s="447" t="s">
        <v>107</v>
      </c>
      <c r="G421" s="441" t="s">
        <v>4825</v>
      </c>
      <c r="H421" s="442" t="s">
        <v>4826</v>
      </c>
      <c r="I421" s="406" t="s">
        <v>274</v>
      </c>
      <c r="J421" s="407" t="s">
        <v>763</v>
      </c>
      <c r="K421" s="408"/>
      <c r="L421" s="409">
        <v>212</v>
      </c>
      <c r="M421" s="409"/>
      <c r="N421" s="410" t="str">
        <f t="shared" si="12"/>
        <v>Contact famille</v>
      </c>
      <c r="O421" s="739">
        <v>212</v>
      </c>
      <c r="P421" s="863"/>
      <c r="Q421" s="730" t="str">
        <f t="shared" si="13"/>
        <v>Contact famille</v>
      </c>
      <c r="R421" s="741"/>
      <c r="S421" s="741"/>
      <c r="T421" s="741" t="s">
        <v>313</v>
      </c>
      <c r="U421" s="741"/>
      <c r="V421" s="741"/>
      <c r="W421" s="741"/>
      <c r="X421" s="741"/>
      <c r="Y421" s="741"/>
      <c r="Z421" s="741"/>
      <c r="AA421" s="741"/>
      <c r="AB421" s="423"/>
      <c r="AC421" s="423"/>
      <c r="AD421" s="423"/>
      <c r="AE421" s="423"/>
      <c r="AF421" s="422"/>
      <c r="AG421" s="369"/>
      <c r="AH421" s="431"/>
      <c r="AI421" s="429" t="s">
        <v>242</v>
      </c>
      <c r="AJ421" s="429" t="s">
        <v>242</v>
      </c>
      <c r="AK421" s="428" t="s">
        <v>242</v>
      </c>
      <c r="AL421" s="439" t="s">
        <v>242</v>
      </c>
      <c r="AM421" s="433" t="s">
        <v>244</v>
      </c>
      <c r="AN421" s="434"/>
      <c r="AO421" s="430"/>
      <c r="AP421" s="435"/>
      <c r="AQ421" s="430"/>
      <c r="AR421" s="436" t="s">
        <v>4828</v>
      </c>
      <c r="AS421" s="413"/>
      <c r="AT421" s="413"/>
      <c r="AU421" s="400"/>
      <c r="AV421" s="412"/>
      <c r="AW421" s="398"/>
      <c r="AX421" s="72"/>
      <c r="AY421" s="398"/>
      <c r="AZ421" s="400"/>
      <c r="BA421" s="72"/>
      <c r="BB421" s="404"/>
      <c r="BC421" s="404"/>
      <c r="BD421" s="404"/>
      <c r="BE421" s="404"/>
      <c r="BF421" s="404"/>
      <c r="BG421" s="404"/>
      <c r="BH421" s="403"/>
      <c r="BI421" s="403"/>
      <c r="BJ421" s="403"/>
      <c r="BK421" s="402"/>
      <c r="BL421" s="402"/>
      <c r="BM421" s="402"/>
      <c r="BN421" s="401"/>
      <c r="BO421" s="437"/>
      <c r="BP421" s="438"/>
      <c r="BQ421" s="438"/>
      <c r="BR421" s="444"/>
      <c r="BS421" s="445"/>
    </row>
    <row r="422" spans="1:72" ht="15" customHeight="1" x14ac:dyDescent="0.15">
      <c r="A422" s="419" t="s">
        <v>2363</v>
      </c>
      <c r="B422" s="405" t="s">
        <v>2364</v>
      </c>
      <c r="C422" s="405"/>
      <c r="D422" s="405"/>
      <c r="E422" s="405"/>
      <c r="F422" s="451" t="s">
        <v>490</v>
      </c>
      <c r="G422" s="441" t="s">
        <v>299</v>
      </c>
      <c r="H422" s="442" t="s">
        <v>300</v>
      </c>
      <c r="I422" s="406" t="s">
        <v>301</v>
      </c>
      <c r="J422" s="407" t="s">
        <v>302</v>
      </c>
      <c r="K422" s="408"/>
      <c r="L422" s="409">
        <v>212</v>
      </c>
      <c r="M422" s="409"/>
      <c r="N422" s="410" t="str">
        <f t="shared" si="12"/>
        <v>Contact famille</v>
      </c>
      <c r="O422" s="729">
        <v>212</v>
      </c>
      <c r="P422" s="729"/>
      <c r="Q422" s="730" t="str">
        <f t="shared" si="13"/>
        <v>Contact famille</v>
      </c>
      <c r="R422" s="741"/>
      <c r="S422" s="741"/>
      <c r="T422" s="741"/>
      <c r="U422" s="741"/>
      <c r="V422" s="741"/>
      <c r="W422" s="741"/>
      <c r="X422" s="741"/>
      <c r="Y422" s="741" t="s">
        <v>313</v>
      </c>
      <c r="Z422" s="741"/>
      <c r="AA422" s="741"/>
      <c r="AB422" s="423"/>
      <c r="AC422" s="423"/>
      <c r="AD422" s="423"/>
      <c r="AE422" s="423"/>
      <c r="AF422" s="422"/>
      <c r="AG422" s="448"/>
      <c r="AH422" s="431"/>
      <c r="AI422" s="18" t="s">
        <v>242</v>
      </c>
      <c r="AJ422" s="18">
        <v>43078</v>
      </c>
      <c r="AK422" s="13" t="s">
        <v>242</v>
      </c>
      <c r="AL422" s="13" t="s">
        <v>242</v>
      </c>
      <c r="AM422" s="19" t="s">
        <v>244</v>
      </c>
      <c r="AN422" s="437"/>
      <c r="AO422" s="430"/>
      <c r="AP422" s="435"/>
      <c r="AQ422" s="430"/>
      <c r="AR422" s="436"/>
      <c r="AS422" s="413"/>
      <c r="AT422" s="413"/>
      <c r="AU422" s="400"/>
      <c r="AV422" s="412"/>
      <c r="AW422" s="398"/>
      <c r="AX422" s="72"/>
      <c r="AY422" s="398"/>
      <c r="AZ422" s="400" t="s">
        <v>209</v>
      </c>
      <c r="BA422" s="72"/>
      <c r="BB422" s="404" t="s">
        <v>2813</v>
      </c>
      <c r="BC422" s="404" t="s">
        <v>3151</v>
      </c>
      <c r="BD422" s="404"/>
      <c r="BE422" s="404"/>
      <c r="BF422" s="404"/>
      <c r="BG422" s="404"/>
      <c r="BH422" s="403"/>
      <c r="BI422" s="403"/>
      <c r="BJ422" s="403"/>
      <c r="BK422" s="402"/>
      <c r="BL422" s="402"/>
      <c r="BM422" s="402"/>
      <c r="BN422" s="401"/>
      <c r="BO422" s="437"/>
      <c r="BP422" s="438" t="s">
        <v>422</v>
      </c>
      <c r="BQ422" s="438"/>
      <c r="BR422" s="444"/>
      <c r="BS422" s="445"/>
    </row>
    <row r="423" spans="1:72" ht="15" customHeight="1" x14ac:dyDescent="0.15">
      <c r="A423" s="419" t="s">
        <v>2363</v>
      </c>
      <c r="B423" s="405" t="s">
        <v>2365</v>
      </c>
      <c r="C423" s="405"/>
      <c r="D423" s="405"/>
      <c r="E423" s="405"/>
      <c r="F423" s="451" t="s">
        <v>107</v>
      </c>
      <c r="G423" s="441" t="s">
        <v>299</v>
      </c>
      <c r="H423" s="442" t="s">
        <v>300</v>
      </c>
      <c r="I423" s="406" t="s">
        <v>301</v>
      </c>
      <c r="J423" s="407" t="s">
        <v>302</v>
      </c>
      <c r="K423" s="408"/>
      <c r="L423" s="409">
        <v>14</v>
      </c>
      <c r="M423" s="409"/>
      <c r="N423" s="410" t="str">
        <f t="shared" si="12"/>
        <v>U 17 Dames</v>
      </c>
      <c r="O423" s="739">
        <v>14</v>
      </c>
      <c r="P423" s="863"/>
      <c r="Q423" s="730" t="str">
        <f t="shared" si="13"/>
        <v>U 17 Dames</v>
      </c>
      <c r="R423" s="741"/>
      <c r="S423" s="741"/>
      <c r="T423" s="741"/>
      <c r="U423" s="741"/>
      <c r="V423" s="741"/>
      <c r="W423" s="741"/>
      <c r="X423" s="741"/>
      <c r="Y423" s="741" t="s">
        <v>192</v>
      </c>
      <c r="Z423" s="741"/>
      <c r="AA423" s="741"/>
      <c r="AB423" s="423" t="s">
        <v>3036</v>
      </c>
      <c r="AC423" s="423" t="s">
        <v>252</v>
      </c>
      <c r="AD423" s="423"/>
      <c r="AE423" s="423"/>
      <c r="AF423" s="422"/>
      <c r="AG423" s="448"/>
      <c r="AH423" s="431"/>
      <c r="AI423" s="429">
        <v>43136</v>
      </c>
      <c r="AJ423" s="429">
        <v>43078</v>
      </c>
      <c r="AK423" s="613">
        <v>2020</v>
      </c>
      <c r="AL423" s="439">
        <v>40635</v>
      </c>
      <c r="AM423" s="433" t="s">
        <v>2366</v>
      </c>
      <c r="AN423" s="437"/>
      <c r="AO423" s="430"/>
      <c r="AP423" s="435" t="s">
        <v>252</v>
      </c>
      <c r="AQ423" s="430" t="s">
        <v>2367</v>
      </c>
      <c r="AR423" s="824"/>
      <c r="AS423" s="413"/>
      <c r="AT423" s="413"/>
      <c r="AU423" s="400"/>
      <c r="AV423" s="412"/>
      <c r="AW423" s="398"/>
      <c r="AX423" s="72"/>
      <c r="AY423" s="398"/>
      <c r="AZ423" s="400" t="s">
        <v>209</v>
      </c>
      <c r="BA423" s="72"/>
      <c r="BB423" s="404" t="s">
        <v>315</v>
      </c>
      <c r="BC423" s="404" t="s">
        <v>315</v>
      </c>
      <c r="BD423" s="404"/>
      <c r="BE423" s="404"/>
      <c r="BF423" s="404"/>
      <c r="BG423" s="404"/>
      <c r="BH423" s="403"/>
      <c r="BI423" s="403"/>
      <c r="BJ423" s="403"/>
      <c r="BK423" s="402"/>
      <c r="BL423" s="402"/>
      <c r="BM423" s="402"/>
      <c r="BN423" s="401"/>
      <c r="BO423" s="437"/>
      <c r="BP423" s="438" t="s">
        <v>1387</v>
      </c>
      <c r="BQ423" s="438"/>
      <c r="BR423" s="444"/>
      <c r="BS423" s="445"/>
      <c r="BT423" s="150"/>
    </row>
    <row r="424" spans="1:72" ht="15" customHeight="1" x14ac:dyDescent="0.15">
      <c r="A424" s="419" t="s">
        <v>5334</v>
      </c>
      <c r="B424" s="405" t="s">
        <v>5335</v>
      </c>
      <c r="C424" s="405"/>
      <c r="D424" s="405"/>
      <c r="E424" s="405"/>
      <c r="F424" s="447" t="s">
        <v>107</v>
      </c>
      <c r="G424" s="421" t="s">
        <v>5336</v>
      </c>
      <c r="H424" s="442" t="s">
        <v>5337</v>
      </c>
      <c r="I424" s="406" t="s">
        <v>500</v>
      </c>
      <c r="J424" s="407" t="s">
        <v>5313</v>
      </c>
      <c r="K424" s="408"/>
      <c r="L424" s="409">
        <v>212</v>
      </c>
      <c r="M424" s="409"/>
      <c r="N424" s="410" t="str">
        <f t="shared" si="12"/>
        <v>Contact famille</v>
      </c>
      <c r="O424" s="739">
        <v>212</v>
      </c>
      <c r="P424" s="863"/>
      <c r="Q424" s="730" t="str">
        <f t="shared" si="13"/>
        <v>Contact famille</v>
      </c>
      <c r="R424" s="740"/>
      <c r="S424" s="740"/>
      <c r="T424" s="740"/>
      <c r="U424" s="740"/>
      <c r="V424" s="740"/>
      <c r="W424" s="740" t="s">
        <v>313</v>
      </c>
      <c r="X424" s="740" t="s">
        <v>313</v>
      </c>
      <c r="Y424" s="740"/>
      <c r="Z424" s="740"/>
      <c r="AA424" s="740"/>
      <c r="AB424" s="423"/>
      <c r="AC424" s="418"/>
      <c r="AD424" s="418"/>
      <c r="AE424" s="418"/>
      <c r="AF424" s="422"/>
      <c r="AG424" s="386"/>
      <c r="AH424" s="417"/>
      <c r="AI424" s="429" t="s">
        <v>242</v>
      </c>
      <c r="AJ424" s="429" t="s">
        <v>242</v>
      </c>
      <c r="AK424" s="428" t="s">
        <v>242</v>
      </c>
      <c r="AL424" s="439" t="s">
        <v>242</v>
      </c>
      <c r="AM424" s="433" t="s">
        <v>244</v>
      </c>
      <c r="AN424" s="412"/>
      <c r="AO424" s="72"/>
      <c r="AP424" s="414"/>
      <c r="AQ424" s="440">
        <v>691286840</v>
      </c>
      <c r="AR424" s="532" t="s">
        <v>5341</v>
      </c>
      <c r="AS424" s="413"/>
      <c r="AT424" s="413"/>
      <c r="AU424" s="412"/>
      <c r="AV424" s="412"/>
      <c r="AW424" s="399"/>
      <c r="AX424" s="72"/>
      <c r="AY424" s="398"/>
      <c r="AZ424" s="400"/>
      <c r="BA424" s="72"/>
      <c r="BB424" s="404"/>
      <c r="BC424" s="404"/>
      <c r="BD424" s="404"/>
      <c r="BE424" s="404"/>
      <c r="BF424" s="404"/>
      <c r="BG424" s="404"/>
      <c r="BH424" s="403"/>
      <c r="BI424" s="403"/>
      <c r="BJ424" s="403"/>
      <c r="BK424" s="402"/>
      <c r="BL424" s="402"/>
      <c r="BM424" s="402"/>
      <c r="BN424" s="401"/>
      <c r="BO424" s="400"/>
      <c r="BP424" s="400"/>
      <c r="BQ424" s="400"/>
      <c r="BR424" s="72"/>
      <c r="BS424" s="411"/>
    </row>
    <row r="425" spans="1:72" ht="15" customHeight="1" x14ac:dyDescent="0.15">
      <c r="A425" s="419" t="s">
        <v>4601</v>
      </c>
      <c r="B425" s="405" t="s">
        <v>3773</v>
      </c>
      <c r="C425" s="405"/>
      <c r="D425" s="405"/>
      <c r="E425" s="405"/>
      <c r="F425" s="451" t="s">
        <v>107</v>
      </c>
      <c r="G425" s="441" t="s">
        <v>4603</v>
      </c>
      <c r="H425" s="442" t="s">
        <v>134</v>
      </c>
      <c r="I425" s="406" t="s">
        <v>135</v>
      </c>
      <c r="J425" s="407" t="s">
        <v>405</v>
      </c>
      <c r="K425" s="408"/>
      <c r="L425" s="409">
        <v>212</v>
      </c>
      <c r="M425" s="409"/>
      <c r="N425" s="410" t="str">
        <f t="shared" si="12"/>
        <v>Contact famille</v>
      </c>
      <c r="O425" s="739">
        <v>212</v>
      </c>
      <c r="P425" s="863"/>
      <c r="Q425" s="730" t="str">
        <f t="shared" si="13"/>
        <v>Contact famille</v>
      </c>
      <c r="R425" s="741"/>
      <c r="S425" s="741"/>
      <c r="T425" s="741"/>
      <c r="U425" s="741"/>
      <c r="V425" s="741"/>
      <c r="W425" s="741"/>
      <c r="X425" s="741" t="s">
        <v>313</v>
      </c>
      <c r="Y425" s="741"/>
      <c r="Z425" s="741"/>
      <c r="AA425" s="741"/>
      <c r="AB425" s="423"/>
      <c r="AC425" s="423"/>
      <c r="AD425" s="423"/>
      <c r="AE425" s="423"/>
      <c r="AF425" s="422"/>
      <c r="AG425" s="448"/>
      <c r="AH425" s="431"/>
      <c r="AI425" s="429" t="s">
        <v>242</v>
      </c>
      <c r="AJ425" s="429" t="s">
        <v>242</v>
      </c>
      <c r="AK425" s="428" t="s">
        <v>242</v>
      </c>
      <c r="AL425" s="439" t="s">
        <v>242</v>
      </c>
      <c r="AM425" s="433" t="s">
        <v>244</v>
      </c>
      <c r="AN425" s="434"/>
      <c r="AO425" s="430"/>
      <c r="AP425" s="435"/>
      <c r="AQ425" s="440">
        <v>691714662</v>
      </c>
      <c r="AR425" s="436" t="s">
        <v>4608</v>
      </c>
      <c r="AS425" s="413"/>
      <c r="AT425" s="413"/>
      <c r="AU425" s="400"/>
      <c r="AV425" s="412"/>
      <c r="AW425" s="398"/>
      <c r="AX425" s="72"/>
      <c r="AY425" s="398"/>
      <c r="AZ425" s="400"/>
      <c r="BA425" s="72"/>
      <c r="BB425" s="404"/>
      <c r="BC425" s="404"/>
      <c r="BD425" s="404"/>
      <c r="BE425" s="404"/>
      <c r="BF425" s="404"/>
      <c r="BG425" s="404"/>
      <c r="BH425" s="403"/>
      <c r="BI425" s="403"/>
      <c r="BJ425" s="403"/>
      <c r="BK425" s="402"/>
      <c r="BL425" s="402"/>
      <c r="BM425" s="402"/>
      <c r="BN425" s="401"/>
      <c r="BO425" s="437"/>
      <c r="BP425" s="438"/>
      <c r="BQ425" s="438"/>
      <c r="BR425" s="444"/>
      <c r="BS425" s="445"/>
    </row>
    <row r="426" spans="1:72" ht="15" customHeight="1" x14ac:dyDescent="0.15">
      <c r="A426" s="419" t="s">
        <v>1107</v>
      </c>
      <c r="B426" s="405" t="s">
        <v>1413</v>
      </c>
      <c r="C426" s="405"/>
      <c r="D426" s="405"/>
      <c r="E426" s="405"/>
      <c r="F426" s="447" t="s">
        <v>107</v>
      </c>
      <c r="G426" s="441" t="s">
        <v>4616</v>
      </c>
      <c r="H426" s="442" t="s">
        <v>4617</v>
      </c>
      <c r="I426" s="406" t="s">
        <v>257</v>
      </c>
      <c r="J426" s="407" t="s">
        <v>1851</v>
      </c>
      <c r="K426" s="408"/>
      <c r="L426" s="409">
        <v>212</v>
      </c>
      <c r="M426" s="409"/>
      <c r="N426" s="410" t="str">
        <f t="shared" si="12"/>
        <v>Contact famille</v>
      </c>
      <c r="O426" s="739">
        <v>212</v>
      </c>
      <c r="P426" s="863"/>
      <c r="Q426" s="730" t="str">
        <f t="shared" si="13"/>
        <v>Contact famille</v>
      </c>
      <c r="R426" s="741"/>
      <c r="S426" s="741"/>
      <c r="T426" s="741"/>
      <c r="U426" s="741"/>
      <c r="V426" s="741"/>
      <c r="W426" s="741"/>
      <c r="X426" s="741" t="s">
        <v>313</v>
      </c>
      <c r="Y426" s="741"/>
      <c r="Z426" s="741"/>
      <c r="AA426" s="741"/>
      <c r="AB426" s="423"/>
      <c r="AC426" s="423"/>
      <c r="AD426" s="423"/>
      <c r="AE426" s="423"/>
      <c r="AF426" s="422"/>
      <c r="AG426" s="448"/>
      <c r="AH426" s="431"/>
      <c r="AI426" s="18" t="s">
        <v>242</v>
      </c>
      <c r="AJ426" s="18" t="s">
        <v>242</v>
      </c>
      <c r="AK426" s="13" t="s">
        <v>242</v>
      </c>
      <c r="AL426" s="18" t="s">
        <v>242</v>
      </c>
      <c r="AM426" s="19" t="s">
        <v>244</v>
      </c>
      <c r="AN426" s="434"/>
      <c r="AO426" s="430"/>
      <c r="AP426" s="435"/>
      <c r="AQ426" s="440">
        <v>661911537</v>
      </c>
      <c r="AR426" s="436" t="s">
        <v>4620</v>
      </c>
      <c r="AS426" s="413"/>
      <c r="AT426" s="413"/>
      <c r="AU426" s="400"/>
      <c r="AV426" s="412"/>
      <c r="AW426" s="398"/>
      <c r="AX426" s="72"/>
      <c r="AY426" s="398"/>
      <c r="AZ426" s="400"/>
      <c r="BA426" s="72"/>
      <c r="BB426" s="404"/>
      <c r="BC426" s="404"/>
      <c r="BD426" s="404"/>
      <c r="BE426" s="404"/>
      <c r="BF426" s="404"/>
      <c r="BG426" s="404"/>
      <c r="BH426" s="403"/>
      <c r="BI426" s="403"/>
      <c r="BJ426" s="403"/>
      <c r="BK426" s="402"/>
      <c r="BL426" s="402"/>
      <c r="BM426" s="402"/>
      <c r="BN426" s="401"/>
      <c r="BO426" s="437"/>
      <c r="BP426" s="438"/>
      <c r="BQ426" s="438"/>
      <c r="BR426" s="444"/>
      <c r="BS426" s="445"/>
    </row>
    <row r="427" spans="1:72" ht="15" customHeight="1" x14ac:dyDescent="0.15">
      <c r="A427" s="419" t="s">
        <v>1107</v>
      </c>
      <c r="B427" s="405" t="s">
        <v>4615</v>
      </c>
      <c r="C427" s="405"/>
      <c r="D427" s="405"/>
      <c r="E427" s="405"/>
      <c r="F427" s="447" t="s">
        <v>107</v>
      </c>
      <c r="G427" s="441" t="s">
        <v>4616</v>
      </c>
      <c r="H427" s="442" t="s">
        <v>4617</v>
      </c>
      <c r="I427" s="406" t="s">
        <v>257</v>
      </c>
      <c r="J427" s="407" t="s">
        <v>1851</v>
      </c>
      <c r="K427" s="408"/>
      <c r="L427" s="409">
        <v>21</v>
      </c>
      <c r="M427" s="409"/>
      <c r="N427" s="410" t="str">
        <f t="shared" si="12"/>
        <v>U7 Mixte</v>
      </c>
      <c r="O427" s="739">
        <v>21</v>
      </c>
      <c r="P427" s="863"/>
      <c r="Q427" s="730" t="str">
        <f t="shared" si="13"/>
        <v>U7 Mixte</v>
      </c>
      <c r="R427" s="741"/>
      <c r="S427" s="741"/>
      <c r="T427" s="741"/>
      <c r="U427" s="741"/>
      <c r="V427" s="741"/>
      <c r="W427" s="741"/>
      <c r="X427" s="741" t="s">
        <v>192</v>
      </c>
      <c r="Y427" s="741"/>
      <c r="Z427" s="741"/>
      <c r="AA427" s="741"/>
      <c r="AB427" s="423" t="s">
        <v>4675</v>
      </c>
      <c r="AC427" s="423"/>
      <c r="AD427" s="423"/>
      <c r="AE427" s="423"/>
      <c r="AF427" s="422"/>
      <c r="AG427" s="369"/>
      <c r="AH427" s="431"/>
      <c r="AI427" s="429">
        <v>45278</v>
      </c>
      <c r="AJ427" s="429">
        <v>45236</v>
      </c>
      <c r="AK427" s="428">
        <v>2027</v>
      </c>
      <c r="AL427" s="439">
        <v>44142</v>
      </c>
      <c r="AM427" s="433" t="s">
        <v>4618</v>
      </c>
      <c r="AN427" s="434"/>
      <c r="AO427" s="430"/>
      <c r="AP427" s="435"/>
      <c r="AQ427" s="440" t="s">
        <v>4619</v>
      </c>
      <c r="AR427" s="436" t="s">
        <v>4620</v>
      </c>
      <c r="AS427" s="413"/>
      <c r="AT427" s="413"/>
      <c r="AU427" s="400"/>
      <c r="AV427" s="412"/>
      <c r="AW427" s="398"/>
      <c r="AX427" s="72"/>
      <c r="AY427" s="398"/>
      <c r="AZ427" s="400"/>
      <c r="BA427" s="72"/>
      <c r="BB427" s="404"/>
      <c r="BC427" s="404"/>
      <c r="BD427" s="404"/>
      <c r="BE427" s="404"/>
      <c r="BF427" s="404"/>
      <c r="BG427" s="404"/>
      <c r="BH427" s="403"/>
      <c r="BI427" s="403"/>
      <c r="BJ427" s="403"/>
      <c r="BK427" s="402"/>
      <c r="BL427" s="402"/>
      <c r="BM427" s="402"/>
      <c r="BN427" s="401"/>
      <c r="BO427" s="437"/>
      <c r="BP427" s="438"/>
      <c r="BQ427" s="438"/>
      <c r="BR427" s="444"/>
      <c r="BS427" s="445"/>
    </row>
    <row r="428" spans="1:72" ht="15" customHeight="1" x14ac:dyDescent="0.15">
      <c r="A428" s="419" t="s">
        <v>1021</v>
      </c>
      <c r="B428" s="405" t="s">
        <v>1027</v>
      </c>
      <c r="C428" s="405"/>
      <c r="D428" s="405"/>
      <c r="E428" s="405"/>
      <c r="F428" s="451" t="s">
        <v>107</v>
      </c>
      <c r="G428" s="441" t="s">
        <v>5271</v>
      </c>
      <c r="H428" s="442" t="s">
        <v>3618</v>
      </c>
      <c r="I428" s="406" t="s">
        <v>223</v>
      </c>
      <c r="J428" s="407" t="s">
        <v>2010</v>
      </c>
      <c r="K428" s="408"/>
      <c r="L428" s="409">
        <v>9</v>
      </c>
      <c r="M428" s="409"/>
      <c r="N428" s="410" t="str">
        <f t="shared" si="12"/>
        <v>Vétérans - Hommes</v>
      </c>
      <c r="O428" s="729">
        <v>9</v>
      </c>
      <c r="P428" s="729"/>
      <c r="Q428" s="730" t="str">
        <f t="shared" si="13"/>
        <v>Vétérans - Hommes</v>
      </c>
      <c r="R428" s="741"/>
      <c r="S428" s="741"/>
      <c r="T428" s="741"/>
      <c r="U428" s="741"/>
      <c r="V428" s="741" t="s">
        <v>313</v>
      </c>
      <c r="W428" s="741"/>
      <c r="X428" s="741" t="s">
        <v>313</v>
      </c>
      <c r="Y428" s="741"/>
      <c r="Z428" s="741"/>
      <c r="AA428" s="741"/>
      <c r="AB428" s="423" t="s">
        <v>3038</v>
      </c>
      <c r="AC428" s="423"/>
      <c r="AD428" s="423"/>
      <c r="AE428" s="423"/>
      <c r="AF428" s="422"/>
      <c r="AG428" s="371"/>
      <c r="AH428" s="431"/>
      <c r="AI428" s="429">
        <v>35052</v>
      </c>
      <c r="AJ428" s="429">
        <v>35052</v>
      </c>
      <c r="AK428" s="564">
        <v>2030</v>
      </c>
      <c r="AL428" s="439">
        <v>31091</v>
      </c>
      <c r="AM428" s="433" t="s">
        <v>5119</v>
      </c>
      <c r="AN428" s="437"/>
      <c r="AO428" s="430"/>
      <c r="AP428" s="435"/>
      <c r="AQ428" s="536" t="s">
        <v>2375</v>
      </c>
      <c r="AR428" s="566" t="s">
        <v>3660</v>
      </c>
      <c r="AS428" s="538" t="s">
        <v>3972</v>
      </c>
      <c r="AT428" s="538"/>
      <c r="AU428" s="539"/>
      <c r="AV428" s="412"/>
      <c r="AW428" s="398"/>
      <c r="AX428" s="72"/>
      <c r="AY428" s="398"/>
      <c r="AZ428" s="400" t="s">
        <v>348</v>
      </c>
      <c r="BA428" s="72"/>
      <c r="BB428" s="404" t="s">
        <v>2813</v>
      </c>
      <c r="BC428" s="404" t="s">
        <v>292</v>
      </c>
      <c r="BD428" s="404" t="s">
        <v>1168</v>
      </c>
      <c r="BE428" s="404">
        <v>200</v>
      </c>
      <c r="BF428" s="404"/>
      <c r="BG428" s="404"/>
      <c r="BH428" s="403"/>
      <c r="BI428" s="403"/>
      <c r="BJ428" s="403"/>
      <c r="BK428" s="402"/>
      <c r="BL428" s="402"/>
      <c r="BM428" s="402"/>
      <c r="BN428" s="401"/>
      <c r="BO428" s="437"/>
      <c r="BP428" s="438" t="s">
        <v>1537</v>
      </c>
      <c r="BQ428" s="438"/>
      <c r="BR428" s="444"/>
      <c r="BS428" s="445"/>
    </row>
    <row r="429" spans="1:72" ht="15" customHeight="1" x14ac:dyDescent="0.15">
      <c r="A429" s="419" t="s">
        <v>1021</v>
      </c>
      <c r="B429" s="405" t="s">
        <v>3178</v>
      </c>
      <c r="C429" s="405"/>
      <c r="D429" s="405"/>
      <c r="E429" s="405"/>
      <c r="F429" s="451" t="s">
        <v>107</v>
      </c>
      <c r="G429" s="441" t="s">
        <v>5271</v>
      </c>
      <c r="H429" s="442" t="s">
        <v>3618</v>
      </c>
      <c r="I429" s="406" t="s">
        <v>223</v>
      </c>
      <c r="J429" s="407" t="s">
        <v>2010</v>
      </c>
      <c r="K429" s="408"/>
      <c r="L429" s="409">
        <v>7</v>
      </c>
      <c r="M429" s="409"/>
      <c r="N429" s="410" t="str">
        <f t="shared" si="12"/>
        <v>U 11 Hommes</v>
      </c>
      <c r="O429" s="739">
        <v>7</v>
      </c>
      <c r="P429" s="863"/>
      <c r="Q429" s="730" t="str">
        <f t="shared" si="13"/>
        <v>U 11 Hommes</v>
      </c>
      <c r="R429" s="740"/>
      <c r="S429" s="740"/>
      <c r="T429" s="740"/>
      <c r="U429" s="740"/>
      <c r="V429" s="740" t="s">
        <v>192</v>
      </c>
      <c r="W429" s="740"/>
      <c r="X429" s="740"/>
      <c r="Y429" s="740"/>
      <c r="Z429" s="740"/>
      <c r="AA429" s="740"/>
      <c r="AB429" s="423" t="s">
        <v>3953</v>
      </c>
      <c r="AC429" s="423"/>
      <c r="AD429" s="423"/>
      <c r="AE429" s="423"/>
      <c r="AF429" s="422"/>
      <c r="AG429" s="448"/>
      <c r="AH429" s="431"/>
      <c r="AI429" s="429">
        <v>44580</v>
      </c>
      <c r="AJ429" s="429">
        <v>44440</v>
      </c>
      <c r="AK429" s="428">
        <v>2029</v>
      </c>
      <c r="AL429" s="439">
        <v>43048</v>
      </c>
      <c r="AM429" s="433" t="s">
        <v>3863</v>
      </c>
      <c r="AN429" s="434"/>
      <c r="AO429" s="430"/>
      <c r="AP429" s="536" t="s">
        <v>3864</v>
      </c>
      <c r="AQ429" s="528" t="s">
        <v>4160</v>
      </c>
      <c r="AR429" s="566" t="s">
        <v>3660</v>
      </c>
      <c r="AS429" s="413"/>
      <c r="AT429" s="413"/>
      <c r="AU429" s="400"/>
      <c r="AV429" s="412"/>
      <c r="AW429" s="398"/>
      <c r="AX429" s="72"/>
      <c r="AY429" s="398"/>
      <c r="AZ429" s="400"/>
      <c r="BA429" s="72"/>
      <c r="BB429" s="404"/>
      <c r="BC429" s="404"/>
      <c r="BD429" s="404"/>
      <c r="BE429" s="404"/>
      <c r="BF429" s="404"/>
      <c r="BG429" s="404"/>
      <c r="BH429" s="403"/>
      <c r="BI429" s="403"/>
      <c r="BJ429" s="403"/>
      <c r="BK429" s="402"/>
      <c r="BL429" s="402"/>
      <c r="BM429" s="402"/>
      <c r="BN429" s="401" t="s">
        <v>3663</v>
      </c>
      <c r="BO429" s="437"/>
      <c r="BP429" s="438"/>
      <c r="BQ429" s="438"/>
      <c r="BR429" s="444"/>
      <c r="BS429" s="445"/>
      <c r="BT429" s="150"/>
    </row>
    <row r="430" spans="1:72" ht="15" customHeight="1" x14ac:dyDescent="0.15">
      <c r="A430" s="419" t="s">
        <v>1021</v>
      </c>
      <c r="B430" s="405" t="s">
        <v>4948</v>
      </c>
      <c r="C430" s="405"/>
      <c r="D430" s="405"/>
      <c r="E430" s="405"/>
      <c r="F430" s="451" t="s">
        <v>107</v>
      </c>
      <c r="G430" s="441" t="s">
        <v>5271</v>
      </c>
      <c r="H430" s="442" t="s">
        <v>3618</v>
      </c>
      <c r="I430" s="406" t="s">
        <v>223</v>
      </c>
      <c r="J430" s="407" t="s">
        <v>2010</v>
      </c>
      <c r="K430" s="408"/>
      <c r="L430" s="409">
        <v>21</v>
      </c>
      <c r="M430" s="409"/>
      <c r="N430" s="410" t="str">
        <f t="shared" si="12"/>
        <v>U7 Mixte</v>
      </c>
      <c r="O430" s="739">
        <v>21</v>
      </c>
      <c r="P430" s="863"/>
      <c r="Q430" s="730" t="str">
        <f t="shared" si="13"/>
        <v>U7 Mixte</v>
      </c>
      <c r="R430" s="740"/>
      <c r="S430" s="740"/>
      <c r="T430" s="740"/>
      <c r="U430" s="740"/>
      <c r="V430" s="740"/>
      <c r="W430" s="740"/>
      <c r="X430" s="740" t="s">
        <v>192</v>
      </c>
      <c r="Y430" s="740"/>
      <c r="Z430" s="740"/>
      <c r="AA430" s="740"/>
      <c r="AB430" s="423" t="s">
        <v>5287</v>
      </c>
      <c r="AC430" s="418"/>
      <c r="AD430" s="418"/>
      <c r="AE430" s="418"/>
      <c r="AF430" s="422"/>
      <c r="AG430" s="425" t="s">
        <v>5173</v>
      </c>
      <c r="AH430" s="417"/>
      <c r="AI430" s="18">
        <v>45923</v>
      </c>
      <c r="AJ430" s="18">
        <v>45909</v>
      </c>
      <c r="AK430" s="13">
        <v>2029</v>
      </c>
      <c r="AL430" s="18">
        <v>44750</v>
      </c>
      <c r="AM430" s="5" t="s">
        <v>5272</v>
      </c>
      <c r="AN430" s="412"/>
      <c r="AO430" s="72"/>
      <c r="AP430" s="536" t="s">
        <v>3864</v>
      </c>
      <c r="AQ430" s="528" t="s">
        <v>4160</v>
      </c>
      <c r="AR430" s="566" t="s">
        <v>3660</v>
      </c>
      <c r="AS430" s="413"/>
      <c r="AT430" s="413"/>
      <c r="AU430" s="412"/>
      <c r="AV430" s="412"/>
      <c r="AW430" s="399"/>
      <c r="AX430" s="72"/>
      <c r="AY430" s="398"/>
      <c r="AZ430" s="400"/>
      <c r="BA430" s="72"/>
      <c r="BB430" s="404"/>
      <c r="BC430" s="404"/>
      <c r="BD430" s="404"/>
      <c r="BE430" s="404"/>
      <c r="BF430" s="404"/>
      <c r="BG430" s="404"/>
      <c r="BH430" s="403"/>
      <c r="BI430" s="403"/>
      <c r="BJ430" s="403"/>
      <c r="BK430" s="402"/>
      <c r="BL430" s="402"/>
      <c r="BM430" s="402"/>
      <c r="BN430" s="401"/>
      <c r="BO430" s="400"/>
      <c r="BP430" s="400"/>
      <c r="BQ430" s="400"/>
      <c r="BR430" s="72"/>
      <c r="BS430" s="411"/>
    </row>
    <row r="431" spans="1:72" s="150" customFormat="1" ht="15" customHeight="1" x14ac:dyDescent="0.15">
      <c r="A431" s="419" t="s">
        <v>1028</v>
      </c>
      <c r="B431" s="405" t="s">
        <v>1032</v>
      </c>
      <c r="C431" s="405"/>
      <c r="D431" s="405"/>
      <c r="E431" s="405"/>
      <c r="F431" s="451" t="s">
        <v>107</v>
      </c>
      <c r="G431" s="441" t="s">
        <v>1030</v>
      </c>
      <c r="H431" s="442" t="s">
        <v>293</v>
      </c>
      <c r="I431" s="406" t="s">
        <v>294</v>
      </c>
      <c r="J431" s="407" t="s">
        <v>1031</v>
      </c>
      <c r="K431" s="408"/>
      <c r="L431" s="409">
        <v>12</v>
      </c>
      <c r="M431" s="409"/>
      <c r="N431" s="410" t="str">
        <f t="shared" si="12"/>
        <v>Dames</v>
      </c>
      <c r="O431" s="739">
        <v>12</v>
      </c>
      <c r="P431" s="863"/>
      <c r="Q431" s="730" t="str">
        <f t="shared" si="13"/>
        <v>Dames</v>
      </c>
      <c r="R431" s="741"/>
      <c r="S431" s="741"/>
      <c r="T431" s="741"/>
      <c r="U431" s="741"/>
      <c r="V431" s="741"/>
      <c r="W431" s="741"/>
      <c r="X431" s="741"/>
      <c r="Y431" s="741"/>
      <c r="Z431" s="741"/>
      <c r="AA431" s="741"/>
      <c r="AB431" s="423" t="s">
        <v>3040</v>
      </c>
      <c r="AC431" s="423"/>
      <c r="AD431" s="423" t="s">
        <v>3040</v>
      </c>
      <c r="AE431" s="423"/>
      <c r="AF431" s="422"/>
      <c r="AG431" s="838"/>
      <c r="AH431" s="431"/>
      <c r="AI431" s="429">
        <v>40638</v>
      </c>
      <c r="AJ431" s="429">
        <v>40638</v>
      </c>
      <c r="AK431" s="535">
        <v>2030</v>
      </c>
      <c r="AL431" s="439">
        <v>36668</v>
      </c>
      <c r="AM431" s="433" t="s">
        <v>2377</v>
      </c>
      <c r="AN431" s="437"/>
      <c r="AO431" s="430" t="s">
        <v>1723</v>
      </c>
      <c r="AP431" s="435"/>
      <c r="AQ431" s="536" t="s">
        <v>2378</v>
      </c>
      <c r="AR431" s="537" t="s">
        <v>2379</v>
      </c>
      <c r="AS431" s="538"/>
      <c r="AT431" s="538"/>
      <c r="AU431" s="539"/>
      <c r="AV431" s="412"/>
      <c r="AW431" s="398"/>
      <c r="AX431" s="72"/>
      <c r="AY431" s="398"/>
      <c r="AZ431" s="400" t="s">
        <v>209</v>
      </c>
      <c r="BA431" s="72"/>
      <c r="BB431" s="404" t="s">
        <v>2813</v>
      </c>
      <c r="BC431" s="404" t="s">
        <v>3151</v>
      </c>
      <c r="BD431" s="404"/>
      <c r="BE431" s="404">
        <v>50</v>
      </c>
      <c r="BF431" s="404"/>
      <c r="BG431" s="404"/>
      <c r="BH431" s="403"/>
      <c r="BI431" s="403"/>
      <c r="BJ431" s="403"/>
      <c r="BK431" s="402"/>
      <c r="BL431" s="402"/>
      <c r="BM431" s="402"/>
      <c r="BN431" s="401"/>
      <c r="BO431" s="437"/>
      <c r="BP431" s="438" t="s">
        <v>349</v>
      </c>
      <c r="BQ431" s="438"/>
      <c r="BR431" s="444"/>
      <c r="BS431" s="445"/>
      <c r="BT431"/>
    </row>
    <row r="432" spans="1:72" ht="15" customHeight="1" x14ac:dyDescent="0.15">
      <c r="A432" s="419" t="s">
        <v>5400</v>
      </c>
      <c r="B432" s="405" t="s">
        <v>654</v>
      </c>
      <c r="C432" s="405"/>
      <c r="D432" s="405"/>
      <c r="E432" s="405"/>
      <c r="F432" s="447" t="s">
        <v>107</v>
      </c>
      <c r="G432" s="421" t="s">
        <v>5403</v>
      </c>
      <c r="H432" s="442" t="s">
        <v>3618</v>
      </c>
      <c r="I432" s="406" t="s">
        <v>223</v>
      </c>
      <c r="J432" s="407" t="s">
        <v>355</v>
      </c>
      <c r="K432" s="408"/>
      <c r="L432" s="409">
        <v>212</v>
      </c>
      <c r="M432" s="409"/>
      <c r="N432" s="410" t="str">
        <f t="shared" si="12"/>
        <v>Contact famille</v>
      </c>
      <c r="O432" s="739">
        <v>212</v>
      </c>
      <c r="P432" s="863"/>
      <c r="Q432" s="730" t="str">
        <f t="shared" si="13"/>
        <v>Contact famille</v>
      </c>
      <c r="R432" s="740"/>
      <c r="S432" s="740"/>
      <c r="T432" s="740"/>
      <c r="U432" s="740"/>
      <c r="V432" s="740"/>
      <c r="W432" s="740" t="s">
        <v>313</v>
      </c>
      <c r="X432" s="740"/>
      <c r="Y432" s="740"/>
      <c r="Z432" s="740"/>
      <c r="AA432" s="740"/>
      <c r="AB432" s="423"/>
      <c r="AC432" s="418"/>
      <c r="AD432" s="418"/>
      <c r="AE432" s="418"/>
      <c r="AF432" s="422"/>
      <c r="AG432" s="680"/>
      <c r="AH432" s="417"/>
      <c r="AI432" s="429" t="s">
        <v>242</v>
      </c>
      <c r="AJ432" s="429" t="s">
        <v>242</v>
      </c>
      <c r="AK432" s="428" t="s">
        <v>242</v>
      </c>
      <c r="AL432" s="399" t="s">
        <v>242</v>
      </c>
      <c r="AM432" s="449" t="s">
        <v>244</v>
      </c>
      <c r="AN432" s="412"/>
      <c r="AO432" s="72"/>
      <c r="AP432" s="414"/>
      <c r="AQ432" s="440">
        <v>661611520</v>
      </c>
      <c r="AR432" s="400"/>
      <c r="AS432" s="413"/>
      <c r="AT432" s="413"/>
      <c r="AU432" s="412"/>
      <c r="AV432" s="412"/>
      <c r="AW432" s="399"/>
      <c r="AX432" s="72"/>
      <c r="AY432" s="398"/>
      <c r="AZ432" s="400"/>
      <c r="BA432" s="72"/>
      <c r="BB432" s="404"/>
      <c r="BC432" s="404"/>
      <c r="BD432" s="404"/>
      <c r="BE432" s="404"/>
      <c r="BF432" s="404"/>
      <c r="BG432" s="404"/>
      <c r="BH432" s="403"/>
      <c r="BI432" s="403"/>
      <c r="BJ432" s="403"/>
      <c r="BK432" s="402"/>
      <c r="BL432" s="402"/>
      <c r="BM432" s="402"/>
      <c r="BN432" s="401"/>
      <c r="BO432" s="400"/>
      <c r="BP432" s="400"/>
      <c r="BQ432" s="400"/>
      <c r="BR432" s="72"/>
      <c r="BS432" s="411"/>
    </row>
    <row r="433" spans="1:72" s="150" customFormat="1" ht="15" customHeight="1" x14ac:dyDescent="0.15">
      <c r="A433" s="419" t="s">
        <v>5400</v>
      </c>
      <c r="B433" s="405" t="s">
        <v>5401</v>
      </c>
      <c r="C433" s="405"/>
      <c r="D433" s="405"/>
      <c r="E433" s="405"/>
      <c r="F433" s="447" t="s">
        <v>107</v>
      </c>
      <c r="G433" s="421" t="s">
        <v>5403</v>
      </c>
      <c r="H433" s="442" t="s">
        <v>3618</v>
      </c>
      <c r="I433" s="406" t="s">
        <v>223</v>
      </c>
      <c r="J433" s="407" t="s">
        <v>355</v>
      </c>
      <c r="K433" s="408"/>
      <c r="L433" s="409">
        <v>8</v>
      </c>
      <c r="M433" s="409"/>
      <c r="N433" s="410" t="str">
        <f t="shared" si="12"/>
        <v xml:space="preserve">U 9 Hommes </v>
      </c>
      <c r="O433" s="739">
        <v>8</v>
      </c>
      <c r="P433" s="863"/>
      <c r="Q433" s="730" t="str">
        <f t="shared" si="13"/>
        <v xml:space="preserve">U 9 Hommes </v>
      </c>
      <c r="R433" s="740"/>
      <c r="S433" s="740"/>
      <c r="T433" s="740"/>
      <c r="U433" s="740"/>
      <c r="V433" s="740"/>
      <c r="W433" s="740" t="s">
        <v>192</v>
      </c>
      <c r="X433" s="740"/>
      <c r="Y433" s="740"/>
      <c r="Z433" s="740"/>
      <c r="AA433" s="740"/>
      <c r="AB433" s="423" t="s">
        <v>5410</v>
      </c>
      <c r="AC433" s="418"/>
      <c r="AD433" s="418"/>
      <c r="AE433" s="418"/>
      <c r="AF433" s="422"/>
      <c r="AG433" s="386" t="s">
        <v>5173</v>
      </c>
      <c r="AH433" s="417"/>
      <c r="AI433" s="45">
        <v>46003</v>
      </c>
      <c r="AJ433" s="18">
        <v>45989</v>
      </c>
      <c r="AK433" s="13">
        <v>2030</v>
      </c>
      <c r="AL433" s="18">
        <v>43223</v>
      </c>
      <c r="AM433" s="5" t="s">
        <v>5404</v>
      </c>
      <c r="AN433" s="412"/>
      <c r="AO433" s="72"/>
      <c r="AP433" s="414"/>
      <c r="AQ433" s="440">
        <v>661611520</v>
      </c>
      <c r="AR433" s="532" t="s">
        <v>5405</v>
      </c>
      <c r="AS433" s="413"/>
      <c r="AT433" s="413"/>
      <c r="AU433" s="412"/>
      <c r="AV433" s="412"/>
      <c r="AW433" s="399"/>
      <c r="AX433" s="72"/>
      <c r="AY433" s="398"/>
      <c r="AZ433" s="400"/>
      <c r="BA433" s="72"/>
      <c r="BB433" s="404"/>
      <c r="BC433" s="404"/>
      <c r="BD433" s="404"/>
      <c r="BE433" s="404"/>
      <c r="BF433" s="404"/>
      <c r="BG433" s="404"/>
      <c r="BH433" s="403"/>
      <c r="BI433" s="403"/>
      <c r="BJ433" s="403"/>
      <c r="BK433" s="402"/>
      <c r="BL433" s="402"/>
      <c r="BM433" s="402"/>
      <c r="BN433" s="401"/>
      <c r="BO433" s="400"/>
      <c r="BP433" s="400"/>
      <c r="BQ433" s="400"/>
      <c r="BR433" s="72"/>
      <c r="BS433" s="411"/>
      <c r="BT433"/>
    </row>
    <row r="434" spans="1:72" s="150" customFormat="1" ht="15" customHeight="1" x14ac:dyDescent="0.15">
      <c r="A434" s="419" t="s">
        <v>5406</v>
      </c>
      <c r="B434" s="405" t="s">
        <v>5402</v>
      </c>
      <c r="C434" s="405"/>
      <c r="D434" s="405"/>
      <c r="E434" s="405"/>
      <c r="F434" s="447" t="s">
        <v>107</v>
      </c>
      <c r="G434" s="421" t="s">
        <v>5403</v>
      </c>
      <c r="H434" s="442" t="s">
        <v>3618</v>
      </c>
      <c r="I434" s="406" t="s">
        <v>223</v>
      </c>
      <c r="J434" s="407" t="s">
        <v>355</v>
      </c>
      <c r="K434" s="408"/>
      <c r="L434" s="409">
        <v>212</v>
      </c>
      <c r="M434" s="409"/>
      <c r="N434" s="410" t="str">
        <f t="shared" si="12"/>
        <v>Contact famille</v>
      </c>
      <c r="O434" s="739">
        <v>212</v>
      </c>
      <c r="P434" s="863"/>
      <c r="Q434" s="730" t="str">
        <f t="shared" si="13"/>
        <v>Contact famille</v>
      </c>
      <c r="R434" s="740"/>
      <c r="S434" s="740"/>
      <c r="T434" s="740"/>
      <c r="U434" s="740"/>
      <c r="V434" s="740"/>
      <c r="W434" s="740" t="s">
        <v>313</v>
      </c>
      <c r="X434" s="740"/>
      <c r="Y434" s="740"/>
      <c r="Z434" s="740"/>
      <c r="AA434" s="740"/>
      <c r="AB434" s="423"/>
      <c r="AC434" s="418"/>
      <c r="AD434" s="418"/>
      <c r="AE434" s="418"/>
      <c r="AF434" s="422"/>
      <c r="AG434" s="386"/>
      <c r="AH434" s="417"/>
      <c r="AI434" s="429" t="s">
        <v>242</v>
      </c>
      <c r="AJ434" s="429" t="s">
        <v>242</v>
      </c>
      <c r="AK434" s="428" t="s">
        <v>242</v>
      </c>
      <c r="AL434" s="399" t="s">
        <v>242</v>
      </c>
      <c r="AM434" s="449" t="s">
        <v>244</v>
      </c>
      <c r="AN434" s="412"/>
      <c r="AO434" s="72"/>
      <c r="AP434" s="414"/>
      <c r="AQ434" s="440"/>
      <c r="AR434" s="532" t="s">
        <v>5405</v>
      </c>
      <c r="AS434" s="413"/>
      <c r="AT434" s="413"/>
      <c r="AU434" s="412"/>
      <c r="AV434" s="412"/>
      <c r="AW434" s="399"/>
      <c r="AX434" s="72"/>
      <c r="AY434" s="398"/>
      <c r="AZ434" s="400"/>
      <c r="BA434" s="72"/>
      <c r="BB434" s="404"/>
      <c r="BC434" s="404"/>
      <c r="BD434" s="404"/>
      <c r="BE434" s="404"/>
      <c r="BF434" s="404"/>
      <c r="BG434" s="404"/>
      <c r="BH434" s="403"/>
      <c r="BI434" s="403"/>
      <c r="BJ434" s="403"/>
      <c r="BK434" s="402"/>
      <c r="BL434" s="402"/>
      <c r="BM434" s="402"/>
      <c r="BN434" s="401"/>
      <c r="BO434" s="400"/>
      <c r="BP434" s="400"/>
      <c r="BQ434" s="400"/>
      <c r="BR434" s="72"/>
      <c r="BS434" s="411"/>
      <c r="BT434"/>
    </row>
    <row r="435" spans="1:72" ht="15" customHeight="1" x14ac:dyDescent="0.15">
      <c r="A435" s="419" t="s">
        <v>5505</v>
      </c>
      <c r="B435" s="405" t="s">
        <v>3231</v>
      </c>
      <c r="C435" s="405"/>
      <c r="D435" s="405"/>
      <c r="E435" s="405"/>
      <c r="F435" s="447" t="s">
        <v>5477</v>
      </c>
      <c r="G435" s="421" t="s">
        <v>5507</v>
      </c>
      <c r="H435" s="442" t="s">
        <v>3582</v>
      </c>
      <c r="I435" s="406" t="s">
        <v>558</v>
      </c>
      <c r="J435" s="407" t="s">
        <v>1052</v>
      </c>
      <c r="K435" s="408"/>
      <c r="L435" s="409">
        <v>212</v>
      </c>
      <c r="M435" s="409"/>
      <c r="N435" s="410" t="str">
        <f t="shared" si="12"/>
        <v>Contact famille</v>
      </c>
      <c r="O435" s="729">
        <v>212</v>
      </c>
      <c r="P435" s="729"/>
      <c r="Q435" s="730" t="str">
        <f t="shared" si="13"/>
        <v>Contact famille</v>
      </c>
      <c r="R435" s="740"/>
      <c r="S435" s="740"/>
      <c r="T435" s="740"/>
      <c r="U435" s="740"/>
      <c r="V435" s="740"/>
      <c r="W435" s="740"/>
      <c r="X435" s="740" t="s">
        <v>313</v>
      </c>
      <c r="Y435" s="740"/>
      <c r="Z435" s="740"/>
      <c r="AA435" s="740"/>
      <c r="AB435" s="423"/>
      <c r="AC435" s="418"/>
      <c r="AD435" s="418"/>
      <c r="AE435" s="418"/>
      <c r="AF435" s="422"/>
      <c r="AG435" s="386"/>
      <c r="AH435" s="417"/>
      <c r="AI435" s="429" t="s">
        <v>242</v>
      </c>
      <c r="AJ435" s="429" t="s">
        <v>242</v>
      </c>
      <c r="AK435" s="428" t="s">
        <v>242</v>
      </c>
      <c r="AL435" s="399" t="s">
        <v>242</v>
      </c>
      <c r="AM435" s="449" t="s">
        <v>244</v>
      </c>
      <c r="AN435" s="412"/>
      <c r="AO435" s="72"/>
      <c r="AP435" s="414"/>
      <c r="AQ435" s="440">
        <v>621708686</v>
      </c>
      <c r="AR435" s="400"/>
      <c r="AS435" s="413"/>
      <c r="AT435" s="413"/>
      <c r="AU435" s="412"/>
      <c r="AV435" s="412"/>
      <c r="AW435" s="399"/>
      <c r="AX435" s="72"/>
      <c r="AY435" s="398"/>
      <c r="AZ435" s="400"/>
      <c r="BA435" s="72"/>
      <c r="BB435" s="404"/>
      <c r="BC435" s="404"/>
      <c r="BD435" s="404"/>
      <c r="BE435" s="404"/>
      <c r="BF435" s="404"/>
      <c r="BG435" s="404"/>
      <c r="BH435" s="403"/>
      <c r="BI435" s="403"/>
      <c r="BJ435" s="403"/>
      <c r="BK435" s="402"/>
      <c r="BL435" s="402"/>
      <c r="BM435" s="402"/>
      <c r="BN435" s="401"/>
      <c r="BO435" s="400"/>
      <c r="BP435" s="400"/>
      <c r="BQ435" s="400"/>
      <c r="BR435" s="72"/>
      <c r="BS435" s="411"/>
      <c r="BT435" s="111"/>
    </row>
    <row r="436" spans="1:72" ht="15" customHeight="1" x14ac:dyDescent="0.15">
      <c r="A436" s="419" t="s">
        <v>5505</v>
      </c>
      <c r="B436" s="405" t="s">
        <v>4643</v>
      </c>
      <c r="C436" s="405"/>
      <c r="D436" s="405"/>
      <c r="E436" s="405"/>
      <c r="F436" s="447" t="s">
        <v>5477</v>
      </c>
      <c r="G436" s="421" t="s">
        <v>5507</v>
      </c>
      <c r="H436" s="442" t="s">
        <v>3582</v>
      </c>
      <c r="I436" s="406" t="s">
        <v>558</v>
      </c>
      <c r="J436" s="407" t="s">
        <v>1052</v>
      </c>
      <c r="K436" s="408"/>
      <c r="L436" s="409">
        <v>21</v>
      </c>
      <c r="M436" s="409"/>
      <c r="N436" s="410" t="str">
        <f t="shared" si="12"/>
        <v>U7 Mixte</v>
      </c>
      <c r="O436" s="739">
        <v>21</v>
      </c>
      <c r="P436" s="863"/>
      <c r="Q436" s="730" t="str">
        <f t="shared" si="13"/>
        <v>U7 Mixte</v>
      </c>
      <c r="R436" s="740"/>
      <c r="S436" s="740"/>
      <c r="T436" s="740"/>
      <c r="U436" s="740"/>
      <c r="V436" s="740"/>
      <c r="W436" s="740"/>
      <c r="X436" s="740" t="s">
        <v>192</v>
      </c>
      <c r="Y436" s="740"/>
      <c r="Z436" s="740"/>
      <c r="AA436" s="740"/>
      <c r="AB436" s="423" t="s">
        <v>5512</v>
      </c>
      <c r="AC436" s="418"/>
      <c r="AD436" s="418"/>
      <c r="AE436" s="418"/>
      <c r="AF436" s="422"/>
      <c r="AG436" s="425" t="s">
        <v>5173</v>
      </c>
      <c r="AH436" s="417"/>
      <c r="AI436" s="429">
        <v>46134</v>
      </c>
      <c r="AJ436" s="429">
        <v>46131</v>
      </c>
      <c r="AK436" s="428">
        <v>2028</v>
      </c>
      <c r="AL436" s="439">
        <v>44349</v>
      </c>
      <c r="AM436" s="416" t="s">
        <v>5508</v>
      </c>
      <c r="AN436" s="412"/>
      <c r="AO436" s="72"/>
      <c r="AP436" s="414" t="s">
        <v>5509</v>
      </c>
      <c r="AQ436" s="430" t="s">
        <v>5510</v>
      </c>
      <c r="AR436" s="532" t="s">
        <v>5511</v>
      </c>
      <c r="AS436" s="413"/>
      <c r="AT436" s="413"/>
      <c r="AU436" s="412"/>
      <c r="AV436" s="412"/>
      <c r="AW436" s="399"/>
      <c r="AX436" s="72"/>
      <c r="AY436" s="398"/>
      <c r="AZ436" s="400"/>
      <c r="BA436" s="72"/>
      <c r="BB436" s="404"/>
      <c r="BC436" s="404"/>
      <c r="BD436" s="404"/>
      <c r="BE436" s="404"/>
      <c r="BF436" s="404"/>
      <c r="BG436" s="404"/>
      <c r="BH436" s="403"/>
      <c r="BI436" s="403"/>
      <c r="BJ436" s="403"/>
      <c r="BK436" s="402"/>
      <c r="BL436" s="402"/>
      <c r="BM436" s="402"/>
      <c r="BN436" s="401"/>
      <c r="BO436" s="400"/>
      <c r="BP436" s="400"/>
      <c r="BQ436" s="400"/>
      <c r="BR436" s="72"/>
      <c r="BS436" s="411"/>
    </row>
    <row r="437" spans="1:72" ht="15" customHeight="1" x14ac:dyDescent="0.15">
      <c r="A437" s="419" t="s">
        <v>3198</v>
      </c>
      <c r="B437" s="405" t="s">
        <v>197</v>
      </c>
      <c r="C437" s="405"/>
      <c r="D437" s="405"/>
      <c r="E437" s="405"/>
      <c r="F437" s="451" t="s">
        <v>107</v>
      </c>
      <c r="G437" s="441" t="s">
        <v>3202</v>
      </c>
      <c r="H437" s="442" t="s">
        <v>3203</v>
      </c>
      <c r="I437" s="406" t="s">
        <v>223</v>
      </c>
      <c r="J437" s="407" t="s">
        <v>1149</v>
      </c>
      <c r="K437" s="408"/>
      <c r="L437" s="409">
        <v>212</v>
      </c>
      <c r="M437" s="409"/>
      <c r="N437" s="410" t="str">
        <f t="shared" si="12"/>
        <v>Contact famille</v>
      </c>
      <c r="O437" s="739">
        <v>212</v>
      </c>
      <c r="P437" s="863"/>
      <c r="Q437" s="730" t="str">
        <f t="shared" si="13"/>
        <v>Contact famille</v>
      </c>
      <c r="R437" s="741"/>
      <c r="S437" s="741"/>
      <c r="T437" s="741"/>
      <c r="U437" s="741"/>
      <c r="V437" s="741" t="s">
        <v>313</v>
      </c>
      <c r="W437" s="741"/>
      <c r="X437" s="741"/>
      <c r="Y437" s="741"/>
      <c r="Z437" s="741" t="s">
        <v>313</v>
      </c>
      <c r="AA437" s="741"/>
      <c r="AB437" s="423"/>
      <c r="AC437" s="423"/>
      <c r="AD437" s="423"/>
      <c r="AE437" s="423"/>
      <c r="AF437" s="422"/>
      <c r="AG437" s="448"/>
      <c r="AH437" s="431"/>
      <c r="AI437" s="429" t="s">
        <v>242</v>
      </c>
      <c r="AJ437" s="429" t="s">
        <v>242</v>
      </c>
      <c r="AK437" s="470" t="s">
        <v>242</v>
      </c>
      <c r="AL437" s="439" t="s">
        <v>242</v>
      </c>
      <c r="AM437" s="433" t="s">
        <v>244</v>
      </c>
      <c r="AN437" s="434"/>
      <c r="AO437" s="430" t="s">
        <v>3207</v>
      </c>
      <c r="AP437" s="435"/>
      <c r="AQ437" s="430" t="s">
        <v>3212</v>
      </c>
      <c r="AR437" s="436"/>
      <c r="AS437" s="413"/>
      <c r="AT437" s="413"/>
      <c r="AU437" s="400"/>
      <c r="AV437" s="412"/>
      <c r="AW437" s="398"/>
      <c r="AX437" s="72"/>
      <c r="AY437" s="398"/>
      <c r="AZ437" s="400"/>
      <c r="BA437" s="72"/>
      <c r="BB437" s="404"/>
      <c r="BC437" s="404"/>
      <c r="BD437" s="404"/>
      <c r="BE437" s="404"/>
      <c r="BF437" s="404"/>
      <c r="BG437" s="404"/>
      <c r="BH437" s="403"/>
      <c r="BI437" s="403"/>
      <c r="BJ437" s="403"/>
      <c r="BK437" s="402"/>
      <c r="BL437" s="402"/>
      <c r="BM437" s="402"/>
      <c r="BN437" s="401"/>
      <c r="BO437" s="437"/>
      <c r="BP437" s="438"/>
      <c r="BQ437" s="438"/>
      <c r="BR437" s="444"/>
      <c r="BS437" s="445"/>
    </row>
    <row r="438" spans="1:72" ht="15" customHeight="1" x14ac:dyDescent="0.15">
      <c r="A438" s="419" t="s">
        <v>3198</v>
      </c>
      <c r="B438" s="405" t="s">
        <v>3200</v>
      </c>
      <c r="C438" s="405"/>
      <c r="D438" s="405"/>
      <c r="E438" s="405"/>
      <c r="F438" s="451" t="s">
        <v>107</v>
      </c>
      <c r="G438" s="441" t="s">
        <v>3202</v>
      </c>
      <c r="H438" s="442" t="s">
        <v>3203</v>
      </c>
      <c r="I438" s="406" t="s">
        <v>223</v>
      </c>
      <c r="J438" s="407" t="s">
        <v>1149</v>
      </c>
      <c r="K438" s="408"/>
      <c r="L438" s="409">
        <v>16</v>
      </c>
      <c r="M438" s="409"/>
      <c r="N438" s="410" t="str">
        <f t="shared" si="12"/>
        <v>U15 Dames</v>
      </c>
      <c r="O438" s="739">
        <v>16</v>
      </c>
      <c r="P438" s="863"/>
      <c r="Q438" s="730" t="str">
        <f t="shared" si="13"/>
        <v>U15 Dames</v>
      </c>
      <c r="R438" s="741"/>
      <c r="S438" s="741"/>
      <c r="T438" s="741"/>
      <c r="U438" s="741"/>
      <c r="V438" s="741"/>
      <c r="W438" s="741"/>
      <c r="X438" s="741"/>
      <c r="Y438" s="741"/>
      <c r="Z438" s="741" t="s">
        <v>192</v>
      </c>
      <c r="AA438" s="741"/>
      <c r="AB438" s="423" t="s">
        <v>3220</v>
      </c>
      <c r="AC438" s="423"/>
      <c r="AD438" s="423"/>
      <c r="AE438" s="423"/>
      <c r="AF438" s="422"/>
      <c r="AG438" s="448"/>
      <c r="AH438" s="431"/>
      <c r="AI438" s="429">
        <v>43817</v>
      </c>
      <c r="AJ438" s="429">
        <v>43803</v>
      </c>
      <c r="AK438" s="613">
        <v>2023</v>
      </c>
      <c r="AL438" s="439">
        <v>41550</v>
      </c>
      <c r="AM438" s="433" t="s">
        <v>3205</v>
      </c>
      <c r="AN438" s="434"/>
      <c r="AO438" s="430" t="s">
        <v>3207</v>
      </c>
      <c r="AP438" s="435" t="s">
        <v>3208</v>
      </c>
      <c r="AQ438" s="430" t="s">
        <v>3210</v>
      </c>
      <c r="AR438" s="436" t="s">
        <v>3209</v>
      </c>
      <c r="AS438" s="413"/>
      <c r="AT438" s="413"/>
      <c r="AU438" s="400"/>
      <c r="AV438" s="412"/>
      <c r="AW438" s="398"/>
      <c r="AX438" s="72"/>
      <c r="AY438" s="398"/>
      <c r="AZ438" s="400"/>
      <c r="BA438" s="72"/>
      <c r="BB438" s="404"/>
      <c r="BC438" s="404"/>
      <c r="BD438" s="404"/>
      <c r="BE438" s="443" t="s">
        <v>347</v>
      </c>
      <c r="BF438" s="404"/>
      <c r="BG438" s="404"/>
      <c r="BH438" s="403"/>
      <c r="BI438" s="403"/>
      <c r="BJ438" s="403"/>
      <c r="BK438" s="402"/>
      <c r="BL438" s="402"/>
      <c r="BM438" s="402"/>
      <c r="BN438" s="401"/>
      <c r="BO438" s="437"/>
      <c r="BP438" s="438"/>
      <c r="BQ438" s="438"/>
      <c r="BR438" s="444"/>
      <c r="BS438" s="445"/>
    </row>
    <row r="439" spans="1:72" ht="15" customHeight="1" x14ac:dyDescent="0.15">
      <c r="A439" s="419" t="s">
        <v>3198</v>
      </c>
      <c r="B439" s="405" t="s">
        <v>271</v>
      </c>
      <c r="C439" s="405"/>
      <c r="D439" s="405"/>
      <c r="E439" s="405"/>
      <c r="F439" s="451" t="s">
        <v>107</v>
      </c>
      <c r="G439" s="441" t="s">
        <v>3202</v>
      </c>
      <c r="H439" s="442" t="s">
        <v>3203</v>
      </c>
      <c r="I439" s="406" t="s">
        <v>223</v>
      </c>
      <c r="J439" s="407" t="s">
        <v>1149</v>
      </c>
      <c r="K439" s="408"/>
      <c r="L439" s="409">
        <v>7</v>
      </c>
      <c r="M439" s="409"/>
      <c r="N439" s="410" t="str">
        <f t="shared" si="12"/>
        <v>U 11 Hommes</v>
      </c>
      <c r="O439" s="739">
        <v>7</v>
      </c>
      <c r="P439" s="863"/>
      <c r="Q439" s="730" t="str">
        <f t="shared" si="13"/>
        <v>U 11 Hommes</v>
      </c>
      <c r="R439" s="741"/>
      <c r="S439" s="741"/>
      <c r="T439" s="741"/>
      <c r="U439" s="741"/>
      <c r="V439" s="741" t="s">
        <v>192</v>
      </c>
      <c r="W439" s="741"/>
      <c r="X439" s="741"/>
      <c r="Y439" s="741"/>
      <c r="Z439" s="741"/>
      <c r="AA439" s="741"/>
      <c r="AB439" s="423"/>
      <c r="AC439" s="423"/>
      <c r="AD439" s="423" t="s">
        <v>252</v>
      </c>
      <c r="AE439" s="423"/>
      <c r="AF439" s="422"/>
      <c r="AG439" s="448" t="s">
        <v>3204</v>
      </c>
      <c r="AH439" s="431"/>
      <c r="AI439" s="429"/>
      <c r="AJ439" s="429">
        <v>43803</v>
      </c>
      <c r="AK439" s="613">
        <v>2023</v>
      </c>
      <c r="AL439" s="439">
        <v>42383</v>
      </c>
      <c r="AM439" s="433" t="s">
        <v>3206</v>
      </c>
      <c r="AN439" s="434" t="s">
        <v>252</v>
      </c>
      <c r="AO439" s="430" t="s">
        <v>3207</v>
      </c>
      <c r="AP439" s="435" t="s">
        <v>3208</v>
      </c>
      <c r="AQ439" s="430" t="s">
        <v>3210</v>
      </c>
      <c r="AR439" s="436" t="s">
        <v>3209</v>
      </c>
      <c r="AS439" s="413"/>
      <c r="AT439" s="413"/>
      <c r="AU439" s="400"/>
      <c r="AV439" s="412"/>
      <c r="AW439" s="398"/>
      <c r="AX439" s="72"/>
      <c r="AY439" s="398"/>
      <c r="AZ439" s="400"/>
      <c r="BA439" s="72"/>
      <c r="BB439" s="404"/>
      <c r="BC439" s="404"/>
      <c r="BD439" s="404"/>
      <c r="BE439" s="443" t="s">
        <v>347</v>
      </c>
      <c r="BF439" s="404"/>
      <c r="BG439" s="404"/>
      <c r="BH439" s="403"/>
      <c r="BI439" s="403"/>
      <c r="BJ439" s="403"/>
      <c r="BK439" s="402"/>
      <c r="BL439" s="402"/>
      <c r="BM439" s="402"/>
      <c r="BN439" s="401"/>
      <c r="BO439" s="437"/>
      <c r="BP439" s="438"/>
      <c r="BQ439" s="438"/>
      <c r="BR439" s="444"/>
      <c r="BS439" s="445"/>
      <c r="BT439" s="457"/>
    </row>
    <row r="440" spans="1:72" ht="15" customHeight="1" x14ac:dyDescent="0.15">
      <c r="A440" s="419" t="s">
        <v>1039</v>
      </c>
      <c r="B440" s="405" t="s">
        <v>3232</v>
      </c>
      <c r="C440" s="405"/>
      <c r="D440" s="405"/>
      <c r="E440" s="405"/>
      <c r="F440" s="451" t="s">
        <v>107</v>
      </c>
      <c r="G440" s="441" t="s">
        <v>3233</v>
      </c>
      <c r="H440" s="442" t="s">
        <v>3234</v>
      </c>
      <c r="I440" s="406" t="s">
        <v>848</v>
      </c>
      <c r="J440" s="407" t="s">
        <v>1379</v>
      </c>
      <c r="K440" s="408"/>
      <c r="L440" s="409">
        <v>212</v>
      </c>
      <c r="M440" s="409"/>
      <c r="N440" s="410" t="str">
        <f t="shared" si="12"/>
        <v>Contact famille</v>
      </c>
      <c r="O440" s="739">
        <v>212</v>
      </c>
      <c r="P440" s="863"/>
      <c r="Q440" s="730" t="str">
        <f t="shared" si="13"/>
        <v>Contact famille</v>
      </c>
      <c r="R440" s="741"/>
      <c r="S440" s="741"/>
      <c r="T440" s="741" t="s">
        <v>313</v>
      </c>
      <c r="U440" s="741" t="s">
        <v>313</v>
      </c>
      <c r="V440" s="741"/>
      <c r="W440" s="741"/>
      <c r="X440" s="741"/>
      <c r="Y440" s="741"/>
      <c r="Z440" s="741"/>
      <c r="AA440" s="741"/>
      <c r="AB440" s="423"/>
      <c r="AC440" s="423"/>
      <c r="AD440" s="423"/>
      <c r="AE440" s="423"/>
      <c r="AF440" s="422"/>
      <c r="AG440" s="448"/>
      <c r="AH440" s="431"/>
      <c r="AI440" s="429" t="s">
        <v>242</v>
      </c>
      <c r="AJ440" s="429"/>
      <c r="AK440" s="428" t="s">
        <v>242</v>
      </c>
      <c r="AL440" s="399" t="s">
        <v>242</v>
      </c>
      <c r="AM440" s="433"/>
      <c r="AN440" s="434"/>
      <c r="AO440" s="430" t="s">
        <v>3237</v>
      </c>
      <c r="AP440" s="435"/>
      <c r="AQ440" s="430" t="s">
        <v>3238</v>
      </c>
      <c r="AR440" s="436" t="s">
        <v>3242</v>
      </c>
      <c r="AS440" s="413"/>
      <c r="AT440" s="413"/>
      <c r="AU440" s="400"/>
      <c r="AV440" s="412"/>
      <c r="AW440" s="398"/>
      <c r="AX440" s="72"/>
      <c r="AY440" s="398"/>
      <c r="AZ440" s="400"/>
      <c r="BA440" s="72"/>
      <c r="BB440" s="404"/>
      <c r="BC440" s="404"/>
      <c r="BD440" s="404"/>
      <c r="BE440" s="404"/>
      <c r="BF440" s="404"/>
      <c r="BG440" s="404"/>
      <c r="BH440" s="403"/>
      <c r="BI440" s="403"/>
      <c r="BJ440" s="403"/>
      <c r="BK440" s="402"/>
      <c r="BL440" s="402"/>
      <c r="BM440" s="402"/>
      <c r="BN440" s="401"/>
      <c r="BO440" s="437"/>
      <c r="BP440" s="438"/>
      <c r="BQ440" s="438"/>
      <c r="BR440" s="444"/>
      <c r="BS440" s="445"/>
    </row>
    <row r="441" spans="1:72" ht="15" customHeight="1" x14ac:dyDescent="0.15">
      <c r="A441" s="419" t="s">
        <v>4246</v>
      </c>
      <c r="B441" s="405" t="s">
        <v>4247</v>
      </c>
      <c r="C441" s="405"/>
      <c r="D441" s="405"/>
      <c r="E441" s="405"/>
      <c r="F441" s="447" t="s">
        <v>616</v>
      </c>
      <c r="G441" s="441" t="s">
        <v>4248</v>
      </c>
      <c r="H441" s="442" t="s">
        <v>4249</v>
      </c>
      <c r="I441" s="406" t="s">
        <v>1714</v>
      </c>
      <c r="J441" s="407" t="s">
        <v>912</v>
      </c>
      <c r="K441" s="408"/>
      <c r="L441" s="409">
        <v>212</v>
      </c>
      <c r="M441" s="409"/>
      <c r="N441" s="410" t="str">
        <f t="shared" si="12"/>
        <v>Contact famille</v>
      </c>
      <c r="O441" s="739">
        <v>212</v>
      </c>
      <c r="P441" s="863"/>
      <c r="Q441" s="730" t="str">
        <f t="shared" si="13"/>
        <v>Contact famille</v>
      </c>
      <c r="R441" s="741"/>
      <c r="S441" s="741"/>
      <c r="T441" s="741"/>
      <c r="U441" s="741"/>
      <c r="V441" s="741"/>
      <c r="W441" s="741" t="s">
        <v>313</v>
      </c>
      <c r="X441" s="741"/>
      <c r="Y441" s="741"/>
      <c r="Z441" s="741"/>
      <c r="AA441" s="741"/>
      <c r="AB441" s="423"/>
      <c r="AC441" s="423"/>
      <c r="AD441" s="423"/>
      <c r="AE441" s="423"/>
      <c r="AF441" s="422"/>
      <c r="AG441" s="369"/>
      <c r="AH441" s="431"/>
      <c r="AI441" s="429" t="s">
        <v>242</v>
      </c>
      <c r="AJ441" s="429" t="s">
        <v>242</v>
      </c>
      <c r="AK441" s="428" t="s">
        <v>242</v>
      </c>
      <c r="AL441" s="399" t="s">
        <v>242</v>
      </c>
      <c r="AM441" s="449" t="s">
        <v>244</v>
      </c>
      <c r="AN441" s="434"/>
      <c r="AO441" s="430"/>
      <c r="AP441" s="435"/>
      <c r="AQ441" s="440">
        <v>621318311</v>
      </c>
      <c r="AR441" s="450" t="s">
        <v>4253</v>
      </c>
      <c r="AS441" s="413"/>
      <c r="AT441" s="413"/>
      <c r="AU441" s="400"/>
      <c r="AV441" s="412"/>
      <c r="AW441" s="398"/>
      <c r="AX441" s="72"/>
      <c r="AY441" s="398"/>
      <c r="AZ441" s="400"/>
      <c r="BA441" s="72"/>
      <c r="BB441" s="404"/>
      <c r="BC441" s="404"/>
      <c r="BD441" s="404"/>
      <c r="BE441" s="404"/>
      <c r="BF441" s="404"/>
      <c r="BG441" s="404"/>
      <c r="BH441" s="403"/>
      <c r="BI441" s="403"/>
      <c r="BJ441" s="403"/>
      <c r="BK441" s="402"/>
      <c r="BL441" s="402"/>
      <c r="BM441" s="402"/>
      <c r="BN441" s="401"/>
      <c r="BO441" s="437"/>
      <c r="BP441" s="438"/>
      <c r="BQ441" s="438"/>
      <c r="BR441" s="444"/>
      <c r="BS441" s="445"/>
      <c r="BT441" s="150"/>
    </row>
    <row r="442" spans="1:72" ht="15" customHeight="1" x14ac:dyDescent="0.15">
      <c r="A442" s="419" t="s">
        <v>5036</v>
      </c>
      <c r="B442" s="405" t="s">
        <v>5037</v>
      </c>
      <c r="C442" s="405"/>
      <c r="D442" s="405"/>
      <c r="E442" s="405"/>
      <c r="F442" s="451" t="s">
        <v>5038</v>
      </c>
      <c r="G442" s="441" t="s">
        <v>4506</v>
      </c>
      <c r="H442" s="442" t="s">
        <v>5039</v>
      </c>
      <c r="I442" s="406" t="s">
        <v>5040</v>
      </c>
      <c r="J442" s="407" t="s">
        <v>320</v>
      </c>
      <c r="K442" s="408"/>
      <c r="L442" s="409">
        <v>12</v>
      </c>
      <c r="M442" s="409"/>
      <c r="N442" s="410" t="str">
        <f t="shared" si="12"/>
        <v>Dames</v>
      </c>
      <c r="O442" s="739">
        <v>12</v>
      </c>
      <c r="P442" s="863"/>
      <c r="Q442" s="730" t="str">
        <f t="shared" si="13"/>
        <v>Dames</v>
      </c>
      <c r="R442" s="741"/>
      <c r="S442" s="741"/>
      <c r="T442" s="741"/>
      <c r="U442" s="741"/>
      <c r="V442" s="741"/>
      <c r="W442" s="741"/>
      <c r="X442" s="741"/>
      <c r="Y442" s="741"/>
      <c r="Z442" s="741"/>
      <c r="AA442" s="741"/>
      <c r="AB442" s="423" t="s">
        <v>5054</v>
      </c>
      <c r="AC442" s="423"/>
      <c r="AD442" s="423"/>
      <c r="AE442" s="423"/>
      <c r="AF442" s="422"/>
      <c r="AG442" s="448"/>
      <c r="AH442" s="431"/>
      <c r="AI442" s="429">
        <v>45687</v>
      </c>
      <c r="AJ442" s="429">
        <v>45666</v>
      </c>
      <c r="AK442" s="428">
        <v>2026</v>
      </c>
      <c r="AL442" s="439">
        <v>35396</v>
      </c>
      <c r="AM442" s="433" t="s">
        <v>5041</v>
      </c>
      <c r="AN442" s="434"/>
      <c r="AO442" s="430"/>
      <c r="AP442" s="435"/>
      <c r="AQ442" s="440">
        <v>621566421</v>
      </c>
      <c r="AR442" s="436" t="s">
        <v>5042</v>
      </c>
      <c r="AS442" s="413"/>
      <c r="AT442" s="413"/>
      <c r="AU442" s="400"/>
      <c r="AV442" s="412"/>
      <c r="AW442" s="399"/>
      <c r="AX442" s="72"/>
      <c r="AY442" s="398"/>
      <c r="AZ442" s="400"/>
      <c r="BA442" s="72"/>
      <c r="BB442" s="404"/>
      <c r="BC442" s="404"/>
      <c r="BD442" s="404"/>
      <c r="BE442" s="404"/>
      <c r="BF442" s="404"/>
      <c r="BG442" s="404"/>
      <c r="BH442" s="403"/>
      <c r="BI442" s="403"/>
      <c r="BJ442" s="403"/>
      <c r="BK442" s="402"/>
      <c r="BL442" s="402"/>
      <c r="BM442" s="402"/>
      <c r="BN442" s="401"/>
      <c r="BO442" s="437"/>
      <c r="BP442" s="438"/>
      <c r="BQ442" s="438"/>
      <c r="BR442" s="444"/>
      <c r="BS442" s="445"/>
    </row>
    <row r="443" spans="1:72" ht="15" customHeight="1" x14ac:dyDescent="0.15">
      <c r="A443" s="419" t="s">
        <v>5273</v>
      </c>
      <c r="B443" s="405" t="s">
        <v>5274</v>
      </c>
      <c r="C443" s="405"/>
      <c r="D443" s="405"/>
      <c r="E443" s="405"/>
      <c r="F443" s="420" t="s">
        <v>490</v>
      </c>
      <c r="G443" s="421" t="s">
        <v>5275</v>
      </c>
      <c r="H443" s="442" t="s">
        <v>4303</v>
      </c>
      <c r="I443" s="406" t="s">
        <v>800</v>
      </c>
      <c r="J443" s="407" t="s">
        <v>320</v>
      </c>
      <c r="K443" s="408"/>
      <c r="L443" s="409">
        <v>12</v>
      </c>
      <c r="M443" s="409"/>
      <c r="N443" s="410" t="str">
        <f t="shared" si="12"/>
        <v>Dames</v>
      </c>
      <c r="O443" s="739">
        <v>12</v>
      </c>
      <c r="P443" s="863"/>
      <c r="Q443" s="730" t="str">
        <f t="shared" si="13"/>
        <v>Dames</v>
      </c>
      <c r="R443" s="740"/>
      <c r="S443" s="740"/>
      <c r="T443" s="740"/>
      <c r="U443" s="740"/>
      <c r="V443" s="740"/>
      <c r="W443" s="740"/>
      <c r="X443" s="740"/>
      <c r="Y443" s="740"/>
      <c r="Z443" s="740"/>
      <c r="AA443" s="740"/>
      <c r="AB443" s="423" t="s">
        <v>5286</v>
      </c>
      <c r="AC443" s="418"/>
      <c r="AD443" s="418"/>
      <c r="AE443" s="418"/>
      <c r="AF443" s="422"/>
      <c r="AG443" s="386" t="s">
        <v>5173</v>
      </c>
      <c r="AH443" s="417"/>
      <c r="AI443" s="429">
        <v>45912</v>
      </c>
      <c r="AJ443" s="429">
        <v>45909</v>
      </c>
      <c r="AK443" s="428">
        <v>2034</v>
      </c>
      <c r="AL443" s="439">
        <v>34469</v>
      </c>
      <c r="AM443" s="416" t="s">
        <v>5276</v>
      </c>
      <c r="AN443" s="412"/>
      <c r="AO443" s="72"/>
      <c r="AP443" s="536" t="s">
        <v>5277</v>
      </c>
      <c r="AQ443" s="440">
        <v>621223235</v>
      </c>
      <c r="AR443" s="400" t="s">
        <v>5278</v>
      </c>
      <c r="AS443" s="413"/>
      <c r="AT443" s="413"/>
      <c r="AU443" s="412"/>
      <c r="AV443" s="412"/>
      <c r="AW443" s="399"/>
      <c r="AX443" s="72"/>
      <c r="AY443" s="398"/>
      <c r="AZ443" s="400"/>
      <c r="BA443" s="72"/>
      <c r="BB443" s="404"/>
      <c r="BC443" s="404"/>
      <c r="BD443" s="404"/>
      <c r="BE443" s="404"/>
      <c r="BF443" s="404"/>
      <c r="BG443" s="404"/>
      <c r="BH443" s="403"/>
      <c r="BI443" s="403"/>
      <c r="BJ443" s="403"/>
      <c r="BK443" s="402"/>
      <c r="BL443" s="402"/>
      <c r="BM443" s="402"/>
      <c r="BN443" s="401"/>
      <c r="BO443" s="400"/>
      <c r="BP443" s="400"/>
      <c r="BQ443" s="400"/>
      <c r="BR443" s="72"/>
      <c r="BS443" s="411"/>
      <c r="BT443" s="150"/>
    </row>
    <row r="444" spans="1:72" ht="15" customHeight="1" x14ac:dyDescent="0.15">
      <c r="A444" s="419" t="s">
        <v>5304</v>
      </c>
      <c r="B444" s="405" t="s">
        <v>5331</v>
      </c>
      <c r="C444" s="405"/>
      <c r="D444" s="405"/>
      <c r="E444" s="405"/>
      <c r="F444" s="709"/>
      <c r="G444" s="710"/>
      <c r="H444" s="711"/>
      <c r="I444" s="713"/>
      <c r="J444" s="407" t="s">
        <v>5303</v>
      </c>
      <c r="K444" s="408"/>
      <c r="L444" s="409">
        <v>212</v>
      </c>
      <c r="M444" s="409"/>
      <c r="N444" s="410" t="str">
        <f t="shared" si="12"/>
        <v>Contact famille</v>
      </c>
      <c r="O444" s="739">
        <v>212</v>
      </c>
      <c r="P444" s="863"/>
      <c r="Q444" s="730" t="str">
        <f t="shared" si="13"/>
        <v>Contact famille</v>
      </c>
      <c r="R444" s="740"/>
      <c r="S444" s="740"/>
      <c r="T444" s="740"/>
      <c r="U444" s="740"/>
      <c r="V444" s="740"/>
      <c r="W444" s="740"/>
      <c r="X444" s="740" t="s">
        <v>313</v>
      </c>
      <c r="Y444" s="740"/>
      <c r="Z444" s="740"/>
      <c r="AA444" s="740"/>
      <c r="AB444" s="423"/>
      <c r="AC444" s="418"/>
      <c r="AD444" s="418"/>
      <c r="AE444" s="418"/>
      <c r="AF444" s="422"/>
      <c r="AG444" s="425"/>
      <c r="AH444" s="417"/>
      <c r="AI444" s="429" t="s">
        <v>242</v>
      </c>
      <c r="AJ444" s="429" t="s">
        <v>242</v>
      </c>
      <c r="AK444" s="428" t="s">
        <v>242</v>
      </c>
      <c r="AL444" s="439" t="s">
        <v>242</v>
      </c>
      <c r="AM444" s="433" t="s">
        <v>244</v>
      </c>
      <c r="AN444" s="412"/>
      <c r="AO444" s="72"/>
      <c r="AP444" s="414"/>
      <c r="AQ444" s="673"/>
      <c r="AR444" s="400" t="s">
        <v>5308</v>
      </c>
      <c r="AS444" s="413"/>
      <c r="AT444" s="413"/>
      <c r="AU444" s="412"/>
      <c r="AV444" s="412"/>
      <c r="AW444" s="399"/>
      <c r="AX444" s="72"/>
      <c r="AY444" s="398"/>
      <c r="AZ444" s="400"/>
      <c r="BA444" s="72"/>
      <c r="BB444" s="404"/>
      <c r="BC444" s="404"/>
      <c r="BD444" s="404"/>
      <c r="BE444" s="404"/>
      <c r="BF444" s="404"/>
      <c r="BG444" s="404"/>
      <c r="BH444" s="403"/>
      <c r="BI444" s="403"/>
      <c r="BJ444" s="403"/>
      <c r="BK444" s="402"/>
      <c r="BL444" s="402"/>
      <c r="BM444" s="402"/>
      <c r="BN444" s="401"/>
      <c r="BO444" s="400"/>
      <c r="BP444" s="400"/>
      <c r="BQ444" s="400"/>
      <c r="BR444" s="72"/>
      <c r="BS444" s="411"/>
    </row>
    <row r="445" spans="1:72" ht="15" customHeight="1" x14ac:dyDescent="0.15">
      <c r="A445" s="419" t="s">
        <v>5304</v>
      </c>
      <c r="B445" s="405"/>
      <c r="C445" s="405"/>
      <c r="D445" s="405"/>
      <c r="E445" s="405"/>
      <c r="F445" s="709"/>
      <c r="G445" s="710" t="s">
        <v>252</v>
      </c>
      <c r="H445" s="711"/>
      <c r="I445" s="713"/>
      <c r="J445" s="407" t="s">
        <v>5303</v>
      </c>
      <c r="K445" s="408"/>
      <c r="L445" s="409">
        <v>212</v>
      </c>
      <c r="M445" s="409"/>
      <c r="N445" s="410" t="str">
        <f t="shared" si="12"/>
        <v>Contact famille</v>
      </c>
      <c r="O445" s="739">
        <v>212</v>
      </c>
      <c r="P445" s="863"/>
      <c r="Q445" s="730" t="str">
        <f t="shared" si="13"/>
        <v>Contact famille</v>
      </c>
      <c r="R445" s="740"/>
      <c r="S445" s="740"/>
      <c r="T445" s="740"/>
      <c r="U445" s="740"/>
      <c r="V445" s="740"/>
      <c r="W445" s="740"/>
      <c r="X445" s="740" t="s">
        <v>313</v>
      </c>
      <c r="Y445" s="740"/>
      <c r="Z445" s="740"/>
      <c r="AA445" s="740"/>
      <c r="AB445" s="423"/>
      <c r="AC445" s="418"/>
      <c r="AD445" s="418"/>
      <c r="AE445" s="418"/>
      <c r="AF445" s="422"/>
      <c r="AG445" s="425"/>
      <c r="AH445" s="417"/>
      <c r="AI445" s="429" t="s">
        <v>242</v>
      </c>
      <c r="AJ445" s="429" t="s">
        <v>242</v>
      </c>
      <c r="AK445" s="428" t="s">
        <v>242</v>
      </c>
      <c r="AL445" s="439" t="s">
        <v>242</v>
      </c>
      <c r="AM445" s="433" t="s">
        <v>244</v>
      </c>
      <c r="AN445" s="412"/>
      <c r="AO445" s="72"/>
      <c r="AP445" s="414"/>
      <c r="AQ445" s="673"/>
      <c r="AR445" s="400"/>
      <c r="AS445" s="413"/>
      <c r="AT445" s="413"/>
      <c r="AU445" s="412"/>
      <c r="AV445" s="412"/>
      <c r="AW445" s="399"/>
      <c r="AX445" s="72"/>
      <c r="AY445" s="398"/>
      <c r="AZ445" s="400"/>
      <c r="BA445" s="72"/>
      <c r="BB445" s="404"/>
      <c r="BC445" s="404"/>
      <c r="BD445" s="404"/>
      <c r="BE445" s="404"/>
      <c r="BF445" s="404"/>
      <c r="BG445" s="404"/>
      <c r="BH445" s="403"/>
      <c r="BI445" s="403"/>
      <c r="BJ445" s="403"/>
      <c r="BK445" s="402"/>
      <c r="BL445" s="402"/>
      <c r="BM445" s="402"/>
      <c r="BN445" s="401"/>
      <c r="BO445" s="400"/>
      <c r="BP445" s="400"/>
      <c r="BQ445" s="400"/>
      <c r="BR445" s="72"/>
      <c r="BS445" s="411"/>
    </row>
    <row r="446" spans="1:72" ht="15" customHeight="1" x14ac:dyDescent="0.15">
      <c r="A446" s="419" t="s">
        <v>5304</v>
      </c>
      <c r="B446" s="405" t="s">
        <v>845</v>
      </c>
      <c r="C446" s="405"/>
      <c r="D446" s="405"/>
      <c r="E446" s="405"/>
      <c r="F446" s="709"/>
      <c r="G446" s="710"/>
      <c r="H446" s="711"/>
      <c r="I446" s="713"/>
      <c r="J446" s="407" t="s">
        <v>5303</v>
      </c>
      <c r="K446" s="408"/>
      <c r="L446" s="409">
        <v>21</v>
      </c>
      <c r="M446" s="409"/>
      <c r="N446" s="410" t="str">
        <f t="shared" si="12"/>
        <v>U7 Mixte</v>
      </c>
      <c r="O446" s="739">
        <v>21</v>
      </c>
      <c r="P446" s="863"/>
      <c r="Q446" s="730" t="str">
        <f t="shared" si="13"/>
        <v>U7 Mixte</v>
      </c>
      <c r="R446" s="740"/>
      <c r="S446" s="740"/>
      <c r="T446" s="740"/>
      <c r="U446" s="740"/>
      <c r="V446" s="740"/>
      <c r="W446" s="740"/>
      <c r="X446" s="740" t="s">
        <v>192</v>
      </c>
      <c r="Y446" s="740"/>
      <c r="Z446" s="740"/>
      <c r="AA446" s="740"/>
      <c r="AB446" s="568" t="s">
        <v>2805</v>
      </c>
      <c r="AC446" s="418"/>
      <c r="AD446" s="418"/>
      <c r="AE446" s="418"/>
      <c r="AF446" s="422"/>
      <c r="AG446" s="572" t="s">
        <v>5255</v>
      </c>
      <c r="AH446" s="417"/>
      <c r="AI446" s="569"/>
      <c r="AJ446" s="429">
        <v>45940</v>
      </c>
      <c r="AK446" s="428">
        <v>2029</v>
      </c>
      <c r="AL446" s="439">
        <v>44817</v>
      </c>
      <c r="AM446" s="416" t="s">
        <v>5307</v>
      </c>
      <c r="AN446" s="412"/>
      <c r="AO446" s="72"/>
      <c r="AP446" s="671"/>
      <c r="AQ446" s="673"/>
      <c r="AR446" s="715" t="s">
        <v>5308</v>
      </c>
      <c r="AS446" s="413"/>
      <c r="AT446" s="413"/>
      <c r="AU446" s="412"/>
      <c r="AV446" s="412"/>
      <c r="AW446" s="399"/>
      <c r="AX446" s="72"/>
      <c r="AY446" s="398"/>
      <c r="AZ446" s="400"/>
      <c r="BA446" s="72"/>
      <c r="BB446" s="404"/>
      <c r="BC446" s="404"/>
      <c r="BD446" s="404"/>
      <c r="BE446" s="404"/>
      <c r="BF446" s="404"/>
      <c r="BG446" s="404"/>
      <c r="BH446" s="403"/>
      <c r="BI446" s="403"/>
      <c r="BJ446" s="403"/>
      <c r="BK446" s="402"/>
      <c r="BL446" s="402"/>
      <c r="BM446" s="402"/>
      <c r="BN446" s="401"/>
      <c r="BO446" s="400"/>
      <c r="BP446" s="400"/>
      <c r="BQ446" s="400"/>
      <c r="BR446" s="72"/>
      <c r="BS446" s="411"/>
    </row>
    <row r="447" spans="1:72" ht="15" customHeight="1" x14ac:dyDescent="0.15">
      <c r="A447" s="419" t="s">
        <v>4197</v>
      </c>
      <c r="B447" s="405" t="s">
        <v>4198</v>
      </c>
      <c r="C447" s="405"/>
      <c r="D447" s="405"/>
      <c r="E447" s="405"/>
      <c r="F447" s="447" t="s">
        <v>107</v>
      </c>
      <c r="G447" s="441" t="s">
        <v>4266</v>
      </c>
      <c r="H447" s="442" t="s">
        <v>4201</v>
      </c>
      <c r="I447" s="406" t="s">
        <v>241</v>
      </c>
      <c r="J447" s="407" t="s">
        <v>2157</v>
      </c>
      <c r="K447" s="408"/>
      <c r="L447" s="409">
        <v>8</v>
      </c>
      <c r="M447" s="409"/>
      <c r="N447" s="410" t="str">
        <f t="shared" si="12"/>
        <v xml:space="preserve">U 9 Hommes </v>
      </c>
      <c r="O447" s="739">
        <v>8</v>
      </c>
      <c r="P447" s="863"/>
      <c r="Q447" s="730" t="str">
        <f t="shared" si="13"/>
        <v xml:space="preserve">U 9 Hommes </v>
      </c>
      <c r="R447" s="741"/>
      <c r="S447" s="741"/>
      <c r="T447" s="741"/>
      <c r="U447" s="741"/>
      <c r="V447" s="741"/>
      <c r="W447" s="741" t="s">
        <v>192</v>
      </c>
      <c r="X447" s="741"/>
      <c r="Y447" s="741"/>
      <c r="Z447" s="741"/>
      <c r="AA447" s="741"/>
      <c r="AB447" s="423" t="s">
        <v>4417</v>
      </c>
      <c r="AC447" s="423"/>
      <c r="AD447" s="423"/>
      <c r="AE447" s="423"/>
      <c r="AF447" s="422"/>
      <c r="AG447" s="448"/>
      <c r="AH447" s="431"/>
      <c r="AI447" s="429">
        <v>45131</v>
      </c>
      <c r="AJ447" s="429">
        <v>44887</v>
      </c>
      <c r="AK447" s="617">
        <v>2025</v>
      </c>
      <c r="AL447" s="439">
        <v>43338</v>
      </c>
      <c r="AM447" s="433" t="s">
        <v>4202</v>
      </c>
      <c r="AN447" s="434"/>
      <c r="AO447" s="430"/>
      <c r="AP447" s="435"/>
      <c r="AQ447" s="440" t="s">
        <v>4203</v>
      </c>
      <c r="AR447" s="436" t="s">
        <v>4204</v>
      </c>
      <c r="AS447" s="413"/>
      <c r="AT447" s="413"/>
      <c r="AU447" s="400"/>
      <c r="AV447" s="412"/>
      <c r="AW447" s="398"/>
      <c r="AX447" s="72"/>
      <c r="AY447" s="398"/>
      <c r="AZ447" s="400"/>
      <c r="BA447" s="72"/>
      <c r="BB447" s="404"/>
      <c r="BC447" s="404"/>
      <c r="BD447" s="404"/>
      <c r="BE447" s="404"/>
      <c r="BF447" s="404"/>
      <c r="BG447" s="404"/>
      <c r="BH447" s="403"/>
      <c r="BI447" s="403"/>
      <c r="BJ447" s="403"/>
      <c r="BK447" s="402"/>
      <c r="BL447" s="402"/>
      <c r="BM447" s="402"/>
      <c r="BN447" s="401"/>
      <c r="BO447" s="437"/>
      <c r="BP447" s="438"/>
      <c r="BQ447" s="438"/>
      <c r="BR447" s="444"/>
      <c r="BS447" s="445"/>
    </row>
    <row r="448" spans="1:72" ht="15" customHeight="1" x14ac:dyDescent="0.15">
      <c r="A448" s="419" t="s">
        <v>2438</v>
      </c>
      <c r="B448" s="405" t="s">
        <v>2439</v>
      </c>
      <c r="C448" s="405"/>
      <c r="D448" s="405"/>
      <c r="E448" s="405"/>
      <c r="F448" s="451" t="s">
        <v>107</v>
      </c>
      <c r="G448" s="441" t="s">
        <v>2197</v>
      </c>
      <c r="H448" s="442" t="s">
        <v>683</v>
      </c>
      <c r="I448" s="406" t="s">
        <v>241</v>
      </c>
      <c r="J448" s="407" t="s">
        <v>2198</v>
      </c>
      <c r="K448" s="408"/>
      <c r="L448" s="409">
        <v>212</v>
      </c>
      <c r="M448" s="409"/>
      <c r="N448" s="410" t="str">
        <f t="shared" si="12"/>
        <v>Contact famille</v>
      </c>
      <c r="O448" s="739">
        <v>212</v>
      </c>
      <c r="P448" s="863"/>
      <c r="Q448" s="730" t="str">
        <f t="shared" si="13"/>
        <v>Contact famille</v>
      </c>
      <c r="R448" s="741"/>
      <c r="S448" s="741"/>
      <c r="T448" s="741" t="s">
        <v>313</v>
      </c>
      <c r="U448" s="741" t="s">
        <v>313</v>
      </c>
      <c r="V448" s="741"/>
      <c r="W448" s="741"/>
      <c r="X448" s="741"/>
      <c r="Y448" s="741"/>
      <c r="Z448" s="741"/>
      <c r="AA448" s="741"/>
      <c r="AB448" s="423"/>
      <c r="AC448" s="423"/>
      <c r="AD448" s="423"/>
      <c r="AE448" s="423"/>
      <c r="AF448" s="422"/>
      <c r="AG448" s="448"/>
      <c r="AH448" s="431"/>
      <c r="AI448" s="429" t="s">
        <v>242</v>
      </c>
      <c r="AJ448" s="429">
        <v>43382</v>
      </c>
      <c r="AK448" s="428" t="s">
        <v>242</v>
      </c>
      <c r="AL448" s="399" t="s">
        <v>242</v>
      </c>
      <c r="AM448" s="433" t="s">
        <v>244</v>
      </c>
      <c r="AN448" s="437"/>
      <c r="AO448" s="430" t="s">
        <v>2199</v>
      </c>
      <c r="AP448" s="435"/>
      <c r="AQ448" s="430" t="s">
        <v>2440</v>
      </c>
      <c r="AR448" s="450" t="s">
        <v>2206</v>
      </c>
      <c r="AS448" s="413" t="s">
        <v>3970</v>
      </c>
      <c r="AT448" s="413" t="s">
        <v>3969</v>
      </c>
      <c r="AU448" s="400"/>
      <c r="AV448" s="412"/>
      <c r="AW448" s="398"/>
      <c r="AX448" s="72"/>
      <c r="AY448" s="398"/>
      <c r="AZ448" s="400" t="s">
        <v>420</v>
      </c>
      <c r="BA448" s="72"/>
      <c r="BB448" s="404" t="s">
        <v>2813</v>
      </c>
      <c r="BC448" s="404" t="s">
        <v>3151</v>
      </c>
      <c r="BD448" s="404"/>
      <c r="BE448" s="404" t="s">
        <v>988</v>
      </c>
      <c r="BF448" s="404"/>
      <c r="BG448" s="404"/>
      <c r="BH448" s="403"/>
      <c r="BI448" s="403"/>
      <c r="BJ448" s="403"/>
      <c r="BK448" s="402"/>
      <c r="BL448" s="402"/>
      <c r="BM448" s="402"/>
      <c r="BN448" s="401"/>
      <c r="BO448" s="437"/>
      <c r="BP448" s="438"/>
      <c r="BQ448" s="438"/>
      <c r="BR448" s="444"/>
      <c r="BS448" s="445"/>
      <c r="BT448" s="150"/>
    </row>
    <row r="449" spans="1:72" ht="15" customHeight="1" x14ac:dyDescent="0.15">
      <c r="A449" s="419" t="s">
        <v>1068</v>
      </c>
      <c r="B449" s="405" t="s">
        <v>1069</v>
      </c>
      <c r="C449" s="405"/>
      <c r="D449" s="405"/>
      <c r="E449" s="405"/>
      <c r="F449" s="451" t="s">
        <v>263</v>
      </c>
      <c r="G449" s="421" t="s">
        <v>1025</v>
      </c>
      <c r="H449" s="442" t="s">
        <v>692</v>
      </c>
      <c r="I449" s="406" t="s">
        <v>266</v>
      </c>
      <c r="J449" s="407" t="s">
        <v>1026</v>
      </c>
      <c r="K449" s="408"/>
      <c r="L449" s="409">
        <v>3</v>
      </c>
      <c r="M449" s="409"/>
      <c r="N449" s="410" t="str">
        <f t="shared" si="12"/>
        <v>U 21 Hommes</v>
      </c>
      <c r="O449" s="739">
        <v>3</v>
      </c>
      <c r="P449" s="863"/>
      <c r="Q449" s="730" t="str">
        <f t="shared" si="13"/>
        <v>U 21 Hommes</v>
      </c>
      <c r="R449" s="741"/>
      <c r="S449" s="741"/>
      <c r="T449" s="741"/>
      <c r="U449" s="741"/>
      <c r="V449" s="741"/>
      <c r="W449" s="741"/>
      <c r="X449" s="741"/>
      <c r="Y449" s="741"/>
      <c r="Z449" s="741"/>
      <c r="AA449" s="741"/>
      <c r="AB449" s="423" t="s">
        <v>3049</v>
      </c>
      <c r="AC449" s="423"/>
      <c r="AD449" s="423"/>
      <c r="AE449" s="423"/>
      <c r="AF449" s="422"/>
      <c r="AG449" s="369"/>
      <c r="AH449" s="431"/>
      <c r="AI449" s="429">
        <v>42636</v>
      </c>
      <c r="AJ449" s="429">
        <v>42636</v>
      </c>
      <c r="AK449" s="428">
        <v>2027</v>
      </c>
      <c r="AL449" s="439">
        <v>39111</v>
      </c>
      <c r="AM449" s="433" t="s">
        <v>2441</v>
      </c>
      <c r="AN449" s="437"/>
      <c r="AO449" s="430" t="s">
        <v>1037</v>
      </c>
      <c r="AP449" s="435"/>
      <c r="AQ449" s="440" t="s">
        <v>3499</v>
      </c>
      <c r="AR449" s="450" t="s">
        <v>1038</v>
      </c>
      <c r="AS449" s="413"/>
      <c r="AT449" s="413"/>
      <c r="AU449" s="400"/>
      <c r="AV449" s="412"/>
      <c r="AW449" s="398"/>
      <c r="AX449" s="72"/>
      <c r="AY449" s="398"/>
      <c r="AZ449" s="400" t="s">
        <v>209</v>
      </c>
      <c r="BA449" s="72"/>
      <c r="BB449" s="404" t="s">
        <v>2813</v>
      </c>
      <c r="BC449" s="404" t="s">
        <v>292</v>
      </c>
      <c r="BD449" s="404"/>
      <c r="BE449" s="404">
        <v>100</v>
      </c>
      <c r="BF449" s="404"/>
      <c r="BG449" s="404"/>
      <c r="BH449" s="403"/>
      <c r="BI449" s="403"/>
      <c r="BJ449" s="403"/>
      <c r="BK449" s="402"/>
      <c r="BL449" s="402"/>
      <c r="BM449" s="402"/>
      <c r="BN449" s="401"/>
      <c r="BO449" s="437"/>
      <c r="BP449" s="438" t="s">
        <v>216</v>
      </c>
      <c r="BQ449" s="438"/>
      <c r="BR449" s="444"/>
      <c r="BS449" s="445"/>
    </row>
    <row r="450" spans="1:72" ht="15" customHeight="1" x14ac:dyDescent="0.15">
      <c r="A450" s="419" t="s">
        <v>2853</v>
      </c>
      <c r="B450" s="405" t="s">
        <v>3832</v>
      </c>
      <c r="C450" s="405"/>
      <c r="D450" s="405"/>
      <c r="E450" s="405"/>
      <c r="F450" s="451" t="s">
        <v>107</v>
      </c>
      <c r="G450" s="441" t="s">
        <v>3834</v>
      </c>
      <c r="H450" s="442" t="s">
        <v>3835</v>
      </c>
      <c r="I450" s="406" t="s">
        <v>360</v>
      </c>
      <c r="J450" s="407" t="s">
        <v>1081</v>
      </c>
      <c r="K450" s="408"/>
      <c r="L450" s="409">
        <v>212</v>
      </c>
      <c r="M450" s="409"/>
      <c r="N450" s="410" t="str">
        <f t="shared" ref="N450:N513" si="14">VLOOKUP(L450,CAT_JOUEUR,2,FALSE)</f>
        <v>Contact famille</v>
      </c>
      <c r="O450" s="739">
        <v>212</v>
      </c>
      <c r="P450" s="863"/>
      <c r="Q450" s="730" t="str">
        <f t="shared" ref="Q450:Q513" si="15">VLOOKUP(O450,CAT_JOUEUR,2,FALSE)</f>
        <v>Contact famille</v>
      </c>
      <c r="R450" s="741"/>
      <c r="S450" s="741"/>
      <c r="T450" s="741"/>
      <c r="U450" s="741"/>
      <c r="V450" s="741"/>
      <c r="W450" s="741" t="s">
        <v>313</v>
      </c>
      <c r="X450" s="741"/>
      <c r="Y450" s="741"/>
      <c r="Z450" s="741"/>
      <c r="AA450" s="741"/>
      <c r="AB450" s="423"/>
      <c r="AC450" s="423"/>
      <c r="AD450" s="423"/>
      <c r="AE450" s="423"/>
      <c r="AF450" s="422"/>
      <c r="AG450" s="448"/>
      <c r="AH450" s="431"/>
      <c r="AI450" s="429" t="s">
        <v>242</v>
      </c>
      <c r="AJ450" s="429" t="s">
        <v>242</v>
      </c>
      <c r="AK450" s="428" t="s">
        <v>242</v>
      </c>
      <c r="AL450" s="439" t="s">
        <v>242</v>
      </c>
      <c r="AM450" s="433" t="s">
        <v>244</v>
      </c>
      <c r="AN450" s="434"/>
      <c r="AO450" s="430" t="s">
        <v>252</v>
      </c>
      <c r="AP450" s="435"/>
      <c r="AQ450" s="528">
        <v>661503206</v>
      </c>
      <c r="AR450" s="436" t="s">
        <v>3838</v>
      </c>
      <c r="AS450" s="413"/>
      <c r="AT450" s="413"/>
      <c r="AU450" s="400"/>
      <c r="AV450" s="412"/>
      <c r="AW450" s="398"/>
      <c r="AX450" s="72"/>
      <c r="AY450" s="398"/>
      <c r="AZ450" s="400"/>
      <c r="BA450" s="72"/>
      <c r="BB450" s="404"/>
      <c r="BC450" s="404"/>
      <c r="BD450" s="404"/>
      <c r="BE450" s="404"/>
      <c r="BF450" s="404"/>
      <c r="BG450" s="404"/>
      <c r="BH450" s="403"/>
      <c r="BI450" s="403"/>
      <c r="BJ450" s="403"/>
      <c r="BK450" s="402"/>
      <c r="BL450" s="402"/>
      <c r="BM450" s="402"/>
      <c r="BN450" s="401"/>
      <c r="BO450" s="437"/>
      <c r="BP450" s="438"/>
      <c r="BQ450" s="438"/>
      <c r="BR450" s="444"/>
      <c r="BS450" s="445"/>
    </row>
    <row r="451" spans="1:72" ht="15" customHeight="1" x14ac:dyDescent="0.15">
      <c r="A451" s="419" t="s">
        <v>2853</v>
      </c>
      <c r="B451" s="405" t="s">
        <v>2268</v>
      </c>
      <c r="C451" s="405"/>
      <c r="D451" s="405"/>
      <c r="E451" s="405"/>
      <c r="F451" s="451" t="s">
        <v>107</v>
      </c>
      <c r="G451" s="441" t="s">
        <v>3834</v>
      </c>
      <c r="H451" s="442" t="s">
        <v>3835</v>
      </c>
      <c r="I451" s="406" t="s">
        <v>360</v>
      </c>
      <c r="J451" s="407" t="s">
        <v>1081</v>
      </c>
      <c r="K451" s="408"/>
      <c r="L451" s="409">
        <v>8</v>
      </c>
      <c r="M451" s="409"/>
      <c r="N451" s="410" t="str">
        <f t="shared" si="14"/>
        <v xml:space="preserve">U 9 Hommes </v>
      </c>
      <c r="O451" s="739">
        <v>8</v>
      </c>
      <c r="P451" s="863"/>
      <c r="Q451" s="730" t="str">
        <f t="shared" si="15"/>
        <v xml:space="preserve">U 9 Hommes </v>
      </c>
      <c r="R451" s="741"/>
      <c r="S451" s="741"/>
      <c r="T451" s="741"/>
      <c r="U451" s="741"/>
      <c r="V451" s="741"/>
      <c r="W451" s="741" t="s">
        <v>192</v>
      </c>
      <c r="X451" s="741"/>
      <c r="Y451" s="741"/>
      <c r="Z451" s="741"/>
      <c r="AA451" s="741"/>
      <c r="AB451" s="423" t="s">
        <v>3901</v>
      </c>
      <c r="AC451" s="423"/>
      <c r="AD451" s="423"/>
      <c r="AE451" s="423"/>
      <c r="AF451" s="422"/>
      <c r="AG451" s="448"/>
      <c r="AH451" s="431"/>
      <c r="AI451" s="429">
        <v>44494</v>
      </c>
      <c r="AJ451" s="429">
        <v>44479</v>
      </c>
      <c r="AK451" s="617">
        <v>2025</v>
      </c>
      <c r="AL451" s="439">
        <v>43216</v>
      </c>
      <c r="AM451" s="433" t="s">
        <v>3839</v>
      </c>
      <c r="AN451" s="434"/>
      <c r="AO451" s="430"/>
      <c r="AP451" s="435" t="s">
        <v>3836</v>
      </c>
      <c r="AQ451" s="430" t="s">
        <v>3837</v>
      </c>
      <c r="AR451" s="436" t="s">
        <v>3838</v>
      </c>
      <c r="AS451" s="413"/>
      <c r="AT451" s="413"/>
      <c r="AU451" s="400"/>
      <c r="AV451" s="412"/>
      <c r="AW451" s="398"/>
      <c r="AX451" s="72"/>
      <c r="AY451" s="398"/>
      <c r="AZ451" s="400"/>
      <c r="BA451" s="72"/>
      <c r="BB451" s="404"/>
      <c r="BC451" s="404"/>
      <c r="BD451" s="404"/>
      <c r="BE451" s="404"/>
      <c r="BF451" s="404"/>
      <c r="BG451" s="404"/>
      <c r="BH451" s="403"/>
      <c r="BI451" s="403"/>
      <c r="BJ451" s="403"/>
      <c r="BK451" s="402"/>
      <c r="BL451" s="402"/>
      <c r="BM451" s="402"/>
      <c r="BN451" s="401" t="s">
        <v>3663</v>
      </c>
      <c r="BO451" s="437"/>
      <c r="BP451" s="438"/>
      <c r="BQ451" s="438"/>
      <c r="BR451" s="444"/>
      <c r="BS451" s="445"/>
    </row>
    <row r="452" spans="1:72" ht="15" customHeight="1" x14ac:dyDescent="0.15">
      <c r="A452" s="419" t="s">
        <v>3377</v>
      </c>
      <c r="B452" s="405" t="s">
        <v>3483</v>
      </c>
      <c r="C452" s="405"/>
      <c r="D452" s="405"/>
      <c r="E452" s="405"/>
      <c r="F452" s="451" t="s">
        <v>107</v>
      </c>
      <c r="G452" s="441" t="s">
        <v>3484</v>
      </c>
      <c r="H452" s="442" t="s">
        <v>2840</v>
      </c>
      <c r="I452" s="406" t="s">
        <v>500</v>
      </c>
      <c r="J452" s="407" t="s">
        <v>1020</v>
      </c>
      <c r="K452" s="408"/>
      <c r="L452" s="409">
        <v>212</v>
      </c>
      <c r="M452" s="409"/>
      <c r="N452" s="410" t="str">
        <f t="shared" si="14"/>
        <v>Contact famille</v>
      </c>
      <c r="O452" s="739">
        <v>212</v>
      </c>
      <c r="P452" s="863"/>
      <c r="Q452" s="730" t="str">
        <f t="shared" si="15"/>
        <v>Contact famille</v>
      </c>
      <c r="R452" s="741"/>
      <c r="S452" s="741"/>
      <c r="T452" s="741" t="s">
        <v>313</v>
      </c>
      <c r="U452" s="741"/>
      <c r="V452" s="741" t="s">
        <v>313</v>
      </c>
      <c r="W452" s="741"/>
      <c r="X452" s="741"/>
      <c r="Y452" s="741"/>
      <c r="Z452" s="741"/>
      <c r="AA452" s="741"/>
      <c r="AB452" s="423"/>
      <c r="AC452" s="423"/>
      <c r="AD452" s="423"/>
      <c r="AE452" s="423"/>
      <c r="AF452" s="422"/>
      <c r="AG452" s="369"/>
      <c r="AH452" s="431"/>
      <c r="AI452" s="429" t="s">
        <v>242</v>
      </c>
      <c r="AJ452" s="429">
        <v>44092</v>
      </c>
      <c r="AK452" s="428" t="s">
        <v>242</v>
      </c>
      <c r="AL452" s="399" t="s">
        <v>242</v>
      </c>
      <c r="AM452" s="705" t="s">
        <v>242</v>
      </c>
      <c r="AN452" s="434"/>
      <c r="AO452" s="430"/>
      <c r="AP452" s="435" t="s">
        <v>252</v>
      </c>
      <c r="AQ452" s="435" t="s">
        <v>3488</v>
      </c>
      <c r="AR452" s="436" t="s">
        <v>3491</v>
      </c>
      <c r="AS452" s="413"/>
      <c r="AT452" s="413"/>
      <c r="AU452" s="400"/>
      <c r="AV452" s="412"/>
      <c r="AW452" s="398"/>
      <c r="AX452" s="72"/>
      <c r="AY452" s="398"/>
      <c r="AZ452" s="400"/>
      <c r="BA452" s="72"/>
      <c r="BB452" s="404"/>
      <c r="BC452" s="404"/>
      <c r="BD452" s="404"/>
      <c r="BE452" s="404"/>
      <c r="BF452" s="404"/>
      <c r="BG452" s="404"/>
      <c r="BH452" s="403"/>
      <c r="BI452" s="403"/>
      <c r="BJ452" s="403"/>
      <c r="BK452" s="402"/>
      <c r="BL452" s="402"/>
      <c r="BM452" s="402"/>
      <c r="BN452" s="401"/>
      <c r="BO452" s="437"/>
      <c r="BP452" s="438"/>
      <c r="BQ452" s="438"/>
      <c r="BR452" s="444"/>
      <c r="BS452" s="445"/>
    </row>
    <row r="453" spans="1:72" ht="15" customHeight="1" x14ac:dyDescent="0.15">
      <c r="A453" s="419" t="s">
        <v>3377</v>
      </c>
      <c r="B453" s="405" t="s">
        <v>3482</v>
      </c>
      <c r="C453" s="405"/>
      <c r="D453" s="405"/>
      <c r="E453" s="405"/>
      <c r="F453" s="451" t="s">
        <v>107</v>
      </c>
      <c r="G453" s="441" t="s">
        <v>3484</v>
      </c>
      <c r="H453" s="442" t="s">
        <v>2840</v>
      </c>
      <c r="I453" s="406" t="s">
        <v>500</v>
      </c>
      <c r="J453" s="407" t="s">
        <v>1020</v>
      </c>
      <c r="K453" s="408"/>
      <c r="L453" s="409">
        <v>5</v>
      </c>
      <c r="M453" s="409"/>
      <c r="N453" s="410" t="str">
        <f t="shared" si="14"/>
        <v>U 15 Hommes</v>
      </c>
      <c r="O453" s="739">
        <v>5</v>
      </c>
      <c r="P453" s="863"/>
      <c r="Q453" s="730" t="str">
        <f t="shared" si="15"/>
        <v>U 15 Hommes</v>
      </c>
      <c r="R453" s="741"/>
      <c r="S453" s="741"/>
      <c r="T453" s="741" t="s">
        <v>192</v>
      </c>
      <c r="U453" s="741"/>
      <c r="V453" s="741"/>
      <c r="W453" s="741"/>
      <c r="X453" s="741"/>
      <c r="Y453" s="741"/>
      <c r="Z453" s="741"/>
      <c r="AA453" s="741"/>
      <c r="AB453" s="423" t="s">
        <v>3630</v>
      </c>
      <c r="AC453" s="423"/>
      <c r="AD453" s="423"/>
      <c r="AE453" s="423"/>
      <c r="AF453" s="422"/>
      <c r="AG453" s="448"/>
      <c r="AH453" s="431"/>
      <c r="AI453" s="429">
        <v>44102</v>
      </c>
      <c r="AJ453" s="429">
        <v>44092</v>
      </c>
      <c r="AK453" s="693">
        <v>2024</v>
      </c>
      <c r="AL453" s="439">
        <v>41098</v>
      </c>
      <c r="AM453" s="433" t="s">
        <v>3486</v>
      </c>
      <c r="AN453" s="434"/>
      <c r="AO453" s="430"/>
      <c r="AP453" s="435" t="s">
        <v>3487</v>
      </c>
      <c r="AQ453" s="430" t="s">
        <v>3489</v>
      </c>
      <c r="AR453" s="436" t="s">
        <v>3491</v>
      </c>
      <c r="AS453" s="413"/>
      <c r="AT453" s="413"/>
      <c r="AU453" s="400"/>
      <c r="AV453" s="412"/>
      <c r="AW453" s="398"/>
      <c r="AX453" s="72"/>
      <c r="AY453" s="398"/>
      <c r="AZ453" s="400"/>
      <c r="BA453" s="72"/>
      <c r="BB453" s="404"/>
      <c r="BC453" s="404"/>
      <c r="BD453" s="404"/>
      <c r="BE453" s="404"/>
      <c r="BF453" s="404"/>
      <c r="BG453" s="404"/>
      <c r="BH453" s="403"/>
      <c r="BI453" s="403"/>
      <c r="BJ453" s="403"/>
      <c r="BK453" s="402"/>
      <c r="BL453" s="402"/>
      <c r="BM453" s="402"/>
      <c r="BN453" s="401"/>
      <c r="BO453" s="437"/>
      <c r="BP453" s="438"/>
      <c r="BQ453" s="438"/>
      <c r="BR453" s="444"/>
      <c r="BS453" s="445"/>
    </row>
    <row r="454" spans="1:72" ht="15" customHeight="1" x14ac:dyDescent="0.15">
      <c r="A454" s="419" t="s">
        <v>3377</v>
      </c>
      <c r="B454" s="405" t="s">
        <v>3481</v>
      </c>
      <c r="C454" s="405"/>
      <c r="D454" s="405"/>
      <c r="E454" s="405"/>
      <c r="F454" s="451" t="s">
        <v>107</v>
      </c>
      <c r="G454" s="441" t="s">
        <v>3484</v>
      </c>
      <c r="H454" s="442" t="s">
        <v>2840</v>
      </c>
      <c r="I454" s="406" t="s">
        <v>500</v>
      </c>
      <c r="J454" s="407" t="s">
        <v>1020</v>
      </c>
      <c r="K454" s="408"/>
      <c r="L454" s="409">
        <v>7</v>
      </c>
      <c r="M454" s="409"/>
      <c r="N454" s="410" t="str">
        <f t="shared" si="14"/>
        <v>U 11 Hommes</v>
      </c>
      <c r="O454" s="739">
        <v>7</v>
      </c>
      <c r="P454" s="863"/>
      <c r="Q454" s="730" t="str">
        <f t="shared" si="15"/>
        <v>U 11 Hommes</v>
      </c>
      <c r="R454" s="741"/>
      <c r="S454" s="741"/>
      <c r="T454" s="741"/>
      <c r="U454" s="741"/>
      <c r="V454" s="741" t="s">
        <v>192</v>
      </c>
      <c r="W454" s="741"/>
      <c r="X454" s="741"/>
      <c r="Y454" s="741"/>
      <c r="Z454" s="741"/>
      <c r="AA454" s="741"/>
      <c r="AB454" s="423" t="s">
        <v>3629</v>
      </c>
      <c r="AC454" s="423"/>
      <c r="AD454" s="423"/>
      <c r="AE454" s="423"/>
      <c r="AF454" s="422"/>
      <c r="AG454" s="448"/>
      <c r="AH454" s="431"/>
      <c r="AI454" s="429">
        <v>44102</v>
      </c>
      <c r="AJ454" s="429">
        <v>44092</v>
      </c>
      <c r="AK454" s="613">
        <v>2023</v>
      </c>
      <c r="AL454" s="439">
        <v>42383</v>
      </c>
      <c r="AM454" s="433" t="s">
        <v>3485</v>
      </c>
      <c r="AN454" s="434"/>
      <c r="AO454" s="430"/>
      <c r="AP454" s="435" t="s">
        <v>3487</v>
      </c>
      <c r="AQ454" s="430" t="s">
        <v>3489</v>
      </c>
      <c r="AR454" s="436" t="s">
        <v>3491</v>
      </c>
      <c r="AS454" s="413"/>
      <c r="AT454" s="413"/>
      <c r="AU454" s="400"/>
      <c r="AV454" s="412"/>
      <c r="AW454" s="398"/>
      <c r="AX454" s="72"/>
      <c r="AY454" s="398"/>
      <c r="AZ454" s="400"/>
      <c r="BA454" s="72"/>
      <c r="BB454" s="404"/>
      <c r="BC454" s="404"/>
      <c r="BD454" s="404"/>
      <c r="BE454" s="404"/>
      <c r="BF454" s="404"/>
      <c r="BG454" s="404"/>
      <c r="BH454" s="403"/>
      <c r="BI454" s="403"/>
      <c r="BJ454" s="403"/>
      <c r="BK454" s="402"/>
      <c r="BL454" s="402"/>
      <c r="BM454" s="402"/>
      <c r="BN454" s="401"/>
      <c r="BO454" s="437"/>
      <c r="BP454" s="438"/>
      <c r="BQ454" s="438"/>
      <c r="BR454" s="444"/>
      <c r="BS454" s="445"/>
    </row>
    <row r="455" spans="1:72" ht="15" customHeight="1" x14ac:dyDescent="0.15">
      <c r="A455" s="419" t="s">
        <v>5424</v>
      </c>
      <c r="B455" s="405" t="s">
        <v>5426</v>
      </c>
      <c r="C455" s="405"/>
      <c r="D455" s="405"/>
      <c r="E455" s="405"/>
      <c r="F455" s="420" t="s">
        <v>4085</v>
      </c>
      <c r="G455" s="421" t="s">
        <v>5428</v>
      </c>
      <c r="H455" s="442" t="s">
        <v>5467</v>
      </c>
      <c r="I455" s="406" t="s">
        <v>177</v>
      </c>
      <c r="J455" s="407" t="s">
        <v>5429</v>
      </c>
      <c r="K455" s="408"/>
      <c r="L455" s="409">
        <v>212</v>
      </c>
      <c r="M455" s="409"/>
      <c r="N455" s="410" t="str">
        <f t="shared" si="14"/>
        <v>Contact famille</v>
      </c>
      <c r="O455" s="739">
        <v>212</v>
      </c>
      <c r="P455" s="863"/>
      <c r="Q455" s="730" t="str">
        <f t="shared" si="15"/>
        <v>Contact famille</v>
      </c>
      <c r="R455" s="740"/>
      <c r="S455" s="740"/>
      <c r="T455" s="740"/>
      <c r="U455" s="740" t="s">
        <v>313</v>
      </c>
      <c r="V455" s="740"/>
      <c r="W455" s="740"/>
      <c r="X455" s="740"/>
      <c r="Y455" s="740"/>
      <c r="Z455" s="740"/>
      <c r="AA455" s="740"/>
      <c r="AB455" s="423"/>
      <c r="AC455" s="418"/>
      <c r="AD455" s="418"/>
      <c r="AE455" s="418"/>
      <c r="AF455" s="422"/>
      <c r="AG455" s="386"/>
      <c r="AH455" s="417"/>
      <c r="AI455" s="429" t="s">
        <v>242</v>
      </c>
      <c r="AJ455" s="429" t="s">
        <v>242</v>
      </c>
      <c r="AK455" s="428" t="s">
        <v>242</v>
      </c>
      <c r="AL455" s="399" t="s">
        <v>242</v>
      </c>
      <c r="AM455" s="449" t="s">
        <v>244</v>
      </c>
      <c r="AN455" s="412"/>
      <c r="AO455" s="72"/>
      <c r="AP455" s="414"/>
      <c r="AQ455" s="440">
        <v>691980674</v>
      </c>
      <c r="AR455" s="532" t="s">
        <v>5431</v>
      </c>
      <c r="AS455" s="413"/>
      <c r="AT455" s="413"/>
      <c r="AU455" s="412"/>
      <c r="AV455" s="412"/>
      <c r="AW455" s="399"/>
      <c r="AX455" s="72"/>
      <c r="AY455" s="398"/>
      <c r="AZ455" s="400"/>
      <c r="BA455" s="72"/>
      <c r="BB455" s="404"/>
      <c r="BC455" s="404"/>
      <c r="BD455" s="404"/>
      <c r="BE455" s="404"/>
      <c r="BF455" s="404"/>
      <c r="BG455" s="404"/>
      <c r="BH455" s="403"/>
      <c r="BI455" s="403"/>
      <c r="BJ455" s="403"/>
      <c r="BK455" s="402"/>
      <c r="BL455" s="402"/>
      <c r="BM455" s="402"/>
      <c r="BN455" s="401"/>
      <c r="BO455" s="400"/>
      <c r="BP455" s="400"/>
      <c r="BQ455" s="400"/>
      <c r="BR455" s="72"/>
      <c r="BS455" s="411"/>
    </row>
    <row r="456" spans="1:72" ht="15" customHeight="1" x14ac:dyDescent="0.15">
      <c r="A456" s="419" t="s">
        <v>5424</v>
      </c>
      <c r="B456" s="405" t="s">
        <v>5427</v>
      </c>
      <c r="C456" s="405"/>
      <c r="D456" s="405"/>
      <c r="E456" s="405"/>
      <c r="F456" s="420" t="s">
        <v>4085</v>
      </c>
      <c r="G456" s="421" t="s">
        <v>5428</v>
      </c>
      <c r="H456" s="442" t="s">
        <v>5467</v>
      </c>
      <c r="I456" s="406" t="s">
        <v>177</v>
      </c>
      <c r="J456" s="407" t="s">
        <v>5429</v>
      </c>
      <c r="K456" s="408"/>
      <c r="L456" s="409">
        <v>212</v>
      </c>
      <c r="M456" s="409"/>
      <c r="N456" s="410" t="str">
        <f t="shared" si="14"/>
        <v>Contact famille</v>
      </c>
      <c r="O456" s="739">
        <v>212</v>
      </c>
      <c r="P456" s="863"/>
      <c r="Q456" s="730" t="str">
        <f t="shared" si="15"/>
        <v>Contact famille</v>
      </c>
      <c r="R456" s="740"/>
      <c r="S456" s="740"/>
      <c r="T456" s="740"/>
      <c r="U456" s="740" t="s">
        <v>313</v>
      </c>
      <c r="V456" s="740"/>
      <c r="W456" s="740"/>
      <c r="X456" s="740"/>
      <c r="Y456" s="740"/>
      <c r="Z456" s="740"/>
      <c r="AA456" s="740"/>
      <c r="AB456" s="423"/>
      <c r="AC456" s="418"/>
      <c r="AD456" s="418"/>
      <c r="AE456" s="418"/>
      <c r="AF456" s="422"/>
      <c r="AG456" s="425"/>
      <c r="AH456" s="417"/>
      <c r="AI456" s="429" t="s">
        <v>242</v>
      </c>
      <c r="AJ456" s="429" t="s">
        <v>242</v>
      </c>
      <c r="AK456" s="428" t="s">
        <v>242</v>
      </c>
      <c r="AL456" s="439" t="s">
        <v>242</v>
      </c>
      <c r="AM456" s="433" t="s">
        <v>244</v>
      </c>
      <c r="AN456" s="412"/>
      <c r="AO456" s="72"/>
      <c r="AP456" s="414"/>
      <c r="AQ456" s="440">
        <v>691980674</v>
      </c>
      <c r="AR456" s="532" t="s">
        <v>5432</v>
      </c>
      <c r="AS456" s="413"/>
      <c r="AT456" s="413"/>
      <c r="AU456" s="412"/>
      <c r="AV456" s="412"/>
      <c r="AW456" s="399"/>
      <c r="AX456" s="72"/>
      <c r="AY456" s="398"/>
      <c r="AZ456" s="400"/>
      <c r="BA456" s="72"/>
      <c r="BB456" s="404"/>
      <c r="BC456" s="404"/>
      <c r="BD456" s="404"/>
      <c r="BE456" s="404"/>
      <c r="BF456" s="404"/>
      <c r="BG456" s="404"/>
      <c r="BH456" s="403"/>
      <c r="BI456" s="403"/>
      <c r="BJ456" s="403"/>
      <c r="BK456" s="402"/>
      <c r="BL456" s="402"/>
      <c r="BM456" s="402"/>
      <c r="BN456" s="401"/>
      <c r="BO456" s="400"/>
      <c r="BP456" s="400"/>
      <c r="BQ456" s="400"/>
      <c r="BR456" s="72"/>
      <c r="BS456" s="411"/>
    </row>
    <row r="457" spans="1:72" ht="15" customHeight="1" x14ac:dyDescent="0.15">
      <c r="A457" s="419" t="s">
        <v>5424</v>
      </c>
      <c r="B457" s="405" t="s">
        <v>5425</v>
      </c>
      <c r="C457" s="405"/>
      <c r="D457" s="405"/>
      <c r="E457" s="405"/>
      <c r="F457" s="420" t="s">
        <v>4085</v>
      </c>
      <c r="G457" s="421" t="s">
        <v>5428</v>
      </c>
      <c r="H457" s="442" t="s">
        <v>5467</v>
      </c>
      <c r="I457" s="406" t="s">
        <v>177</v>
      </c>
      <c r="J457" s="407" t="s">
        <v>5429</v>
      </c>
      <c r="K457" s="408"/>
      <c r="L457" s="409">
        <v>6</v>
      </c>
      <c r="M457" s="409"/>
      <c r="N457" s="410" t="str">
        <f t="shared" si="14"/>
        <v>U 13 Hommes</v>
      </c>
      <c r="O457" s="739">
        <v>6</v>
      </c>
      <c r="P457" s="863"/>
      <c r="Q457" s="730" t="str">
        <f t="shared" si="15"/>
        <v>U 13 Hommes</v>
      </c>
      <c r="R457" s="740"/>
      <c r="S457" s="740"/>
      <c r="T457" s="740"/>
      <c r="U457" s="740" t="s">
        <v>192</v>
      </c>
      <c r="V457" s="740"/>
      <c r="W457" s="740"/>
      <c r="X457" s="740"/>
      <c r="Y457" s="740"/>
      <c r="Z457" s="740"/>
      <c r="AA457" s="740"/>
      <c r="AB457" s="423" t="s">
        <v>5466</v>
      </c>
      <c r="AC457" s="418"/>
      <c r="AD457" s="418"/>
      <c r="AE457" s="418"/>
      <c r="AF457" s="422"/>
      <c r="AG457" s="425" t="s">
        <v>5173</v>
      </c>
      <c r="AH457" s="417"/>
      <c r="AI457" s="429">
        <v>46043</v>
      </c>
      <c r="AJ457" s="429">
        <v>46031</v>
      </c>
      <c r="AK457" s="428">
        <v>2027</v>
      </c>
      <c r="AL457" s="439">
        <v>42313</v>
      </c>
      <c r="AM457" s="416" t="s">
        <v>5430</v>
      </c>
      <c r="AN457" s="412"/>
      <c r="AO457" s="72"/>
      <c r="AP457" s="414"/>
      <c r="AQ457" s="440">
        <v>691980674</v>
      </c>
      <c r="AR457" s="532" t="s">
        <v>5431</v>
      </c>
      <c r="AS457" s="413"/>
      <c r="AT457" s="413"/>
      <c r="AU457" s="412"/>
      <c r="AV457" s="412"/>
      <c r="AW457" s="399"/>
      <c r="AX457" s="72"/>
      <c r="AY457" s="398"/>
      <c r="AZ457" s="400"/>
      <c r="BA457" s="72"/>
      <c r="BB457" s="404"/>
      <c r="BC457" s="404"/>
      <c r="BD457" s="404"/>
      <c r="BE457" s="404"/>
      <c r="BF457" s="404"/>
      <c r="BG457" s="404"/>
      <c r="BH457" s="403"/>
      <c r="BI457" s="403"/>
      <c r="BJ457" s="403"/>
      <c r="BK457" s="402"/>
      <c r="BL457" s="402"/>
      <c r="BM457" s="402"/>
      <c r="BN457" s="401"/>
      <c r="BO457" s="400"/>
      <c r="BP457" s="400"/>
      <c r="BQ457" s="400"/>
      <c r="BR457" s="72"/>
      <c r="BS457" s="411"/>
    </row>
    <row r="458" spans="1:72" s="111" customFormat="1" ht="15" customHeight="1" x14ac:dyDescent="0.15">
      <c r="A458" s="48" t="s">
        <v>1075</v>
      </c>
      <c r="B458" s="9" t="s">
        <v>2762</v>
      </c>
      <c r="C458" s="9"/>
      <c r="D458" s="9"/>
      <c r="E458" s="9"/>
      <c r="F458" s="10" t="s">
        <v>2445</v>
      </c>
      <c r="G458" s="10" t="s">
        <v>4677</v>
      </c>
      <c r="H458" s="5" t="s">
        <v>4678</v>
      </c>
      <c r="I458" s="10" t="s">
        <v>544</v>
      </c>
      <c r="J458" s="357" t="s">
        <v>320</v>
      </c>
      <c r="K458" s="852"/>
      <c r="L458" s="221">
        <v>2</v>
      </c>
      <c r="M458" s="221"/>
      <c r="N458" s="222" t="str">
        <f t="shared" si="14"/>
        <v>Seniors - Hommes</v>
      </c>
      <c r="O458" s="739">
        <v>2</v>
      </c>
      <c r="P458" s="863"/>
      <c r="Q458" s="730" t="str">
        <f t="shared" si="15"/>
        <v>Seniors - Hommes</v>
      </c>
      <c r="R458" s="741"/>
      <c r="S458" s="741"/>
      <c r="T458" s="741"/>
      <c r="U458" s="741"/>
      <c r="V458" s="741"/>
      <c r="W458" s="741"/>
      <c r="X458" s="741"/>
      <c r="Y458" s="741"/>
      <c r="Z458" s="741"/>
      <c r="AA458" s="741"/>
      <c r="AB458" s="12" t="s">
        <v>3051</v>
      </c>
      <c r="AC458" s="423" t="s">
        <v>3051</v>
      </c>
      <c r="AD458" s="423" t="s">
        <v>3051</v>
      </c>
      <c r="AE458" s="423"/>
      <c r="AF458" s="422"/>
      <c r="AG458" s="620" t="s">
        <v>5192</v>
      </c>
      <c r="AH458" s="431"/>
      <c r="AI458" s="18">
        <v>38036</v>
      </c>
      <c r="AJ458" s="18">
        <v>38036</v>
      </c>
      <c r="AK458" s="14">
        <v>2030</v>
      </c>
      <c r="AL458" s="18">
        <v>33198</v>
      </c>
      <c r="AM458" s="19" t="s">
        <v>2446</v>
      </c>
      <c r="AN458" s="38" t="s">
        <v>2756</v>
      </c>
      <c r="AO458" s="38" t="s">
        <v>2447</v>
      </c>
      <c r="AP458" s="857"/>
      <c r="AQ458" s="27" t="s">
        <v>2448</v>
      </c>
      <c r="AR458" s="29" t="s">
        <v>2449</v>
      </c>
      <c r="AS458" s="545"/>
      <c r="AT458" s="538"/>
      <c r="AU458" s="681" t="s">
        <v>1536</v>
      </c>
      <c r="AV458" s="412"/>
      <c r="AW458" s="398"/>
      <c r="AX458" s="72"/>
      <c r="AY458" s="398"/>
      <c r="AZ458" s="400" t="s">
        <v>2792</v>
      </c>
      <c r="BA458" s="72"/>
      <c r="BB458" s="404" t="s">
        <v>2813</v>
      </c>
      <c r="BC458" s="404" t="s">
        <v>292</v>
      </c>
      <c r="BD458" s="404" t="s">
        <v>2136</v>
      </c>
      <c r="BE458" s="404" t="s">
        <v>3146</v>
      </c>
      <c r="BF458" s="404"/>
      <c r="BG458" s="404"/>
      <c r="BH458" s="403"/>
      <c r="BI458" s="403"/>
      <c r="BJ458" s="403"/>
      <c r="BK458" s="402"/>
      <c r="BL458" s="402"/>
      <c r="BM458" s="402"/>
      <c r="BN458" s="401"/>
      <c r="BO458" s="437"/>
      <c r="BP458" s="438" t="s">
        <v>2450</v>
      </c>
      <c r="BQ458" s="438"/>
      <c r="BR458" s="444"/>
      <c r="BS458" s="445"/>
      <c r="BT458"/>
    </row>
    <row r="459" spans="1:72" s="150" customFormat="1" ht="15" customHeight="1" x14ac:dyDescent="0.15">
      <c r="A459" s="419" t="s">
        <v>2451</v>
      </c>
      <c r="B459" s="405" t="s">
        <v>2452</v>
      </c>
      <c r="C459" s="751"/>
      <c r="D459" s="751"/>
      <c r="E459" s="751"/>
      <c r="F459" s="10" t="s">
        <v>2082</v>
      </c>
      <c r="G459" s="441" t="s">
        <v>2453</v>
      </c>
      <c r="H459" s="442" t="s">
        <v>2454</v>
      </c>
      <c r="I459" s="406" t="s">
        <v>2455</v>
      </c>
      <c r="J459" s="407" t="s">
        <v>320</v>
      </c>
      <c r="K459" s="408"/>
      <c r="L459" s="409">
        <v>300</v>
      </c>
      <c r="M459" s="409"/>
      <c r="N459" s="410" t="str">
        <f t="shared" si="14"/>
        <v>Prêt, sortie Mersch75</v>
      </c>
      <c r="O459" s="739">
        <v>12</v>
      </c>
      <c r="P459" s="863"/>
      <c r="Q459" s="730" t="str">
        <f t="shared" si="15"/>
        <v>Dames</v>
      </c>
      <c r="R459" s="741"/>
      <c r="S459" s="741"/>
      <c r="T459" s="741"/>
      <c r="U459" s="741"/>
      <c r="V459" s="741"/>
      <c r="W459" s="741"/>
      <c r="X459" s="741"/>
      <c r="Y459" s="741"/>
      <c r="Z459" s="741"/>
      <c r="AA459" s="741"/>
      <c r="AB459" s="423" t="s">
        <v>3052</v>
      </c>
      <c r="AC459" s="423"/>
      <c r="AD459" s="423"/>
      <c r="AE459" s="423"/>
      <c r="AF459" s="422"/>
      <c r="AG459" s="373"/>
      <c r="AH459" s="567"/>
      <c r="AI459" s="429">
        <v>42766</v>
      </c>
      <c r="AJ459" s="429">
        <v>42757</v>
      </c>
      <c r="AK459" s="428">
        <v>2027</v>
      </c>
      <c r="AL459" s="439">
        <v>35561</v>
      </c>
      <c r="AM459" s="449" t="s">
        <v>3840</v>
      </c>
      <c r="AN459" s="437"/>
      <c r="AO459" s="430" t="s">
        <v>2456</v>
      </c>
      <c r="AP459" s="435"/>
      <c r="AQ459" s="440" t="s">
        <v>3500</v>
      </c>
      <c r="AR459" s="450" t="s">
        <v>2457</v>
      </c>
      <c r="AS459" s="413"/>
      <c r="AT459" s="413"/>
      <c r="AU459" s="400"/>
      <c r="AV459" s="412"/>
      <c r="AW459" s="398"/>
      <c r="AX459" s="72"/>
      <c r="AY459" s="398"/>
      <c r="AZ459" s="400" t="s">
        <v>209</v>
      </c>
      <c r="BA459" s="72"/>
      <c r="BB459" s="404" t="s">
        <v>2813</v>
      </c>
      <c r="BC459" s="404" t="s">
        <v>3151</v>
      </c>
      <c r="BD459" s="404"/>
      <c r="BE459" s="404"/>
      <c r="BF459" s="404"/>
      <c r="BG459" s="404"/>
      <c r="BH459" s="403"/>
      <c r="BI459" s="403"/>
      <c r="BJ459" s="403"/>
      <c r="BK459" s="402"/>
      <c r="BL459" s="402"/>
      <c r="BM459" s="402"/>
      <c r="BN459" s="401"/>
      <c r="BO459" s="437"/>
      <c r="BP459" s="438" t="s">
        <v>349</v>
      </c>
      <c r="BQ459" s="438"/>
      <c r="BR459" s="444"/>
      <c r="BS459" s="445"/>
      <c r="BT459"/>
    </row>
    <row r="460" spans="1:72" ht="15" customHeight="1" x14ac:dyDescent="0.15">
      <c r="A460" s="419" t="s">
        <v>2838</v>
      </c>
      <c r="B460" s="405" t="s">
        <v>1048</v>
      </c>
      <c r="C460" s="751"/>
      <c r="D460" s="751"/>
      <c r="E460" s="751"/>
      <c r="F460" s="10" t="s">
        <v>2829</v>
      </c>
      <c r="G460" s="441" t="s">
        <v>2839</v>
      </c>
      <c r="H460" s="442" t="s">
        <v>2840</v>
      </c>
      <c r="I460" s="406" t="s">
        <v>500</v>
      </c>
      <c r="J460" s="407" t="s">
        <v>2825</v>
      </c>
      <c r="K460" s="408"/>
      <c r="L460" s="409">
        <v>212</v>
      </c>
      <c r="M460" s="409"/>
      <c r="N460" s="410" t="str">
        <f t="shared" si="14"/>
        <v>Contact famille</v>
      </c>
      <c r="O460" s="739">
        <v>212</v>
      </c>
      <c r="P460" s="863"/>
      <c r="Q460" s="730" t="str">
        <f t="shared" si="15"/>
        <v>Contact famille</v>
      </c>
      <c r="R460" s="741"/>
      <c r="S460" s="741"/>
      <c r="T460" s="741"/>
      <c r="U460" s="741"/>
      <c r="V460" s="741"/>
      <c r="W460" s="741"/>
      <c r="X460" s="741"/>
      <c r="Y460" s="741"/>
      <c r="Z460" s="741"/>
      <c r="AA460" s="741"/>
      <c r="AB460" s="423"/>
      <c r="AC460" s="423"/>
      <c r="AD460" s="423"/>
      <c r="AE460" s="423"/>
      <c r="AF460" s="422"/>
      <c r="AG460" s="448"/>
      <c r="AH460" s="431"/>
      <c r="AI460" s="429"/>
      <c r="AJ460" s="429"/>
      <c r="AK460" s="428" t="s">
        <v>242</v>
      </c>
      <c r="AL460" s="399" t="s">
        <v>242</v>
      </c>
      <c r="AM460" s="449" t="s">
        <v>244</v>
      </c>
      <c r="AN460" s="434"/>
      <c r="AO460" s="430" t="s">
        <v>2842</v>
      </c>
      <c r="AP460" s="435"/>
      <c r="AQ460" s="430" t="s">
        <v>2845</v>
      </c>
      <c r="AR460" s="436" t="s">
        <v>2846</v>
      </c>
      <c r="AS460" s="413"/>
      <c r="AT460" s="413"/>
      <c r="AU460" s="400"/>
      <c r="AV460" s="412"/>
      <c r="AW460" s="398"/>
      <c r="AX460" s="72"/>
      <c r="AY460" s="398"/>
      <c r="AZ460" s="400" t="s">
        <v>533</v>
      </c>
      <c r="BA460" s="72"/>
      <c r="BB460" s="468" t="s">
        <v>3163</v>
      </c>
      <c r="BC460" s="404"/>
      <c r="BD460" s="404"/>
      <c r="BE460" s="404"/>
      <c r="BF460" s="404"/>
      <c r="BG460" s="404"/>
      <c r="BH460" s="403"/>
      <c r="BI460" s="403"/>
      <c r="BJ460" s="403"/>
      <c r="BK460" s="402"/>
      <c r="BL460" s="402"/>
      <c r="BM460" s="402"/>
      <c r="BN460" s="401"/>
      <c r="BO460" s="437"/>
      <c r="BP460" s="438"/>
      <c r="BQ460" s="438"/>
      <c r="BR460" s="444"/>
      <c r="BS460" s="445"/>
    </row>
    <row r="461" spans="1:72" ht="15" customHeight="1" x14ac:dyDescent="0.15">
      <c r="A461" s="419" t="s">
        <v>2471</v>
      </c>
      <c r="B461" s="405" t="s">
        <v>1909</v>
      </c>
      <c r="C461" s="751"/>
      <c r="D461" s="751"/>
      <c r="E461" s="751"/>
      <c r="F461" s="10" t="s">
        <v>107</v>
      </c>
      <c r="G461" s="441" t="s">
        <v>1999</v>
      </c>
      <c r="H461" s="442" t="s">
        <v>2472</v>
      </c>
      <c r="I461" s="406" t="s">
        <v>800</v>
      </c>
      <c r="J461" s="407" t="s">
        <v>2001</v>
      </c>
      <c r="K461" s="408"/>
      <c r="L461" s="409">
        <v>212</v>
      </c>
      <c r="M461" s="409"/>
      <c r="N461" s="410" t="str">
        <f t="shared" si="14"/>
        <v>Contact famille</v>
      </c>
      <c r="O461" s="739">
        <v>212</v>
      </c>
      <c r="P461" s="863"/>
      <c r="Q461" s="730" t="str">
        <f t="shared" si="15"/>
        <v>Contact famille</v>
      </c>
      <c r="R461" s="741"/>
      <c r="S461" s="741"/>
      <c r="T461" s="741"/>
      <c r="U461" s="741"/>
      <c r="V461" s="741"/>
      <c r="W461" s="741"/>
      <c r="X461" s="741"/>
      <c r="Y461" s="741" t="s">
        <v>313</v>
      </c>
      <c r="Z461" s="741"/>
      <c r="AA461" s="741"/>
      <c r="AB461" s="423"/>
      <c r="AC461" s="423"/>
      <c r="AD461" s="423"/>
      <c r="AE461" s="423"/>
      <c r="AF461" s="422"/>
      <c r="AG461" s="448"/>
      <c r="AH461" s="431"/>
      <c r="AI461" s="429" t="s">
        <v>242</v>
      </c>
      <c r="AJ461" s="429">
        <v>43495</v>
      </c>
      <c r="AK461" s="428" t="s">
        <v>242</v>
      </c>
      <c r="AL461" s="399" t="s">
        <v>242</v>
      </c>
      <c r="AM461" s="449" t="s">
        <v>244</v>
      </c>
      <c r="AN461" s="437"/>
      <c r="AO461" s="430"/>
      <c r="AP461" s="435"/>
      <c r="AQ461" s="430" t="s">
        <v>2473</v>
      </c>
      <c r="AR461" s="450" t="s">
        <v>2474</v>
      </c>
      <c r="AS461" s="413"/>
      <c r="AT461" s="413"/>
      <c r="AU461" s="400"/>
      <c r="AV461" s="412"/>
      <c r="AW461" s="398"/>
      <c r="AX461" s="72"/>
      <c r="AY461" s="398"/>
      <c r="AZ461" s="400" t="s">
        <v>209</v>
      </c>
      <c r="BA461" s="72"/>
      <c r="BB461" s="404" t="s">
        <v>2813</v>
      </c>
      <c r="BC461" s="404" t="s">
        <v>292</v>
      </c>
      <c r="BD461" s="404"/>
      <c r="BE461" s="404" t="s">
        <v>988</v>
      </c>
      <c r="BF461" s="404"/>
      <c r="BG461" s="404"/>
      <c r="BH461" s="403"/>
      <c r="BI461" s="403"/>
      <c r="BJ461" s="403"/>
      <c r="BK461" s="402"/>
      <c r="BL461" s="402"/>
      <c r="BM461" s="402"/>
      <c r="BN461" s="401"/>
      <c r="BO461" s="437"/>
      <c r="BP461" s="438"/>
      <c r="BQ461" s="438"/>
      <c r="BR461" s="444"/>
      <c r="BS461" s="445"/>
    </row>
    <row r="462" spans="1:72" ht="15" customHeight="1" x14ac:dyDescent="0.15">
      <c r="A462" s="419" t="s">
        <v>2471</v>
      </c>
      <c r="B462" s="405" t="s">
        <v>2480</v>
      </c>
      <c r="C462" s="751"/>
      <c r="D462" s="751"/>
      <c r="E462" s="751"/>
      <c r="F462" s="10" t="s">
        <v>107</v>
      </c>
      <c r="G462" s="441" t="s">
        <v>1999</v>
      </c>
      <c r="H462" s="442" t="s">
        <v>2481</v>
      </c>
      <c r="I462" s="406" t="s">
        <v>800</v>
      </c>
      <c r="J462" s="407" t="s">
        <v>2001</v>
      </c>
      <c r="K462" s="408"/>
      <c r="L462" s="409">
        <v>14</v>
      </c>
      <c r="M462" s="409"/>
      <c r="N462" s="410" t="str">
        <f t="shared" si="14"/>
        <v>U 17 Dames</v>
      </c>
      <c r="O462" s="739">
        <v>14</v>
      </c>
      <c r="P462" s="863"/>
      <c r="Q462" s="730" t="str">
        <f t="shared" si="15"/>
        <v>U 17 Dames</v>
      </c>
      <c r="R462" s="741"/>
      <c r="S462" s="741"/>
      <c r="T462" s="741"/>
      <c r="U462" s="741"/>
      <c r="V462" s="741"/>
      <c r="W462" s="741"/>
      <c r="X462" s="741"/>
      <c r="Y462" s="741" t="s">
        <v>192</v>
      </c>
      <c r="Z462" s="741"/>
      <c r="AA462" s="741"/>
      <c r="AB462" s="423" t="s">
        <v>3056</v>
      </c>
      <c r="AC462" s="423"/>
      <c r="AD462" s="423"/>
      <c r="AE462" s="423"/>
      <c r="AF462" s="422"/>
      <c r="AG462" s="369"/>
      <c r="AH462" s="431"/>
      <c r="AI462" s="429">
        <v>43507</v>
      </c>
      <c r="AJ462" s="429">
        <v>43495</v>
      </c>
      <c r="AK462" s="613">
        <v>2023</v>
      </c>
      <c r="AL462" s="439">
        <v>40765</v>
      </c>
      <c r="AM462" s="433" t="s">
        <v>2482</v>
      </c>
      <c r="AN462" s="437"/>
      <c r="AO462" s="430"/>
      <c r="AP462" s="857" t="s">
        <v>2478</v>
      </c>
      <c r="AQ462" s="39" t="s">
        <v>2479</v>
      </c>
      <c r="AR462" s="860" t="s">
        <v>2003</v>
      </c>
      <c r="AS462" s="413"/>
      <c r="AT462" s="413"/>
      <c r="AU462" s="400"/>
      <c r="AV462" s="412"/>
      <c r="AW462" s="398"/>
      <c r="AX462" s="72"/>
      <c r="AY462" s="398"/>
      <c r="AZ462" s="400" t="s">
        <v>209</v>
      </c>
      <c r="BA462" s="72"/>
      <c r="BB462" s="404" t="s">
        <v>2813</v>
      </c>
      <c r="BC462" s="404" t="s">
        <v>292</v>
      </c>
      <c r="BD462" s="404" t="s">
        <v>1168</v>
      </c>
      <c r="BE462" s="404">
        <v>100</v>
      </c>
      <c r="BF462" s="404"/>
      <c r="BG462" s="404"/>
      <c r="BH462" s="403"/>
      <c r="BI462" s="403"/>
      <c r="BJ462" s="403"/>
      <c r="BK462" s="402"/>
      <c r="BL462" s="402"/>
      <c r="BM462" s="402"/>
      <c r="BN462" s="401"/>
      <c r="BO462" s="437"/>
      <c r="BP462" s="438"/>
      <c r="BQ462" s="438"/>
      <c r="BR462" s="444"/>
      <c r="BS462" s="445"/>
    </row>
    <row r="463" spans="1:72" ht="15" customHeight="1" x14ac:dyDescent="0.15">
      <c r="A463" s="419" t="s">
        <v>4946</v>
      </c>
      <c r="B463" s="405" t="s">
        <v>4948</v>
      </c>
      <c r="C463" s="405"/>
      <c r="D463" s="405"/>
      <c r="E463" s="405"/>
      <c r="F463" s="447" t="s">
        <v>107</v>
      </c>
      <c r="G463" s="441" t="s">
        <v>4950</v>
      </c>
      <c r="H463" s="442" t="s">
        <v>1496</v>
      </c>
      <c r="I463" s="406" t="s">
        <v>1497</v>
      </c>
      <c r="J463" s="407" t="s">
        <v>1015</v>
      </c>
      <c r="K463" s="408"/>
      <c r="L463" s="409">
        <v>212</v>
      </c>
      <c r="M463" s="409"/>
      <c r="N463" s="410" t="str">
        <f t="shared" si="14"/>
        <v>Contact famille</v>
      </c>
      <c r="O463" s="739">
        <v>212</v>
      </c>
      <c r="P463" s="863"/>
      <c r="Q463" s="730" t="str">
        <f t="shared" si="15"/>
        <v>Contact famille</v>
      </c>
      <c r="R463" s="741"/>
      <c r="S463" s="741" t="s">
        <v>313</v>
      </c>
      <c r="T463" s="741"/>
      <c r="U463" s="741"/>
      <c r="V463" s="741"/>
      <c r="W463" s="741"/>
      <c r="X463" s="741"/>
      <c r="Y463" s="741"/>
      <c r="Z463" s="741"/>
      <c r="AA463" s="741"/>
      <c r="AB463" s="423"/>
      <c r="AC463" s="423"/>
      <c r="AD463" s="423"/>
      <c r="AE463" s="423"/>
      <c r="AF463" s="422"/>
      <c r="AG463" s="448"/>
      <c r="AH463" s="431"/>
      <c r="AI463" s="429" t="s">
        <v>242</v>
      </c>
      <c r="AJ463" s="429" t="s">
        <v>242</v>
      </c>
      <c r="AK463" s="428" t="s">
        <v>242</v>
      </c>
      <c r="AL463" s="399" t="s">
        <v>242</v>
      </c>
      <c r="AM463" s="449" t="s">
        <v>244</v>
      </c>
      <c r="AN463" s="434"/>
      <c r="AO463" s="430"/>
      <c r="AP463" s="435"/>
      <c r="AQ463" s="440">
        <v>661790810</v>
      </c>
      <c r="AR463" s="436" t="s">
        <v>4955</v>
      </c>
      <c r="AS463" s="413"/>
      <c r="AT463" s="413"/>
      <c r="AU463" s="400"/>
      <c r="AV463" s="412"/>
      <c r="AW463" s="398"/>
      <c r="AX463" s="72"/>
      <c r="AY463" s="398"/>
      <c r="AZ463" s="400"/>
      <c r="BA463" s="72"/>
      <c r="BB463" s="404"/>
      <c r="BC463" s="404"/>
      <c r="BD463" s="404"/>
      <c r="BE463" s="404"/>
      <c r="BF463" s="404"/>
      <c r="BG463" s="404"/>
      <c r="BH463" s="403"/>
      <c r="BI463" s="403"/>
      <c r="BJ463" s="403"/>
      <c r="BK463" s="402"/>
      <c r="BL463" s="402"/>
      <c r="BM463" s="402"/>
      <c r="BN463" s="401"/>
      <c r="BO463" s="437"/>
      <c r="BP463" s="438"/>
      <c r="BQ463" s="438"/>
      <c r="BR463" s="444"/>
      <c r="BS463" s="445"/>
    </row>
    <row r="464" spans="1:72" ht="15" customHeight="1" x14ac:dyDescent="0.15">
      <c r="A464" s="419" t="s">
        <v>4946</v>
      </c>
      <c r="B464" s="405" t="s">
        <v>4947</v>
      </c>
      <c r="C464" s="405"/>
      <c r="D464" s="405"/>
      <c r="E464" s="405"/>
      <c r="F464" s="447" t="s">
        <v>107</v>
      </c>
      <c r="G464" s="441" t="s">
        <v>4950</v>
      </c>
      <c r="H464" s="442" t="s">
        <v>1496</v>
      </c>
      <c r="I464" s="406" t="s">
        <v>1497</v>
      </c>
      <c r="J464" s="407" t="s">
        <v>1015</v>
      </c>
      <c r="K464" s="408"/>
      <c r="L464" s="409">
        <v>4</v>
      </c>
      <c r="M464" s="409"/>
      <c r="N464" s="410" t="str">
        <f t="shared" si="14"/>
        <v>U 17 Hommes</v>
      </c>
      <c r="O464" s="739">
        <v>4</v>
      </c>
      <c r="P464" s="863"/>
      <c r="Q464" s="730" t="str">
        <f t="shared" si="15"/>
        <v>U 17 Hommes</v>
      </c>
      <c r="R464" s="741"/>
      <c r="S464" s="741" t="s">
        <v>192</v>
      </c>
      <c r="T464" s="741"/>
      <c r="U464" s="741"/>
      <c r="V464" s="741"/>
      <c r="W464" s="741"/>
      <c r="X464" s="741"/>
      <c r="Y464" s="741"/>
      <c r="Z464" s="741"/>
      <c r="AA464" s="741"/>
      <c r="AB464" s="568" t="s">
        <v>2805</v>
      </c>
      <c r="AC464" s="423"/>
      <c r="AD464" s="423"/>
      <c r="AE464" s="423"/>
      <c r="AF464" s="422"/>
      <c r="AG464" s="425"/>
      <c r="AH464" s="431"/>
      <c r="AI464" s="669"/>
      <c r="AJ464" s="429">
        <v>45586</v>
      </c>
      <c r="AK464" s="428">
        <v>2026</v>
      </c>
      <c r="AL464" s="439">
        <v>40647</v>
      </c>
      <c r="AM464" s="433" t="s">
        <v>4951</v>
      </c>
      <c r="AN464" s="434"/>
      <c r="AO464" s="430"/>
      <c r="AP464" s="435" t="s">
        <v>4952</v>
      </c>
      <c r="AQ464" s="858" t="s">
        <v>4953</v>
      </c>
      <c r="AR464" s="436" t="s">
        <v>4954</v>
      </c>
      <c r="AS464" s="413"/>
      <c r="AT464" s="413"/>
      <c r="AU464" s="400"/>
      <c r="AV464" s="412"/>
      <c r="AW464" s="398"/>
      <c r="AX464" s="72"/>
      <c r="AY464" s="398"/>
      <c r="AZ464" s="400"/>
      <c r="BA464" s="72"/>
      <c r="BB464" s="404"/>
      <c r="BC464" s="404"/>
      <c r="BD464" s="404"/>
      <c r="BE464" s="404"/>
      <c r="BF464" s="404"/>
      <c r="BG464" s="404"/>
      <c r="BH464" s="403"/>
      <c r="BI464" s="403"/>
      <c r="BJ464" s="403"/>
      <c r="BK464" s="402"/>
      <c r="BL464" s="402"/>
      <c r="BM464" s="402"/>
      <c r="BN464" s="401"/>
      <c r="BO464" s="437"/>
      <c r="BP464" s="438"/>
      <c r="BQ464" s="438"/>
      <c r="BR464" s="444"/>
      <c r="BS464" s="445"/>
      <c r="BT464" s="457"/>
    </row>
    <row r="465" spans="1:72" ht="15" customHeight="1" x14ac:dyDescent="0.15">
      <c r="A465" s="419" t="s">
        <v>3445</v>
      </c>
      <c r="B465" s="405" t="s">
        <v>3446</v>
      </c>
      <c r="C465" s="405"/>
      <c r="D465" s="405"/>
      <c r="E465" s="405"/>
      <c r="F465" s="451" t="s">
        <v>107</v>
      </c>
      <c r="G465" s="441" t="s">
        <v>3447</v>
      </c>
      <c r="H465" s="442" t="s">
        <v>3448</v>
      </c>
      <c r="I465" s="559" t="s">
        <v>3449</v>
      </c>
      <c r="J465" s="407" t="s">
        <v>320</v>
      </c>
      <c r="K465" s="408"/>
      <c r="L465" s="409">
        <v>12</v>
      </c>
      <c r="M465" s="409"/>
      <c r="N465" s="410" t="str">
        <f t="shared" si="14"/>
        <v>Dames</v>
      </c>
      <c r="O465" s="739">
        <v>12</v>
      </c>
      <c r="P465" s="863"/>
      <c r="Q465" s="730" t="str">
        <f t="shared" si="15"/>
        <v>Dames</v>
      </c>
      <c r="R465" s="741"/>
      <c r="S465" s="741"/>
      <c r="T465" s="741"/>
      <c r="U465" s="741"/>
      <c r="V465" s="741"/>
      <c r="W465" s="741"/>
      <c r="X465" s="741"/>
      <c r="Y465" s="741"/>
      <c r="Z465" s="741"/>
      <c r="AA465" s="741"/>
      <c r="AB465" s="423" t="s">
        <v>3463</v>
      </c>
      <c r="AC465" s="423"/>
      <c r="AD465" s="423"/>
      <c r="AE465" s="423"/>
      <c r="AF465" s="422"/>
      <c r="AG465" s="448"/>
      <c r="AH465" s="431"/>
      <c r="AI465" s="429">
        <v>44082</v>
      </c>
      <c r="AJ465" s="429">
        <v>44071</v>
      </c>
      <c r="AK465" s="428">
        <v>2027</v>
      </c>
      <c r="AL465" s="439">
        <v>35656</v>
      </c>
      <c r="AM465" s="449" t="s">
        <v>3450</v>
      </c>
      <c r="AN465" s="434"/>
      <c r="AO465" s="430"/>
      <c r="AP465" s="435"/>
      <c r="AQ465" s="845" t="s">
        <v>3451</v>
      </c>
      <c r="AR465" s="436" t="s">
        <v>3452</v>
      </c>
      <c r="AS465" s="413"/>
      <c r="AT465" s="413"/>
      <c r="AU465" s="400"/>
      <c r="AV465" s="412"/>
      <c r="AW465" s="398"/>
      <c r="AX465" s="72"/>
      <c r="AY465" s="398"/>
      <c r="AZ465" s="400"/>
      <c r="BA465" s="72"/>
      <c r="BB465" s="404"/>
      <c r="BC465" s="404"/>
      <c r="BD465" s="404"/>
      <c r="BE465" s="404"/>
      <c r="BF465" s="404"/>
      <c r="BG465" s="404"/>
      <c r="BH465" s="403"/>
      <c r="BI465" s="403"/>
      <c r="BJ465" s="403"/>
      <c r="BK465" s="402"/>
      <c r="BL465" s="402"/>
      <c r="BM465" s="402"/>
      <c r="BN465" s="401"/>
      <c r="BO465" s="437"/>
      <c r="BP465" s="438"/>
      <c r="BQ465" s="438"/>
      <c r="BR465" s="444"/>
      <c r="BS465" s="445"/>
    </row>
    <row r="466" spans="1:72" ht="15" customHeight="1" x14ac:dyDescent="0.15">
      <c r="A466" s="656" t="s">
        <v>2487</v>
      </c>
      <c r="B466" s="658" t="s">
        <v>2488</v>
      </c>
      <c r="C466" s="658"/>
      <c r="D466" s="658"/>
      <c r="E466" s="658"/>
      <c r="F466" s="660" t="s">
        <v>107</v>
      </c>
      <c r="G466" s="817" t="s">
        <v>1094</v>
      </c>
      <c r="H466" s="818" t="s">
        <v>1095</v>
      </c>
      <c r="I466" s="819" t="s">
        <v>241</v>
      </c>
      <c r="J466" s="663" t="s">
        <v>1096</v>
      </c>
      <c r="K466" s="820"/>
      <c r="L466" s="666">
        <v>11</v>
      </c>
      <c r="M466" s="666"/>
      <c r="N466" s="667" t="str">
        <f t="shared" si="14"/>
        <v>Officiel D</v>
      </c>
      <c r="O466" s="744">
        <v>11</v>
      </c>
      <c r="P466" s="865"/>
      <c r="Q466" s="730" t="str">
        <f t="shared" si="15"/>
        <v>Officiel D</v>
      </c>
      <c r="R466" s="745"/>
      <c r="S466" s="745" t="s">
        <v>313</v>
      </c>
      <c r="T466" s="745"/>
      <c r="U466" s="745"/>
      <c r="V466" s="745"/>
      <c r="W466" s="745"/>
      <c r="X466" s="745"/>
      <c r="Y466" s="745"/>
      <c r="Z466" s="745"/>
      <c r="AA466" s="745"/>
      <c r="AB466" s="668"/>
      <c r="AC466" s="668" t="s">
        <v>4196</v>
      </c>
      <c r="AD466" s="668" t="s">
        <v>4196</v>
      </c>
      <c r="AE466" s="668"/>
      <c r="AF466" s="633"/>
      <c r="AG466" s="837"/>
      <c r="AH466" s="634"/>
      <c r="AI466" s="821">
        <v>44886</v>
      </c>
      <c r="AJ466" s="821">
        <v>42860</v>
      </c>
      <c r="AK466" s="636" t="s">
        <v>242</v>
      </c>
      <c r="AL466" s="822">
        <v>29480</v>
      </c>
      <c r="AM466" s="823" t="s">
        <v>4177</v>
      </c>
      <c r="AN466" s="637"/>
      <c r="AO466" s="631"/>
      <c r="AP466" s="825" t="s">
        <v>2489</v>
      </c>
      <c r="AQ466" s="868" t="s">
        <v>3501</v>
      </c>
      <c r="AR466" s="436" t="s">
        <v>2490</v>
      </c>
      <c r="AS466" s="636"/>
      <c r="AT466" s="636" t="s">
        <v>3969</v>
      </c>
      <c r="AU466" s="632"/>
      <c r="AV466" s="630"/>
      <c r="AW466" s="641" t="s">
        <v>3969</v>
      </c>
      <c r="AX466" s="642"/>
      <c r="AY466" s="644"/>
      <c r="AZ466" s="632" t="s">
        <v>420</v>
      </c>
      <c r="BA466" s="642"/>
      <c r="BB466" s="646" t="s">
        <v>2813</v>
      </c>
      <c r="BC466" s="646" t="s">
        <v>292</v>
      </c>
      <c r="BD466" s="646" t="s">
        <v>421</v>
      </c>
      <c r="BE466" s="646" t="s">
        <v>419</v>
      </c>
      <c r="BF466" s="646"/>
      <c r="BG466" s="646"/>
      <c r="BH466" s="648"/>
      <c r="BI466" s="648"/>
      <c r="BJ466" s="648"/>
      <c r="BK466" s="651"/>
      <c r="BL466" s="651"/>
      <c r="BM466" s="651"/>
      <c r="BN466" s="653"/>
      <c r="BO466" s="637"/>
      <c r="BP466" s="655" t="s">
        <v>260</v>
      </c>
      <c r="BQ466" s="655"/>
      <c r="BR466" s="674"/>
      <c r="BS466" s="675"/>
    </row>
    <row r="467" spans="1:72" ht="15" customHeight="1" x14ac:dyDescent="0.15">
      <c r="A467" s="419" t="s">
        <v>3250</v>
      </c>
      <c r="B467" s="683" t="s">
        <v>871</v>
      </c>
      <c r="C467" s="405"/>
      <c r="D467" s="405"/>
      <c r="E467" s="405"/>
      <c r="F467" s="447" t="s">
        <v>107</v>
      </c>
      <c r="G467" s="421" t="s">
        <v>5248</v>
      </c>
      <c r="H467" s="442" t="s">
        <v>5249</v>
      </c>
      <c r="I467" s="406" t="s">
        <v>135</v>
      </c>
      <c r="J467" s="407" t="s">
        <v>5246</v>
      </c>
      <c r="K467" s="408"/>
      <c r="L467" s="409">
        <v>212</v>
      </c>
      <c r="M467" s="409"/>
      <c r="N467" s="410" t="str">
        <f t="shared" si="14"/>
        <v>Contact famille</v>
      </c>
      <c r="O467" s="739">
        <v>212</v>
      </c>
      <c r="P467" s="863"/>
      <c r="Q467" s="730" t="str">
        <f t="shared" si="15"/>
        <v>Contact famille</v>
      </c>
      <c r="R467" s="740"/>
      <c r="S467" s="740"/>
      <c r="T467" s="740"/>
      <c r="U467" s="740" t="s">
        <v>313</v>
      </c>
      <c r="V467" s="740"/>
      <c r="W467" s="740"/>
      <c r="X467" s="740"/>
      <c r="Y467" s="740"/>
      <c r="Z467" s="740"/>
      <c r="AA467" s="740"/>
      <c r="AB467" s="423"/>
      <c r="AC467" s="418"/>
      <c r="AD467" s="418"/>
      <c r="AE467" s="418"/>
      <c r="AF467" s="422"/>
      <c r="AG467" s="425"/>
      <c r="AH467" s="417"/>
      <c r="AI467" s="429" t="s">
        <v>242</v>
      </c>
      <c r="AJ467" s="429" t="s">
        <v>242</v>
      </c>
      <c r="AK467" s="428" t="s">
        <v>242</v>
      </c>
      <c r="AL467" s="399" t="s">
        <v>242</v>
      </c>
      <c r="AM467" s="449" t="s">
        <v>244</v>
      </c>
      <c r="AN467" s="412"/>
      <c r="AO467" s="72"/>
      <c r="AP467" s="414"/>
      <c r="AQ467" s="440">
        <v>621277037</v>
      </c>
      <c r="AR467" s="532" t="s">
        <v>5254</v>
      </c>
      <c r="AS467" s="413"/>
      <c r="AT467" s="413"/>
      <c r="AU467" s="412"/>
      <c r="AV467" s="412"/>
      <c r="AW467" s="399"/>
      <c r="AX467" s="72"/>
      <c r="AY467" s="398"/>
      <c r="AZ467" s="400"/>
      <c r="BA467" s="72"/>
      <c r="BB467" s="404"/>
      <c r="BC467" s="404"/>
      <c r="BD467" s="404"/>
      <c r="BE467" s="404"/>
      <c r="BF467" s="404"/>
      <c r="BG467" s="404"/>
      <c r="BH467" s="403"/>
      <c r="BI467" s="403"/>
      <c r="BJ467" s="403"/>
      <c r="BK467" s="402"/>
      <c r="BL467" s="402"/>
      <c r="BM467" s="402"/>
      <c r="BN467" s="401"/>
      <c r="BO467" s="400"/>
      <c r="BP467" s="400"/>
      <c r="BQ467" s="400"/>
      <c r="BR467" s="72"/>
      <c r="BS467" s="411"/>
    </row>
    <row r="468" spans="1:72" s="150" customFormat="1" ht="15" customHeight="1" x14ac:dyDescent="0.15">
      <c r="A468" s="419" t="s">
        <v>3250</v>
      </c>
      <c r="B468" s="405" t="s">
        <v>4596</v>
      </c>
      <c r="C468" s="405"/>
      <c r="D468" s="405"/>
      <c r="E468" s="405"/>
      <c r="F468" s="447" t="s">
        <v>107</v>
      </c>
      <c r="G468" s="441" t="s">
        <v>1648</v>
      </c>
      <c r="H468" s="442" t="s">
        <v>293</v>
      </c>
      <c r="I468" s="406" t="s">
        <v>294</v>
      </c>
      <c r="J468" s="407" t="s">
        <v>4593</v>
      </c>
      <c r="K468" s="408"/>
      <c r="L468" s="409">
        <v>212</v>
      </c>
      <c r="M468" s="409"/>
      <c r="N468" s="410" t="str">
        <f t="shared" si="14"/>
        <v>Contact famille</v>
      </c>
      <c r="O468" s="739">
        <v>212</v>
      </c>
      <c r="P468" s="863"/>
      <c r="Q468" s="730" t="str">
        <f t="shared" si="15"/>
        <v>Contact famille</v>
      </c>
      <c r="R468" s="741"/>
      <c r="S468" s="741"/>
      <c r="T468" s="741"/>
      <c r="U468" s="741"/>
      <c r="V468" s="741"/>
      <c r="W468" s="741"/>
      <c r="X468" s="741" t="s">
        <v>313</v>
      </c>
      <c r="Y468" s="741"/>
      <c r="Z468" s="741"/>
      <c r="AA468" s="741"/>
      <c r="AB468" s="423"/>
      <c r="AC468" s="423"/>
      <c r="AD468" s="423"/>
      <c r="AE468" s="423"/>
      <c r="AF468" s="422"/>
      <c r="AG468" s="369"/>
      <c r="AH468" s="431"/>
      <c r="AI468" s="429" t="s">
        <v>242</v>
      </c>
      <c r="AJ468" s="429" t="s">
        <v>242</v>
      </c>
      <c r="AK468" s="428" t="s">
        <v>242</v>
      </c>
      <c r="AL468" s="399" t="s">
        <v>242</v>
      </c>
      <c r="AM468" s="449" t="s">
        <v>244</v>
      </c>
      <c r="AN468" s="434"/>
      <c r="AO468" s="430"/>
      <c r="AP468" s="435"/>
      <c r="AQ468" s="440">
        <v>691464348</v>
      </c>
      <c r="AR468" s="436" t="s">
        <v>4599</v>
      </c>
      <c r="AS468" s="413"/>
      <c r="AT468" s="413"/>
      <c r="AU468" s="400"/>
      <c r="AV468" s="412"/>
      <c r="AW468" s="398"/>
      <c r="AX468" s="72"/>
      <c r="AY468" s="398"/>
      <c r="AZ468" s="400"/>
      <c r="BA468" s="72"/>
      <c r="BB468" s="404"/>
      <c r="BC468" s="404"/>
      <c r="BD468" s="404"/>
      <c r="BE468" s="404"/>
      <c r="BF468" s="404"/>
      <c r="BG468" s="404"/>
      <c r="BH468" s="403"/>
      <c r="BI468" s="403"/>
      <c r="BJ468" s="403"/>
      <c r="BK468" s="402"/>
      <c r="BL468" s="402"/>
      <c r="BM468" s="402"/>
      <c r="BN468" s="401"/>
      <c r="BO468" s="437"/>
      <c r="BP468" s="438"/>
      <c r="BQ468" s="438"/>
      <c r="BR468" s="444"/>
      <c r="BS468" s="445"/>
      <c r="BT468"/>
    </row>
    <row r="469" spans="1:72" s="150" customFormat="1" ht="15" customHeight="1" x14ac:dyDescent="0.15">
      <c r="A469" s="48" t="s">
        <v>3250</v>
      </c>
      <c r="B469" s="405" t="s">
        <v>4595</v>
      </c>
      <c r="C469" s="405"/>
      <c r="D469" s="405"/>
      <c r="E469" s="405"/>
      <c r="F469" s="447" t="s">
        <v>107</v>
      </c>
      <c r="G469" s="441" t="s">
        <v>1648</v>
      </c>
      <c r="H469" s="442" t="s">
        <v>293</v>
      </c>
      <c r="I469" s="406" t="s">
        <v>294</v>
      </c>
      <c r="J469" s="407" t="s">
        <v>4593</v>
      </c>
      <c r="K469" s="408"/>
      <c r="L469" s="409">
        <v>21</v>
      </c>
      <c r="M469" s="409"/>
      <c r="N469" s="410" t="str">
        <f t="shared" si="14"/>
        <v>U7 Mixte</v>
      </c>
      <c r="O469" s="739">
        <v>21</v>
      </c>
      <c r="P469" s="863"/>
      <c r="Q469" s="730" t="str">
        <f t="shared" si="15"/>
        <v>U7 Mixte</v>
      </c>
      <c r="R469" s="741"/>
      <c r="S469" s="741"/>
      <c r="T469" s="741"/>
      <c r="U469" s="741"/>
      <c r="V469" s="741"/>
      <c r="W469" s="741"/>
      <c r="X469" s="741" t="s">
        <v>192</v>
      </c>
      <c r="Y469" s="741"/>
      <c r="Z469" s="741"/>
      <c r="AA469" s="741"/>
      <c r="AB469" s="423" t="s">
        <v>4629</v>
      </c>
      <c r="AC469" s="423"/>
      <c r="AD469" s="423"/>
      <c r="AE469" s="423"/>
      <c r="AF469" s="422"/>
      <c r="AG469" s="369"/>
      <c r="AH469" s="431"/>
      <c r="AI469" s="429">
        <v>45245</v>
      </c>
      <c r="AJ469" s="429">
        <v>45225</v>
      </c>
      <c r="AK469" s="428">
        <v>2027</v>
      </c>
      <c r="AL469" s="439">
        <v>43936</v>
      </c>
      <c r="AM469" s="433" t="s">
        <v>4597</v>
      </c>
      <c r="AN469" s="434"/>
      <c r="AO469" s="430"/>
      <c r="AP469" s="435"/>
      <c r="AQ469" s="430" t="s">
        <v>4598</v>
      </c>
      <c r="AR469" s="436" t="s">
        <v>4599</v>
      </c>
      <c r="AS469" s="413"/>
      <c r="AT469" s="413"/>
      <c r="AU469" s="400"/>
      <c r="AV469" s="412"/>
      <c r="AW469" s="398"/>
      <c r="AX469" s="72"/>
      <c r="AY469" s="398"/>
      <c r="AZ469" s="400"/>
      <c r="BA469" s="72"/>
      <c r="BB469" s="404"/>
      <c r="BC469" s="404"/>
      <c r="BD469" s="404"/>
      <c r="BE469" s="404"/>
      <c r="BF469" s="404"/>
      <c r="BG469" s="404"/>
      <c r="BH469" s="403"/>
      <c r="BI469" s="403"/>
      <c r="BJ469" s="403"/>
      <c r="BK469" s="402"/>
      <c r="BL469" s="402"/>
      <c r="BM469" s="402"/>
      <c r="BN469" s="401"/>
      <c r="BO469" s="437"/>
      <c r="BP469" s="438"/>
      <c r="BQ469" s="438"/>
      <c r="BR469" s="444"/>
      <c r="BS469" s="445"/>
      <c r="BT469"/>
    </row>
    <row r="470" spans="1:72" ht="15" customHeight="1" x14ac:dyDescent="0.15">
      <c r="A470" s="419" t="s">
        <v>3250</v>
      </c>
      <c r="B470" s="405" t="s">
        <v>467</v>
      </c>
      <c r="C470" s="405"/>
      <c r="D470" s="405"/>
      <c r="E470" s="405"/>
      <c r="F470" s="447" t="s">
        <v>107</v>
      </c>
      <c r="G470" s="421" t="s">
        <v>5248</v>
      </c>
      <c r="H470" s="442" t="s">
        <v>5249</v>
      </c>
      <c r="I470" s="406" t="s">
        <v>135</v>
      </c>
      <c r="J470" s="407" t="s">
        <v>5246</v>
      </c>
      <c r="K470" s="408"/>
      <c r="L470" s="409">
        <v>6</v>
      </c>
      <c r="M470" s="409"/>
      <c r="N470" s="410" t="str">
        <f t="shared" si="14"/>
        <v>U 13 Hommes</v>
      </c>
      <c r="O470" s="739">
        <v>6</v>
      </c>
      <c r="P470" s="863"/>
      <c r="Q470" s="730" t="str">
        <f t="shared" si="15"/>
        <v>U 13 Hommes</v>
      </c>
      <c r="R470" s="740"/>
      <c r="S470" s="740"/>
      <c r="T470" s="740"/>
      <c r="U470" s="740" t="s">
        <v>192</v>
      </c>
      <c r="V470" s="740"/>
      <c r="W470" s="740"/>
      <c r="X470" s="740"/>
      <c r="Y470" s="740"/>
      <c r="Z470" s="740"/>
      <c r="AA470" s="740"/>
      <c r="AB470" s="568" t="s">
        <v>2805</v>
      </c>
      <c r="AC470" s="418"/>
      <c r="AD470" s="418"/>
      <c r="AE470" s="418"/>
      <c r="AF470" s="422"/>
      <c r="AG470" s="425" t="s">
        <v>5173</v>
      </c>
      <c r="AH470" s="417"/>
      <c r="AI470" s="569"/>
      <c r="AJ470" s="429">
        <v>45870</v>
      </c>
      <c r="AK470" s="428">
        <v>2027</v>
      </c>
      <c r="AL470" s="439">
        <v>42323</v>
      </c>
      <c r="AM470" s="416" t="s">
        <v>5250</v>
      </c>
      <c r="AN470" s="412"/>
      <c r="AO470" s="72"/>
      <c r="AP470" s="414" t="s">
        <v>5251</v>
      </c>
      <c r="AQ470" s="430" t="s">
        <v>5252</v>
      </c>
      <c r="AR470" s="849" t="s">
        <v>5253</v>
      </c>
      <c r="AS470" s="413"/>
      <c r="AT470" s="413"/>
      <c r="AU470" s="412"/>
      <c r="AV470" s="412"/>
      <c r="AW470" s="399"/>
      <c r="AX470" s="72"/>
      <c r="AY470" s="398"/>
      <c r="AZ470" s="400"/>
      <c r="BA470" s="72"/>
      <c r="BB470" s="404"/>
      <c r="BC470" s="404"/>
      <c r="BD470" s="404"/>
      <c r="BE470" s="404"/>
      <c r="BF470" s="404"/>
      <c r="BG470" s="404"/>
      <c r="BH470" s="403"/>
      <c r="BI470" s="403"/>
      <c r="BJ470" s="403"/>
      <c r="BK470" s="402"/>
      <c r="BL470" s="402"/>
      <c r="BM470" s="402"/>
      <c r="BN470" s="401"/>
      <c r="BO470" s="400"/>
      <c r="BP470" s="400"/>
      <c r="BQ470" s="400"/>
      <c r="BR470" s="72"/>
      <c r="BS470" s="411"/>
      <c r="BT470" s="150"/>
    </row>
    <row r="471" spans="1:72" ht="15" customHeight="1" x14ac:dyDescent="0.15">
      <c r="A471" s="419" t="s">
        <v>5247</v>
      </c>
      <c r="B471" s="405" t="s">
        <v>861</v>
      </c>
      <c r="C471" s="405"/>
      <c r="D471" s="405"/>
      <c r="E471" s="405"/>
      <c r="F471" s="447" t="s">
        <v>107</v>
      </c>
      <c r="G471" s="421" t="s">
        <v>5248</v>
      </c>
      <c r="H471" s="442" t="s">
        <v>5249</v>
      </c>
      <c r="I471" s="406" t="s">
        <v>135</v>
      </c>
      <c r="J471" s="407" t="s">
        <v>5246</v>
      </c>
      <c r="K471" s="408"/>
      <c r="L471" s="409">
        <v>212</v>
      </c>
      <c r="M471" s="409"/>
      <c r="N471" s="410" t="str">
        <f t="shared" si="14"/>
        <v>Contact famille</v>
      </c>
      <c r="O471" s="739">
        <v>212</v>
      </c>
      <c r="P471" s="863"/>
      <c r="Q471" s="730" t="str">
        <f t="shared" si="15"/>
        <v>Contact famille</v>
      </c>
      <c r="R471" s="740"/>
      <c r="S471" s="740"/>
      <c r="T471" s="740"/>
      <c r="U471" s="740" t="s">
        <v>313</v>
      </c>
      <c r="V471" s="740"/>
      <c r="W471" s="740"/>
      <c r="X471" s="740"/>
      <c r="Y471" s="740"/>
      <c r="Z471" s="740"/>
      <c r="AA471" s="740"/>
      <c r="AB471" s="423"/>
      <c r="AC471" s="418"/>
      <c r="AD471" s="418"/>
      <c r="AE471" s="418"/>
      <c r="AF471" s="422"/>
      <c r="AG471" s="425"/>
      <c r="AH471" s="417"/>
      <c r="AI471" s="18" t="s">
        <v>242</v>
      </c>
      <c r="AJ471" s="18" t="s">
        <v>242</v>
      </c>
      <c r="AK471" s="13" t="s">
        <v>242</v>
      </c>
      <c r="AL471" s="18" t="s">
        <v>242</v>
      </c>
      <c r="AM471" s="19" t="s">
        <v>244</v>
      </c>
      <c r="AN471" s="412"/>
      <c r="AO471" s="72"/>
      <c r="AP471" s="414"/>
      <c r="AQ471" s="440">
        <v>691477316</v>
      </c>
      <c r="AR471" s="532" t="s">
        <v>5253</v>
      </c>
      <c r="AS471" s="413"/>
      <c r="AT471" s="413"/>
      <c r="AU471" s="412"/>
      <c r="AV471" s="412"/>
      <c r="AW471" s="399"/>
      <c r="AX471" s="72"/>
      <c r="AY471" s="398"/>
      <c r="AZ471" s="400"/>
      <c r="BA471" s="72"/>
      <c r="BB471" s="404"/>
      <c r="BC471" s="404"/>
      <c r="BD471" s="404"/>
      <c r="BE471" s="404"/>
      <c r="BF471" s="404"/>
      <c r="BG471" s="404"/>
      <c r="BH471" s="403"/>
      <c r="BI471" s="403"/>
      <c r="BJ471" s="403"/>
      <c r="BK471" s="402"/>
      <c r="BL471" s="402"/>
      <c r="BM471" s="402"/>
      <c r="BN471" s="401"/>
      <c r="BO471" s="400"/>
      <c r="BP471" s="400"/>
      <c r="BQ471" s="400"/>
      <c r="BR471" s="72"/>
      <c r="BS471" s="411"/>
    </row>
    <row r="472" spans="1:72" ht="15" customHeight="1" x14ac:dyDescent="0.15">
      <c r="A472" s="601" t="s">
        <v>2491</v>
      </c>
      <c r="B472" s="602" t="s">
        <v>2492</v>
      </c>
      <c r="C472" s="602"/>
      <c r="D472" s="602"/>
      <c r="E472" s="602"/>
      <c r="F472" s="618" t="s">
        <v>107</v>
      </c>
      <c r="G472" s="603" t="s">
        <v>1199</v>
      </c>
      <c r="H472" s="604" t="s">
        <v>256</v>
      </c>
      <c r="I472" s="605" t="s">
        <v>257</v>
      </c>
      <c r="J472" s="606" t="s">
        <v>4376</v>
      </c>
      <c r="K472" s="408" t="s">
        <v>5004</v>
      </c>
      <c r="L472" s="607">
        <v>252</v>
      </c>
      <c r="M472" s="607"/>
      <c r="N472" s="608" t="str">
        <f t="shared" si="14"/>
        <v>Arrêt jeune (garder licence)</v>
      </c>
      <c r="O472" s="742">
        <v>6</v>
      </c>
      <c r="P472" s="864"/>
      <c r="Q472" s="758" t="str">
        <f t="shared" si="15"/>
        <v>U 13 Hommes</v>
      </c>
      <c r="R472" s="743"/>
      <c r="S472" s="743"/>
      <c r="T472" s="743"/>
      <c r="U472" s="743" t="s">
        <v>192</v>
      </c>
      <c r="V472" s="743"/>
      <c r="W472" s="743"/>
      <c r="X472" s="743"/>
      <c r="Y472" s="743"/>
      <c r="Z472" s="743"/>
      <c r="AA472" s="743"/>
      <c r="AB472" s="609" t="s">
        <v>3058</v>
      </c>
      <c r="AC472" s="609"/>
      <c r="AD472" s="609"/>
      <c r="AE472" s="609"/>
      <c r="AF472" s="590"/>
      <c r="AG472" s="469"/>
      <c r="AH472" s="567"/>
      <c r="AI472" s="676">
        <v>43542</v>
      </c>
      <c r="AJ472" s="676">
        <v>43519</v>
      </c>
      <c r="AK472" s="613">
        <v>2021</v>
      </c>
      <c r="AL472" s="677">
        <v>41786</v>
      </c>
      <c r="AM472" s="678" t="s">
        <v>2493</v>
      </c>
      <c r="AN472" s="592"/>
      <c r="AO472" s="588"/>
      <c r="AP472" s="588" t="s">
        <v>2494</v>
      </c>
      <c r="AQ472" s="588" t="s">
        <v>2495</v>
      </c>
      <c r="AR472" s="593" t="s">
        <v>2496</v>
      </c>
      <c r="AS472" s="591"/>
      <c r="AT472" s="591"/>
      <c r="AU472" s="589"/>
      <c r="AV472" s="587"/>
      <c r="AW472" s="594"/>
      <c r="AX472" s="595"/>
      <c r="AY472" s="594"/>
      <c r="AZ472" s="589" t="s">
        <v>209</v>
      </c>
      <c r="BA472" s="595"/>
      <c r="BB472" s="596" t="s">
        <v>2813</v>
      </c>
      <c r="BC472" s="596" t="s">
        <v>3151</v>
      </c>
      <c r="BD472" s="596"/>
      <c r="BE472" s="596"/>
      <c r="BF472" s="596"/>
      <c r="BG472" s="596"/>
      <c r="BH472" s="597"/>
      <c r="BI472" s="597"/>
      <c r="BJ472" s="597"/>
      <c r="BK472" s="598"/>
      <c r="BL472" s="598"/>
      <c r="BM472" s="598"/>
      <c r="BN472" s="599"/>
      <c r="BO472" s="592"/>
      <c r="BP472" s="600"/>
      <c r="BQ472" s="600"/>
      <c r="BR472" s="610"/>
      <c r="BS472" s="611"/>
    </row>
    <row r="473" spans="1:72" ht="15" customHeight="1" x14ac:dyDescent="0.15">
      <c r="A473" s="419" t="s">
        <v>1083</v>
      </c>
      <c r="B473" s="405" t="s">
        <v>4634</v>
      </c>
      <c r="C473" s="405"/>
      <c r="D473" s="405"/>
      <c r="E473" s="405"/>
      <c r="F473" s="447" t="s">
        <v>107</v>
      </c>
      <c r="G473" s="441" t="s">
        <v>4635</v>
      </c>
      <c r="H473" s="442" t="s">
        <v>4636</v>
      </c>
      <c r="I473" s="406" t="s">
        <v>4637</v>
      </c>
      <c r="J473" s="407" t="s">
        <v>4632</v>
      </c>
      <c r="K473" s="408"/>
      <c r="L473" s="409">
        <v>212</v>
      </c>
      <c r="M473" s="409"/>
      <c r="N473" s="410" t="str">
        <f t="shared" si="14"/>
        <v>Contact famille</v>
      </c>
      <c r="O473" s="739">
        <v>212</v>
      </c>
      <c r="P473" s="863"/>
      <c r="Q473" s="730" t="str">
        <f t="shared" si="15"/>
        <v>Contact famille</v>
      </c>
      <c r="R473" s="741"/>
      <c r="S473" s="741"/>
      <c r="T473" s="741"/>
      <c r="U473" s="741"/>
      <c r="V473" s="741"/>
      <c r="W473" s="741"/>
      <c r="X473" s="741" t="s">
        <v>313</v>
      </c>
      <c r="Y473" s="741"/>
      <c r="Z473" s="741"/>
      <c r="AA473" s="741"/>
      <c r="AB473" s="423"/>
      <c r="AC473" s="423"/>
      <c r="AD473" s="423"/>
      <c r="AE473" s="423"/>
      <c r="AF473" s="422"/>
      <c r="AG473" s="448"/>
      <c r="AH473" s="431"/>
      <c r="AI473" s="429" t="s">
        <v>242</v>
      </c>
      <c r="AJ473" s="429" t="s">
        <v>242</v>
      </c>
      <c r="AK473" s="428" t="s">
        <v>242</v>
      </c>
      <c r="AL473" s="439" t="s">
        <v>242</v>
      </c>
      <c r="AM473" s="433" t="s">
        <v>244</v>
      </c>
      <c r="AN473" s="434"/>
      <c r="AO473" s="430"/>
      <c r="AP473" s="435"/>
      <c r="AQ473" s="440">
        <v>621794842</v>
      </c>
      <c r="AR473" s="436" t="s">
        <v>4640</v>
      </c>
      <c r="AS473" s="413"/>
      <c r="AT473" s="413"/>
      <c r="AU473" s="400"/>
      <c r="AV473" s="412"/>
      <c r="AW473" s="398"/>
      <c r="AX473" s="72"/>
      <c r="AY473" s="398"/>
      <c r="AZ473" s="400"/>
      <c r="BA473" s="72"/>
      <c r="BB473" s="404"/>
      <c r="BC473" s="404"/>
      <c r="BD473" s="404"/>
      <c r="BE473" s="404"/>
      <c r="BF473" s="404"/>
      <c r="BG473" s="404"/>
      <c r="BH473" s="403"/>
      <c r="BI473" s="403"/>
      <c r="BJ473" s="403"/>
      <c r="BK473" s="402"/>
      <c r="BL473" s="402"/>
      <c r="BM473" s="402"/>
      <c r="BN473" s="401"/>
      <c r="BO473" s="437"/>
      <c r="BP473" s="438"/>
      <c r="BQ473" s="438"/>
      <c r="BR473" s="444"/>
      <c r="BS473" s="445"/>
    </row>
    <row r="474" spans="1:72" s="150" customFormat="1" ht="15" customHeight="1" x14ac:dyDescent="0.15">
      <c r="A474" s="419" t="s">
        <v>1435</v>
      </c>
      <c r="B474" s="405" t="s">
        <v>4221</v>
      </c>
      <c r="C474" s="405"/>
      <c r="D474" s="405"/>
      <c r="E474" s="405"/>
      <c r="F474" s="447" t="s">
        <v>107</v>
      </c>
      <c r="G474" s="441" t="s">
        <v>4223</v>
      </c>
      <c r="H474" s="442" t="s">
        <v>925</v>
      </c>
      <c r="I474" s="406" t="s">
        <v>135</v>
      </c>
      <c r="J474" s="407" t="s">
        <v>519</v>
      </c>
      <c r="K474" s="408"/>
      <c r="L474" s="409">
        <v>212</v>
      </c>
      <c r="M474" s="409"/>
      <c r="N474" s="410" t="str">
        <f t="shared" si="14"/>
        <v>Contact famille</v>
      </c>
      <c r="O474" s="739">
        <v>212</v>
      </c>
      <c r="P474" s="863"/>
      <c r="Q474" s="730" t="str">
        <f t="shared" si="15"/>
        <v>Contact famille</v>
      </c>
      <c r="R474" s="741"/>
      <c r="S474" s="741"/>
      <c r="T474" s="741"/>
      <c r="U474" s="741"/>
      <c r="V474" s="741" t="s">
        <v>313</v>
      </c>
      <c r="W474" s="741" t="s">
        <v>313</v>
      </c>
      <c r="X474" s="741"/>
      <c r="Y474" s="741"/>
      <c r="Z474" s="741"/>
      <c r="AA474" s="741"/>
      <c r="AB474" s="423"/>
      <c r="AC474" s="423"/>
      <c r="AD474" s="423"/>
      <c r="AE474" s="423"/>
      <c r="AF474" s="422"/>
      <c r="AG474" s="448"/>
      <c r="AH474" s="431"/>
      <c r="AI474" s="18" t="s">
        <v>242</v>
      </c>
      <c r="AJ474" s="18" t="s">
        <v>242</v>
      </c>
      <c r="AK474" s="13" t="s">
        <v>242</v>
      </c>
      <c r="AL474" s="13" t="s">
        <v>242</v>
      </c>
      <c r="AM474" s="46" t="s">
        <v>244</v>
      </c>
      <c r="AN474" s="434"/>
      <c r="AO474" s="430"/>
      <c r="AP474" s="435"/>
      <c r="AQ474" s="430"/>
      <c r="AR474" s="436" t="s">
        <v>4227</v>
      </c>
      <c r="AS474" s="413"/>
      <c r="AT474" s="413"/>
      <c r="AU474" s="400"/>
      <c r="AV474" s="412"/>
      <c r="AW474" s="398"/>
      <c r="AX474" s="72"/>
      <c r="AY474" s="398"/>
      <c r="AZ474" s="400"/>
      <c r="BA474" s="72"/>
      <c r="BB474" s="404"/>
      <c r="BC474" s="404"/>
      <c r="BD474" s="404"/>
      <c r="BE474" s="404"/>
      <c r="BF474" s="404"/>
      <c r="BG474" s="404"/>
      <c r="BH474" s="403"/>
      <c r="BI474" s="403"/>
      <c r="BJ474" s="403"/>
      <c r="BK474" s="402"/>
      <c r="BL474" s="402"/>
      <c r="BM474" s="402"/>
      <c r="BN474" s="401"/>
      <c r="BO474" s="437"/>
      <c r="BP474" s="438"/>
      <c r="BQ474" s="438"/>
      <c r="BR474" s="444"/>
      <c r="BS474" s="445"/>
      <c r="BT474"/>
    </row>
    <row r="475" spans="1:72" s="111" customFormat="1" ht="15" customHeight="1" x14ac:dyDescent="0.15">
      <c r="A475" s="419" t="s">
        <v>1435</v>
      </c>
      <c r="B475" s="405" t="s">
        <v>4219</v>
      </c>
      <c r="C475" s="751"/>
      <c r="D475" s="751"/>
      <c r="E475" s="751"/>
      <c r="F475" s="112" t="s">
        <v>107</v>
      </c>
      <c r="G475" s="441" t="s">
        <v>4223</v>
      </c>
      <c r="H475" s="5" t="s">
        <v>925</v>
      </c>
      <c r="I475" s="11" t="s">
        <v>135</v>
      </c>
      <c r="J475" s="407" t="s">
        <v>519</v>
      </c>
      <c r="K475" s="408"/>
      <c r="L475" s="409">
        <v>18</v>
      </c>
      <c r="M475" s="409"/>
      <c r="N475" s="410" t="str">
        <f t="shared" si="14"/>
        <v>U 9 Dames</v>
      </c>
      <c r="O475" s="739">
        <v>18</v>
      </c>
      <c r="P475" s="863"/>
      <c r="Q475" s="730" t="str">
        <f t="shared" si="15"/>
        <v>U 9 Dames</v>
      </c>
      <c r="R475" s="741"/>
      <c r="S475" s="741"/>
      <c r="T475" s="741"/>
      <c r="U475" s="741"/>
      <c r="V475" s="741"/>
      <c r="W475" s="741" t="s">
        <v>192</v>
      </c>
      <c r="X475" s="741"/>
      <c r="Y475" s="741"/>
      <c r="Z475" s="741"/>
      <c r="AA475" s="741"/>
      <c r="AB475" s="423" t="s">
        <v>4322</v>
      </c>
      <c r="AC475" s="423"/>
      <c r="AD475" s="423"/>
      <c r="AE475" s="423"/>
      <c r="AF475" s="422"/>
      <c r="AG475" s="448"/>
      <c r="AH475" s="431"/>
      <c r="AI475" s="429">
        <v>44984</v>
      </c>
      <c r="AJ475" s="429">
        <v>44905</v>
      </c>
      <c r="AK475" s="428">
        <v>2026</v>
      </c>
      <c r="AL475" s="439">
        <v>43804</v>
      </c>
      <c r="AM475" s="433" t="s">
        <v>4225</v>
      </c>
      <c r="AN475" s="434"/>
      <c r="AO475" s="430"/>
      <c r="AP475" s="435"/>
      <c r="AQ475" s="440" t="s">
        <v>4582</v>
      </c>
      <c r="AR475" s="436" t="s">
        <v>4226</v>
      </c>
      <c r="AS475" s="413"/>
      <c r="AT475" s="413"/>
      <c r="AU475" s="400"/>
      <c r="AV475" s="412"/>
      <c r="AW475" s="398"/>
      <c r="AX475" s="72"/>
      <c r="AY475" s="398"/>
      <c r="AZ475" s="400"/>
      <c r="BA475" s="72"/>
      <c r="BB475" s="404"/>
      <c r="BC475" s="404"/>
      <c r="BD475" s="404"/>
      <c r="BE475" s="404"/>
      <c r="BF475" s="404"/>
      <c r="BG475" s="404"/>
      <c r="BH475" s="403"/>
      <c r="BI475" s="403"/>
      <c r="BJ475" s="403"/>
      <c r="BK475" s="402"/>
      <c r="BL475" s="402"/>
      <c r="BM475" s="402"/>
      <c r="BN475" s="401"/>
      <c r="BO475" s="437"/>
      <c r="BP475" s="438"/>
      <c r="BQ475" s="438"/>
      <c r="BR475" s="444"/>
      <c r="BS475" s="445"/>
      <c r="BT475"/>
    </row>
    <row r="476" spans="1:72" ht="15" customHeight="1" x14ac:dyDescent="0.15">
      <c r="A476" s="419" t="s">
        <v>1435</v>
      </c>
      <c r="B476" s="405" t="s">
        <v>4220</v>
      </c>
      <c r="C476" s="751"/>
      <c r="D476" s="751"/>
      <c r="E476" s="751"/>
      <c r="F476" s="112" t="s">
        <v>107</v>
      </c>
      <c r="G476" s="441" t="s">
        <v>4223</v>
      </c>
      <c r="H476" s="5" t="s">
        <v>925</v>
      </c>
      <c r="I476" s="11" t="s">
        <v>135</v>
      </c>
      <c r="J476" s="407" t="s">
        <v>519</v>
      </c>
      <c r="K476" s="408"/>
      <c r="L476" s="409">
        <v>7</v>
      </c>
      <c r="M476" s="409"/>
      <c r="N476" s="410" t="str">
        <f t="shared" si="14"/>
        <v>U 11 Hommes</v>
      </c>
      <c r="O476" s="739">
        <v>7</v>
      </c>
      <c r="P476" s="863"/>
      <c r="Q476" s="730" t="str">
        <f t="shared" si="15"/>
        <v>U 11 Hommes</v>
      </c>
      <c r="R476" s="741"/>
      <c r="S476" s="741"/>
      <c r="T476" s="741"/>
      <c r="U476" s="741"/>
      <c r="V476" s="741" t="s">
        <v>192</v>
      </c>
      <c r="W476" s="741"/>
      <c r="X476" s="741"/>
      <c r="Y476" s="741"/>
      <c r="Z476" s="741"/>
      <c r="AA476" s="741"/>
      <c r="AB476" s="423" t="s">
        <v>4323</v>
      </c>
      <c r="AC476" s="423"/>
      <c r="AD476" s="423"/>
      <c r="AE476" s="423"/>
      <c r="AF476" s="422"/>
      <c r="AG476" s="448"/>
      <c r="AH476" s="431"/>
      <c r="AI476" s="429">
        <v>44984</v>
      </c>
      <c r="AJ476" s="429">
        <v>44905</v>
      </c>
      <c r="AK476" s="591">
        <v>2024</v>
      </c>
      <c r="AL476" s="439">
        <v>42742</v>
      </c>
      <c r="AM476" s="433" t="s">
        <v>4224</v>
      </c>
      <c r="AN476" s="434"/>
      <c r="AO476" s="430"/>
      <c r="AP476" s="435"/>
      <c r="AQ476" s="440" t="s">
        <v>4582</v>
      </c>
      <c r="AR476" s="436" t="s">
        <v>4226</v>
      </c>
      <c r="AS476" s="413"/>
      <c r="AT476" s="413"/>
      <c r="AU476" s="400"/>
      <c r="AV476" s="412"/>
      <c r="AW476" s="398"/>
      <c r="AX476" s="72"/>
      <c r="AY476" s="398"/>
      <c r="AZ476" s="400"/>
      <c r="BA476" s="72"/>
      <c r="BB476" s="404"/>
      <c r="BC476" s="404"/>
      <c r="BD476" s="404"/>
      <c r="BE476" s="404"/>
      <c r="BF476" s="404"/>
      <c r="BG476" s="404"/>
      <c r="BH476" s="403"/>
      <c r="BI476" s="403"/>
      <c r="BJ476" s="403"/>
      <c r="BK476" s="402"/>
      <c r="BL476" s="402"/>
      <c r="BM476" s="402"/>
      <c r="BN476" s="401"/>
      <c r="BO476" s="437"/>
      <c r="BP476" s="438"/>
      <c r="BQ476" s="438"/>
      <c r="BR476" s="444"/>
      <c r="BS476" s="445"/>
    </row>
    <row r="477" spans="1:72" ht="15" customHeight="1" x14ac:dyDescent="0.15">
      <c r="A477" s="419" t="s">
        <v>1358</v>
      </c>
      <c r="B477" s="405" t="s">
        <v>1898</v>
      </c>
      <c r="C477" s="405"/>
      <c r="D477" s="405"/>
      <c r="E477" s="405"/>
      <c r="F477" s="447" t="s">
        <v>107</v>
      </c>
      <c r="G477" s="441" t="s">
        <v>4537</v>
      </c>
      <c r="H477" s="442" t="s">
        <v>4538</v>
      </c>
      <c r="I477" s="406" t="s">
        <v>223</v>
      </c>
      <c r="J477" s="407" t="s">
        <v>4534</v>
      </c>
      <c r="K477" s="408"/>
      <c r="L477" s="409">
        <v>212</v>
      </c>
      <c r="M477" s="409"/>
      <c r="N477" s="410" t="str">
        <f t="shared" si="14"/>
        <v>Contact famille</v>
      </c>
      <c r="O477" s="739">
        <v>212</v>
      </c>
      <c r="P477" s="863"/>
      <c r="Q477" s="730" t="str">
        <f t="shared" si="15"/>
        <v>Contact famille</v>
      </c>
      <c r="R477" s="741"/>
      <c r="S477" s="741"/>
      <c r="T477" s="741"/>
      <c r="U477" s="741"/>
      <c r="V477" s="741" t="s">
        <v>313</v>
      </c>
      <c r="W477" s="741" t="s">
        <v>313</v>
      </c>
      <c r="X477" s="741"/>
      <c r="Y477" s="741"/>
      <c r="Z477" s="741"/>
      <c r="AA477" s="741"/>
      <c r="AB477" s="423"/>
      <c r="AC477" s="423"/>
      <c r="AD477" s="423"/>
      <c r="AE477" s="423"/>
      <c r="AF477" s="422"/>
      <c r="AG477" s="448"/>
      <c r="AH477" s="431"/>
      <c r="AI477" s="429" t="s">
        <v>242</v>
      </c>
      <c r="AJ477" s="429" t="s">
        <v>242</v>
      </c>
      <c r="AK477" s="428" t="s">
        <v>242</v>
      </c>
      <c r="AL477" s="399" t="s">
        <v>242</v>
      </c>
      <c r="AM477" s="449" t="s">
        <v>244</v>
      </c>
      <c r="AN477" s="434"/>
      <c r="AO477" s="430"/>
      <c r="AP477" s="435"/>
      <c r="AQ477" s="440">
        <v>621371615</v>
      </c>
      <c r="AR477" s="436" t="s">
        <v>4539</v>
      </c>
      <c r="AS477" s="413"/>
      <c r="AT477" s="413"/>
      <c r="AU477" s="400"/>
      <c r="AV477" s="412"/>
      <c r="AW477" s="398"/>
      <c r="AX477" s="72"/>
      <c r="AY477" s="398"/>
      <c r="AZ477" s="400"/>
      <c r="BA477" s="72"/>
      <c r="BB477" s="404"/>
      <c r="BC477" s="404"/>
      <c r="BD477" s="404"/>
      <c r="BE477" s="404"/>
      <c r="BF477" s="404"/>
      <c r="BG477" s="404"/>
      <c r="BH477" s="403"/>
      <c r="BI477" s="403"/>
      <c r="BJ477" s="403"/>
      <c r="BK477" s="402"/>
      <c r="BL477" s="402"/>
      <c r="BM477" s="402"/>
      <c r="BN477" s="401"/>
      <c r="BO477" s="437"/>
      <c r="BP477" s="438"/>
      <c r="BQ477" s="438"/>
      <c r="BR477" s="444"/>
      <c r="BS477" s="445"/>
    </row>
    <row r="478" spans="1:72" ht="15" customHeight="1" x14ac:dyDescent="0.15">
      <c r="A478" s="419" t="s">
        <v>1093</v>
      </c>
      <c r="B478" s="405" t="s">
        <v>871</v>
      </c>
      <c r="C478" s="405"/>
      <c r="D478" s="405"/>
      <c r="E478" s="405"/>
      <c r="F478" s="451" t="s">
        <v>107</v>
      </c>
      <c r="G478" s="441" t="s">
        <v>1094</v>
      </c>
      <c r="H478" s="442" t="s">
        <v>1095</v>
      </c>
      <c r="I478" s="406" t="s">
        <v>241</v>
      </c>
      <c r="J478" s="407" t="s">
        <v>1096</v>
      </c>
      <c r="K478" s="408"/>
      <c r="L478" s="409">
        <v>212</v>
      </c>
      <c r="M478" s="409"/>
      <c r="N478" s="410" t="str">
        <f t="shared" si="14"/>
        <v>Contact famille</v>
      </c>
      <c r="O478" s="739">
        <v>212</v>
      </c>
      <c r="P478" s="863"/>
      <c r="Q478" s="730" t="str">
        <f t="shared" si="15"/>
        <v>Contact famille</v>
      </c>
      <c r="R478" s="741"/>
      <c r="S478" s="741" t="s">
        <v>313</v>
      </c>
      <c r="T478" s="741"/>
      <c r="U478" s="741"/>
      <c r="V478" s="741"/>
      <c r="W478" s="741"/>
      <c r="X478" s="741"/>
      <c r="Y478" s="741"/>
      <c r="Z478" s="741"/>
      <c r="AA478" s="741"/>
      <c r="AB478" s="423"/>
      <c r="AC478" s="423"/>
      <c r="AD478" s="423" t="s">
        <v>252</v>
      </c>
      <c r="AE478" s="423"/>
      <c r="AF478" s="422"/>
      <c r="AG478" s="571"/>
      <c r="AH478" s="431"/>
      <c r="AI478" s="18" t="s">
        <v>242</v>
      </c>
      <c r="AJ478" s="18">
        <v>42860</v>
      </c>
      <c r="AK478" s="14" t="s">
        <v>210</v>
      </c>
      <c r="AL478" s="13" t="s">
        <v>242</v>
      </c>
      <c r="AM478" s="19" t="s">
        <v>244</v>
      </c>
      <c r="AN478" s="437"/>
      <c r="AO478" s="430"/>
      <c r="AP478" s="435"/>
      <c r="AQ478" s="536" t="s">
        <v>2524</v>
      </c>
      <c r="AR478" s="450" t="s">
        <v>2525</v>
      </c>
      <c r="AS478" s="413"/>
      <c r="AT478" s="413"/>
      <c r="AU478" s="539"/>
      <c r="AV478" s="412"/>
      <c r="AW478" s="398"/>
      <c r="AX478" s="72"/>
      <c r="AY478" s="398"/>
      <c r="AZ478" s="400" t="s">
        <v>420</v>
      </c>
      <c r="BA478" s="72"/>
      <c r="BB478" s="404" t="s">
        <v>2813</v>
      </c>
      <c r="BC478" s="404" t="s">
        <v>292</v>
      </c>
      <c r="BD478" s="404" t="s">
        <v>421</v>
      </c>
      <c r="BE478" s="404" t="s">
        <v>419</v>
      </c>
      <c r="BF478" s="404"/>
      <c r="BG478" s="404"/>
      <c r="BH478" s="403"/>
      <c r="BI478" s="403"/>
      <c r="BJ478" s="403"/>
      <c r="BK478" s="402"/>
      <c r="BL478" s="402"/>
      <c r="BM478" s="402"/>
      <c r="BN478" s="401"/>
      <c r="BO478" s="437"/>
      <c r="BP478" s="438" t="s">
        <v>1911</v>
      </c>
      <c r="BQ478" s="438"/>
      <c r="BR478" s="444"/>
      <c r="BS478" s="445"/>
    </row>
    <row r="479" spans="1:72" ht="15" customHeight="1" x14ac:dyDescent="0.15">
      <c r="A479" s="419" t="s">
        <v>1093</v>
      </c>
      <c r="B479" s="405" t="s">
        <v>1097</v>
      </c>
      <c r="C479" s="405"/>
      <c r="D479" s="405"/>
      <c r="E479" s="405"/>
      <c r="F479" s="451" t="s">
        <v>107</v>
      </c>
      <c r="G479" s="441" t="s">
        <v>1094</v>
      </c>
      <c r="H479" s="442" t="s">
        <v>1095</v>
      </c>
      <c r="I479" s="406" t="s">
        <v>241</v>
      </c>
      <c r="J479" s="407" t="s">
        <v>1096</v>
      </c>
      <c r="K479" s="408"/>
      <c r="L479" s="409">
        <v>300</v>
      </c>
      <c r="M479" s="409"/>
      <c r="N479" s="410" t="str">
        <f t="shared" si="14"/>
        <v>Prêt, sortie Mersch75</v>
      </c>
      <c r="O479" s="739">
        <v>4</v>
      </c>
      <c r="P479" s="863"/>
      <c r="Q479" s="730" t="str">
        <f t="shared" si="15"/>
        <v>U 17 Hommes</v>
      </c>
      <c r="R479" s="741"/>
      <c r="S479" s="741" t="s">
        <v>192</v>
      </c>
      <c r="T479" s="741"/>
      <c r="U479" s="741"/>
      <c r="V479" s="741"/>
      <c r="W479" s="741"/>
      <c r="X479" s="741"/>
      <c r="Y479" s="741"/>
      <c r="Z479" s="741"/>
      <c r="AA479" s="741"/>
      <c r="AB479" s="423" t="s">
        <v>3061</v>
      </c>
      <c r="AC479" s="423"/>
      <c r="AD479" s="423"/>
      <c r="AE479" s="423"/>
      <c r="AF479" s="422"/>
      <c r="AG479" s="448" t="s">
        <v>5573</v>
      </c>
      <c r="AH479" s="431"/>
      <c r="AI479" s="429">
        <v>42871</v>
      </c>
      <c r="AJ479" s="429">
        <v>42860</v>
      </c>
      <c r="AK479" s="535">
        <v>2030</v>
      </c>
      <c r="AL479" s="439">
        <v>40413</v>
      </c>
      <c r="AM479" s="433" t="s">
        <v>2526</v>
      </c>
      <c r="AN479" s="437"/>
      <c r="AO479" s="430"/>
      <c r="AP479" s="435" t="s">
        <v>2527</v>
      </c>
      <c r="AQ479" s="869" t="s">
        <v>2528</v>
      </c>
      <c r="AR479" s="450" t="s">
        <v>2525</v>
      </c>
      <c r="AS479" s="413"/>
      <c r="AT479" s="413"/>
      <c r="AU479" s="400"/>
      <c r="AV479" s="412"/>
      <c r="AW479" s="398"/>
      <c r="AX479" s="72"/>
      <c r="AY479" s="398"/>
      <c r="AZ479" s="400" t="s">
        <v>209</v>
      </c>
      <c r="BA479" s="72"/>
      <c r="BB479" s="404" t="s">
        <v>2813</v>
      </c>
      <c r="BC479" s="404" t="s">
        <v>292</v>
      </c>
      <c r="BD479" s="404" t="s">
        <v>421</v>
      </c>
      <c r="BE479" s="404">
        <v>250</v>
      </c>
      <c r="BF479" s="404"/>
      <c r="BG479" s="404"/>
      <c r="BH479" s="403"/>
      <c r="BI479" s="403"/>
      <c r="BJ479" s="403"/>
      <c r="BK479" s="402"/>
      <c r="BL479" s="402"/>
      <c r="BM479" s="402"/>
      <c r="BN479" s="401"/>
      <c r="BO479" s="437"/>
      <c r="BP479" s="438" t="s">
        <v>216</v>
      </c>
      <c r="BQ479" s="438"/>
      <c r="BR479" s="444"/>
      <c r="BS479" s="445"/>
    </row>
    <row r="480" spans="1:72" ht="15" customHeight="1" x14ac:dyDescent="0.15">
      <c r="A480" s="419" t="s">
        <v>5196</v>
      </c>
      <c r="B480" s="405" t="s">
        <v>5197</v>
      </c>
      <c r="C480" s="405"/>
      <c r="D480" s="405"/>
      <c r="E480" s="405"/>
      <c r="F480" s="420" t="s">
        <v>298</v>
      </c>
      <c r="G480" s="421" t="s">
        <v>5198</v>
      </c>
      <c r="H480" s="442" t="s">
        <v>855</v>
      </c>
      <c r="I480" s="406" t="s">
        <v>241</v>
      </c>
      <c r="J480" s="407" t="s">
        <v>5193</v>
      </c>
      <c r="K480" s="408"/>
      <c r="L480" s="409">
        <v>212</v>
      </c>
      <c r="M480" s="409"/>
      <c r="N480" s="410" t="str">
        <f t="shared" si="14"/>
        <v>Contact famille</v>
      </c>
      <c r="O480" s="739">
        <v>212</v>
      </c>
      <c r="P480" s="863"/>
      <c r="Q480" s="730" t="str">
        <f t="shared" si="15"/>
        <v>Contact famille</v>
      </c>
      <c r="R480" s="740"/>
      <c r="S480" s="740"/>
      <c r="T480" s="740"/>
      <c r="U480" s="740"/>
      <c r="V480" s="740"/>
      <c r="W480" s="740"/>
      <c r="X480" s="740"/>
      <c r="Y480" s="740"/>
      <c r="Z480" s="740"/>
      <c r="AA480" s="740" t="s">
        <v>313</v>
      </c>
      <c r="AB480" s="423"/>
      <c r="AC480" s="418"/>
      <c r="AD480" s="418"/>
      <c r="AE480" s="418"/>
      <c r="AF480" s="422"/>
      <c r="AG480" s="425"/>
      <c r="AH480" s="417"/>
      <c r="AI480" s="18" t="s">
        <v>242</v>
      </c>
      <c r="AJ480" s="18" t="s">
        <v>242</v>
      </c>
      <c r="AK480" s="13" t="s">
        <v>242</v>
      </c>
      <c r="AL480" s="18" t="s">
        <v>242</v>
      </c>
      <c r="AM480" s="19" t="s">
        <v>244</v>
      </c>
      <c r="AN480" s="412"/>
      <c r="AO480" s="72"/>
      <c r="AP480" s="414"/>
      <c r="AQ480" s="440">
        <v>691102616</v>
      </c>
      <c r="AR480" s="725" t="s">
        <v>5207</v>
      </c>
      <c r="AS480" s="413"/>
      <c r="AT480" s="413"/>
      <c r="AU480" s="412"/>
      <c r="AV480" s="412"/>
      <c r="AW480" s="399"/>
      <c r="AX480" s="72"/>
      <c r="AY480" s="398"/>
      <c r="AZ480" s="400"/>
      <c r="BA480" s="72"/>
      <c r="BB480" s="404"/>
      <c r="BC480" s="404"/>
      <c r="BD480" s="404"/>
      <c r="BE480" s="404"/>
      <c r="BF480" s="404"/>
      <c r="BG480" s="404"/>
      <c r="BH480" s="403"/>
      <c r="BI480" s="403"/>
      <c r="BJ480" s="403"/>
      <c r="BK480" s="402"/>
      <c r="BL480" s="402"/>
      <c r="BM480" s="402"/>
      <c r="BN480" s="401"/>
      <c r="BO480" s="400"/>
      <c r="BP480" s="400"/>
      <c r="BQ480" s="400"/>
      <c r="BR480" s="72"/>
      <c r="BS480" s="411"/>
    </row>
    <row r="481" spans="1:72" ht="15" customHeight="1" x14ac:dyDescent="0.15">
      <c r="A481" s="419" t="s">
        <v>1098</v>
      </c>
      <c r="B481" s="405" t="s">
        <v>1137</v>
      </c>
      <c r="C481" s="405"/>
      <c r="D481" s="405"/>
      <c r="E481" s="405"/>
      <c r="F481" s="451" t="s">
        <v>107</v>
      </c>
      <c r="G481" s="441" t="s">
        <v>1100</v>
      </c>
      <c r="H481" s="442" t="s">
        <v>1102</v>
      </c>
      <c r="I481" s="406" t="s">
        <v>2347</v>
      </c>
      <c r="J481" s="407" t="s">
        <v>1103</v>
      </c>
      <c r="K481" s="408"/>
      <c r="L481" s="409">
        <v>150</v>
      </c>
      <c r="M481" s="409"/>
      <c r="N481" s="815" t="str">
        <f t="shared" si="14"/>
        <v>comité</v>
      </c>
      <c r="O481" s="739">
        <v>1</v>
      </c>
      <c r="P481" s="863"/>
      <c r="Q481" s="730" t="str">
        <f t="shared" si="15"/>
        <v>Officiel H</v>
      </c>
      <c r="R481" s="741"/>
      <c r="S481" s="741"/>
      <c r="T481" s="741"/>
      <c r="U481" s="741"/>
      <c r="V481" s="741"/>
      <c r="W481" s="741"/>
      <c r="X481" s="741"/>
      <c r="Y481" s="741"/>
      <c r="Z481" s="741"/>
      <c r="AA481" s="741"/>
      <c r="AB481" s="423"/>
      <c r="AC481" s="423" t="s">
        <v>3105</v>
      </c>
      <c r="AD481" s="423" t="s">
        <v>3105</v>
      </c>
      <c r="AE481" s="423"/>
      <c r="AF481" s="422"/>
      <c r="AG481" s="448"/>
      <c r="AH481" s="431"/>
      <c r="AI481" s="429">
        <v>43130</v>
      </c>
      <c r="AJ481" s="429">
        <v>42521</v>
      </c>
      <c r="AK481" s="428" t="s">
        <v>242</v>
      </c>
      <c r="AL481" s="439">
        <v>27796</v>
      </c>
      <c r="AM481" s="433" t="s">
        <v>2533</v>
      </c>
      <c r="AN481" s="437"/>
      <c r="AO481" s="430"/>
      <c r="AP481" s="435" t="s">
        <v>252</v>
      </c>
      <c r="AQ481" s="440" t="s">
        <v>3502</v>
      </c>
      <c r="AR481" s="450" t="s">
        <v>2534</v>
      </c>
      <c r="AS481" s="413"/>
      <c r="AT481" s="413" t="s">
        <v>3969</v>
      </c>
      <c r="AU481" s="400"/>
      <c r="AV481" s="812" t="s">
        <v>5640</v>
      </c>
      <c r="AW481" s="398"/>
      <c r="AX481" s="72"/>
      <c r="AY481" s="398"/>
      <c r="AZ481" s="400" t="s">
        <v>420</v>
      </c>
      <c r="BA481" s="72"/>
      <c r="BB481" s="404" t="s">
        <v>2813</v>
      </c>
      <c r="BC481" s="404" t="s">
        <v>292</v>
      </c>
      <c r="BD481" s="404" t="s">
        <v>1168</v>
      </c>
      <c r="BE481" s="404">
        <v>50</v>
      </c>
      <c r="BF481" s="404"/>
      <c r="BG481" s="404"/>
      <c r="BH481" s="403"/>
      <c r="BI481" s="403"/>
      <c r="BJ481" s="403"/>
      <c r="BK481" s="402"/>
      <c r="BL481" s="402"/>
      <c r="BM481" s="402"/>
      <c r="BN481" s="401"/>
      <c r="BO481" s="437"/>
      <c r="BP481" s="438" t="s">
        <v>1456</v>
      </c>
      <c r="BQ481" s="438"/>
      <c r="BR481" s="444"/>
      <c r="BS481" s="445"/>
    </row>
    <row r="482" spans="1:72" ht="15" customHeight="1" x14ac:dyDescent="0.15">
      <c r="A482" s="419" t="s">
        <v>1098</v>
      </c>
      <c r="B482" s="405" t="s">
        <v>1099</v>
      </c>
      <c r="C482" s="405"/>
      <c r="D482" s="405"/>
      <c r="E482" s="405"/>
      <c r="F482" s="451" t="s">
        <v>107</v>
      </c>
      <c r="G482" s="441" t="s">
        <v>1100</v>
      </c>
      <c r="H482" s="442" t="s">
        <v>1102</v>
      </c>
      <c r="I482" s="406" t="s">
        <v>2347</v>
      </c>
      <c r="J482" s="407" t="s">
        <v>1103</v>
      </c>
      <c r="K482" s="408"/>
      <c r="L482" s="409">
        <v>303</v>
      </c>
      <c r="M482" s="409"/>
      <c r="N482" s="410" t="str">
        <f t="shared" si="14"/>
        <v>Prêt gratuit pas équipe club origine</v>
      </c>
      <c r="O482" s="739">
        <v>3</v>
      </c>
      <c r="P482" s="863"/>
      <c r="Q482" s="730" t="str">
        <f t="shared" si="15"/>
        <v>U 21 Hommes</v>
      </c>
      <c r="R482" s="741"/>
      <c r="S482" s="741"/>
      <c r="T482" s="741"/>
      <c r="U482" s="741"/>
      <c r="V482" s="741"/>
      <c r="W482" s="741"/>
      <c r="X482" s="741"/>
      <c r="Y482" s="741"/>
      <c r="Z482" s="741"/>
      <c r="AA482" s="741"/>
      <c r="AB482" s="423" t="s">
        <v>3062</v>
      </c>
      <c r="AC482" s="568" t="s">
        <v>2805</v>
      </c>
      <c r="AD482" s="568" t="s">
        <v>2805</v>
      </c>
      <c r="AE482" s="423"/>
      <c r="AF482" s="422"/>
      <c r="AG482" s="571"/>
      <c r="AH482" s="431"/>
      <c r="AI482" s="429">
        <v>42521</v>
      </c>
      <c r="AJ482" s="429">
        <v>42521</v>
      </c>
      <c r="AK482" s="428">
        <v>2026</v>
      </c>
      <c r="AL482" s="439">
        <v>39058</v>
      </c>
      <c r="AM482" s="433" t="s">
        <v>2529</v>
      </c>
      <c r="AN482" s="437"/>
      <c r="AO482" s="430" t="s">
        <v>2530</v>
      </c>
      <c r="AP482" s="435"/>
      <c r="AQ482" s="430" t="s">
        <v>2531</v>
      </c>
      <c r="AR482" s="450" t="s">
        <v>2532</v>
      </c>
      <c r="AS482" s="413"/>
      <c r="AT482" s="413"/>
      <c r="AU482" s="540"/>
      <c r="AV482" s="412"/>
      <c r="AW482" s="398"/>
      <c r="AX482" s="72"/>
      <c r="AY482" s="398"/>
      <c r="AZ482" s="400" t="s">
        <v>420</v>
      </c>
      <c r="BA482" s="72"/>
      <c r="BB482" s="404" t="s">
        <v>2813</v>
      </c>
      <c r="BC482" s="404" t="s">
        <v>292</v>
      </c>
      <c r="BD482" s="404" t="s">
        <v>1168</v>
      </c>
      <c r="BE482" s="404">
        <v>25</v>
      </c>
      <c r="BF482" s="404"/>
      <c r="BG482" s="404"/>
      <c r="BH482" s="403"/>
      <c r="BI482" s="403"/>
      <c r="BJ482" s="403"/>
      <c r="BK482" s="402"/>
      <c r="BL482" s="402"/>
      <c r="BM482" s="402"/>
      <c r="BN482" s="401"/>
      <c r="BO482" s="437" t="s">
        <v>295</v>
      </c>
      <c r="BP482" s="438" t="s">
        <v>216</v>
      </c>
      <c r="BQ482" s="438"/>
      <c r="BR482" s="444"/>
      <c r="BS482" s="445"/>
    </row>
    <row r="483" spans="1:72" ht="15" customHeight="1" x14ac:dyDescent="0.15">
      <c r="A483" s="419" t="s">
        <v>2809</v>
      </c>
      <c r="B483" s="405" t="s">
        <v>2535</v>
      </c>
      <c r="C483" s="405"/>
      <c r="D483" s="405"/>
      <c r="E483" s="405"/>
      <c r="F483" s="451" t="s">
        <v>107</v>
      </c>
      <c r="G483" s="441" t="s">
        <v>1100</v>
      </c>
      <c r="H483" s="442" t="s">
        <v>1102</v>
      </c>
      <c r="I483" s="406" t="s">
        <v>2347</v>
      </c>
      <c r="J483" s="407" t="s">
        <v>1103</v>
      </c>
      <c r="K483" s="408"/>
      <c r="L483" s="409">
        <v>212</v>
      </c>
      <c r="M483" s="409"/>
      <c r="N483" s="410" t="str">
        <f t="shared" si="14"/>
        <v>Contact famille</v>
      </c>
      <c r="O483" s="739">
        <v>212</v>
      </c>
      <c r="P483" s="863"/>
      <c r="Q483" s="730" t="str">
        <f t="shared" si="15"/>
        <v>Contact famille</v>
      </c>
      <c r="R483" s="741"/>
      <c r="S483" s="741"/>
      <c r="T483" s="741"/>
      <c r="U483" s="741"/>
      <c r="V483" s="741"/>
      <c r="W483" s="741"/>
      <c r="X483" s="741"/>
      <c r="Y483" s="741"/>
      <c r="Z483" s="741"/>
      <c r="AA483" s="741"/>
      <c r="AB483" s="423"/>
      <c r="AC483" s="423"/>
      <c r="AD483" s="423"/>
      <c r="AE483" s="423"/>
      <c r="AF483" s="422"/>
      <c r="AG483" s="448"/>
      <c r="AH483" s="431"/>
      <c r="AI483" s="429" t="s">
        <v>242</v>
      </c>
      <c r="AJ483" s="429" t="s">
        <v>252</v>
      </c>
      <c r="AK483" s="428" t="s">
        <v>242</v>
      </c>
      <c r="AL483" s="399" t="s">
        <v>242</v>
      </c>
      <c r="AM483" s="433" t="s">
        <v>244</v>
      </c>
      <c r="AN483" s="437"/>
      <c r="AO483" s="430"/>
      <c r="AP483" s="435" t="s">
        <v>252</v>
      </c>
      <c r="AQ483" s="440" t="s">
        <v>2810</v>
      </c>
      <c r="AR483" s="450" t="s">
        <v>2532</v>
      </c>
      <c r="AS483" s="413" t="s">
        <v>3456</v>
      </c>
      <c r="AT483" s="413"/>
      <c r="AU483" s="400"/>
      <c r="AV483" s="412"/>
      <c r="AW483" s="398"/>
      <c r="AX483" s="72"/>
      <c r="AY483" s="398"/>
      <c r="AZ483" s="400" t="s">
        <v>420</v>
      </c>
      <c r="BA483" s="72"/>
      <c r="BB483" s="404" t="s">
        <v>2813</v>
      </c>
      <c r="BC483" s="404" t="s">
        <v>292</v>
      </c>
      <c r="BD483" s="404"/>
      <c r="BE483" s="404" t="s">
        <v>988</v>
      </c>
      <c r="BF483" s="404"/>
      <c r="BG483" s="404"/>
      <c r="BH483" s="403"/>
      <c r="BI483" s="403"/>
      <c r="BJ483" s="403"/>
      <c r="BK483" s="402"/>
      <c r="BL483" s="402"/>
      <c r="BM483" s="402"/>
      <c r="BN483" s="401"/>
      <c r="BO483" s="437"/>
      <c r="BP483" s="438" t="s">
        <v>260</v>
      </c>
      <c r="BQ483" s="438"/>
      <c r="BR483" s="444"/>
      <c r="BS483" s="445"/>
    </row>
    <row r="484" spans="1:72" ht="15" customHeight="1" x14ac:dyDescent="0.15">
      <c r="A484" s="419" t="s">
        <v>5576</v>
      </c>
      <c r="B484" s="405" t="s">
        <v>588</v>
      </c>
      <c r="C484" s="405"/>
      <c r="D484" s="405"/>
      <c r="E484" s="405"/>
      <c r="F484" s="447" t="s">
        <v>5477</v>
      </c>
      <c r="G484" s="421" t="s">
        <v>5577</v>
      </c>
      <c r="H484" s="442" t="s">
        <v>5240</v>
      </c>
      <c r="I484" s="406" t="s">
        <v>528</v>
      </c>
      <c r="J484" s="407" t="s">
        <v>5574</v>
      </c>
      <c r="K484" s="408"/>
      <c r="L484" s="409">
        <v>212</v>
      </c>
      <c r="M484" s="409"/>
      <c r="N484" s="410" t="str">
        <f t="shared" si="14"/>
        <v>Contact famille</v>
      </c>
      <c r="O484" s="739">
        <v>212</v>
      </c>
      <c r="P484" s="863"/>
      <c r="Q484" s="730" t="str">
        <f t="shared" si="15"/>
        <v>Contact famille</v>
      </c>
      <c r="R484" s="740"/>
      <c r="S484" s="740"/>
      <c r="T484" s="740" t="s">
        <v>313</v>
      </c>
      <c r="U484" s="740"/>
      <c r="V484" s="740"/>
      <c r="W484" s="740"/>
      <c r="X484" s="740"/>
      <c r="Y484" s="740"/>
      <c r="Z484" s="740"/>
      <c r="AA484" s="740"/>
      <c r="AB484" s="423"/>
      <c r="AC484" s="418"/>
      <c r="AD484" s="418"/>
      <c r="AE484" s="418"/>
      <c r="AF484" s="422"/>
      <c r="AG484" s="425"/>
      <c r="AH484" s="417"/>
      <c r="AI484" s="429" t="s">
        <v>242</v>
      </c>
      <c r="AJ484" s="429" t="s">
        <v>242</v>
      </c>
      <c r="AK484" s="428" t="s">
        <v>242</v>
      </c>
      <c r="AL484" s="439" t="s">
        <v>242</v>
      </c>
      <c r="AM484" s="433" t="s">
        <v>244</v>
      </c>
      <c r="AN484" s="412"/>
      <c r="AO484" s="72"/>
      <c r="AP484" s="414"/>
      <c r="AQ484" s="697">
        <v>661771662</v>
      </c>
      <c r="AR484" s="400" t="s">
        <v>5582</v>
      </c>
      <c r="AS484" s="413"/>
      <c r="AT484" s="413"/>
      <c r="AU484" s="412"/>
      <c r="AV484" s="412"/>
      <c r="AW484" s="399"/>
      <c r="AX484" s="72"/>
      <c r="AY484" s="398"/>
      <c r="AZ484" s="400"/>
      <c r="BA484" s="72"/>
      <c r="BB484" s="404"/>
      <c r="BC484" s="404"/>
      <c r="BD484" s="404"/>
      <c r="BE484" s="404"/>
      <c r="BF484" s="404"/>
      <c r="BG484" s="404"/>
      <c r="BH484" s="403"/>
      <c r="BI484" s="403"/>
      <c r="BJ484" s="403"/>
      <c r="BK484" s="402"/>
      <c r="BL484" s="402"/>
      <c r="BM484" s="402"/>
      <c r="BN484" s="401"/>
      <c r="BO484" s="400"/>
      <c r="BP484" s="400"/>
      <c r="BQ484" s="400"/>
      <c r="BR484" s="72"/>
      <c r="BS484" s="411"/>
    </row>
    <row r="485" spans="1:72" ht="15" customHeight="1" x14ac:dyDescent="0.15">
      <c r="A485" s="419" t="s">
        <v>5027</v>
      </c>
      <c r="B485" s="405" t="s">
        <v>5029</v>
      </c>
      <c r="C485" s="405"/>
      <c r="D485" s="405"/>
      <c r="E485" s="405"/>
      <c r="F485" s="447" t="s">
        <v>107</v>
      </c>
      <c r="G485" s="441" t="s">
        <v>5032</v>
      </c>
      <c r="H485" s="442" t="s">
        <v>666</v>
      </c>
      <c r="I485" s="406" t="s">
        <v>493</v>
      </c>
      <c r="J485" s="407" t="s">
        <v>5026</v>
      </c>
      <c r="K485" s="408"/>
      <c r="L485" s="409">
        <v>212</v>
      </c>
      <c r="M485" s="409"/>
      <c r="N485" s="410" t="str">
        <f t="shared" si="14"/>
        <v>Contact famille</v>
      </c>
      <c r="O485" s="739">
        <v>212</v>
      </c>
      <c r="P485" s="863"/>
      <c r="Q485" s="730" t="str">
        <f t="shared" si="15"/>
        <v>Contact famille</v>
      </c>
      <c r="R485" s="741"/>
      <c r="S485" s="741"/>
      <c r="T485" s="741"/>
      <c r="U485" s="741"/>
      <c r="V485" s="741"/>
      <c r="W485" s="741"/>
      <c r="X485" s="741" t="s">
        <v>313</v>
      </c>
      <c r="Y485" s="741"/>
      <c r="Z485" s="741"/>
      <c r="AA485" s="741"/>
      <c r="AB485" s="423"/>
      <c r="AC485" s="423"/>
      <c r="AD485" s="423"/>
      <c r="AE485" s="423"/>
      <c r="AF485" s="422"/>
      <c r="AG485" s="448"/>
      <c r="AH485" s="431"/>
      <c r="AI485" s="429" t="s">
        <v>242</v>
      </c>
      <c r="AJ485" s="429" t="s">
        <v>242</v>
      </c>
      <c r="AK485" s="428" t="s">
        <v>242</v>
      </c>
      <c r="AL485" s="399" t="s">
        <v>242</v>
      </c>
      <c r="AM485" s="449" t="s">
        <v>244</v>
      </c>
      <c r="AN485" s="434"/>
      <c r="AO485" s="430"/>
      <c r="AP485" s="435"/>
      <c r="AQ485" s="440">
        <v>621615316</v>
      </c>
      <c r="AR485" s="436" t="s">
        <v>5035</v>
      </c>
      <c r="AS485" s="413"/>
      <c r="AT485" s="413"/>
      <c r="AU485" s="400"/>
      <c r="AV485" s="412"/>
      <c r="AW485" s="399"/>
      <c r="AX485" s="72"/>
      <c r="AY485" s="398"/>
      <c r="AZ485" s="400"/>
      <c r="BA485" s="72"/>
      <c r="BB485" s="404"/>
      <c r="BC485" s="404"/>
      <c r="BD485" s="404"/>
      <c r="BE485" s="404"/>
      <c r="BF485" s="404"/>
      <c r="BG485" s="404"/>
      <c r="BH485" s="403"/>
      <c r="BI485" s="403"/>
      <c r="BJ485" s="403"/>
      <c r="BK485" s="402"/>
      <c r="BL485" s="402"/>
      <c r="BM485" s="402"/>
      <c r="BN485" s="401"/>
      <c r="BO485" s="437"/>
      <c r="BP485" s="438"/>
      <c r="BQ485" s="438"/>
      <c r="BR485" s="444"/>
      <c r="BS485" s="445"/>
      <c r="BT485" s="150"/>
    </row>
    <row r="486" spans="1:72" ht="15" customHeight="1" x14ac:dyDescent="0.15">
      <c r="A486" s="419" t="s">
        <v>5027</v>
      </c>
      <c r="B486" s="405" t="s">
        <v>5028</v>
      </c>
      <c r="C486" s="405"/>
      <c r="D486" s="405"/>
      <c r="E486" s="405"/>
      <c r="F486" s="447" t="s">
        <v>107</v>
      </c>
      <c r="G486" s="441" t="s">
        <v>5032</v>
      </c>
      <c r="H486" s="442" t="s">
        <v>666</v>
      </c>
      <c r="I486" s="406" t="s">
        <v>493</v>
      </c>
      <c r="J486" s="407" t="s">
        <v>5026</v>
      </c>
      <c r="K486" s="408"/>
      <c r="L486" s="409">
        <v>21</v>
      </c>
      <c r="M486" s="409"/>
      <c r="N486" s="410" t="str">
        <f t="shared" si="14"/>
        <v>U7 Mixte</v>
      </c>
      <c r="O486" s="739">
        <v>21</v>
      </c>
      <c r="P486" s="863"/>
      <c r="Q486" s="730" t="str">
        <f t="shared" si="15"/>
        <v>U7 Mixte</v>
      </c>
      <c r="R486" s="741"/>
      <c r="S486" s="741"/>
      <c r="T486" s="741"/>
      <c r="U486" s="741"/>
      <c r="V486" s="741"/>
      <c r="W486" s="741"/>
      <c r="X486" s="741" t="s">
        <v>192</v>
      </c>
      <c r="Y486" s="741"/>
      <c r="Z486" s="741"/>
      <c r="AA486" s="741"/>
      <c r="AB486" s="423" t="s">
        <v>5083</v>
      </c>
      <c r="AC486" s="423"/>
      <c r="AD486" s="423"/>
      <c r="AE486" s="423"/>
      <c r="AF486" s="422"/>
      <c r="AG486" s="448"/>
      <c r="AH486" s="431"/>
      <c r="AI486" s="429">
        <v>45716</v>
      </c>
      <c r="AJ486" s="429">
        <v>45635</v>
      </c>
      <c r="AK486" s="428">
        <v>2027</v>
      </c>
      <c r="AL486" s="439">
        <v>44188</v>
      </c>
      <c r="AM486" s="433" t="s">
        <v>5033</v>
      </c>
      <c r="AN486" s="434"/>
      <c r="AO486" s="430"/>
      <c r="AP486" s="435"/>
      <c r="AQ486" s="435" t="s">
        <v>5034</v>
      </c>
      <c r="AR486" s="436" t="s">
        <v>5035</v>
      </c>
      <c r="AS486" s="413"/>
      <c r="AT486" s="413"/>
      <c r="AU486" s="400"/>
      <c r="AV486" s="412"/>
      <c r="AW486" s="399"/>
      <c r="AX486" s="72"/>
      <c r="AY486" s="398"/>
      <c r="AZ486" s="400"/>
      <c r="BA486" s="72"/>
      <c r="BB486" s="404"/>
      <c r="BC486" s="404"/>
      <c r="BD486" s="404"/>
      <c r="BE486" s="404"/>
      <c r="BF486" s="404"/>
      <c r="BG486" s="404"/>
      <c r="BH486" s="403"/>
      <c r="BI486" s="403"/>
      <c r="BJ486" s="403"/>
      <c r="BK486" s="402"/>
      <c r="BL486" s="402"/>
      <c r="BM486" s="402"/>
      <c r="BN486" s="401"/>
      <c r="BO486" s="437"/>
      <c r="BP486" s="438"/>
      <c r="BQ486" s="438"/>
      <c r="BR486" s="444"/>
      <c r="BS486" s="445"/>
      <c r="BT486" s="111"/>
    </row>
    <row r="487" spans="1:72" ht="15" customHeight="1" x14ac:dyDescent="0.15">
      <c r="A487" s="555" t="s">
        <v>2536</v>
      </c>
      <c r="B487" s="556" t="s">
        <v>889</v>
      </c>
      <c r="C487" s="556"/>
      <c r="D487" s="556"/>
      <c r="E487" s="556"/>
      <c r="F487" s="447" t="s">
        <v>107</v>
      </c>
      <c r="G487" s="557" t="s">
        <v>3494</v>
      </c>
      <c r="H487" s="558" t="s">
        <v>2538</v>
      </c>
      <c r="I487" s="559" t="s">
        <v>1051</v>
      </c>
      <c r="J487" s="560" t="s">
        <v>2539</v>
      </c>
      <c r="K487" s="784"/>
      <c r="L487" s="562">
        <v>2</v>
      </c>
      <c r="M487" s="562"/>
      <c r="N487" s="563" t="str">
        <f t="shared" si="14"/>
        <v>Seniors - Hommes</v>
      </c>
      <c r="O487" s="785">
        <v>2</v>
      </c>
      <c r="P487" s="866"/>
      <c r="Q487" s="782" t="str">
        <f t="shared" si="15"/>
        <v>Seniors - Hommes</v>
      </c>
      <c r="R487" s="741"/>
      <c r="S487" s="741"/>
      <c r="T487" s="741"/>
      <c r="U487" s="741"/>
      <c r="V487" s="741"/>
      <c r="W487" s="741"/>
      <c r="X487" s="741"/>
      <c r="Y487" s="741"/>
      <c r="Z487" s="741"/>
      <c r="AA487" s="741"/>
      <c r="AB487" s="545" t="s">
        <v>3064</v>
      </c>
      <c r="AC487" s="545"/>
      <c r="AD487" s="545"/>
      <c r="AE487" s="545"/>
      <c r="AF487" s="538"/>
      <c r="AG487" s="786"/>
      <c r="AH487" s="787"/>
      <c r="AI487" s="621">
        <v>43228</v>
      </c>
      <c r="AJ487" s="621">
        <v>43178</v>
      </c>
      <c r="AK487" s="413">
        <v>2035</v>
      </c>
      <c r="AL487" s="622">
        <v>38591</v>
      </c>
      <c r="AM487" s="719" t="s">
        <v>2546</v>
      </c>
      <c r="AN487" s="788"/>
      <c r="AO487" s="565" t="s">
        <v>2541</v>
      </c>
      <c r="AP487" s="565"/>
      <c r="AQ487" s="565" t="s">
        <v>2547</v>
      </c>
      <c r="AR487" s="789" t="s">
        <v>3454</v>
      </c>
      <c r="AS487" s="413"/>
      <c r="AT487" s="413"/>
      <c r="AU487" s="531"/>
      <c r="AV487" s="531"/>
      <c r="AW487" s="548"/>
      <c r="AX487" s="547"/>
      <c r="AY487" s="548"/>
      <c r="AZ487" s="549" t="s">
        <v>420</v>
      </c>
      <c r="BA487" s="547"/>
      <c r="BB487" s="550" t="s">
        <v>2813</v>
      </c>
      <c r="BC487" s="550" t="s">
        <v>292</v>
      </c>
      <c r="BD487" s="550" t="s">
        <v>421</v>
      </c>
      <c r="BE487" s="550" t="s">
        <v>419</v>
      </c>
      <c r="BF487" s="550"/>
      <c r="BG487" s="550"/>
      <c r="BH487" s="551"/>
      <c r="BI487" s="551"/>
      <c r="BJ487" s="551"/>
      <c r="BK487" s="552"/>
      <c r="BL487" s="552"/>
      <c r="BM487" s="552"/>
      <c r="BN487" s="553"/>
      <c r="BO487" s="788"/>
      <c r="BP487" s="790" t="s">
        <v>216</v>
      </c>
      <c r="BQ487" s="790"/>
      <c r="BR487" s="791"/>
      <c r="BS487" s="792"/>
    </row>
    <row r="488" spans="1:72" ht="15" customHeight="1" x14ac:dyDescent="0.15">
      <c r="A488" s="419" t="s">
        <v>4877</v>
      </c>
      <c r="B488" s="405" t="s">
        <v>4878</v>
      </c>
      <c r="C488" s="405"/>
      <c r="D488" s="405"/>
      <c r="E488" s="405"/>
      <c r="F488" s="451" t="s">
        <v>263</v>
      </c>
      <c r="G488" s="441" t="s">
        <v>4879</v>
      </c>
      <c r="H488" s="442" t="s">
        <v>4880</v>
      </c>
      <c r="I488" s="406" t="s">
        <v>177</v>
      </c>
      <c r="J488" s="407" t="s">
        <v>320</v>
      </c>
      <c r="K488" s="408"/>
      <c r="L488" s="409">
        <v>2</v>
      </c>
      <c r="M488" s="409"/>
      <c r="N488" s="410" t="str">
        <f t="shared" si="14"/>
        <v>Seniors - Hommes</v>
      </c>
      <c r="O488" s="739">
        <v>2</v>
      </c>
      <c r="P488" s="863"/>
      <c r="Q488" s="730" t="str">
        <f t="shared" si="15"/>
        <v>Seniors - Hommes</v>
      </c>
      <c r="R488" s="741"/>
      <c r="S488" s="741"/>
      <c r="T488" s="741"/>
      <c r="U488" s="741"/>
      <c r="V488" s="741"/>
      <c r="W488" s="741"/>
      <c r="X488" s="741"/>
      <c r="Y488" s="741"/>
      <c r="Z488" s="741"/>
      <c r="AA488" s="741"/>
      <c r="AB488" s="423" t="s">
        <v>4978</v>
      </c>
      <c r="AC488" s="423"/>
      <c r="AD488" s="423"/>
      <c r="AE488" s="423"/>
      <c r="AF488" s="422"/>
      <c r="AG488" s="448"/>
      <c r="AH488" s="431"/>
      <c r="AI488" s="429">
        <v>45603</v>
      </c>
      <c r="AJ488" s="429">
        <v>45556</v>
      </c>
      <c r="AK488" s="428">
        <v>2030</v>
      </c>
      <c r="AL488" s="439">
        <v>33009</v>
      </c>
      <c r="AM488" s="433" t="s">
        <v>4881</v>
      </c>
      <c r="AN488" s="434"/>
      <c r="AO488" s="430"/>
      <c r="AP488" s="435"/>
      <c r="AQ488" s="440">
        <v>691145187</v>
      </c>
      <c r="AR488" s="436" t="s">
        <v>4882</v>
      </c>
      <c r="AS488" s="413"/>
      <c r="AT488" s="413"/>
      <c r="AU488" s="400"/>
      <c r="AV488" s="412"/>
      <c r="AW488" s="398"/>
      <c r="AX488" s="72"/>
      <c r="AY488" s="398"/>
      <c r="AZ488" s="400"/>
      <c r="BA488" s="72"/>
      <c r="BB488" s="404"/>
      <c r="BC488" s="404"/>
      <c r="BD488" s="404"/>
      <c r="BE488" s="404"/>
      <c r="BF488" s="404"/>
      <c r="BG488" s="404"/>
      <c r="BH488" s="403"/>
      <c r="BI488" s="403"/>
      <c r="BJ488" s="403"/>
      <c r="BK488" s="402"/>
      <c r="BL488" s="402"/>
      <c r="BM488" s="402"/>
      <c r="BN488" s="401"/>
      <c r="BO488" s="437"/>
      <c r="BP488" s="438"/>
      <c r="BQ488" s="438"/>
      <c r="BR488" s="444"/>
      <c r="BS488" s="445"/>
    </row>
    <row r="489" spans="1:72" ht="15" customHeight="1" x14ac:dyDescent="0.15">
      <c r="A489" s="419" t="s">
        <v>1122</v>
      </c>
      <c r="B489" s="405" t="s">
        <v>1124</v>
      </c>
      <c r="C489" s="405"/>
      <c r="D489" s="405"/>
      <c r="E489" s="405"/>
      <c r="F489" s="451" t="s">
        <v>263</v>
      </c>
      <c r="G489" s="441" t="s">
        <v>1125</v>
      </c>
      <c r="H489" s="442" t="s">
        <v>1129</v>
      </c>
      <c r="I489" s="406" t="s">
        <v>274</v>
      </c>
      <c r="J489" s="407" t="s">
        <v>790</v>
      </c>
      <c r="K489" s="408"/>
      <c r="L489" s="409">
        <v>12</v>
      </c>
      <c r="M489" s="409"/>
      <c r="N489" s="410" t="str">
        <f t="shared" si="14"/>
        <v>Dames</v>
      </c>
      <c r="O489" s="739">
        <v>12</v>
      </c>
      <c r="P489" s="863"/>
      <c r="Q489" s="730" t="str">
        <f t="shared" si="15"/>
        <v>Dames</v>
      </c>
      <c r="R489" s="741"/>
      <c r="S489" s="741"/>
      <c r="T489" s="741"/>
      <c r="U489" s="741"/>
      <c r="V489" s="741"/>
      <c r="W489" s="741"/>
      <c r="X489" s="741"/>
      <c r="Y489" s="741"/>
      <c r="Z489" s="741"/>
      <c r="AA489" s="741"/>
      <c r="AB489" s="423" t="s">
        <v>3066</v>
      </c>
      <c r="AC489" s="423"/>
      <c r="AD489" s="423"/>
      <c r="AE489" s="423"/>
      <c r="AF489" s="422"/>
      <c r="AG489" s="571"/>
      <c r="AH489" s="431"/>
      <c r="AI489" s="429">
        <v>40637</v>
      </c>
      <c r="AJ489" s="429">
        <v>40637</v>
      </c>
      <c r="AK489" s="564">
        <v>2029</v>
      </c>
      <c r="AL489" s="439">
        <v>36389</v>
      </c>
      <c r="AM489" s="433" t="s">
        <v>2553</v>
      </c>
      <c r="AN489" s="437"/>
      <c r="AO489" s="430" t="s">
        <v>2554</v>
      </c>
      <c r="AP489" s="435"/>
      <c r="AQ489" s="536" t="s">
        <v>3688</v>
      </c>
      <c r="AR489" s="537" t="s">
        <v>2555</v>
      </c>
      <c r="AS489" s="538"/>
      <c r="AT489" s="538"/>
      <c r="AU489" s="539"/>
      <c r="AV489" s="412"/>
      <c r="AW489" s="398"/>
      <c r="AX489" s="72"/>
      <c r="AY489" s="398"/>
      <c r="AZ489" s="400" t="s">
        <v>348</v>
      </c>
      <c r="BA489" s="72"/>
      <c r="BB489" s="404" t="s">
        <v>2813</v>
      </c>
      <c r="BC489" s="404" t="s">
        <v>3151</v>
      </c>
      <c r="BD489" s="404"/>
      <c r="BE489" s="404">
        <v>50</v>
      </c>
      <c r="BF489" s="404"/>
      <c r="BG489" s="404"/>
      <c r="BH489" s="403"/>
      <c r="BI489" s="403"/>
      <c r="BJ489" s="403"/>
      <c r="BK489" s="402"/>
      <c r="BL489" s="402"/>
      <c r="BM489" s="402"/>
      <c r="BN489" s="401"/>
      <c r="BO489" s="437"/>
      <c r="BP489" s="438" t="s">
        <v>349</v>
      </c>
      <c r="BQ489" s="438"/>
      <c r="BR489" s="444"/>
      <c r="BS489" s="445"/>
    </row>
    <row r="490" spans="1:72" ht="15" customHeight="1" x14ac:dyDescent="0.15">
      <c r="A490" s="419" t="s">
        <v>2556</v>
      </c>
      <c r="B490" s="405" t="s">
        <v>1084</v>
      </c>
      <c r="C490" s="405"/>
      <c r="D490" s="405"/>
      <c r="E490" s="405"/>
      <c r="F490" s="451" t="s">
        <v>107</v>
      </c>
      <c r="G490" s="441" t="s">
        <v>2211</v>
      </c>
      <c r="H490" s="442" t="s">
        <v>2074</v>
      </c>
      <c r="I490" s="406" t="s">
        <v>558</v>
      </c>
      <c r="J490" s="407" t="s">
        <v>2212</v>
      </c>
      <c r="K490" s="408"/>
      <c r="L490" s="409">
        <v>16</v>
      </c>
      <c r="M490" s="409"/>
      <c r="N490" s="410" t="str">
        <f t="shared" si="14"/>
        <v>U15 Dames</v>
      </c>
      <c r="O490" s="739">
        <v>16</v>
      </c>
      <c r="P490" s="863"/>
      <c r="Q490" s="730" t="str">
        <f t="shared" si="15"/>
        <v>U15 Dames</v>
      </c>
      <c r="R490" s="741"/>
      <c r="S490" s="741"/>
      <c r="T490" s="741"/>
      <c r="U490" s="741"/>
      <c r="V490" s="741"/>
      <c r="W490" s="741"/>
      <c r="X490" s="741"/>
      <c r="Y490" s="741"/>
      <c r="Z490" s="741" t="s">
        <v>192</v>
      </c>
      <c r="AA490" s="741"/>
      <c r="AB490" s="423" t="s">
        <v>3067</v>
      </c>
      <c r="AC490" s="423"/>
      <c r="AD490" s="423"/>
      <c r="AE490" s="423"/>
      <c r="AF490" s="422"/>
      <c r="AG490" s="448"/>
      <c r="AH490" s="431"/>
      <c r="AI490" s="429">
        <v>43538</v>
      </c>
      <c r="AJ490" s="429">
        <v>43536</v>
      </c>
      <c r="AK490" s="428">
        <v>2027</v>
      </c>
      <c r="AL490" s="439">
        <v>41174</v>
      </c>
      <c r="AM490" s="433" t="s">
        <v>3748</v>
      </c>
      <c r="AN490" s="437" t="s">
        <v>252</v>
      </c>
      <c r="AO490" s="430" t="s">
        <v>2213</v>
      </c>
      <c r="AP490" s="435"/>
      <c r="AQ490" s="430" t="s">
        <v>2557</v>
      </c>
      <c r="AR490" s="450" t="s">
        <v>2215</v>
      </c>
      <c r="AS490" s="413"/>
      <c r="AT490" s="413"/>
      <c r="AU490" s="400"/>
      <c r="AV490" s="412"/>
      <c r="AW490" s="398"/>
      <c r="AX490" s="72"/>
      <c r="AY490" s="398"/>
      <c r="AZ490" s="400" t="s">
        <v>209</v>
      </c>
      <c r="BA490" s="72"/>
      <c r="BB490" s="404" t="s">
        <v>2813</v>
      </c>
      <c r="BC490" s="404" t="s">
        <v>292</v>
      </c>
      <c r="BD490" s="404" t="s">
        <v>1168</v>
      </c>
      <c r="BE490" s="404">
        <v>100</v>
      </c>
      <c r="BF490" s="404"/>
      <c r="BG490" s="404"/>
      <c r="BH490" s="403"/>
      <c r="BI490" s="403"/>
      <c r="BJ490" s="403"/>
      <c r="BK490" s="402"/>
      <c r="BL490" s="402"/>
      <c r="BM490" s="402"/>
      <c r="BN490" s="401"/>
      <c r="BO490" s="437"/>
      <c r="BP490" s="438"/>
      <c r="BQ490" s="438"/>
      <c r="BR490" s="444"/>
      <c r="BS490" s="445"/>
    </row>
    <row r="491" spans="1:72" ht="15" customHeight="1" x14ac:dyDescent="0.15">
      <c r="A491" s="419" t="s">
        <v>2558</v>
      </c>
      <c r="B491" s="405" t="s">
        <v>2559</v>
      </c>
      <c r="C491" s="405"/>
      <c r="D491" s="405"/>
      <c r="E491" s="405"/>
      <c r="F491" s="451" t="s">
        <v>107</v>
      </c>
      <c r="G491" s="441" t="s">
        <v>2211</v>
      </c>
      <c r="H491" s="442" t="s">
        <v>2074</v>
      </c>
      <c r="I491" s="406" t="s">
        <v>558</v>
      </c>
      <c r="J491" s="407" t="s">
        <v>2212</v>
      </c>
      <c r="K491" s="408"/>
      <c r="L491" s="409">
        <v>212</v>
      </c>
      <c r="M491" s="409"/>
      <c r="N491" s="410" t="str">
        <f t="shared" si="14"/>
        <v>Contact famille</v>
      </c>
      <c r="O491" s="739">
        <v>212</v>
      </c>
      <c r="P491" s="863"/>
      <c r="Q491" s="730" t="str">
        <f t="shared" si="15"/>
        <v>Contact famille</v>
      </c>
      <c r="R491" s="741"/>
      <c r="S491" s="741"/>
      <c r="T491" s="741"/>
      <c r="U491" s="741"/>
      <c r="V491" s="741"/>
      <c r="W491" s="741"/>
      <c r="X491" s="741"/>
      <c r="Y491" s="741"/>
      <c r="Z491" s="741" t="s">
        <v>313</v>
      </c>
      <c r="AA491" s="741"/>
      <c r="AB491" s="423"/>
      <c r="AC491" s="423"/>
      <c r="AD491" s="423"/>
      <c r="AE491" s="423"/>
      <c r="AF491" s="422"/>
      <c r="AG491" s="448"/>
      <c r="AH491" s="431"/>
      <c r="AI491" s="429" t="s">
        <v>242</v>
      </c>
      <c r="AJ491" s="429" t="s">
        <v>242</v>
      </c>
      <c r="AK491" s="428" t="s">
        <v>242</v>
      </c>
      <c r="AL491" s="399" t="s">
        <v>242</v>
      </c>
      <c r="AM491" s="433" t="s">
        <v>244</v>
      </c>
      <c r="AN491" s="437"/>
      <c r="AO491" s="430" t="s">
        <v>2213</v>
      </c>
      <c r="AP491" s="435"/>
      <c r="AQ491" s="430" t="s">
        <v>2214</v>
      </c>
      <c r="AR491" s="450" t="s">
        <v>2560</v>
      </c>
      <c r="AS491" s="413"/>
      <c r="AT491" s="413"/>
      <c r="AU491" s="400"/>
      <c r="AV491" s="412"/>
      <c r="AW491" s="398"/>
      <c r="AX491" s="72"/>
      <c r="AY491" s="398"/>
      <c r="AZ491" s="400" t="s">
        <v>209</v>
      </c>
      <c r="BA491" s="72"/>
      <c r="BB491" s="404" t="s">
        <v>2813</v>
      </c>
      <c r="BC491" s="404" t="s">
        <v>292</v>
      </c>
      <c r="BD491" s="404"/>
      <c r="BE491" s="404" t="s">
        <v>988</v>
      </c>
      <c r="BF491" s="404"/>
      <c r="BG491" s="404"/>
      <c r="BH491" s="403"/>
      <c r="BI491" s="403"/>
      <c r="BJ491" s="403"/>
      <c r="BK491" s="402"/>
      <c r="BL491" s="402"/>
      <c r="BM491" s="402"/>
      <c r="BN491" s="401"/>
      <c r="BO491" s="437"/>
      <c r="BP491" s="438"/>
      <c r="BQ491" s="438"/>
      <c r="BR491" s="444"/>
      <c r="BS491" s="445"/>
    </row>
    <row r="492" spans="1:72" ht="15" customHeight="1" x14ac:dyDescent="0.15">
      <c r="A492" s="419" t="s">
        <v>4901</v>
      </c>
      <c r="B492" s="405" t="s">
        <v>4903</v>
      </c>
      <c r="C492" s="405"/>
      <c r="D492" s="405"/>
      <c r="E492" s="405"/>
      <c r="F492" s="447" t="s">
        <v>107</v>
      </c>
      <c r="G492" s="441" t="s">
        <v>4905</v>
      </c>
      <c r="H492" s="442" t="s">
        <v>4906</v>
      </c>
      <c r="I492" s="406" t="s">
        <v>215</v>
      </c>
      <c r="J492" s="407" t="s">
        <v>4900</v>
      </c>
      <c r="K492" s="408"/>
      <c r="L492" s="409">
        <v>212</v>
      </c>
      <c r="M492" s="409"/>
      <c r="N492" s="410" t="str">
        <f t="shared" si="14"/>
        <v>Contact famille</v>
      </c>
      <c r="O492" s="739">
        <v>212</v>
      </c>
      <c r="P492" s="863"/>
      <c r="Q492" s="730" t="str">
        <f t="shared" si="15"/>
        <v>Contact famille</v>
      </c>
      <c r="R492" s="741"/>
      <c r="S492" s="741"/>
      <c r="T492" s="741"/>
      <c r="U492" s="741" t="s">
        <v>313</v>
      </c>
      <c r="V492" s="741"/>
      <c r="W492" s="741"/>
      <c r="X492" s="741"/>
      <c r="Y492" s="741"/>
      <c r="Z492" s="741"/>
      <c r="AA492" s="741"/>
      <c r="AB492" s="423"/>
      <c r="AC492" s="423"/>
      <c r="AD492" s="423"/>
      <c r="AE492" s="423"/>
      <c r="AF492" s="422"/>
      <c r="AG492" s="448"/>
      <c r="AH492" s="431"/>
      <c r="AI492" s="429" t="s">
        <v>242</v>
      </c>
      <c r="AJ492" s="429" t="s">
        <v>242</v>
      </c>
      <c r="AK492" s="428" t="s">
        <v>242</v>
      </c>
      <c r="AL492" s="439">
        <v>27359</v>
      </c>
      <c r="AM492" s="433" t="s">
        <v>4912</v>
      </c>
      <c r="AN492" s="434"/>
      <c r="AO492" s="430"/>
      <c r="AP492" s="435"/>
      <c r="AQ492" s="440">
        <v>691515871</v>
      </c>
      <c r="AR492" s="436" t="s">
        <v>4911</v>
      </c>
      <c r="AS492" s="413"/>
      <c r="AT492" s="413"/>
      <c r="AU492" s="400"/>
      <c r="AV492" s="412"/>
      <c r="AW492" s="398"/>
      <c r="AX492" s="72"/>
      <c r="AY492" s="398"/>
      <c r="AZ492" s="400"/>
      <c r="BA492" s="72"/>
      <c r="BB492" s="404"/>
      <c r="BC492" s="404"/>
      <c r="BD492" s="404"/>
      <c r="BE492" s="404"/>
      <c r="BF492" s="404"/>
      <c r="BG492" s="404"/>
      <c r="BH492" s="403"/>
      <c r="BI492" s="403"/>
      <c r="BJ492" s="403"/>
      <c r="BK492" s="402"/>
      <c r="BL492" s="402"/>
      <c r="BM492" s="402"/>
      <c r="BN492" s="401"/>
      <c r="BO492" s="437"/>
      <c r="BP492" s="438"/>
      <c r="BQ492" s="438"/>
      <c r="BR492" s="444"/>
      <c r="BS492" s="445"/>
    </row>
    <row r="493" spans="1:72" ht="15" customHeight="1" x14ac:dyDescent="0.15">
      <c r="A493" s="419" t="s">
        <v>4901</v>
      </c>
      <c r="B493" s="405" t="s">
        <v>4904</v>
      </c>
      <c r="C493" s="405"/>
      <c r="D493" s="405"/>
      <c r="E493" s="405"/>
      <c r="F493" s="447" t="s">
        <v>107</v>
      </c>
      <c r="G493" s="441" t="s">
        <v>4905</v>
      </c>
      <c r="H493" s="442" t="s">
        <v>4906</v>
      </c>
      <c r="I493" s="406" t="s">
        <v>215</v>
      </c>
      <c r="J493" s="407" t="s">
        <v>4900</v>
      </c>
      <c r="K493" s="408"/>
      <c r="L493" s="409">
        <v>11</v>
      </c>
      <c r="M493" s="409"/>
      <c r="N493" s="410" t="str">
        <f t="shared" si="14"/>
        <v>Officiel D</v>
      </c>
      <c r="O493" s="739">
        <v>11</v>
      </c>
      <c r="P493" s="863"/>
      <c r="Q493" s="730" t="str">
        <f t="shared" si="15"/>
        <v>Officiel D</v>
      </c>
      <c r="R493" s="741"/>
      <c r="S493" s="741"/>
      <c r="T493" s="741"/>
      <c r="U493" s="741" t="s">
        <v>313</v>
      </c>
      <c r="V493" s="741"/>
      <c r="W493" s="741"/>
      <c r="X493" s="741"/>
      <c r="Y493" s="741"/>
      <c r="Z493" s="741"/>
      <c r="AA493" s="741"/>
      <c r="AB493" s="423"/>
      <c r="AC493" s="423" t="s">
        <v>5343</v>
      </c>
      <c r="AD493" s="423" t="s">
        <v>5343</v>
      </c>
      <c r="AE493" s="423"/>
      <c r="AF493" s="422"/>
      <c r="AG493" s="386" t="s">
        <v>5173</v>
      </c>
      <c r="AH493" s="431"/>
      <c r="AI493" s="429">
        <v>45943</v>
      </c>
      <c r="AJ493" s="429">
        <v>45567</v>
      </c>
      <c r="AK493" s="428" t="s">
        <v>242</v>
      </c>
      <c r="AL493" s="439">
        <v>28559</v>
      </c>
      <c r="AM493" s="433" t="s">
        <v>4913</v>
      </c>
      <c r="AN493" s="434"/>
      <c r="AO493" s="430"/>
      <c r="AP493" s="435"/>
      <c r="AQ493" s="440">
        <v>691458246</v>
      </c>
      <c r="AR493" s="450" t="s">
        <v>4910</v>
      </c>
      <c r="AS493" s="413"/>
      <c r="AT493" s="413"/>
      <c r="AU493" s="400"/>
      <c r="AV493" s="412"/>
      <c r="AW493" s="398"/>
      <c r="AX493" s="72"/>
      <c r="AY493" s="398"/>
      <c r="AZ493" s="400"/>
      <c r="BA493" s="72"/>
      <c r="BB493" s="404"/>
      <c r="BC493" s="404"/>
      <c r="BD493" s="404"/>
      <c r="BE493" s="404"/>
      <c r="BF493" s="404"/>
      <c r="BG493" s="404"/>
      <c r="BH493" s="403"/>
      <c r="BI493" s="403"/>
      <c r="BJ493" s="403"/>
      <c r="BK493" s="402"/>
      <c r="BL493" s="402"/>
      <c r="BM493" s="402"/>
      <c r="BN493" s="401"/>
      <c r="BO493" s="437"/>
      <c r="BP493" s="438"/>
      <c r="BQ493" s="438"/>
      <c r="BR493" s="444"/>
      <c r="BS493" s="445"/>
    </row>
    <row r="494" spans="1:72" ht="15" customHeight="1" x14ac:dyDescent="0.15">
      <c r="A494" s="419" t="s">
        <v>4901</v>
      </c>
      <c r="B494" s="405" t="s">
        <v>4902</v>
      </c>
      <c r="C494" s="405"/>
      <c r="D494" s="405"/>
      <c r="E494" s="405"/>
      <c r="F494" s="447" t="s">
        <v>107</v>
      </c>
      <c r="G494" s="441" t="s">
        <v>4905</v>
      </c>
      <c r="H494" s="442" t="s">
        <v>4906</v>
      </c>
      <c r="I494" s="406" t="s">
        <v>215</v>
      </c>
      <c r="J494" s="407" t="s">
        <v>4900</v>
      </c>
      <c r="K494" s="408"/>
      <c r="L494" s="409">
        <v>6</v>
      </c>
      <c r="M494" s="409"/>
      <c r="N494" s="410" t="str">
        <f t="shared" si="14"/>
        <v>U 13 Hommes</v>
      </c>
      <c r="O494" s="739">
        <v>6</v>
      </c>
      <c r="P494" s="863"/>
      <c r="Q494" s="730" t="str">
        <f t="shared" si="15"/>
        <v>U 13 Hommes</v>
      </c>
      <c r="R494" s="741"/>
      <c r="S494" s="741"/>
      <c r="T494" s="741"/>
      <c r="U494" s="741" t="s">
        <v>192</v>
      </c>
      <c r="V494" s="741"/>
      <c r="W494" s="741"/>
      <c r="X494" s="741"/>
      <c r="Y494" s="741"/>
      <c r="Z494" s="741"/>
      <c r="AA494" s="741"/>
      <c r="AB494" s="423" t="s">
        <v>4922</v>
      </c>
      <c r="AC494" s="423"/>
      <c r="AD494" s="423"/>
      <c r="AE494" s="423"/>
      <c r="AF494" s="422"/>
      <c r="AG494" s="448"/>
      <c r="AH494" s="431"/>
      <c r="AI494" s="429">
        <v>45572</v>
      </c>
      <c r="AJ494" s="429">
        <v>45567</v>
      </c>
      <c r="AK494" s="428">
        <v>2029</v>
      </c>
      <c r="AL494" s="439">
        <v>41801</v>
      </c>
      <c r="AM494" s="433" t="s">
        <v>4907</v>
      </c>
      <c r="AN494" s="434"/>
      <c r="AO494" s="430"/>
      <c r="AP494" s="435" t="s">
        <v>4908</v>
      </c>
      <c r="AQ494" s="430" t="s">
        <v>4909</v>
      </c>
      <c r="AR494" s="450" t="s">
        <v>4910</v>
      </c>
      <c r="AS494" s="413"/>
      <c r="AT494" s="413"/>
      <c r="AU494" s="400"/>
      <c r="AV494" s="412"/>
      <c r="AW494" s="398"/>
      <c r="AX494" s="72"/>
      <c r="AY494" s="398"/>
      <c r="AZ494" s="400"/>
      <c r="BA494" s="72"/>
      <c r="BB494" s="404"/>
      <c r="BC494" s="404"/>
      <c r="BD494" s="404"/>
      <c r="BE494" s="404"/>
      <c r="BF494" s="404"/>
      <c r="BG494" s="404"/>
      <c r="BH494" s="403"/>
      <c r="BI494" s="403"/>
      <c r="BJ494" s="403"/>
      <c r="BK494" s="402"/>
      <c r="BL494" s="402"/>
      <c r="BM494" s="402"/>
      <c r="BN494" s="401"/>
      <c r="BO494" s="437"/>
      <c r="BP494" s="438"/>
      <c r="BQ494" s="438"/>
      <c r="BR494" s="444"/>
      <c r="BS494" s="445"/>
    </row>
    <row r="495" spans="1:72" ht="15" customHeight="1" x14ac:dyDescent="0.15">
      <c r="A495" s="419" t="s">
        <v>2570</v>
      </c>
      <c r="B495" s="405" t="s">
        <v>2571</v>
      </c>
      <c r="C495" s="405"/>
      <c r="D495" s="405"/>
      <c r="E495" s="405"/>
      <c r="F495" s="451" t="s">
        <v>2572</v>
      </c>
      <c r="G495" s="441" t="s">
        <v>375</v>
      </c>
      <c r="H495" s="442" t="s">
        <v>376</v>
      </c>
      <c r="I495" s="406" t="s">
        <v>241</v>
      </c>
      <c r="J495" s="407" t="s">
        <v>377</v>
      </c>
      <c r="K495" s="408"/>
      <c r="L495" s="409">
        <v>212</v>
      </c>
      <c r="M495" s="409"/>
      <c r="N495" s="410" t="str">
        <f t="shared" si="14"/>
        <v>Contact famille</v>
      </c>
      <c r="O495" s="739">
        <v>212</v>
      </c>
      <c r="P495" s="863"/>
      <c r="Q495" s="730" t="str">
        <f t="shared" si="15"/>
        <v>Contact famille</v>
      </c>
      <c r="R495" s="741"/>
      <c r="S495" s="741"/>
      <c r="T495" s="741"/>
      <c r="U495" s="741"/>
      <c r="V495" s="741"/>
      <c r="W495" s="741"/>
      <c r="X495" s="741"/>
      <c r="Y495" s="741" t="s">
        <v>313</v>
      </c>
      <c r="Z495" s="741"/>
      <c r="AA495" s="741" t="s">
        <v>313</v>
      </c>
      <c r="AB495" s="423"/>
      <c r="AC495" s="423"/>
      <c r="AD495" s="423"/>
      <c r="AE495" s="423"/>
      <c r="AF495" s="422"/>
      <c r="AG495" s="448"/>
      <c r="AH495" s="431"/>
      <c r="AI495" s="429" t="s">
        <v>242</v>
      </c>
      <c r="AJ495" s="429">
        <v>43500</v>
      </c>
      <c r="AK495" s="428" t="s">
        <v>242</v>
      </c>
      <c r="AL495" s="399" t="s">
        <v>242</v>
      </c>
      <c r="AM495" s="433" t="s">
        <v>244</v>
      </c>
      <c r="AN495" s="437"/>
      <c r="AO495" s="430"/>
      <c r="AP495" s="435"/>
      <c r="AQ495" s="430" t="s">
        <v>2573</v>
      </c>
      <c r="AR495" s="450" t="s">
        <v>2574</v>
      </c>
      <c r="AS495" s="413"/>
      <c r="AT495" s="413"/>
      <c r="AU495" s="400"/>
      <c r="AV495" s="412"/>
      <c r="AW495" s="398"/>
      <c r="AX495" s="72"/>
      <c r="AY495" s="398"/>
      <c r="AZ495" s="400" t="s">
        <v>209</v>
      </c>
      <c r="BA495" s="72"/>
      <c r="BB495" s="404" t="s">
        <v>2813</v>
      </c>
      <c r="BC495" s="404" t="s">
        <v>292</v>
      </c>
      <c r="BD495" s="404"/>
      <c r="BE495" s="404" t="s">
        <v>988</v>
      </c>
      <c r="BF495" s="404"/>
      <c r="BG495" s="404"/>
      <c r="BH495" s="403"/>
      <c r="BI495" s="403"/>
      <c r="BJ495" s="403"/>
      <c r="BK495" s="402"/>
      <c r="BL495" s="402"/>
      <c r="BM495" s="402"/>
      <c r="BN495" s="401"/>
      <c r="BO495" s="437"/>
      <c r="BP495" s="438"/>
      <c r="BQ495" s="438"/>
      <c r="BR495" s="444"/>
      <c r="BS495" s="445"/>
    </row>
    <row r="496" spans="1:72" ht="15" customHeight="1" x14ac:dyDescent="0.15">
      <c r="A496" s="419" t="s">
        <v>1136</v>
      </c>
      <c r="B496" s="405" t="s">
        <v>1137</v>
      </c>
      <c r="C496" s="405"/>
      <c r="D496" s="405"/>
      <c r="E496" s="405"/>
      <c r="F496" s="451" t="s">
        <v>107</v>
      </c>
      <c r="G496" s="441" t="s">
        <v>2774</v>
      </c>
      <c r="H496" s="442" t="s">
        <v>2738</v>
      </c>
      <c r="I496" s="406" t="s">
        <v>2739</v>
      </c>
      <c r="J496" s="407" t="s">
        <v>320</v>
      </c>
      <c r="K496" s="408"/>
      <c r="L496" s="409">
        <v>2</v>
      </c>
      <c r="M496" s="409"/>
      <c r="N496" s="410" t="str">
        <f t="shared" si="14"/>
        <v>Seniors - Hommes</v>
      </c>
      <c r="O496" s="739">
        <v>2</v>
      </c>
      <c r="P496" s="863"/>
      <c r="Q496" s="730" t="str">
        <f t="shared" si="15"/>
        <v>Seniors - Hommes</v>
      </c>
      <c r="R496" s="741"/>
      <c r="S496" s="741"/>
      <c r="T496" s="741"/>
      <c r="U496" s="741"/>
      <c r="V496" s="741"/>
      <c r="W496" s="741"/>
      <c r="X496" s="741"/>
      <c r="Y496" s="741"/>
      <c r="Z496" s="741"/>
      <c r="AA496" s="741"/>
      <c r="AB496" s="423" t="s">
        <v>3068</v>
      </c>
      <c r="AC496" s="423" t="s">
        <v>3106</v>
      </c>
      <c r="AD496" s="423" t="s">
        <v>3106</v>
      </c>
      <c r="AE496" s="423"/>
      <c r="AF496" s="422"/>
      <c r="AG496" s="620"/>
      <c r="AH496" s="567"/>
      <c r="AI496" s="429">
        <v>35668</v>
      </c>
      <c r="AJ496" s="429">
        <v>35668</v>
      </c>
      <c r="AK496" s="564">
        <v>2026</v>
      </c>
      <c r="AL496" s="439">
        <v>33134</v>
      </c>
      <c r="AM496" s="433" t="s">
        <v>2577</v>
      </c>
      <c r="AN496" s="434" t="s">
        <v>2756</v>
      </c>
      <c r="AO496" s="430" t="s">
        <v>2578</v>
      </c>
      <c r="AP496" s="435" t="s">
        <v>2579</v>
      </c>
      <c r="AQ496" s="536" t="s">
        <v>4147</v>
      </c>
      <c r="AR496" s="566" t="s">
        <v>4090</v>
      </c>
      <c r="AS496" s="538"/>
      <c r="AT496" s="538"/>
      <c r="AU496" s="539"/>
      <c r="AV496" s="412"/>
      <c r="AW496" s="397"/>
      <c r="AX496" s="72"/>
      <c r="AY496" s="398"/>
      <c r="AZ496" s="400" t="s">
        <v>2811</v>
      </c>
      <c r="BA496" s="72"/>
      <c r="BB496" s="404" t="s">
        <v>2813</v>
      </c>
      <c r="BC496" s="404" t="s">
        <v>292</v>
      </c>
      <c r="BD496" s="404" t="s">
        <v>1168</v>
      </c>
      <c r="BE496" s="404" t="s">
        <v>347</v>
      </c>
      <c r="BF496" s="404"/>
      <c r="BG496" s="404"/>
      <c r="BH496" s="403"/>
      <c r="BI496" s="403"/>
      <c r="BJ496" s="403"/>
      <c r="BK496" s="402"/>
      <c r="BL496" s="402"/>
      <c r="BM496" s="402"/>
      <c r="BN496" s="401"/>
      <c r="BO496" s="437"/>
      <c r="BP496" s="438" t="s">
        <v>1537</v>
      </c>
      <c r="BQ496" s="438"/>
      <c r="BR496" s="444"/>
      <c r="BS496" s="445"/>
    </row>
    <row r="497" spans="1:72" ht="15" customHeight="1" x14ac:dyDescent="0.15">
      <c r="A497" s="419" t="s">
        <v>5548</v>
      </c>
      <c r="B497" s="405" t="s">
        <v>5549</v>
      </c>
      <c r="C497" s="405"/>
      <c r="D497" s="405"/>
      <c r="E497" s="405"/>
      <c r="F497" s="420" t="s">
        <v>490</v>
      </c>
      <c r="G497" s="421" t="s">
        <v>5552</v>
      </c>
      <c r="H497" s="442" t="s">
        <v>3718</v>
      </c>
      <c r="I497" s="406" t="s">
        <v>223</v>
      </c>
      <c r="J497" s="407" t="s">
        <v>5545</v>
      </c>
      <c r="K497" s="408"/>
      <c r="L497" s="409">
        <v>212</v>
      </c>
      <c r="M497" s="409"/>
      <c r="N497" s="410" t="str">
        <f t="shared" si="14"/>
        <v>Contact famille</v>
      </c>
      <c r="O497" s="739">
        <v>212</v>
      </c>
      <c r="P497" s="863"/>
      <c r="Q497" s="730" t="str">
        <f t="shared" si="15"/>
        <v>Contact famille</v>
      </c>
      <c r="R497" s="740"/>
      <c r="S497" s="740"/>
      <c r="T497" s="740"/>
      <c r="U497" s="740"/>
      <c r="V497" s="740"/>
      <c r="W497" s="740"/>
      <c r="X497" s="740" t="s">
        <v>313</v>
      </c>
      <c r="Y497" s="740"/>
      <c r="Z497" s="740"/>
      <c r="AA497" s="740"/>
      <c r="AB497" s="423"/>
      <c r="AC497" s="418"/>
      <c r="AD497" s="418"/>
      <c r="AE497" s="418"/>
      <c r="AF497" s="422"/>
      <c r="AG497" s="425"/>
      <c r="AH497" s="417"/>
      <c r="AI497" s="429" t="s">
        <v>242</v>
      </c>
      <c r="AJ497" s="429" t="s">
        <v>242</v>
      </c>
      <c r="AK497" s="428" t="s">
        <v>242</v>
      </c>
      <c r="AL497" s="399" t="s">
        <v>242</v>
      </c>
      <c r="AM497" s="449" t="s">
        <v>244</v>
      </c>
      <c r="AN497" s="412"/>
      <c r="AO497" s="72"/>
      <c r="AP497" s="414"/>
      <c r="AQ497" s="440">
        <v>661364016</v>
      </c>
      <c r="AR497" s="532" t="s">
        <v>5556</v>
      </c>
      <c r="AS497" s="413"/>
      <c r="AT497" s="413"/>
      <c r="AU497" s="412"/>
      <c r="AV497" s="412"/>
      <c r="AW497" s="399"/>
      <c r="AX497" s="72"/>
      <c r="AY497" s="398"/>
      <c r="AZ497" s="400"/>
      <c r="BA497" s="72"/>
      <c r="BB497" s="404"/>
      <c r="BC497" s="404"/>
      <c r="BD497" s="404"/>
      <c r="BE497" s="404"/>
      <c r="BF497" s="404"/>
      <c r="BG497" s="404"/>
      <c r="BH497" s="403"/>
      <c r="BI497" s="403"/>
      <c r="BJ497" s="403"/>
      <c r="BK497" s="402"/>
      <c r="BL497" s="402"/>
      <c r="BM497" s="402"/>
      <c r="BN497" s="401"/>
      <c r="BO497" s="400"/>
      <c r="BP497" s="400"/>
      <c r="BQ497" s="400"/>
      <c r="BR497" s="72"/>
      <c r="BS497" s="411"/>
    </row>
    <row r="498" spans="1:72" ht="15" customHeight="1" x14ac:dyDescent="0.15">
      <c r="A498" s="348" t="s">
        <v>5546</v>
      </c>
      <c r="B498" s="348" t="s">
        <v>5547</v>
      </c>
      <c r="F498" s="420" t="s">
        <v>490</v>
      </c>
      <c r="G498" s="421" t="s">
        <v>5552</v>
      </c>
      <c r="H498" s="442" t="s">
        <v>3718</v>
      </c>
      <c r="I498" s="406" t="s">
        <v>223</v>
      </c>
      <c r="J498" s="407" t="s">
        <v>5545</v>
      </c>
      <c r="K498" s="408"/>
      <c r="L498" s="409">
        <v>21</v>
      </c>
      <c r="M498" s="409"/>
      <c r="N498" s="410" t="str">
        <f t="shared" si="14"/>
        <v>U7 Mixte</v>
      </c>
      <c r="O498" s="739">
        <v>21</v>
      </c>
      <c r="P498" s="863"/>
      <c r="Q498" s="730" t="str">
        <f t="shared" si="15"/>
        <v>U7 Mixte</v>
      </c>
      <c r="R498" s="740"/>
      <c r="S498" s="740"/>
      <c r="T498" s="740"/>
      <c r="U498" s="740"/>
      <c r="V498" s="740"/>
      <c r="W498" s="740"/>
      <c r="X498" s="740" t="s">
        <v>192</v>
      </c>
      <c r="Y498" s="740"/>
      <c r="Z498" s="740"/>
      <c r="AA498" s="740"/>
      <c r="AB498" s="423" t="s">
        <v>5558</v>
      </c>
      <c r="AC498" s="418"/>
      <c r="AD498" s="418"/>
      <c r="AE498" s="418"/>
      <c r="AF498" s="422"/>
      <c r="AG498" s="386" t="s">
        <v>5173</v>
      </c>
      <c r="AH498" s="417"/>
      <c r="AI498" s="429">
        <v>46180</v>
      </c>
      <c r="AJ498" s="429">
        <v>46164</v>
      </c>
      <c r="AK498" s="428">
        <v>2029</v>
      </c>
      <c r="AL498" s="439">
        <v>44846</v>
      </c>
      <c r="AM498" s="385" t="s">
        <v>5553</v>
      </c>
      <c r="AN498" s="412"/>
      <c r="AO498" s="72"/>
      <c r="AP498" s="414" t="s">
        <v>5554</v>
      </c>
      <c r="AQ498" s="430" t="s">
        <v>5555</v>
      </c>
      <c r="AR498" s="583" t="s">
        <v>5556</v>
      </c>
      <c r="AS498" s="413"/>
      <c r="AT498" s="413"/>
      <c r="AU498" s="412"/>
      <c r="AV498" s="412"/>
      <c r="AW498" s="399"/>
      <c r="AX498" s="72"/>
      <c r="AY498" s="398"/>
      <c r="AZ498" s="400"/>
      <c r="BA498" s="72"/>
      <c r="BB498" s="404"/>
      <c r="BC498" s="404"/>
      <c r="BD498" s="404"/>
      <c r="BE498" s="404"/>
      <c r="BF498" s="404"/>
      <c r="BG498" s="404"/>
      <c r="BH498" s="403"/>
      <c r="BI498" s="403"/>
      <c r="BJ498" s="403"/>
      <c r="BK498" s="402"/>
      <c r="BL498" s="402"/>
      <c r="BM498" s="402"/>
      <c r="BN498" s="401"/>
      <c r="BO498" s="400"/>
      <c r="BP498" s="400"/>
      <c r="BQ498" s="400"/>
      <c r="BR498" s="72"/>
      <c r="BS498" s="411"/>
    </row>
    <row r="499" spans="1:72" ht="15" customHeight="1" x14ac:dyDescent="0.15">
      <c r="A499" s="419" t="s">
        <v>5316</v>
      </c>
      <c r="B499" s="405" t="s">
        <v>5318</v>
      </c>
      <c r="C499" s="405"/>
      <c r="D499" s="405"/>
      <c r="E499" s="405"/>
      <c r="F499" s="420" t="s">
        <v>5321</v>
      </c>
      <c r="G499" s="421" t="s">
        <v>5322</v>
      </c>
      <c r="H499" s="442" t="s">
        <v>5324</v>
      </c>
      <c r="I499" s="406" t="s">
        <v>294</v>
      </c>
      <c r="J499" s="407" t="s">
        <v>5306</v>
      </c>
      <c r="K499" s="408"/>
      <c r="L499" s="409">
        <v>212</v>
      </c>
      <c r="M499" s="409"/>
      <c r="N499" s="410" t="str">
        <f t="shared" si="14"/>
        <v>Contact famille</v>
      </c>
      <c r="O499" s="739">
        <v>212</v>
      </c>
      <c r="P499" s="863"/>
      <c r="Q499" s="730" t="str">
        <f t="shared" si="15"/>
        <v>Contact famille</v>
      </c>
      <c r="R499" s="740"/>
      <c r="S499" s="740"/>
      <c r="T499" s="740"/>
      <c r="U499" s="740"/>
      <c r="V499" s="740"/>
      <c r="W499" s="740"/>
      <c r="X499" s="740" t="s">
        <v>313</v>
      </c>
      <c r="Y499" s="740"/>
      <c r="Z499" s="740"/>
      <c r="AA499" s="740"/>
      <c r="AB499" s="423"/>
      <c r="AC499" s="418"/>
      <c r="AD499" s="418"/>
      <c r="AE499" s="418"/>
      <c r="AF499" s="422"/>
      <c r="AG499" s="425"/>
      <c r="AH499" s="417"/>
      <c r="AI499" s="429" t="s">
        <v>242</v>
      </c>
      <c r="AJ499" s="429" t="s">
        <v>242</v>
      </c>
      <c r="AK499" s="428" t="s">
        <v>242</v>
      </c>
      <c r="AL499" s="439" t="s">
        <v>242</v>
      </c>
      <c r="AM499" s="433" t="s">
        <v>244</v>
      </c>
      <c r="AN499" s="412"/>
      <c r="AO499" s="72"/>
      <c r="AP499" s="414"/>
      <c r="AQ499" s="440">
        <v>691237513</v>
      </c>
      <c r="AR499" s="583" t="s">
        <v>5330</v>
      </c>
      <c r="AS499" s="413"/>
      <c r="AT499" s="413"/>
      <c r="AU499" s="412"/>
      <c r="AV499" s="412"/>
      <c r="AW499" s="399"/>
      <c r="AX499" s="72"/>
      <c r="AY499" s="398"/>
      <c r="AZ499" s="400"/>
      <c r="BA499" s="72"/>
      <c r="BB499" s="404"/>
      <c r="BC499" s="404"/>
      <c r="BD499" s="404"/>
      <c r="BE499" s="404"/>
      <c r="BF499" s="404"/>
      <c r="BG499" s="404"/>
      <c r="BH499" s="403"/>
      <c r="BI499" s="403"/>
      <c r="BJ499" s="403"/>
      <c r="BK499" s="402"/>
      <c r="BL499" s="402"/>
      <c r="BM499" s="402"/>
      <c r="BN499" s="401"/>
      <c r="BO499" s="400"/>
      <c r="BP499" s="400"/>
      <c r="BQ499" s="400"/>
      <c r="BR499" s="72"/>
      <c r="BS499" s="411"/>
    </row>
    <row r="500" spans="1:72" ht="15" customHeight="1" x14ac:dyDescent="0.15">
      <c r="A500" s="419" t="s">
        <v>5316</v>
      </c>
      <c r="B500" s="405" t="s">
        <v>5317</v>
      </c>
      <c r="C500" s="405"/>
      <c r="D500" s="405"/>
      <c r="E500" s="405"/>
      <c r="F500" s="420" t="s">
        <v>5321</v>
      </c>
      <c r="G500" s="421" t="s">
        <v>5322</v>
      </c>
      <c r="H500" s="442" t="s">
        <v>1135</v>
      </c>
      <c r="I500" s="406" t="s">
        <v>294</v>
      </c>
      <c r="J500" s="407" t="s">
        <v>5306</v>
      </c>
      <c r="K500" s="408"/>
      <c r="L500" s="409">
        <v>21</v>
      </c>
      <c r="M500" s="409"/>
      <c r="N500" s="410" t="str">
        <f t="shared" si="14"/>
        <v>U7 Mixte</v>
      </c>
      <c r="O500" s="739">
        <v>21</v>
      </c>
      <c r="P500" s="863"/>
      <c r="Q500" s="730" t="str">
        <f t="shared" si="15"/>
        <v>U7 Mixte</v>
      </c>
      <c r="R500" s="740"/>
      <c r="S500" s="740"/>
      <c r="T500" s="740"/>
      <c r="U500" s="740"/>
      <c r="V500" s="740"/>
      <c r="W500" s="740"/>
      <c r="X500" s="740" t="s">
        <v>192</v>
      </c>
      <c r="Y500" s="740"/>
      <c r="Z500" s="740"/>
      <c r="AA500" s="740"/>
      <c r="AB500" s="568" t="s">
        <v>2805</v>
      </c>
      <c r="AC500" s="418"/>
      <c r="AD500" s="418"/>
      <c r="AE500" s="418"/>
      <c r="AF500" s="422"/>
      <c r="AG500" s="580" t="s">
        <v>5255</v>
      </c>
      <c r="AH500" s="417"/>
      <c r="AI500" s="569"/>
      <c r="AJ500" s="429">
        <v>45940</v>
      </c>
      <c r="AK500" s="428">
        <v>2030</v>
      </c>
      <c r="AL500" s="439">
        <v>44963</v>
      </c>
      <c r="AM500" s="385" t="s">
        <v>5327</v>
      </c>
      <c r="AN500" s="412"/>
      <c r="AO500" s="72"/>
      <c r="AP500" s="414" t="s">
        <v>5328</v>
      </c>
      <c r="AQ500" s="430" t="s">
        <v>5329</v>
      </c>
      <c r="AR500" s="532" t="s">
        <v>5330</v>
      </c>
      <c r="AS500" s="413"/>
      <c r="AT500" s="413"/>
      <c r="AU500" s="412"/>
      <c r="AV500" s="412"/>
      <c r="AW500" s="399"/>
      <c r="AX500" s="72"/>
      <c r="AY500" s="398"/>
      <c r="AZ500" s="400"/>
      <c r="BA500" s="72"/>
      <c r="BB500" s="404"/>
      <c r="BC500" s="404"/>
      <c r="BD500" s="404"/>
      <c r="BE500" s="404"/>
      <c r="BF500" s="404"/>
      <c r="BG500" s="404"/>
      <c r="BH500" s="403"/>
      <c r="BI500" s="403"/>
      <c r="BJ500" s="403"/>
      <c r="BK500" s="402"/>
      <c r="BL500" s="402"/>
      <c r="BM500" s="402"/>
      <c r="BN500" s="401"/>
      <c r="BO500" s="400"/>
      <c r="BP500" s="400"/>
      <c r="BQ500" s="400"/>
      <c r="BR500" s="72"/>
      <c r="BS500" s="411"/>
    </row>
    <row r="501" spans="1:72" ht="15" customHeight="1" x14ac:dyDescent="0.15">
      <c r="A501" s="419" t="s">
        <v>5316</v>
      </c>
      <c r="B501" s="405" t="s">
        <v>2405</v>
      </c>
      <c r="C501" s="405"/>
      <c r="D501" s="405"/>
      <c r="E501" s="405"/>
      <c r="F501" s="420" t="s">
        <v>5321</v>
      </c>
      <c r="G501" s="421" t="s">
        <v>5322</v>
      </c>
      <c r="H501" s="442" t="s">
        <v>5323</v>
      </c>
      <c r="I501" s="406" t="s">
        <v>294</v>
      </c>
      <c r="J501" s="407" t="s">
        <v>5306</v>
      </c>
      <c r="K501" s="408"/>
      <c r="L501" s="409">
        <v>21</v>
      </c>
      <c r="M501" s="409"/>
      <c r="N501" s="410" t="str">
        <f t="shared" si="14"/>
        <v>U7 Mixte</v>
      </c>
      <c r="O501" s="739">
        <v>21</v>
      </c>
      <c r="P501" s="863"/>
      <c r="Q501" s="730" t="str">
        <f t="shared" si="15"/>
        <v>U7 Mixte</v>
      </c>
      <c r="R501" s="740"/>
      <c r="S501" s="740"/>
      <c r="T501" s="740"/>
      <c r="U501" s="740"/>
      <c r="V501" s="740"/>
      <c r="W501" s="740"/>
      <c r="X501" s="740" t="s">
        <v>192</v>
      </c>
      <c r="Y501" s="740"/>
      <c r="Z501" s="740"/>
      <c r="AA501" s="740"/>
      <c r="AB501" s="568" t="s">
        <v>2805</v>
      </c>
      <c r="AC501" s="418"/>
      <c r="AD501" s="418"/>
      <c r="AE501" s="418"/>
      <c r="AF501" s="422"/>
      <c r="AG501" s="580" t="s">
        <v>5255</v>
      </c>
      <c r="AH501" s="417"/>
      <c r="AI501" s="569"/>
      <c r="AJ501" s="429">
        <v>45940</v>
      </c>
      <c r="AK501" s="428">
        <v>2028</v>
      </c>
      <c r="AL501" s="439">
        <v>44439</v>
      </c>
      <c r="AM501" s="416" t="s">
        <v>5326</v>
      </c>
      <c r="AN501" s="412"/>
      <c r="AO501" s="72"/>
      <c r="AP501" s="414" t="s">
        <v>5328</v>
      </c>
      <c r="AQ501" s="430" t="s">
        <v>5329</v>
      </c>
      <c r="AR501" s="532" t="s">
        <v>5330</v>
      </c>
      <c r="AS501" s="413"/>
      <c r="AT501" s="413"/>
      <c r="AU501" s="412"/>
      <c r="AV501" s="412"/>
      <c r="AW501" s="399"/>
      <c r="AX501" s="72"/>
      <c r="AY501" s="398"/>
      <c r="AZ501" s="400"/>
      <c r="BA501" s="72"/>
      <c r="BB501" s="404"/>
      <c r="BC501" s="404"/>
      <c r="BD501" s="404"/>
      <c r="BE501" s="404"/>
      <c r="BF501" s="404"/>
      <c r="BG501" s="404"/>
      <c r="BH501" s="403"/>
      <c r="BI501" s="403"/>
      <c r="BJ501" s="403"/>
      <c r="BK501" s="402"/>
      <c r="BL501" s="402"/>
      <c r="BM501" s="402"/>
      <c r="BN501" s="401"/>
      <c r="BO501" s="400"/>
      <c r="BP501" s="400"/>
      <c r="BQ501" s="400"/>
      <c r="BR501" s="72"/>
      <c r="BS501" s="411"/>
    </row>
    <row r="502" spans="1:72" s="150" customFormat="1" ht="15" customHeight="1" x14ac:dyDescent="0.15">
      <c r="A502" s="419" t="s">
        <v>4285</v>
      </c>
      <c r="B502" s="405" t="s">
        <v>132</v>
      </c>
      <c r="C502" s="405"/>
      <c r="D502" s="405"/>
      <c r="E502" s="405"/>
      <c r="F502" s="447" t="s">
        <v>107</v>
      </c>
      <c r="G502" s="441" t="s">
        <v>4287</v>
      </c>
      <c r="H502" s="442" t="s">
        <v>354</v>
      </c>
      <c r="I502" s="406" t="s">
        <v>4126</v>
      </c>
      <c r="J502" s="407" t="s">
        <v>4284</v>
      </c>
      <c r="K502" s="408"/>
      <c r="L502" s="409">
        <v>212</v>
      </c>
      <c r="M502" s="409"/>
      <c r="N502" s="410" t="str">
        <f t="shared" si="14"/>
        <v>Contact famille</v>
      </c>
      <c r="O502" s="739">
        <v>212</v>
      </c>
      <c r="P502" s="863"/>
      <c r="Q502" s="730" t="str">
        <f t="shared" si="15"/>
        <v>Contact famille</v>
      </c>
      <c r="R502" s="741"/>
      <c r="S502" s="741"/>
      <c r="T502" s="741"/>
      <c r="U502" s="741"/>
      <c r="V502" s="741"/>
      <c r="W502" s="741"/>
      <c r="X502" s="741" t="s">
        <v>313</v>
      </c>
      <c r="Y502" s="741"/>
      <c r="Z502" s="741"/>
      <c r="AA502" s="741"/>
      <c r="AB502" s="423"/>
      <c r="AC502" s="423"/>
      <c r="AD502" s="423"/>
      <c r="AE502" s="423"/>
      <c r="AF502" s="422"/>
      <c r="AG502" s="448"/>
      <c r="AH502" s="431"/>
      <c r="AI502" s="429" t="s">
        <v>242</v>
      </c>
      <c r="AJ502" s="429" t="s">
        <v>242</v>
      </c>
      <c r="AK502" s="428" t="s">
        <v>242</v>
      </c>
      <c r="AL502" s="439" t="s">
        <v>242</v>
      </c>
      <c r="AM502" s="433" t="s">
        <v>244</v>
      </c>
      <c r="AN502" s="434"/>
      <c r="AO502" s="430"/>
      <c r="AP502" s="435"/>
      <c r="AQ502" s="440">
        <v>691629882</v>
      </c>
      <c r="AR502" s="436" t="s">
        <v>4291</v>
      </c>
      <c r="AS502" s="413"/>
      <c r="AT502" s="413"/>
      <c r="AU502" s="400"/>
      <c r="AV502" s="412"/>
      <c r="AW502" s="398"/>
      <c r="AX502" s="72"/>
      <c r="AY502" s="398"/>
      <c r="AZ502" s="400"/>
      <c r="BA502" s="72"/>
      <c r="BB502" s="404"/>
      <c r="BC502" s="404"/>
      <c r="BD502" s="404"/>
      <c r="BE502" s="404"/>
      <c r="BF502" s="404"/>
      <c r="BG502" s="404"/>
      <c r="BH502" s="403"/>
      <c r="BI502" s="403"/>
      <c r="BJ502" s="403"/>
      <c r="BK502" s="402"/>
      <c r="BL502" s="402"/>
      <c r="BM502" s="402"/>
      <c r="BN502" s="401"/>
      <c r="BO502" s="437"/>
      <c r="BP502" s="438"/>
      <c r="BQ502" s="438"/>
      <c r="BR502" s="444"/>
      <c r="BS502" s="445"/>
      <c r="BT502"/>
    </row>
    <row r="503" spans="1:72" ht="15" customHeight="1" x14ac:dyDescent="0.15">
      <c r="A503" s="419" t="s">
        <v>3817</v>
      </c>
      <c r="B503" s="405" t="s">
        <v>3820</v>
      </c>
      <c r="C503" s="405"/>
      <c r="D503" s="405"/>
      <c r="E503" s="405"/>
      <c r="F503" s="451" t="s">
        <v>3823</v>
      </c>
      <c r="G503" s="441" t="s">
        <v>3825</v>
      </c>
      <c r="H503" s="442" t="s">
        <v>3582</v>
      </c>
      <c r="I503" s="406" t="s">
        <v>558</v>
      </c>
      <c r="J503" s="407" t="s">
        <v>2100</v>
      </c>
      <c r="K503" s="408"/>
      <c r="L503" s="409">
        <v>212</v>
      </c>
      <c r="M503" s="409"/>
      <c r="N503" s="410" t="str">
        <f t="shared" si="14"/>
        <v>Contact famille</v>
      </c>
      <c r="O503" s="739">
        <v>212</v>
      </c>
      <c r="P503" s="863"/>
      <c r="Q503" s="730" t="str">
        <f t="shared" si="15"/>
        <v>Contact famille</v>
      </c>
      <c r="R503" s="741"/>
      <c r="S503" s="741"/>
      <c r="T503" s="741"/>
      <c r="U503" s="741"/>
      <c r="V503" s="741"/>
      <c r="W503" s="741" t="s">
        <v>313</v>
      </c>
      <c r="X503" s="741" t="s">
        <v>313</v>
      </c>
      <c r="Y503" s="741"/>
      <c r="Z503" s="741"/>
      <c r="AA503" s="741"/>
      <c r="AB503" s="423"/>
      <c r="AC503" s="423"/>
      <c r="AD503" s="423"/>
      <c r="AE503" s="423"/>
      <c r="AF503" s="422"/>
      <c r="AG503" s="448"/>
      <c r="AH503" s="431"/>
      <c r="AI503" s="429" t="s">
        <v>242</v>
      </c>
      <c r="AJ503" s="429" t="s">
        <v>242</v>
      </c>
      <c r="AK503" s="428" t="s">
        <v>242</v>
      </c>
      <c r="AL503" s="439" t="s">
        <v>242</v>
      </c>
      <c r="AM503" s="433" t="s">
        <v>244</v>
      </c>
      <c r="AN503" s="434"/>
      <c r="AO503" s="430"/>
      <c r="AP503" s="435"/>
      <c r="AQ503" s="528">
        <v>691614744</v>
      </c>
      <c r="AR503" s="436" t="s">
        <v>3829</v>
      </c>
      <c r="AS503" s="413"/>
      <c r="AT503" s="413"/>
      <c r="AU503" s="400"/>
      <c r="AV503" s="412"/>
      <c r="AW503" s="398"/>
      <c r="AX503" s="72"/>
      <c r="AY503" s="398"/>
      <c r="AZ503" s="400"/>
      <c r="BA503" s="72"/>
      <c r="BB503" s="404"/>
      <c r="BC503" s="404"/>
      <c r="BD503" s="404"/>
      <c r="BE503" s="404"/>
      <c r="BF503" s="404"/>
      <c r="BG503" s="404"/>
      <c r="BH503" s="403"/>
      <c r="BI503" s="403"/>
      <c r="BJ503" s="403"/>
      <c r="BK503" s="402"/>
      <c r="BL503" s="402"/>
      <c r="BM503" s="402"/>
      <c r="BN503" s="401"/>
      <c r="BO503" s="437"/>
      <c r="BP503" s="438"/>
      <c r="BQ503" s="438"/>
      <c r="BR503" s="444"/>
      <c r="BS503" s="445"/>
    </row>
    <row r="504" spans="1:72" ht="15" customHeight="1" x14ac:dyDescent="0.15">
      <c r="A504" s="419" t="s">
        <v>4407</v>
      </c>
      <c r="B504" s="405" t="s">
        <v>4408</v>
      </c>
      <c r="C504" s="405"/>
      <c r="D504" s="405"/>
      <c r="E504" s="405"/>
      <c r="F504" s="447" t="s">
        <v>107</v>
      </c>
      <c r="G504" s="441" t="s">
        <v>4409</v>
      </c>
      <c r="H504" s="442" t="s">
        <v>4410</v>
      </c>
      <c r="I504" s="406" t="s">
        <v>4411</v>
      </c>
      <c r="J504" s="407" t="s">
        <v>320</v>
      </c>
      <c r="K504" s="408"/>
      <c r="L504" s="409">
        <v>2</v>
      </c>
      <c r="M504" s="409"/>
      <c r="N504" s="410" t="str">
        <f t="shared" si="14"/>
        <v>Seniors - Hommes</v>
      </c>
      <c r="O504" s="739">
        <v>2</v>
      </c>
      <c r="P504" s="863"/>
      <c r="Q504" s="730" t="str">
        <f t="shared" si="15"/>
        <v>Seniors - Hommes</v>
      </c>
      <c r="R504" s="741"/>
      <c r="S504" s="741"/>
      <c r="T504" s="741"/>
      <c r="U504" s="741"/>
      <c r="V504" s="741"/>
      <c r="W504" s="741"/>
      <c r="X504" s="741"/>
      <c r="Y504" s="741"/>
      <c r="Z504" s="741"/>
      <c r="AA504" s="741"/>
      <c r="AB504" s="423" t="s">
        <v>4475</v>
      </c>
      <c r="AC504" s="423"/>
      <c r="AD504" s="423"/>
      <c r="AE504" s="423"/>
      <c r="AF504" s="422"/>
      <c r="AG504" s="448"/>
      <c r="AH504" s="431"/>
      <c r="AI504" s="429">
        <v>40522</v>
      </c>
      <c r="AJ504" s="429">
        <v>45139</v>
      </c>
      <c r="AK504" s="428">
        <v>2031</v>
      </c>
      <c r="AL504" s="439">
        <v>37058</v>
      </c>
      <c r="AM504" s="690" t="s">
        <v>4419</v>
      </c>
      <c r="AN504" s="434"/>
      <c r="AO504" s="430"/>
      <c r="AP504" s="435"/>
      <c r="AQ504" s="697">
        <v>691203081</v>
      </c>
      <c r="AR504" s="350" t="s">
        <v>4412</v>
      </c>
      <c r="AS504" s="413"/>
      <c r="AT504" s="413"/>
      <c r="AU504" s="400"/>
      <c r="AV504" s="412"/>
      <c r="AW504" s="398"/>
      <c r="AX504" s="72"/>
      <c r="AY504" s="398"/>
      <c r="AZ504" s="400"/>
      <c r="BA504" s="72"/>
      <c r="BB504" s="404"/>
      <c r="BC504" s="404"/>
      <c r="BD504" s="404"/>
      <c r="BE504" s="404"/>
      <c r="BF504" s="404"/>
      <c r="BG504" s="404"/>
      <c r="BH504" s="403"/>
      <c r="BI504" s="403"/>
      <c r="BJ504" s="403"/>
      <c r="BK504" s="402"/>
      <c r="BL504" s="402"/>
      <c r="BM504" s="402"/>
      <c r="BN504" s="401"/>
      <c r="BO504" s="437"/>
      <c r="BP504" s="438"/>
      <c r="BQ504" s="438"/>
      <c r="BR504" s="444"/>
      <c r="BS504" s="445"/>
    </row>
    <row r="505" spans="1:72" ht="15" customHeight="1" x14ac:dyDescent="0.15">
      <c r="A505" s="419" t="s">
        <v>4080</v>
      </c>
      <c r="B505" s="405" t="s">
        <v>4083</v>
      </c>
      <c r="C505" s="405"/>
      <c r="D505" s="405"/>
      <c r="E505" s="405"/>
      <c r="F505" s="451" t="s">
        <v>4084</v>
      </c>
      <c r="G505" s="441" t="s">
        <v>4086</v>
      </c>
      <c r="H505" s="442" t="s">
        <v>4087</v>
      </c>
      <c r="I505" s="406" t="s">
        <v>994</v>
      </c>
      <c r="J505" s="407" t="s">
        <v>1323</v>
      </c>
      <c r="K505" s="408"/>
      <c r="L505" s="409">
        <v>212</v>
      </c>
      <c r="M505" s="409"/>
      <c r="N505" s="410" t="str">
        <f t="shared" si="14"/>
        <v>Contact famille</v>
      </c>
      <c r="O505" s="739"/>
      <c r="P505" s="863"/>
      <c r="Q505" s="730" t="str">
        <f t="shared" si="15"/>
        <v>CAT à compléter</v>
      </c>
      <c r="R505" s="741"/>
      <c r="S505" s="741"/>
      <c r="T505" s="741"/>
      <c r="U505" s="741"/>
      <c r="V505" s="741"/>
      <c r="W505" s="741"/>
      <c r="X505" s="741"/>
      <c r="Y505" s="741"/>
      <c r="Z505" s="741"/>
      <c r="AA505" s="741"/>
      <c r="AB505" s="423"/>
      <c r="AC505" s="423"/>
      <c r="AD505" s="423"/>
      <c r="AE505" s="423"/>
      <c r="AF505" s="422"/>
      <c r="AG505" s="448"/>
      <c r="AH505" s="431"/>
      <c r="AI505" s="429" t="s">
        <v>242</v>
      </c>
      <c r="AJ505" s="429" t="s">
        <v>242</v>
      </c>
      <c r="AK505" s="428" t="s">
        <v>242</v>
      </c>
      <c r="AL505" s="399" t="s">
        <v>242</v>
      </c>
      <c r="AM505" s="449" t="s">
        <v>244</v>
      </c>
      <c r="AN505" s="434"/>
      <c r="AO505" s="430"/>
      <c r="AP505" s="435"/>
      <c r="AQ505" s="697">
        <v>691303444</v>
      </c>
      <c r="AR505" s="350" t="s">
        <v>4580</v>
      </c>
      <c r="AS505" s="413"/>
      <c r="AT505" s="413"/>
      <c r="AU505" s="400"/>
      <c r="AV505" s="412"/>
      <c r="AW505" s="398"/>
      <c r="AX505" s="72"/>
      <c r="AY505" s="398"/>
      <c r="AZ505" s="400"/>
      <c r="BA505" s="72"/>
      <c r="BB505" s="404"/>
      <c r="BC505" s="404"/>
      <c r="BD505" s="404"/>
      <c r="BE505" s="404"/>
      <c r="BF505" s="404"/>
      <c r="BG505" s="404"/>
      <c r="BH505" s="403"/>
      <c r="BI505" s="403"/>
      <c r="BJ505" s="403"/>
      <c r="BK505" s="402"/>
      <c r="BL505" s="402"/>
      <c r="BM505" s="402"/>
      <c r="BN505" s="401"/>
      <c r="BO505" s="437"/>
      <c r="BP505" s="438"/>
      <c r="BQ505" s="438"/>
      <c r="BR505" s="444"/>
      <c r="BS505" s="445"/>
    </row>
    <row r="506" spans="1:72" ht="15" customHeight="1" x14ac:dyDescent="0.15">
      <c r="A506" s="419" t="s">
        <v>4505</v>
      </c>
      <c r="B506" s="405" t="s">
        <v>2335</v>
      </c>
      <c r="C506" s="405"/>
      <c r="D506" s="405"/>
      <c r="E506" s="405"/>
      <c r="F506" s="447" t="s">
        <v>107</v>
      </c>
      <c r="G506" s="441" t="s">
        <v>4506</v>
      </c>
      <c r="H506" s="442" t="s">
        <v>4507</v>
      </c>
      <c r="I506" s="406" t="s">
        <v>4508</v>
      </c>
      <c r="J506" s="407" t="s">
        <v>4504</v>
      </c>
      <c r="K506" s="408"/>
      <c r="L506" s="409">
        <v>212</v>
      </c>
      <c r="M506" s="409"/>
      <c r="N506" s="410" t="str">
        <f t="shared" si="14"/>
        <v>Contact famille</v>
      </c>
      <c r="O506" s="739">
        <v>212</v>
      </c>
      <c r="P506" s="863"/>
      <c r="Q506" s="730" t="str">
        <f t="shared" si="15"/>
        <v>Contact famille</v>
      </c>
      <c r="R506" s="741"/>
      <c r="S506" s="741"/>
      <c r="T506" s="741" t="s">
        <v>313</v>
      </c>
      <c r="U506" s="741"/>
      <c r="V506" s="741"/>
      <c r="W506" s="741"/>
      <c r="X506" s="741"/>
      <c r="Y506" s="741"/>
      <c r="Z506" s="741"/>
      <c r="AA506" s="741"/>
      <c r="AB506" s="423"/>
      <c r="AC506" s="423"/>
      <c r="AD506" s="423"/>
      <c r="AE506" s="423"/>
      <c r="AF506" s="422"/>
      <c r="AG506" s="448"/>
      <c r="AH506" s="431"/>
      <c r="AI506" s="429" t="s">
        <v>242</v>
      </c>
      <c r="AJ506" s="429" t="s">
        <v>242</v>
      </c>
      <c r="AK506" s="428" t="s">
        <v>242</v>
      </c>
      <c r="AL506" s="439" t="s">
        <v>242</v>
      </c>
      <c r="AM506" s="690" t="s">
        <v>244</v>
      </c>
      <c r="AN506" s="434"/>
      <c r="AO506" s="430"/>
      <c r="AP506" s="435"/>
      <c r="AQ506" s="440">
        <v>622734508</v>
      </c>
      <c r="AR506" s="436" t="s">
        <v>4511</v>
      </c>
      <c r="AS506" s="413"/>
      <c r="AT506" s="413"/>
      <c r="AU506" s="400"/>
      <c r="AV506" s="412"/>
      <c r="AW506" s="398"/>
      <c r="AX506" s="72"/>
      <c r="AY506" s="398"/>
      <c r="AZ506" s="400"/>
      <c r="BA506" s="72"/>
      <c r="BB506" s="404"/>
      <c r="BC506" s="404"/>
      <c r="BD506" s="404"/>
      <c r="BE506" s="404"/>
      <c r="BF506" s="404"/>
      <c r="BG506" s="404"/>
      <c r="BH506" s="403"/>
      <c r="BI506" s="403"/>
      <c r="BJ506" s="403"/>
      <c r="BK506" s="402"/>
      <c r="BL506" s="402"/>
      <c r="BM506" s="402"/>
      <c r="BN506" s="401"/>
      <c r="BO506" s="437"/>
      <c r="BP506" s="438"/>
      <c r="BQ506" s="438"/>
      <c r="BR506" s="444"/>
      <c r="BS506" s="445"/>
    </row>
    <row r="507" spans="1:72" ht="15" customHeight="1" x14ac:dyDescent="0.15">
      <c r="A507" s="419" t="s">
        <v>4505</v>
      </c>
      <c r="B507" s="405" t="s">
        <v>895</v>
      </c>
      <c r="C507" s="405"/>
      <c r="D507" s="405"/>
      <c r="E507" s="405"/>
      <c r="F507" s="447" t="s">
        <v>107</v>
      </c>
      <c r="G507" s="441" t="s">
        <v>4506</v>
      </c>
      <c r="H507" s="442" t="s">
        <v>4507</v>
      </c>
      <c r="I507" s="406" t="s">
        <v>4508</v>
      </c>
      <c r="J507" s="407" t="s">
        <v>4504</v>
      </c>
      <c r="K507" s="408"/>
      <c r="L507" s="409">
        <v>5</v>
      </c>
      <c r="M507" s="409"/>
      <c r="N507" s="410" t="str">
        <f t="shared" si="14"/>
        <v>U 15 Hommes</v>
      </c>
      <c r="O507" s="739">
        <v>5</v>
      </c>
      <c r="P507" s="863"/>
      <c r="Q507" s="730" t="str">
        <f t="shared" si="15"/>
        <v>U 15 Hommes</v>
      </c>
      <c r="R507" s="741"/>
      <c r="S507" s="741"/>
      <c r="T507" s="741" t="s">
        <v>192</v>
      </c>
      <c r="U507" s="741"/>
      <c r="V507" s="741"/>
      <c r="W507" s="741"/>
      <c r="X507" s="741"/>
      <c r="Y507" s="741"/>
      <c r="Z507" s="741"/>
      <c r="AA507" s="741"/>
      <c r="AB507" s="423" t="s">
        <v>4532</v>
      </c>
      <c r="AC507" s="423"/>
      <c r="AD507" s="423"/>
      <c r="AE507" s="423"/>
      <c r="AF507" s="422"/>
      <c r="AG507" s="448"/>
      <c r="AH507" s="431"/>
      <c r="AI507" s="429">
        <v>45201</v>
      </c>
      <c r="AJ507" s="429">
        <v>45194</v>
      </c>
      <c r="AK507" s="617">
        <v>2025</v>
      </c>
      <c r="AL507" s="439">
        <v>41321</v>
      </c>
      <c r="AM507" s="433" t="s">
        <v>4509</v>
      </c>
      <c r="AN507" s="434"/>
      <c r="AO507" s="430"/>
      <c r="AP507" s="435"/>
      <c r="AQ507" s="430" t="s">
        <v>4510</v>
      </c>
      <c r="AR507" s="436" t="s">
        <v>4511</v>
      </c>
      <c r="AS507" s="413"/>
      <c r="AT507" s="413"/>
      <c r="AU507" s="400"/>
      <c r="AV507" s="412"/>
      <c r="AW507" s="398"/>
      <c r="AX507" s="72"/>
      <c r="AY507" s="398"/>
      <c r="AZ507" s="400"/>
      <c r="BA507" s="72"/>
      <c r="BB507" s="404"/>
      <c r="BC507" s="404"/>
      <c r="BD507" s="404"/>
      <c r="BE507" s="404"/>
      <c r="BF507" s="404"/>
      <c r="BG507" s="404"/>
      <c r="BH507" s="403"/>
      <c r="BI507" s="403"/>
      <c r="BJ507" s="403"/>
      <c r="BK507" s="402"/>
      <c r="BL507" s="402"/>
      <c r="BM507" s="402"/>
      <c r="BN507" s="401"/>
      <c r="BO507" s="437"/>
      <c r="BP507" s="438"/>
      <c r="BQ507" s="438"/>
      <c r="BR507" s="444"/>
      <c r="BS507" s="445"/>
    </row>
    <row r="508" spans="1:72" ht="15" customHeight="1" x14ac:dyDescent="0.15">
      <c r="A508" s="419" t="s">
        <v>2607</v>
      </c>
      <c r="B508" s="405" t="s">
        <v>745</v>
      </c>
      <c r="C508" s="405"/>
      <c r="D508" s="405"/>
      <c r="E508" s="405"/>
      <c r="F508" s="451" t="s">
        <v>107</v>
      </c>
      <c r="G508" s="441" t="s">
        <v>3215</v>
      </c>
      <c r="H508" s="442" t="s">
        <v>3880</v>
      </c>
      <c r="I508" s="406" t="s">
        <v>834</v>
      </c>
      <c r="J508" s="407" t="s">
        <v>320</v>
      </c>
      <c r="K508" s="408"/>
      <c r="L508" s="409">
        <v>2</v>
      </c>
      <c r="M508" s="409"/>
      <c r="N508" s="410" t="str">
        <f t="shared" si="14"/>
        <v>Seniors - Hommes</v>
      </c>
      <c r="O508" s="739">
        <v>2</v>
      </c>
      <c r="P508" s="863"/>
      <c r="Q508" s="730" t="str">
        <f t="shared" si="15"/>
        <v>Seniors - Hommes</v>
      </c>
      <c r="R508" s="741"/>
      <c r="S508" s="741"/>
      <c r="T508" s="741"/>
      <c r="U508" s="741"/>
      <c r="V508" s="741"/>
      <c r="W508" s="741"/>
      <c r="X508" s="741"/>
      <c r="Y508" s="741"/>
      <c r="Z508" s="741"/>
      <c r="AA508" s="741"/>
      <c r="AB508" s="423" t="s">
        <v>3440</v>
      </c>
      <c r="AC508" s="423"/>
      <c r="AD508" s="423"/>
      <c r="AE508" s="423"/>
      <c r="AF508" s="422"/>
      <c r="AG508" s="448"/>
      <c r="AH508" s="431"/>
      <c r="AI508" s="429">
        <v>44061</v>
      </c>
      <c r="AJ508" s="429">
        <v>43741</v>
      </c>
      <c r="AK508" s="428">
        <v>2030</v>
      </c>
      <c r="AL508" s="439">
        <v>36642</v>
      </c>
      <c r="AM508" s="433" t="s">
        <v>3216</v>
      </c>
      <c r="AN508" s="434"/>
      <c r="AO508" s="430" t="s">
        <v>3217</v>
      </c>
      <c r="AP508" s="435"/>
      <c r="AQ508" s="430" t="s">
        <v>3218</v>
      </c>
      <c r="AR508" s="436" t="s">
        <v>3751</v>
      </c>
      <c r="AS508" s="413"/>
      <c r="AT508" s="413"/>
      <c r="AU508" s="400"/>
      <c r="AV508" s="412"/>
      <c r="AW508" s="398"/>
      <c r="AX508" s="72"/>
      <c r="AY508" s="398"/>
      <c r="AZ508" s="400"/>
      <c r="BA508" s="72"/>
      <c r="BB508" s="404"/>
      <c r="BC508" s="404"/>
      <c r="BD508" s="404"/>
      <c r="BE508" s="404"/>
      <c r="BF508" s="404"/>
      <c r="BG508" s="404"/>
      <c r="BH508" s="403"/>
      <c r="BI508" s="403"/>
      <c r="BJ508" s="403"/>
      <c r="BK508" s="402"/>
      <c r="BL508" s="402"/>
      <c r="BM508" s="402"/>
      <c r="BN508" s="401"/>
      <c r="BO508" s="437"/>
      <c r="BP508" s="438"/>
      <c r="BQ508" s="438"/>
      <c r="BR508" s="444"/>
      <c r="BS508" s="445"/>
      <c r="BT508" s="150"/>
    </row>
    <row r="509" spans="1:72" ht="15" customHeight="1" x14ac:dyDescent="0.15">
      <c r="A509" s="419" t="s">
        <v>4513</v>
      </c>
      <c r="B509" s="405" t="s">
        <v>588</v>
      </c>
      <c r="C509" s="405"/>
      <c r="D509" s="405"/>
      <c r="E509" s="405"/>
      <c r="F509" s="451" t="s">
        <v>4517</v>
      </c>
      <c r="G509" s="441" t="s">
        <v>4518</v>
      </c>
      <c r="H509" s="442" t="s">
        <v>4519</v>
      </c>
      <c r="I509" s="406" t="s">
        <v>1179</v>
      </c>
      <c r="J509" s="407" t="s">
        <v>1699</v>
      </c>
      <c r="K509" s="408"/>
      <c r="L509" s="409">
        <v>212</v>
      </c>
      <c r="M509" s="409"/>
      <c r="N509" s="410" t="str">
        <f t="shared" si="14"/>
        <v>Contact famille</v>
      </c>
      <c r="O509" s="739">
        <v>212</v>
      </c>
      <c r="P509" s="863"/>
      <c r="Q509" s="730" t="str">
        <f t="shared" si="15"/>
        <v>Contact famille</v>
      </c>
      <c r="R509" s="741"/>
      <c r="S509" s="741"/>
      <c r="T509" s="741"/>
      <c r="U509" s="741"/>
      <c r="V509" s="741"/>
      <c r="W509" s="741"/>
      <c r="X509" s="741"/>
      <c r="Y509" s="741"/>
      <c r="Z509" s="741" t="s">
        <v>313</v>
      </c>
      <c r="AA509" s="741"/>
      <c r="AB509" s="423"/>
      <c r="AC509" s="423"/>
      <c r="AD509" s="423"/>
      <c r="AE509" s="423"/>
      <c r="AF509" s="422"/>
      <c r="AG509" s="448"/>
      <c r="AH509" s="431"/>
      <c r="AI509" s="429" t="s">
        <v>242</v>
      </c>
      <c r="AJ509" s="429" t="s">
        <v>242</v>
      </c>
      <c r="AK509" s="428" t="s">
        <v>242</v>
      </c>
      <c r="AL509" s="399" t="s">
        <v>242</v>
      </c>
      <c r="AM509" s="449" t="s">
        <v>244</v>
      </c>
      <c r="AN509" s="434"/>
      <c r="AO509" s="430"/>
      <c r="AP509" s="435"/>
      <c r="AQ509" s="440">
        <v>661822408</v>
      </c>
      <c r="AR509" s="436" t="s">
        <v>4522</v>
      </c>
      <c r="AS509" s="413"/>
      <c r="AT509" s="413"/>
      <c r="AU509" s="400"/>
      <c r="AV509" s="412"/>
      <c r="AW509" s="398"/>
      <c r="AX509" s="72"/>
      <c r="AY509" s="398"/>
      <c r="AZ509" s="400"/>
      <c r="BA509" s="72"/>
      <c r="BB509" s="404"/>
      <c r="BC509" s="404"/>
      <c r="BD509" s="404"/>
      <c r="BE509" s="404"/>
      <c r="BF509" s="404"/>
      <c r="BG509" s="404"/>
      <c r="BH509" s="403"/>
      <c r="BI509" s="403"/>
      <c r="BJ509" s="403"/>
      <c r="BK509" s="402"/>
      <c r="BL509" s="402"/>
      <c r="BM509" s="402"/>
      <c r="BN509" s="401"/>
      <c r="BO509" s="437"/>
      <c r="BP509" s="438"/>
      <c r="BQ509" s="438"/>
      <c r="BR509" s="444"/>
      <c r="BS509" s="445"/>
    </row>
    <row r="510" spans="1:72" ht="15" customHeight="1" x14ac:dyDescent="0.15">
      <c r="A510" s="419" t="s">
        <v>3958</v>
      </c>
      <c r="B510" s="405" t="s">
        <v>540</v>
      </c>
      <c r="C510" s="405"/>
      <c r="D510" s="405"/>
      <c r="E510" s="405"/>
      <c r="F510" s="447" t="s">
        <v>107</v>
      </c>
      <c r="G510" s="441" t="s">
        <v>3959</v>
      </c>
      <c r="H510" s="442" t="s">
        <v>110</v>
      </c>
      <c r="I510" s="406" t="s">
        <v>111</v>
      </c>
      <c r="J510" s="407" t="s">
        <v>2697</v>
      </c>
      <c r="K510" s="408"/>
      <c r="L510" s="409">
        <v>212</v>
      </c>
      <c r="M510" s="409"/>
      <c r="N510" s="410" t="str">
        <f t="shared" si="14"/>
        <v>Contact famille</v>
      </c>
      <c r="O510" s="739">
        <v>212</v>
      </c>
      <c r="P510" s="863"/>
      <c r="Q510" s="730" t="str">
        <f t="shared" si="15"/>
        <v>Contact famille</v>
      </c>
      <c r="R510" s="741"/>
      <c r="S510" s="741"/>
      <c r="T510" s="741" t="s">
        <v>313</v>
      </c>
      <c r="U510" s="741" t="s">
        <v>313</v>
      </c>
      <c r="V510" s="741"/>
      <c r="W510" s="741"/>
      <c r="X510" s="741"/>
      <c r="Y510" s="741"/>
      <c r="Z510" s="741"/>
      <c r="AA510" s="741"/>
      <c r="AB510" s="423"/>
      <c r="AC510" s="423"/>
      <c r="AD510" s="423"/>
      <c r="AE510" s="423"/>
      <c r="AF510" s="422"/>
      <c r="AG510" s="448"/>
      <c r="AH510" s="431"/>
      <c r="AI510" s="429" t="s">
        <v>242</v>
      </c>
      <c r="AJ510" s="429" t="s">
        <v>242</v>
      </c>
      <c r="AK510" s="428" t="s">
        <v>242</v>
      </c>
      <c r="AL510" s="439" t="s">
        <v>242</v>
      </c>
      <c r="AM510" s="433" t="s">
        <v>244</v>
      </c>
      <c r="AN510" s="434"/>
      <c r="AO510" s="430" t="s">
        <v>3961</v>
      </c>
      <c r="AP510" s="435"/>
      <c r="AQ510" s="440">
        <v>621724416</v>
      </c>
      <c r="AR510" s="450" t="s">
        <v>3964</v>
      </c>
      <c r="AS510" s="413"/>
      <c r="AT510" s="413"/>
      <c r="AU510" s="400"/>
      <c r="AV510" s="412"/>
      <c r="AW510" s="398"/>
      <c r="AX510" s="72"/>
      <c r="AY510" s="398"/>
      <c r="AZ510" s="400"/>
      <c r="BA510" s="72"/>
      <c r="BB510" s="404"/>
      <c r="BC510" s="404"/>
      <c r="BD510" s="404"/>
      <c r="BE510" s="404"/>
      <c r="BF510" s="404"/>
      <c r="BG510" s="404"/>
      <c r="BH510" s="403"/>
      <c r="BI510" s="403"/>
      <c r="BJ510" s="403"/>
      <c r="BK510" s="402"/>
      <c r="BL510" s="402"/>
      <c r="BM510" s="402"/>
      <c r="BN510" s="401"/>
      <c r="BO510" s="437"/>
      <c r="BP510" s="438"/>
      <c r="BQ510" s="438"/>
      <c r="BR510" s="444"/>
      <c r="BS510" s="445"/>
    </row>
    <row r="511" spans="1:72" ht="15" customHeight="1" x14ac:dyDescent="0.15">
      <c r="A511" s="419" t="s">
        <v>5516</v>
      </c>
      <c r="B511" s="405" t="s">
        <v>197</v>
      </c>
      <c r="C511" s="405"/>
      <c r="D511" s="405"/>
      <c r="E511" s="405"/>
      <c r="F511" s="447" t="s">
        <v>5477</v>
      </c>
      <c r="G511" s="421" t="s">
        <v>5518</v>
      </c>
      <c r="H511" s="442" t="s">
        <v>666</v>
      </c>
      <c r="I511" s="406" t="s">
        <v>493</v>
      </c>
      <c r="J511" s="407" t="s">
        <v>5514</v>
      </c>
      <c r="K511" s="408"/>
      <c r="L511" s="409">
        <v>212</v>
      </c>
      <c r="M511" s="409"/>
      <c r="N511" s="410" t="str">
        <f t="shared" si="14"/>
        <v>Contact famille</v>
      </c>
      <c r="O511" s="739">
        <v>212</v>
      </c>
      <c r="P511" s="863"/>
      <c r="Q511" s="730" t="str">
        <f t="shared" si="15"/>
        <v>Contact famille</v>
      </c>
      <c r="R511" s="740"/>
      <c r="S511" s="740"/>
      <c r="T511" s="740"/>
      <c r="U511" s="740" t="s">
        <v>313</v>
      </c>
      <c r="V511" s="740"/>
      <c r="W511" s="740"/>
      <c r="X511" s="740"/>
      <c r="Y511" s="740"/>
      <c r="Z511" s="740"/>
      <c r="AA511" s="740"/>
      <c r="AB511" s="423"/>
      <c r="AC511" s="418"/>
      <c r="AD511" s="418"/>
      <c r="AE511" s="418"/>
      <c r="AF511" s="422"/>
      <c r="AG511" s="425"/>
      <c r="AH511" s="417"/>
      <c r="AI511" s="429" t="s">
        <v>242</v>
      </c>
      <c r="AJ511" s="429" t="s">
        <v>242</v>
      </c>
      <c r="AK511" s="428" t="s">
        <v>242</v>
      </c>
      <c r="AL511" s="399" t="s">
        <v>242</v>
      </c>
      <c r="AM511" s="854" t="s">
        <v>244</v>
      </c>
      <c r="AN511" s="412"/>
      <c r="AO511" s="72"/>
      <c r="AP511" s="414"/>
      <c r="AQ511" s="440">
        <v>691457054</v>
      </c>
      <c r="AR511" s="532" t="s">
        <v>5522</v>
      </c>
      <c r="AS511" s="413"/>
      <c r="AT511" s="413"/>
      <c r="AU511" s="412"/>
      <c r="AV511" s="412"/>
      <c r="AW511" s="399"/>
      <c r="AX511" s="72"/>
      <c r="AY511" s="398"/>
      <c r="AZ511" s="400"/>
      <c r="BA511" s="72"/>
      <c r="BB511" s="404"/>
      <c r="BC511" s="404"/>
      <c r="BD511" s="404"/>
      <c r="BE511" s="404"/>
      <c r="BF511" s="404"/>
      <c r="BG511" s="404"/>
      <c r="BH511" s="403"/>
      <c r="BI511" s="403"/>
      <c r="BJ511" s="403"/>
      <c r="BK511" s="402"/>
      <c r="BL511" s="402"/>
      <c r="BM511" s="402"/>
      <c r="BN511" s="401"/>
      <c r="BO511" s="400"/>
      <c r="BP511" s="400"/>
      <c r="BQ511" s="400"/>
      <c r="BR511" s="72"/>
      <c r="BS511" s="411"/>
    </row>
    <row r="512" spans="1:72" ht="15" customHeight="1" x14ac:dyDescent="0.15">
      <c r="A512" s="419" t="s">
        <v>5515</v>
      </c>
      <c r="B512" s="405" t="s">
        <v>280</v>
      </c>
      <c r="C512" s="405"/>
      <c r="D512" s="405"/>
      <c r="E512" s="405"/>
      <c r="F512" s="447" t="s">
        <v>5477</v>
      </c>
      <c r="G512" s="421" t="s">
        <v>5518</v>
      </c>
      <c r="H512" s="442" t="s">
        <v>666</v>
      </c>
      <c r="I512" s="406" t="s">
        <v>493</v>
      </c>
      <c r="J512" s="407" t="s">
        <v>5514</v>
      </c>
      <c r="K512" s="408"/>
      <c r="L512" s="409">
        <v>6</v>
      </c>
      <c r="M512" s="409"/>
      <c r="N512" s="410" t="str">
        <f t="shared" si="14"/>
        <v>U 13 Hommes</v>
      </c>
      <c r="O512" s="739">
        <v>6</v>
      </c>
      <c r="P512" s="863"/>
      <c r="Q512" s="730" t="str">
        <f t="shared" si="15"/>
        <v>U 13 Hommes</v>
      </c>
      <c r="R512" s="740"/>
      <c r="S512" s="740"/>
      <c r="T512" s="740"/>
      <c r="U512" s="740" t="s">
        <v>192</v>
      </c>
      <c r="V512" s="740"/>
      <c r="W512" s="740"/>
      <c r="X512" s="740"/>
      <c r="Y512" s="740"/>
      <c r="Z512" s="740"/>
      <c r="AA512" s="740"/>
      <c r="AB512" s="423" t="s">
        <v>5543</v>
      </c>
      <c r="AC512" s="418"/>
      <c r="AD512" s="418"/>
      <c r="AE512" s="418"/>
      <c r="AF512" s="422"/>
      <c r="AG512" s="425" t="s">
        <v>5173</v>
      </c>
      <c r="AH512" s="417"/>
      <c r="AI512" s="429">
        <v>46162</v>
      </c>
      <c r="AJ512" s="429">
        <v>46161</v>
      </c>
      <c r="AK512" s="428">
        <v>2027</v>
      </c>
      <c r="AL512" s="439">
        <v>42208</v>
      </c>
      <c r="AM512" s="416" t="s">
        <v>5519</v>
      </c>
      <c r="AN512" s="412"/>
      <c r="AO512" s="72"/>
      <c r="AP512" s="414" t="s">
        <v>5520</v>
      </c>
      <c r="AQ512" s="430" t="s">
        <v>5521</v>
      </c>
      <c r="AR512" s="532" t="s">
        <v>5522</v>
      </c>
      <c r="AS512" s="413"/>
      <c r="AT512" s="413"/>
      <c r="AU512" s="412"/>
      <c r="AV512" s="412"/>
      <c r="AW512" s="399"/>
      <c r="AX512" s="72"/>
      <c r="AY512" s="398"/>
      <c r="AZ512" s="400"/>
      <c r="BA512" s="72"/>
      <c r="BB512" s="404"/>
      <c r="BC512" s="404"/>
      <c r="BD512" s="404"/>
      <c r="BE512" s="404"/>
      <c r="BF512" s="404"/>
      <c r="BG512" s="404"/>
      <c r="BH512" s="403"/>
      <c r="BI512" s="403"/>
      <c r="BJ512" s="403"/>
      <c r="BK512" s="402"/>
      <c r="BL512" s="402"/>
      <c r="BM512" s="402"/>
      <c r="BN512" s="401"/>
      <c r="BO512" s="400"/>
      <c r="BP512" s="400"/>
      <c r="BQ512" s="400"/>
      <c r="BR512" s="72"/>
      <c r="BS512" s="411"/>
    </row>
    <row r="513" spans="1:72" ht="15" customHeight="1" x14ac:dyDescent="0.15">
      <c r="A513" s="419" t="s">
        <v>5102</v>
      </c>
      <c r="B513" s="405" t="s">
        <v>5103</v>
      </c>
      <c r="C513" s="405"/>
      <c r="D513" s="405"/>
      <c r="E513" s="405"/>
      <c r="F513" s="447" t="s">
        <v>107</v>
      </c>
      <c r="G513" s="421" t="s">
        <v>5104</v>
      </c>
      <c r="H513" s="442" t="s">
        <v>5105</v>
      </c>
      <c r="I513" s="406" t="s">
        <v>2316</v>
      </c>
      <c r="J513" s="407" t="s">
        <v>320</v>
      </c>
      <c r="K513" s="408"/>
      <c r="L513" s="409">
        <v>12</v>
      </c>
      <c r="M513" s="409"/>
      <c r="N513" s="410" t="str">
        <f t="shared" si="14"/>
        <v>Dames</v>
      </c>
      <c r="O513" s="739">
        <v>12</v>
      </c>
      <c r="P513" s="863"/>
      <c r="Q513" s="730" t="str">
        <f t="shared" si="15"/>
        <v>Dames</v>
      </c>
      <c r="R513" s="740"/>
      <c r="S513" s="740"/>
      <c r="T513" s="740"/>
      <c r="U513" s="740"/>
      <c r="V513" s="740"/>
      <c r="W513" s="740"/>
      <c r="X513" s="740"/>
      <c r="Y513" s="740"/>
      <c r="Z513" s="740"/>
      <c r="AA513" s="740"/>
      <c r="AB513" s="423" t="s">
        <v>5123</v>
      </c>
      <c r="AC513" s="418"/>
      <c r="AD513" s="418"/>
      <c r="AE513" s="418"/>
      <c r="AF513" s="422"/>
      <c r="AG513" s="448"/>
      <c r="AH513" s="417"/>
      <c r="AI513" s="429">
        <v>45785</v>
      </c>
      <c r="AJ513" s="429">
        <v>45748</v>
      </c>
      <c r="AK513" s="428">
        <v>2033</v>
      </c>
      <c r="AL513" s="439">
        <v>37881</v>
      </c>
      <c r="AM513" s="416" t="s">
        <v>5106</v>
      </c>
      <c r="AN513" s="412"/>
      <c r="AO513" s="72"/>
      <c r="AP513" s="414"/>
      <c r="AQ513" s="440">
        <v>621720140</v>
      </c>
      <c r="AR513" s="532" t="s">
        <v>5107</v>
      </c>
      <c r="AS513" s="413"/>
      <c r="AT513" s="413"/>
      <c r="AU513" s="412"/>
      <c r="AV513" s="412"/>
      <c r="AW513" s="399"/>
      <c r="AX513" s="72"/>
      <c r="AY513" s="398"/>
      <c r="AZ513" s="400"/>
      <c r="BA513" s="72"/>
      <c r="BB513" s="404"/>
      <c r="BC513" s="404"/>
      <c r="BD513" s="404"/>
      <c r="BE513" s="404"/>
      <c r="BF513" s="404"/>
      <c r="BG513" s="404"/>
      <c r="BH513" s="403"/>
      <c r="BI513" s="403"/>
      <c r="BJ513" s="403"/>
      <c r="BK513" s="402"/>
      <c r="BL513" s="402"/>
      <c r="BM513" s="402"/>
      <c r="BN513" s="401"/>
      <c r="BO513" s="400"/>
      <c r="BP513" s="400"/>
      <c r="BQ513" s="400"/>
      <c r="BR513" s="72"/>
      <c r="BS513" s="411"/>
      <c r="BT513" s="150"/>
    </row>
    <row r="514" spans="1:72" ht="15" customHeight="1" x14ac:dyDescent="0.15">
      <c r="A514" s="419" t="s">
        <v>4667</v>
      </c>
      <c r="B514" s="405" t="s">
        <v>1212</v>
      </c>
      <c r="C514" s="405"/>
      <c r="D514" s="405"/>
      <c r="E514" s="405"/>
      <c r="F514" s="447" t="s">
        <v>107</v>
      </c>
      <c r="G514" s="441" t="s">
        <v>5632</v>
      </c>
      <c r="H514" s="442" t="s">
        <v>5633</v>
      </c>
      <c r="I514" s="406" t="s">
        <v>4398</v>
      </c>
      <c r="J514" s="407" t="s">
        <v>320</v>
      </c>
      <c r="K514" s="408"/>
      <c r="L514" s="409">
        <v>150</v>
      </c>
      <c r="M514" s="409"/>
      <c r="N514" s="815" t="str">
        <f t="shared" ref="N514:N577" si="16">VLOOKUP(L514,CAT_JOUEUR,2,FALSE)</f>
        <v>comité</v>
      </c>
      <c r="O514" s="739">
        <v>2</v>
      </c>
      <c r="P514" s="863"/>
      <c r="Q514" s="730" t="str">
        <f t="shared" ref="Q514:Q577" si="17">VLOOKUP(O514,CAT_JOUEUR,2,FALSE)</f>
        <v>Seniors - Hommes</v>
      </c>
      <c r="R514" s="741"/>
      <c r="S514" s="741"/>
      <c r="T514" s="741"/>
      <c r="U514" s="741"/>
      <c r="V514" s="741"/>
      <c r="W514" s="741"/>
      <c r="X514" s="741"/>
      <c r="Y514" s="741"/>
      <c r="Z514" s="741"/>
      <c r="AA514" s="741"/>
      <c r="AB514" s="423" t="s">
        <v>4714</v>
      </c>
      <c r="AC514" s="423"/>
      <c r="AD514" s="423" t="s">
        <v>4714</v>
      </c>
      <c r="AE514" s="423"/>
      <c r="AF514" s="422"/>
      <c r="AG514" s="448"/>
      <c r="AH514" s="431"/>
      <c r="AI514" s="429">
        <v>45302</v>
      </c>
      <c r="AJ514" s="429">
        <v>45108</v>
      </c>
      <c r="AK514" s="428">
        <v>2031</v>
      </c>
      <c r="AL514" s="439">
        <v>37229</v>
      </c>
      <c r="AM514" s="433" t="s">
        <v>4668</v>
      </c>
      <c r="AN514" s="434"/>
      <c r="AO514" s="430"/>
      <c r="AP514" s="435"/>
      <c r="AQ514" s="440">
        <v>621702377</v>
      </c>
      <c r="AR514" s="436" t="s">
        <v>4924</v>
      </c>
      <c r="AS514" s="413"/>
      <c r="AT514" s="413"/>
      <c r="AU514" s="400"/>
      <c r="AV514" s="813" t="s">
        <v>4413</v>
      </c>
      <c r="AW514" s="398"/>
      <c r="AX514" s="72"/>
      <c r="AY514" s="541" t="s">
        <v>5002</v>
      </c>
      <c r="AZ514" s="400"/>
      <c r="BA514" s="72"/>
      <c r="BB514" s="404"/>
      <c r="BC514" s="404"/>
      <c r="BD514" s="404"/>
      <c r="BE514" s="404"/>
      <c r="BF514" s="404"/>
      <c r="BG514" s="404"/>
      <c r="BH514" s="403"/>
      <c r="BI514" s="403"/>
      <c r="BJ514" s="403"/>
      <c r="BK514" s="402"/>
      <c r="BL514" s="402"/>
      <c r="BM514" s="402"/>
      <c r="BN514" s="401"/>
      <c r="BO514" s="437"/>
      <c r="BP514" s="438"/>
      <c r="BQ514" s="438"/>
      <c r="BR514" s="444"/>
      <c r="BS514" s="445"/>
    </row>
    <row r="515" spans="1:72" ht="15" customHeight="1" x14ac:dyDescent="0.15">
      <c r="A515" s="688" t="s">
        <v>1150</v>
      </c>
      <c r="B515" s="682" t="s">
        <v>1153</v>
      </c>
      <c r="C515" s="682"/>
      <c r="D515" s="682"/>
      <c r="E515" s="682"/>
      <c r="F515" s="451" t="s">
        <v>107</v>
      </c>
      <c r="G515" s="441" t="s">
        <v>944</v>
      </c>
      <c r="H515" s="442" t="s">
        <v>945</v>
      </c>
      <c r="I515" s="661" t="s">
        <v>946</v>
      </c>
      <c r="J515" s="662" t="s">
        <v>948</v>
      </c>
      <c r="K515" s="665"/>
      <c r="L515" s="409">
        <v>1</v>
      </c>
      <c r="M515" s="409"/>
      <c r="N515" s="410" t="str">
        <f t="shared" si="16"/>
        <v>Officiel H</v>
      </c>
      <c r="O515" s="739">
        <v>1</v>
      </c>
      <c r="P515" s="863"/>
      <c r="Q515" s="730" t="str">
        <f t="shared" si="17"/>
        <v>Officiel H</v>
      </c>
      <c r="R515" s="741"/>
      <c r="S515" s="741"/>
      <c r="T515" s="741"/>
      <c r="U515" s="741"/>
      <c r="V515" s="741"/>
      <c r="W515" s="741"/>
      <c r="X515" s="741"/>
      <c r="Y515" s="741"/>
      <c r="Z515" s="741"/>
      <c r="AA515" s="741"/>
      <c r="AB515" s="533"/>
      <c r="AC515" s="533" t="s">
        <v>3108</v>
      </c>
      <c r="AD515" s="533" t="s">
        <v>3108</v>
      </c>
      <c r="AE515" s="533"/>
      <c r="AF515" s="534"/>
      <c r="AG515" s="571"/>
      <c r="AH515" s="431"/>
      <c r="AI515" s="429">
        <v>40934</v>
      </c>
      <c r="AJ515" s="429">
        <v>40934</v>
      </c>
      <c r="AK515" s="535" t="s">
        <v>210</v>
      </c>
      <c r="AL515" s="670">
        <v>24553</v>
      </c>
      <c r="AM515" s="433" t="s">
        <v>244</v>
      </c>
      <c r="AN515" s="437"/>
      <c r="AO515" s="430" t="s">
        <v>2023</v>
      </c>
      <c r="AP515" s="672"/>
      <c r="AQ515" s="716" t="s">
        <v>2650</v>
      </c>
      <c r="AR515" s="537" t="s">
        <v>2024</v>
      </c>
      <c r="AS515" s="538"/>
      <c r="AT515" s="538"/>
      <c r="AU515" s="400"/>
      <c r="AV515" s="412"/>
      <c r="AW515" s="399" t="s">
        <v>3969</v>
      </c>
      <c r="AX515" s="72"/>
      <c r="AY515" s="398"/>
      <c r="AZ515" s="400" t="s">
        <v>420</v>
      </c>
      <c r="BA515" s="72"/>
      <c r="BB515" s="404" t="s">
        <v>2813</v>
      </c>
      <c r="BC515" s="404" t="s">
        <v>3151</v>
      </c>
      <c r="BD515" s="404" t="s">
        <v>2136</v>
      </c>
      <c r="BE515" s="404">
        <v>50</v>
      </c>
      <c r="BF515" s="404"/>
      <c r="BG515" s="404"/>
      <c r="BH515" s="403"/>
      <c r="BI515" s="403"/>
      <c r="BJ515" s="403"/>
      <c r="BK515" s="402"/>
      <c r="BL515" s="402"/>
      <c r="BM515" s="402"/>
      <c r="BN515" s="401"/>
      <c r="BO515" s="437"/>
      <c r="BP515" s="438" t="s">
        <v>1812</v>
      </c>
      <c r="BQ515" s="438"/>
      <c r="BR515" s="444"/>
      <c r="BS515" s="445"/>
    </row>
    <row r="516" spans="1:72" ht="15" customHeight="1" x14ac:dyDescent="0.15">
      <c r="A516" s="419" t="s">
        <v>5064</v>
      </c>
      <c r="B516" s="405" t="s">
        <v>5065</v>
      </c>
      <c r="C516" s="405"/>
      <c r="D516" s="405"/>
      <c r="E516" s="405"/>
      <c r="F516" s="447" t="s">
        <v>107</v>
      </c>
      <c r="G516" s="421" t="s">
        <v>5067</v>
      </c>
      <c r="H516" s="442" t="s">
        <v>5068</v>
      </c>
      <c r="I516" s="406" t="s">
        <v>936</v>
      </c>
      <c r="J516" s="407" t="s">
        <v>5066</v>
      </c>
      <c r="K516" s="408"/>
      <c r="L516" s="409">
        <v>212</v>
      </c>
      <c r="M516" s="409"/>
      <c r="N516" s="410" t="str">
        <f t="shared" si="16"/>
        <v>Contact famille</v>
      </c>
      <c r="O516" s="739">
        <v>212</v>
      </c>
      <c r="P516" s="863"/>
      <c r="Q516" s="730" t="str">
        <f t="shared" si="17"/>
        <v>Contact famille</v>
      </c>
      <c r="R516" s="740"/>
      <c r="S516" s="740"/>
      <c r="T516" s="740"/>
      <c r="U516" s="740"/>
      <c r="V516" s="740"/>
      <c r="W516" s="740"/>
      <c r="X516" s="740" t="s">
        <v>313</v>
      </c>
      <c r="Y516" s="740"/>
      <c r="Z516" s="740"/>
      <c r="AA516" s="740"/>
      <c r="AB516" s="423"/>
      <c r="AC516" s="418"/>
      <c r="AD516" s="418"/>
      <c r="AE516" s="418"/>
      <c r="AF516" s="422"/>
      <c r="AG516" s="425"/>
      <c r="AH516" s="417"/>
      <c r="AI516" s="429" t="s">
        <v>242</v>
      </c>
      <c r="AJ516" s="429" t="s">
        <v>242</v>
      </c>
      <c r="AK516" s="428" t="s">
        <v>242</v>
      </c>
      <c r="AL516" s="399" t="s">
        <v>242</v>
      </c>
      <c r="AM516" s="449" t="s">
        <v>244</v>
      </c>
      <c r="AN516" s="412"/>
      <c r="AO516" s="72"/>
      <c r="AP516" s="414"/>
      <c r="AQ516" s="440">
        <v>691539588</v>
      </c>
      <c r="AR516" s="532" t="s">
        <v>5071</v>
      </c>
      <c r="AS516" s="413"/>
      <c r="AT516" s="413"/>
      <c r="AU516" s="412"/>
      <c r="AV516" s="412"/>
      <c r="AW516" s="399"/>
      <c r="AX516" s="72"/>
      <c r="AY516" s="398"/>
      <c r="AZ516" s="400"/>
      <c r="BA516" s="72"/>
      <c r="BB516" s="404"/>
      <c r="BC516" s="404"/>
      <c r="BD516" s="404"/>
      <c r="BE516" s="404"/>
      <c r="BF516" s="404"/>
      <c r="BG516" s="404"/>
      <c r="BH516" s="403"/>
      <c r="BI516" s="403"/>
      <c r="BJ516" s="403"/>
      <c r="BK516" s="402"/>
      <c r="BL516" s="402"/>
      <c r="BM516" s="402"/>
      <c r="BN516" s="401"/>
      <c r="BO516" s="400"/>
      <c r="BP516" s="400"/>
      <c r="BQ516" s="400"/>
      <c r="BR516" s="72"/>
      <c r="BS516" s="411"/>
    </row>
    <row r="517" spans="1:72" ht="15" customHeight="1" x14ac:dyDescent="0.15">
      <c r="A517" s="419" t="s">
        <v>3674</v>
      </c>
      <c r="B517" s="405" t="s">
        <v>1568</v>
      </c>
      <c r="C517" s="405"/>
      <c r="D517" s="405"/>
      <c r="E517" s="405"/>
      <c r="F517" s="451" t="s">
        <v>107</v>
      </c>
      <c r="G517" s="441" t="s">
        <v>3670</v>
      </c>
      <c r="H517" s="442" t="s">
        <v>409</v>
      </c>
      <c r="I517" s="406" t="s">
        <v>3672</v>
      </c>
      <c r="J517" s="407" t="s">
        <v>1715</v>
      </c>
      <c r="K517" s="408"/>
      <c r="L517" s="409">
        <v>212</v>
      </c>
      <c r="M517" s="409"/>
      <c r="N517" s="410" t="str">
        <f t="shared" si="16"/>
        <v>Contact famille</v>
      </c>
      <c r="O517" s="739">
        <v>212</v>
      </c>
      <c r="P517" s="863"/>
      <c r="Q517" s="730" t="str">
        <f t="shared" si="17"/>
        <v>Contact famille</v>
      </c>
      <c r="R517" s="741"/>
      <c r="S517" s="741"/>
      <c r="T517" s="741"/>
      <c r="U517" s="741"/>
      <c r="V517" s="741" t="s">
        <v>313</v>
      </c>
      <c r="W517" s="741"/>
      <c r="X517" s="741"/>
      <c r="Y517" s="741"/>
      <c r="Z517" s="741"/>
      <c r="AA517" s="741"/>
      <c r="AB517" s="423"/>
      <c r="AC517" s="423"/>
      <c r="AD517" s="423"/>
      <c r="AE517" s="423"/>
      <c r="AF517" s="422"/>
      <c r="AG517" s="448"/>
      <c r="AH517" s="431"/>
      <c r="AI517" s="429" t="s">
        <v>242</v>
      </c>
      <c r="AJ517" s="429" t="s">
        <v>242</v>
      </c>
      <c r="AK517" s="428" t="s">
        <v>242</v>
      </c>
      <c r="AL517" s="439" t="s">
        <v>242</v>
      </c>
      <c r="AM517" s="433" t="s">
        <v>244</v>
      </c>
      <c r="AN517" s="434"/>
      <c r="AO517" s="430"/>
      <c r="AP517" s="435"/>
      <c r="AQ517" s="430" t="s">
        <v>3667</v>
      </c>
      <c r="AR517" s="436" t="s">
        <v>3669</v>
      </c>
      <c r="AS517" s="413"/>
      <c r="AT517" s="413"/>
      <c r="AU517" s="400"/>
      <c r="AV517" s="412"/>
      <c r="AW517" s="398"/>
      <c r="AX517" s="72"/>
      <c r="AY517" s="398"/>
      <c r="AZ517" s="400"/>
      <c r="BA517" s="72"/>
      <c r="BB517" s="404"/>
      <c r="BC517" s="404"/>
      <c r="BD517" s="404"/>
      <c r="BE517" s="404"/>
      <c r="BF517" s="404"/>
      <c r="BG517" s="404"/>
      <c r="BH517" s="403"/>
      <c r="BI517" s="403"/>
      <c r="BJ517" s="403"/>
      <c r="BK517" s="402"/>
      <c r="BL517" s="402"/>
      <c r="BM517" s="402"/>
      <c r="BN517" s="401"/>
      <c r="BO517" s="437"/>
      <c r="BP517" s="438"/>
      <c r="BQ517" s="438"/>
      <c r="BR517" s="444"/>
      <c r="BS517" s="445"/>
    </row>
    <row r="518" spans="1:72" ht="15" customHeight="1" x14ac:dyDescent="0.15">
      <c r="A518" s="419" t="s">
        <v>4123</v>
      </c>
      <c r="B518" s="405" t="s">
        <v>4124</v>
      </c>
      <c r="C518" s="405"/>
      <c r="D518" s="405"/>
      <c r="E518" s="405"/>
      <c r="F518" s="447" t="s">
        <v>107</v>
      </c>
      <c r="G518" s="441" t="s">
        <v>4125</v>
      </c>
      <c r="H518" s="442" t="s">
        <v>4128</v>
      </c>
      <c r="I518" s="406" t="s">
        <v>4126</v>
      </c>
      <c r="J518" s="407" t="s">
        <v>926</v>
      </c>
      <c r="K518" s="408"/>
      <c r="L518" s="409">
        <v>212</v>
      </c>
      <c r="M518" s="409"/>
      <c r="N518" s="410" t="str">
        <f t="shared" si="16"/>
        <v>Contact famille</v>
      </c>
      <c r="O518" s="739">
        <v>212</v>
      </c>
      <c r="P518" s="863"/>
      <c r="Q518" s="730" t="str">
        <f t="shared" si="17"/>
        <v>Contact famille</v>
      </c>
      <c r="R518" s="741"/>
      <c r="S518" s="741"/>
      <c r="T518" s="741"/>
      <c r="U518" s="741"/>
      <c r="V518" s="741"/>
      <c r="W518" s="741" t="s">
        <v>313</v>
      </c>
      <c r="X518" s="741" t="s">
        <v>313</v>
      </c>
      <c r="Y518" s="741"/>
      <c r="Z518" s="741"/>
      <c r="AA518" s="741"/>
      <c r="AB518" s="423"/>
      <c r="AC518" s="423"/>
      <c r="AD518" s="423"/>
      <c r="AE518" s="423"/>
      <c r="AF518" s="422"/>
      <c r="AG518" s="448"/>
      <c r="AH518" s="431"/>
      <c r="AI518" s="429" t="s">
        <v>242</v>
      </c>
      <c r="AJ518" s="429" t="s">
        <v>242</v>
      </c>
      <c r="AK518" s="428" t="s">
        <v>242</v>
      </c>
      <c r="AL518" s="399" t="s">
        <v>242</v>
      </c>
      <c r="AM518" s="449" t="s">
        <v>244</v>
      </c>
      <c r="AN518" s="434"/>
      <c r="AO518" s="430"/>
      <c r="AP518" s="435"/>
      <c r="AQ518" s="430"/>
      <c r="AR518" s="450"/>
      <c r="AS518" s="413"/>
      <c r="AT518" s="413"/>
      <c r="AU518" s="400"/>
      <c r="AV518" s="412"/>
      <c r="AW518" s="398"/>
      <c r="AX518" s="72"/>
      <c r="AY518" s="398"/>
      <c r="AZ518" s="400"/>
      <c r="BA518" s="72"/>
      <c r="BB518" s="404"/>
      <c r="BC518" s="404"/>
      <c r="BD518" s="404"/>
      <c r="BE518" s="404"/>
      <c r="BF518" s="404"/>
      <c r="BG518" s="404"/>
      <c r="BH518" s="403"/>
      <c r="BI518" s="403"/>
      <c r="BJ518" s="403"/>
      <c r="BK518" s="402"/>
      <c r="BL518" s="402"/>
      <c r="BM518" s="402"/>
      <c r="BN518" s="401"/>
      <c r="BO518" s="437"/>
      <c r="BP518" s="438"/>
      <c r="BQ518" s="438"/>
      <c r="BR518" s="444"/>
      <c r="BS518" s="445"/>
    </row>
    <row r="519" spans="1:72" ht="15" customHeight="1" x14ac:dyDescent="0.15">
      <c r="A519" s="419" t="s">
        <v>2662</v>
      </c>
      <c r="B519" s="405" t="s">
        <v>197</v>
      </c>
      <c r="C519" s="405"/>
      <c r="D519" s="405"/>
      <c r="E519" s="405"/>
      <c r="F519" s="451" t="s">
        <v>107</v>
      </c>
      <c r="G519" s="441" t="s">
        <v>3853</v>
      </c>
      <c r="H519" s="442" t="s">
        <v>1496</v>
      </c>
      <c r="I519" s="406" t="s">
        <v>1497</v>
      </c>
      <c r="J519" s="407" t="s">
        <v>2276</v>
      </c>
      <c r="K519" s="408"/>
      <c r="L519" s="409">
        <v>212</v>
      </c>
      <c r="M519" s="409"/>
      <c r="N519" s="410" t="str">
        <f t="shared" si="16"/>
        <v>Contact famille</v>
      </c>
      <c r="O519" s="739">
        <v>212</v>
      </c>
      <c r="P519" s="863"/>
      <c r="Q519" s="730" t="str">
        <f t="shared" si="17"/>
        <v>Contact famille</v>
      </c>
      <c r="R519" s="741"/>
      <c r="S519" s="741" t="s">
        <v>313</v>
      </c>
      <c r="T519" s="741"/>
      <c r="U519" s="741"/>
      <c r="V519" s="741"/>
      <c r="W519" s="741"/>
      <c r="X519" s="741"/>
      <c r="Y519" s="741"/>
      <c r="Z519" s="741"/>
      <c r="AA519" s="741"/>
      <c r="AB519" s="423"/>
      <c r="AC519" s="423"/>
      <c r="AD519" s="423"/>
      <c r="AE519" s="423"/>
      <c r="AF519" s="422"/>
      <c r="AG519" s="448"/>
      <c r="AH519" s="431"/>
      <c r="AI519" s="429" t="s">
        <v>242</v>
      </c>
      <c r="AJ519" s="429" t="s">
        <v>242</v>
      </c>
      <c r="AK519" s="470" t="s">
        <v>242</v>
      </c>
      <c r="AL519" s="439" t="s">
        <v>242</v>
      </c>
      <c r="AM519" s="433" t="s">
        <v>244</v>
      </c>
      <c r="AN519" s="434"/>
      <c r="AO519" s="430" t="s">
        <v>3856</v>
      </c>
      <c r="AP519" s="435"/>
      <c r="AQ519" s="440"/>
      <c r="AR519" s="436" t="s">
        <v>3855</v>
      </c>
      <c r="AS519" s="413"/>
      <c r="AT519" s="413"/>
      <c r="AU519" s="400"/>
      <c r="AV519" s="412"/>
      <c r="AW519" s="398"/>
      <c r="AX519" s="72"/>
      <c r="AY519" s="398"/>
      <c r="AZ519" s="400"/>
      <c r="BA519" s="72"/>
      <c r="BB519" s="404"/>
      <c r="BC519" s="404"/>
      <c r="BD519" s="404"/>
      <c r="BE519" s="404"/>
      <c r="BF519" s="404"/>
      <c r="BG519" s="404"/>
      <c r="BH519" s="403"/>
      <c r="BI519" s="403"/>
      <c r="BJ519" s="403"/>
      <c r="BK519" s="402"/>
      <c r="BL519" s="402"/>
      <c r="BM519" s="402"/>
      <c r="BN519" s="401"/>
      <c r="BO519" s="437"/>
      <c r="BP519" s="438"/>
      <c r="BQ519" s="438"/>
      <c r="BR519" s="444"/>
      <c r="BS519" s="445"/>
    </row>
    <row r="520" spans="1:72" ht="15" customHeight="1" x14ac:dyDescent="0.15">
      <c r="A520" s="419" t="s">
        <v>2662</v>
      </c>
      <c r="B520" s="570"/>
      <c r="C520" s="570"/>
      <c r="D520" s="405"/>
      <c r="E520" s="405"/>
      <c r="F520" s="447" t="s">
        <v>107</v>
      </c>
      <c r="G520" s="421" t="s">
        <v>5311</v>
      </c>
      <c r="H520" s="442" t="s">
        <v>5312</v>
      </c>
      <c r="I520" s="406" t="s">
        <v>962</v>
      </c>
      <c r="J520" s="407" t="s">
        <v>5305</v>
      </c>
      <c r="K520" s="408"/>
      <c r="L520" s="409">
        <v>212</v>
      </c>
      <c r="M520" s="409"/>
      <c r="N520" s="410" t="str">
        <f t="shared" si="16"/>
        <v>Contact famille</v>
      </c>
      <c r="O520" s="739">
        <v>212</v>
      </c>
      <c r="P520" s="863"/>
      <c r="Q520" s="730" t="str">
        <f t="shared" si="17"/>
        <v>Contact famille</v>
      </c>
      <c r="R520" s="740"/>
      <c r="S520" s="740"/>
      <c r="T520" s="740"/>
      <c r="U520" s="740"/>
      <c r="V520" s="740"/>
      <c r="W520" s="740"/>
      <c r="X520" s="740" t="s">
        <v>313</v>
      </c>
      <c r="Y520" s="740"/>
      <c r="Z520" s="740"/>
      <c r="AA520" s="740"/>
      <c r="AB520" s="423"/>
      <c r="AC520" s="418"/>
      <c r="AD520" s="418"/>
      <c r="AE520" s="418"/>
      <c r="AF520" s="422"/>
      <c r="AG520" s="425"/>
      <c r="AH520" s="417"/>
      <c r="AI520" s="429" t="s">
        <v>242</v>
      </c>
      <c r="AJ520" s="429" t="s">
        <v>242</v>
      </c>
      <c r="AK520" s="428" t="s">
        <v>242</v>
      </c>
      <c r="AL520" s="439" t="s">
        <v>242</v>
      </c>
      <c r="AM520" s="433" t="s">
        <v>244</v>
      </c>
      <c r="AN520" s="412"/>
      <c r="AO520" s="72"/>
      <c r="AP520" s="414"/>
      <c r="AQ520" s="673"/>
      <c r="AR520" s="400"/>
      <c r="AS520" s="413"/>
      <c r="AT520" s="413"/>
      <c r="AU520" s="412"/>
      <c r="AV520" s="412"/>
      <c r="AW520" s="399"/>
      <c r="AX520" s="72"/>
      <c r="AY520" s="398"/>
      <c r="AZ520" s="400"/>
      <c r="BA520" s="72"/>
      <c r="BB520" s="404"/>
      <c r="BC520" s="404"/>
      <c r="BD520" s="404"/>
      <c r="BE520" s="404"/>
      <c r="BF520" s="404"/>
      <c r="BG520" s="404"/>
      <c r="BH520" s="403"/>
      <c r="BI520" s="403"/>
      <c r="BJ520" s="403"/>
      <c r="BK520" s="402"/>
      <c r="BL520" s="402"/>
      <c r="BM520" s="402"/>
      <c r="BN520" s="401"/>
      <c r="BO520" s="400"/>
      <c r="BP520" s="400"/>
      <c r="BQ520" s="400"/>
      <c r="BR520" s="72"/>
      <c r="BS520" s="411"/>
    </row>
    <row r="521" spans="1:72" ht="15" customHeight="1" x14ac:dyDescent="0.15">
      <c r="A521" s="419" t="s">
        <v>2662</v>
      </c>
      <c r="B521" s="405" t="s">
        <v>5309</v>
      </c>
      <c r="C521" s="405"/>
      <c r="D521" s="405"/>
      <c r="E521" s="405"/>
      <c r="F521" s="447" t="s">
        <v>107</v>
      </c>
      <c r="G521" s="421" t="s">
        <v>5311</v>
      </c>
      <c r="H521" s="442" t="s">
        <v>5312</v>
      </c>
      <c r="I521" s="406" t="s">
        <v>962</v>
      </c>
      <c r="J521" s="407" t="s">
        <v>5305</v>
      </c>
      <c r="K521" s="408"/>
      <c r="L521" s="409">
        <v>21</v>
      </c>
      <c r="M521" s="409"/>
      <c r="N521" s="410" t="str">
        <f t="shared" si="16"/>
        <v>U7 Mixte</v>
      </c>
      <c r="O521" s="739">
        <v>21</v>
      </c>
      <c r="P521" s="863"/>
      <c r="Q521" s="730" t="str">
        <f t="shared" si="17"/>
        <v>U7 Mixte</v>
      </c>
      <c r="R521" s="740"/>
      <c r="S521" s="740"/>
      <c r="T521" s="740"/>
      <c r="U521" s="740"/>
      <c r="V521" s="740"/>
      <c r="W521" s="740"/>
      <c r="X521" s="740" t="s">
        <v>192</v>
      </c>
      <c r="Y521" s="740"/>
      <c r="Z521" s="740"/>
      <c r="AA521" s="740"/>
      <c r="AB521" s="568" t="s">
        <v>2805</v>
      </c>
      <c r="AC521" s="418"/>
      <c r="AD521" s="418"/>
      <c r="AE521" s="418"/>
      <c r="AF521" s="422"/>
      <c r="AG521" s="580" t="s">
        <v>5255</v>
      </c>
      <c r="AH521" s="417"/>
      <c r="AI521" s="569"/>
      <c r="AJ521" s="429">
        <v>45940</v>
      </c>
      <c r="AK521" s="428">
        <v>2029</v>
      </c>
      <c r="AL521" s="439">
        <v>44634</v>
      </c>
      <c r="AM521" s="416" t="s">
        <v>5314</v>
      </c>
      <c r="AN521" s="412"/>
      <c r="AO521" s="72"/>
      <c r="AP521" s="671"/>
      <c r="AQ521" s="673"/>
      <c r="AR521" s="532" t="s">
        <v>5315</v>
      </c>
      <c r="AS521" s="413" t="s">
        <v>252</v>
      </c>
      <c r="AT521" s="413"/>
      <c r="AU521" s="412"/>
      <c r="AV521" s="412"/>
      <c r="AW521" s="399"/>
      <c r="AX521" s="72"/>
      <c r="AY521" s="398"/>
      <c r="AZ521" s="400"/>
      <c r="BA521" s="72"/>
      <c r="BB521" s="404"/>
      <c r="BC521" s="404"/>
      <c r="BD521" s="404"/>
      <c r="BE521" s="404"/>
      <c r="BF521" s="404"/>
      <c r="BG521" s="404"/>
      <c r="BH521" s="403"/>
      <c r="BI521" s="403"/>
      <c r="BJ521" s="403"/>
      <c r="BK521" s="402"/>
      <c r="BL521" s="402"/>
      <c r="BM521" s="402"/>
      <c r="BN521" s="401"/>
      <c r="BO521" s="400"/>
      <c r="BP521" s="400"/>
      <c r="BQ521" s="400"/>
      <c r="BR521" s="72"/>
      <c r="BS521" s="411"/>
    </row>
    <row r="522" spans="1:72" ht="15" customHeight="1" x14ac:dyDescent="0.15">
      <c r="A522" s="419" t="s">
        <v>2662</v>
      </c>
      <c r="B522" s="405" t="s">
        <v>415</v>
      </c>
      <c r="C522" s="405"/>
      <c r="D522" s="405"/>
      <c r="E522" s="405"/>
      <c r="F522" s="447" t="s">
        <v>107</v>
      </c>
      <c r="G522" s="441" t="s">
        <v>4356</v>
      </c>
      <c r="H522" s="442" t="s">
        <v>240</v>
      </c>
      <c r="I522" s="406" t="s">
        <v>223</v>
      </c>
      <c r="J522" s="407" t="s">
        <v>320</v>
      </c>
      <c r="K522" s="408"/>
      <c r="L522" s="409">
        <v>9</v>
      </c>
      <c r="M522" s="409"/>
      <c r="N522" s="410" t="str">
        <f t="shared" si="16"/>
        <v>Vétérans - Hommes</v>
      </c>
      <c r="O522" s="739">
        <v>9</v>
      </c>
      <c r="P522" s="863"/>
      <c r="Q522" s="730" t="str">
        <f t="shared" si="17"/>
        <v>Vétérans - Hommes</v>
      </c>
      <c r="R522" s="741"/>
      <c r="S522" s="741"/>
      <c r="T522" s="741"/>
      <c r="U522" s="741"/>
      <c r="V522" s="741"/>
      <c r="W522" s="741"/>
      <c r="X522" s="741"/>
      <c r="Y522" s="741"/>
      <c r="Z522" s="741"/>
      <c r="AA522" s="741"/>
      <c r="AB522" s="423" t="s">
        <v>3081</v>
      </c>
      <c r="AC522" s="423"/>
      <c r="AD522" s="423"/>
      <c r="AE522" s="423"/>
      <c r="AF522" s="422"/>
      <c r="AG522" s="448"/>
      <c r="AH522" s="431"/>
      <c r="AI522" s="429">
        <v>45050</v>
      </c>
      <c r="AJ522" s="429">
        <v>45041</v>
      </c>
      <c r="AK522" s="413">
        <v>2029</v>
      </c>
      <c r="AL522" s="439">
        <v>30867</v>
      </c>
      <c r="AM522" s="433" t="s">
        <v>4357</v>
      </c>
      <c r="AN522" s="434"/>
      <c r="AO522" s="430"/>
      <c r="AP522" s="435" t="s">
        <v>252</v>
      </c>
      <c r="AQ522" s="440">
        <v>661802747</v>
      </c>
      <c r="AR522" s="436" t="s">
        <v>2664</v>
      </c>
      <c r="AS522" s="413"/>
      <c r="AT522" s="413"/>
      <c r="AU522" s="400"/>
      <c r="AV522" s="412"/>
      <c r="AW522" s="398"/>
      <c r="AX522" s="72"/>
      <c r="AY522" s="398"/>
      <c r="AZ522" s="400"/>
      <c r="BA522" s="72"/>
      <c r="BB522" s="404"/>
      <c r="BC522" s="404"/>
      <c r="BD522" s="404"/>
      <c r="BE522" s="404"/>
      <c r="BF522" s="404"/>
      <c r="BG522" s="404"/>
      <c r="BH522" s="403"/>
      <c r="BI522" s="403"/>
      <c r="BJ522" s="403"/>
      <c r="BK522" s="402"/>
      <c r="BL522" s="402"/>
      <c r="BM522" s="402"/>
      <c r="BN522" s="401"/>
      <c r="BO522" s="437"/>
      <c r="BP522" s="438"/>
      <c r="BQ522" s="438"/>
      <c r="BR522" s="444"/>
      <c r="BS522" s="445"/>
    </row>
    <row r="523" spans="1:72" ht="15" customHeight="1" x14ac:dyDescent="0.15">
      <c r="A523" s="419" t="s">
        <v>2662</v>
      </c>
      <c r="B523" s="405" t="s">
        <v>2268</v>
      </c>
      <c r="C523" s="405"/>
      <c r="D523" s="405"/>
      <c r="E523" s="405"/>
      <c r="F523" s="451" t="s">
        <v>107</v>
      </c>
      <c r="G523" s="441" t="s">
        <v>3853</v>
      </c>
      <c r="H523" s="442" t="s">
        <v>1496</v>
      </c>
      <c r="I523" s="406" t="s">
        <v>1497</v>
      </c>
      <c r="J523" s="407" t="s">
        <v>2276</v>
      </c>
      <c r="K523" s="408"/>
      <c r="L523" s="409">
        <v>4</v>
      </c>
      <c r="M523" s="409"/>
      <c r="N523" s="410" t="str">
        <f t="shared" si="16"/>
        <v>U 17 Hommes</v>
      </c>
      <c r="O523" s="739">
        <v>4</v>
      </c>
      <c r="P523" s="863"/>
      <c r="Q523" s="730" t="str">
        <f t="shared" si="17"/>
        <v>U 17 Hommes</v>
      </c>
      <c r="R523" s="741"/>
      <c r="S523" s="741" t="s">
        <v>192</v>
      </c>
      <c r="T523" s="741"/>
      <c r="U523" s="741"/>
      <c r="V523" s="741"/>
      <c r="W523" s="741"/>
      <c r="X523" s="741"/>
      <c r="Y523" s="741"/>
      <c r="Z523" s="741"/>
      <c r="AA523" s="741"/>
      <c r="AB523" s="423" t="s">
        <v>3859</v>
      </c>
      <c r="AC523" s="423"/>
      <c r="AD523" s="423"/>
      <c r="AE523" s="423"/>
      <c r="AF523" s="422"/>
      <c r="AG523" s="448" t="s">
        <v>5513</v>
      </c>
      <c r="AH523" s="431"/>
      <c r="AI523" s="429">
        <v>44484</v>
      </c>
      <c r="AJ523" s="429">
        <v>44481</v>
      </c>
      <c r="AK523" s="428">
        <v>2026</v>
      </c>
      <c r="AL523" s="439">
        <v>40592</v>
      </c>
      <c r="AM523" s="433" t="s">
        <v>3854</v>
      </c>
      <c r="AN523" s="434"/>
      <c r="AO523" s="430" t="s">
        <v>3856</v>
      </c>
      <c r="AP523" s="435" t="s">
        <v>252</v>
      </c>
      <c r="AQ523" s="528" t="s">
        <v>4150</v>
      </c>
      <c r="AR523" s="436" t="s">
        <v>3855</v>
      </c>
      <c r="AS523" s="413"/>
      <c r="AT523" s="413"/>
      <c r="AU523" s="400"/>
      <c r="AV523" s="412"/>
      <c r="AW523" s="398"/>
      <c r="AX523" s="72"/>
      <c r="AY523" s="398"/>
      <c r="AZ523" s="400"/>
      <c r="BA523" s="72"/>
      <c r="BB523" s="404"/>
      <c r="BC523" s="404"/>
      <c r="BD523" s="404"/>
      <c r="BE523" s="404"/>
      <c r="BF523" s="404"/>
      <c r="BG523" s="404"/>
      <c r="BH523" s="403"/>
      <c r="BI523" s="403"/>
      <c r="BJ523" s="403"/>
      <c r="BK523" s="402"/>
      <c r="BL523" s="402"/>
      <c r="BM523" s="402"/>
      <c r="BN523" s="401"/>
      <c r="BO523" s="437"/>
      <c r="BP523" s="438"/>
      <c r="BQ523" s="438"/>
      <c r="BR523" s="444"/>
      <c r="BS523" s="445"/>
    </row>
    <row r="524" spans="1:72" ht="15" customHeight="1" x14ac:dyDescent="0.15">
      <c r="A524" s="419" t="s">
        <v>5290</v>
      </c>
      <c r="B524" s="405" t="s">
        <v>5293</v>
      </c>
      <c r="C524" s="405"/>
      <c r="D524" s="405"/>
      <c r="E524" s="405"/>
      <c r="F524" s="447" t="s">
        <v>107</v>
      </c>
      <c r="G524" s="421" t="s">
        <v>5294</v>
      </c>
      <c r="H524" s="442" t="s">
        <v>256</v>
      </c>
      <c r="I524" s="406" t="s">
        <v>257</v>
      </c>
      <c r="J524" s="407" t="s">
        <v>2854</v>
      </c>
      <c r="K524" s="408"/>
      <c r="L524" s="409">
        <v>212</v>
      </c>
      <c r="M524" s="409"/>
      <c r="N524" s="410" t="str">
        <f t="shared" si="16"/>
        <v>Contact famille</v>
      </c>
      <c r="O524" s="739">
        <v>212</v>
      </c>
      <c r="P524" s="863"/>
      <c r="Q524" s="730" t="str">
        <f t="shared" si="17"/>
        <v>Contact famille</v>
      </c>
      <c r="R524" s="740"/>
      <c r="S524" s="740"/>
      <c r="T524" s="740"/>
      <c r="U524" s="740"/>
      <c r="V524" s="740" t="s">
        <v>313</v>
      </c>
      <c r="W524" s="740"/>
      <c r="X524" s="740"/>
      <c r="Y524" s="740"/>
      <c r="Z524" s="740"/>
      <c r="AA524" s="740"/>
      <c r="AB524" s="423"/>
      <c r="AC524" s="418"/>
      <c r="AD524" s="418"/>
      <c r="AE524" s="418"/>
      <c r="AF524" s="422"/>
      <c r="AG524" s="425"/>
      <c r="AH524" s="417"/>
      <c r="AI524" s="429" t="s">
        <v>242</v>
      </c>
      <c r="AJ524" s="429" t="s">
        <v>242</v>
      </c>
      <c r="AK524" s="428" t="s">
        <v>242</v>
      </c>
      <c r="AL524" s="439" t="s">
        <v>242</v>
      </c>
      <c r="AM524" s="433" t="s">
        <v>244</v>
      </c>
      <c r="AN524" s="412"/>
      <c r="AO524" s="72"/>
      <c r="AP524" s="414"/>
      <c r="AQ524" s="440">
        <v>691162668</v>
      </c>
      <c r="AR524" s="532" t="s">
        <v>5298</v>
      </c>
      <c r="AS524" s="413"/>
      <c r="AT524" s="413"/>
      <c r="AU524" s="412"/>
      <c r="AV524" s="412"/>
      <c r="AW524" s="399"/>
      <c r="AX524" s="72"/>
      <c r="AY524" s="398"/>
      <c r="AZ524" s="400"/>
      <c r="BA524" s="72"/>
      <c r="BB524" s="404"/>
      <c r="BC524" s="404"/>
      <c r="BD524" s="404"/>
      <c r="BE524" s="404"/>
      <c r="BF524" s="404"/>
      <c r="BG524" s="404"/>
      <c r="BH524" s="403"/>
      <c r="BI524" s="403"/>
      <c r="BJ524" s="403"/>
      <c r="BK524" s="402"/>
      <c r="BL524" s="402"/>
      <c r="BM524" s="402"/>
      <c r="BN524" s="401"/>
      <c r="BO524" s="400"/>
      <c r="BP524" s="400"/>
      <c r="BQ524" s="400"/>
      <c r="BR524" s="72"/>
      <c r="BS524" s="411"/>
    </row>
    <row r="525" spans="1:72" ht="15" customHeight="1" x14ac:dyDescent="0.15">
      <c r="A525" s="419" t="s">
        <v>5290</v>
      </c>
      <c r="B525" s="405" t="s">
        <v>5292</v>
      </c>
      <c r="C525" s="405"/>
      <c r="D525" s="405"/>
      <c r="E525" s="405"/>
      <c r="F525" s="447" t="s">
        <v>107</v>
      </c>
      <c r="G525" s="421" t="s">
        <v>5294</v>
      </c>
      <c r="H525" s="442" t="s">
        <v>256</v>
      </c>
      <c r="I525" s="406" t="s">
        <v>257</v>
      </c>
      <c r="J525" s="407" t="s">
        <v>2854</v>
      </c>
      <c r="K525" s="408"/>
      <c r="L525" s="409">
        <v>212</v>
      </c>
      <c r="M525" s="409"/>
      <c r="N525" s="410" t="str">
        <f t="shared" si="16"/>
        <v>Contact famille</v>
      </c>
      <c r="O525" s="739">
        <v>212</v>
      </c>
      <c r="P525" s="863"/>
      <c r="Q525" s="730" t="str">
        <f t="shared" si="17"/>
        <v>Contact famille</v>
      </c>
      <c r="R525" s="740"/>
      <c r="S525" s="740"/>
      <c r="T525" s="740"/>
      <c r="U525" s="740"/>
      <c r="V525" s="740" t="s">
        <v>313</v>
      </c>
      <c r="W525" s="740"/>
      <c r="X525" s="740"/>
      <c r="Y525" s="740"/>
      <c r="Z525" s="740"/>
      <c r="AA525" s="740"/>
      <c r="AB525" s="423"/>
      <c r="AC525" s="418"/>
      <c r="AD525" s="418"/>
      <c r="AE525" s="418"/>
      <c r="AF525" s="422"/>
      <c r="AG525" s="425"/>
      <c r="AH525" s="417"/>
      <c r="AI525" s="429" t="s">
        <v>242</v>
      </c>
      <c r="AJ525" s="429" t="s">
        <v>242</v>
      </c>
      <c r="AK525" s="428" t="s">
        <v>242</v>
      </c>
      <c r="AL525" s="399" t="s">
        <v>242</v>
      </c>
      <c r="AM525" s="449" t="s">
        <v>244</v>
      </c>
      <c r="AN525" s="412"/>
      <c r="AO525" s="72"/>
      <c r="AP525" s="414"/>
      <c r="AQ525" s="440">
        <v>691162398</v>
      </c>
      <c r="AR525" s="532" t="s">
        <v>5298</v>
      </c>
      <c r="AS525" s="413"/>
      <c r="AT525" s="413"/>
      <c r="AU525" s="412"/>
      <c r="AV525" s="412"/>
      <c r="AW525" s="399"/>
      <c r="AX525" s="72"/>
      <c r="AY525" s="398"/>
      <c r="AZ525" s="400"/>
      <c r="BA525" s="72"/>
      <c r="BB525" s="404"/>
      <c r="BC525" s="404"/>
      <c r="BD525" s="404"/>
      <c r="BE525" s="404"/>
      <c r="BF525" s="404"/>
      <c r="BG525" s="404"/>
      <c r="BH525" s="403"/>
      <c r="BI525" s="403"/>
      <c r="BJ525" s="403"/>
      <c r="BK525" s="402"/>
      <c r="BL525" s="402"/>
      <c r="BM525" s="402"/>
      <c r="BN525" s="401"/>
      <c r="BO525" s="400"/>
      <c r="BP525" s="400"/>
      <c r="BQ525" s="400"/>
      <c r="BR525" s="72"/>
      <c r="BS525" s="411"/>
    </row>
    <row r="526" spans="1:72" ht="15" customHeight="1" x14ac:dyDescent="0.15">
      <c r="A526" s="419" t="s">
        <v>5290</v>
      </c>
      <c r="B526" s="405" t="s">
        <v>5291</v>
      </c>
      <c r="C526" s="405"/>
      <c r="D526" s="405"/>
      <c r="E526" s="405"/>
      <c r="F526" s="447" t="s">
        <v>107</v>
      </c>
      <c r="G526" s="421" t="s">
        <v>5294</v>
      </c>
      <c r="H526" s="442" t="s">
        <v>256</v>
      </c>
      <c r="I526" s="406" t="s">
        <v>257</v>
      </c>
      <c r="J526" s="407" t="s">
        <v>2854</v>
      </c>
      <c r="K526" s="408"/>
      <c r="L526" s="409">
        <v>17</v>
      </c>
      <c r="M526" s="409"/>
      <c r="N526" s="410" t="str">
        <f t="shared" si="16"/>
        <v>U 11 Dames</v>
      </c>
      <c r="O526" s="739">
        <v>17</v>
      </c>
      <c r="P526" s="863"/>
      <c r="Q526" s="730" t="str">
        <f t="shared" si="17"/>
        <v>U 11 Dames</v>
      </c>
      <c r="R526" s="740"/>
      <c r="S526" s="740"/>
      <c r="T526" s="740"/>
      <c r="U526" s="740"/>
      <c r="V526" s="740" t="s">
        <v>192</v>
      </c>
      <c r="W526" s="740"/>
      <c r="X526" s="740"/>
      <c r="Y526" s="740"/>
      <c r="Z526" s="740"/>
      <c r="AA526" s="740"/>
      <c r="AB526" s="423" t="s">
        <v>5302</v>
      </c>
      <c r="AC526" s="418"/>
      <c r="AD526" s="418" t="s">
        <v>252</v>
      </c>
      <c r="AE526" s="418"/>
      <c r="AF526" s="422"/>
      <c r="AG526" s="425" t="s">
        <v>5173</v>
      </c>
      <c r="AH526" s="417"/>
      <c r="AI526" s="429">
        <v>45937</v>
      </c>
      <c r="AJ526" s="429">
        <v>45932</v>
      </c>
      <c r="AK526" s="428">
        <v>2028</v>
      </c>
      <c r="AL526" s="439">
        <v>42520</v>
      </c>
      <c r="AM526" s="416" t="s">
        <v>5295</v>
      </c>
      <c r="AN526" s="412"/>
      <c r="AO526" s="72"/>
      <c r="AP526" s="430" t="s">
        <v>5296</v>
      </c>
      <c r="AQ526" s="430" t="s">
        <v>5297</v>
      </c>
      <c r="AR526" s="532" t="s">
        <v>5298</v>
      </c>
      <c r="AS526" s="413"/>
      <c r="AT526" s="413"/>
      <c r="AU526" s="412"/>
      <c r="AV526" s="412"/>
      <c r="AW526" s="399"/>
      <c r="AX526" s="72"/>
      <c r="AY526" s="398"/>
      <c r="AZ526" s="400"/>
      <c r="BA526" s="72"/>
      <c r="BB526" s="404"/>
      <c r="BC526" s="404"/>
      <c r="BD526" s="404"/>
      <c r="BE526" s="404"/>
      <c r="BF526" s="404"/>
      <c r="BG526" s="404"/>
      <c r="BH526" s="403"/>
      <c r="BI526" s="403"/>
      <c r="BJ526" s="403"/>
      <c r="BK526" s="402"/>
      <c r="BL526" s="402"/>
      <c r="BM526" s="402"/>
      <c r="BN526" s="401"/>
      <c r="BO526" s="400"/>
      <c r="BP526" s="400"/>
      <c r="BQ526" s="400"/>
      <c r="BR526" s="72"/>
      <c r="BS526" s="411"/>
    </row>
    <row r="527" spans="1:72" ht="15" customHeight="1" x14ac:dyDescent="0.15">
      <c r="A527" s="419" t="s">
        <v>2665</v>
      </c>
      <c r="B527" s="405" t="s">
        <v>2666</v>
      </c>
      <c r="C527" s="405"/>
      <c r="D527" s="405"/>
      <c r="E527" s="405"/>
      <c r="F527" s="451" t="s">
        <v>107</v>
      </c>
      <c r="G527" s="441" t="s">
        <v>2233</v>
      </c>
      <c r="H527" s="442" t="s">
        <v>2234</v>
      </c>
      <c r="I527" s="406" t="s">
        <v>800</v>
      </c>
      <c r="J527" s="407" t="s">
        <v>2235</v>
      </c>
      <c r="K527" s="408"/>
      <c r="L527" s="409">
        <v>212</v>
      </c>
      <c r="M527" s="409"/>
      <c r="N527" s="410" t="str">
        <f t="shared" si="16"/>
        <v>Contact famille</v>
      </c>
      <c r="O527" s="739">
        <v>212</v>
      </c>
      <c r="P527" s="863"/>
      <c r="Q527" s="730" t="str">
        <f t="shared" si="17"/>
        <v>Contact famille</v>
      </c>
      <c r="R527" s="741"/>
      <c r="S527" s="741"/>
      <c r="T527" s="741"/>
      <c r="U527" s="741"/>
      <c r="V527" s="741"/>
      <c r="W527" s="741"/>
      <c r="X527" s="741"/>
      <c r="Y527" s="741"/>
      <c r="Z527" s="741"/>
      <c r="AA527" s="741"/>
      <c r="AB527" s="423"/>
      <c r="AC527" s="423"/>
      <c r="AD527" s="423"/>
      <c r="AE527" s="423"/>
      <c r="AF527" s="422"/>
      <c r="AG527" s="448"/>
      <c r="AH527" s="431"/>
      <c r="AI527" s="429" t="s">
        <v>242</v>
      </c>
      <c r="AJ527" s="429">
        <v>43516</v>
      </c>
      <c r="AK527" s="428" t="s">
        <v>242</v>
      </c>
      <c r="AL527" s="399" t="s">
        <v>242</v>
      </c>
      <c r="AM527" s="433" t="s">
        <v>244</v>
      </c>
      <c r="AN527" s="437"/>
      <c r="AO527" s="430"/>
      <c r="AP527" s="435"/>
      <c r="AQ527" s="430" t="s">
        <v>2667</v>
      </c>
      <c r="AR527" s="450" t="s">
        <v>2668</v>
      </c>
      <c r="AS527" s="413"/>
      <c r="AT527" s="413"/>
      <c r="AU527" s="400"/>
      <c r="AV527" s="412"/>
      <c r="AW527" s="398"/>
      <c r="AX527" s="72"/>
      <c r="AY527" s="398"/>
      <c r="AZ527" s="400" t="s">
        <v>209</v>
      </c>
      <c r="BA527" s="72"/>
      <c r="BB527" s="404" t="s">
        <v>2813</v>
      </c>
      <c r="BC527" s="404" t="s">
        <v>292</v>
      </c>
      <c r="BD527" s="404"/>
      <c r="BE527" s="404" t="s">
        <v>988</v>
      </c>
      <c r="BF527" s="404"/>
      <c r="BG527" s="404"/>
      <c r="BH527" s="403"/>
      <c r="BI527" s="403"/>
      <c r="BJ527" s="403"/>
      <c r="BK527" s="402"/>
      <c r="BL527" s="402"/>
      <c r="BM527" s="402"/>
      <c r="BN527" s="401"/>
      <c r="BO527" s="437"/>
      <c r="BP527" s="438"/>
      <c r="BQ527" s="438"/>
      <c r="BR527" s="444"/>
      <c r="BS527" s="445"/>
    </row>
    <row r="528" spans="1:72" ht="15" customHeight="1" x14ac:dyDescent="0.15">
      <c r="A528" s="419" t="s">
        <v>4386</v>
      </c>
      <c r="B528" s="405" t="s">
        <v>5365</v>
      </c>
      <c r="C528" s="405"/>
      <c r="D528" s="405"/>
      <c r="E528" s="405"/>
      <c r="F528" s="447" t="s">
        <v>107</v>
      </c>
      <c r="G528" s="421" t="s">
        <v>5366</v>
      </c>
      <c r="H528" s="442" t="s">
        <v>5367</v>
      </c>
      <c r="I528" s="406" t="s">
        <v>241</v>
      </c>
      <c r="J528" s="407" t="s">
        <v>5368</v>
      </c>
      <c r="K528" s="408"/>
      <c r="L528" s="409">
        <v>212</v>
      </c>
      <c r="M528" s="409"/>
      <c r="N528" s="410" t="str">
        <f t="shared" si="16"/>
        <v>Contact famille</v>
      </c>
      <c r="O528" s="739">
        <v>212</v>
      </c>
      <c r="P528" s="863"/>
      <c r="Q528" s="730" t="str">
        <f t="shared" si="17"/>
        <v>Contact famille</v>
      </c>
      <c r="R528" s="740"/>
      <c r="S528" s="740"/>
      <c r="T528" s="740"/>
      <c r="U528" s="740"/>
      <c r="V528" s="740"/>
      <c r="W528" s="740"/>
      <c r="X528" s="740" t="s">
        <v>313</v>
      </c>
      <c r="Y528" s="740"/>
      <c r="Z528" s="740"/>
      <c r="AA528" s="740"/>
      <c r="AB528" s="423"/>
      <c r="AC528" s="418"/>
      <c r="AD528" s="418"/>
      <c r="AE528" s="418"/>
      <c r="AF528" s="422"/>
      <c r="AG528" s="425"/>
      <c r="AH528" s="417"/>
      <c r="AI528" s="429" t="s">
        <v>242</v>
      </c>
      <c r="AJ528" s="429" t="s">
        <v>242</v>
      </c>
      <c r="AK528" s="428" t="s">
        <v>242</v>
      </c>
      <c r="AL528" s="439" t="s">
        <v>242</v>
      </c>
      <c r="AM528" s="433" t="s">
        <v>244</v>
      </c>
      <c r="AN528" s="412"/>
      <c r="AO528" s="72"/>
      <c r="AP528" s="414"/>
      <c r="AQ528" s="440">
        <v>691543921</v>
      </c>
      <c r="AR528" s="532" t="s">
        <v>5374</v>
      </c>
      <c r="AS528" s="413"/>
      <c r="AT528" s="413"/>
      <c r="AU528" s="412"/>
      <c r="AV528" s="412"/>
      <c r="AW528" s="399"/>
      <c r="AX528" s="72"/>
      <c r="AY528" s="398"/>
      <c r="AZ528" s="400"/>
      <c r="BA528" s="72"/>
      <c r="BB528" s="404"/>
      <c r="BC528" s="404"/>
      <c r="BD528" s="404"/>
      <c r="BE528" s="404"/>
      <c r="BF528" s="404"/>
      <c r="BG528" s="404"/>
      <c r="BH528" s="403"/>
      <c r="BI528" s="403"/>
      <c r="BJ528" s="403"/>
      <c r="BK528" s="402"/>
      <c r="BL528" s="402"/>
      <c r="BM528" s="402"/>
      <c r="BN528" s="401"/>
      <c r="BO528" s="400"/>
      <c r="BP528" s="400"/>
      <c r="BQ528" s="400"/>
      <c r="BR528" s="72"/>
      <c r="BS528" s="411"/>
    </row>
    <row r="529" spans="1:72" ht="15" customHeight="1" x14ac:dyDescent="0.15">
      <c r="A529" s="419" t="s">
        <v>4386</v>
      </c>
      <c r="B529" s="405" t="s">
        <v>525</v>
      </c>
      <c r="C529" s="405"/>
      <c r="D529" s="405"/>
      <c r="E529" s="405"/>
      <c r="F529" s="447" t="s">
        <v>107</v>
      </c>
      <c r="G529" s="421" t="s">
        <v>5366</v>
      </c>
      <c r="H529" s="442" t="s">
        <v>5367</v>
      </c>
      <c r="I529" s="406" t="s">
        <v>241</v>
      </c>
      <c r="J529" s="407" t="s">
        <v>5368</v>
      </c>
      <c r="K529" s="408"/>
      <c r="L529" s="409">
        <v>212</v>
      </c>
      <c r="M529" s="409"/>
      <c r="N529" s="410" t="str">
        <f t="shared" si="16"/>
        <v>Contact famille</v>
      </c>
      <c r="O529" s="739">
        <v>212</v>
      </c>
      <c r="P529" s="863"/>
      <c r="Q529" s="730" t="str">
        <f t="shared" si="17"/>
        <v>Contact famille</v>
      </c>
      <c r="R529" s="740"/>
      <c r="S529" s="740"/>
      <c r="T529" s="740"/>
      <c r="U529" s="740"/>
      <c r="V529" s="740"/>
      <c r="W529" s="740"/>
      <c r="X529" s="740" t="s">
        <v>313</v>
      </c>
      <c r="Y529" s="740"/>
      <c r="Z529" s="740"/>
      <c r="AA529" s="740"/>
      <c r="AB529" s="423"/>
      <c r="AC529" s="418"/>
      <c r="AD529" s="418"/>
      <c r="AE529" s="418"/>
      <c r="AF529" s="422"/>
      <c r="AG529" s="425"/>
      <c r="AH529" s="417"/>
      <c r="AI529" s="429" t="s">
        <v>242</v>
      </c>
      <c r="AJ529" s="429" t="s">
        <v>242</v>
      </c>
      <c r="AK529" s="428" t="s">
        <v>242</v>
      </c>
      <c r="AL529" s="399" t="s">
        <v>242</v>
      </c>
      <c r="AM529" s="449" t="s">
        <v>244</v>
      </c>
      <c r="AN529" s="412"/>
      <c r="AO529" s="72"/>
      <c r="AP529" s="414"/>
      <c r="AQ529" s="440">
        <v>691714035</v>
      </c>
      <c r="AR529" s="532" t="s">
        <v>5373</v>
      </c>
      <c r="AS529" s="413"/>
      <c r="AT529" s="413"/>
      <c r="AU529" s="412"/>
      <c r="AV529" s="412"/>
      <c r="AW529" s="399"/>
      <c r="AX529" s="72"/>
      <c r="AY529" s="398"/>
      <c r="AZ529" s="400"/>
      <c r="BA529" s="72"/>
      <c r="BB529" s="404"/>
      <c r="BC529" s="404"/>
      <c r="BD529" s="404"/>
      <c r="BE529" s="404"/>
      <c r="BF529" s="404"/>
      <c r="BG529" s="404"/>
      <c r="BH529" s="403"/>
      <c r="BI529" s="403"/>
      <c r="BJ529" s="403"/>
      <c r="BK529" s="402"/>
      <c r="BL529" s="402"/>
      <c r="BM529" s="402"/>
      <c r="BN529" s="401"/>
      <c r="BO529" s="400"/>
      <c r="BP529" s="400"/>
      <c r="BQ529" s="400"/>
      <c r="BR529" s="72"/>
      <c r="BS529" s="411"/>
    </row>
    <row r="530" spans="1:72" ht="15" customHeight="1" x14ac:dyDescent="0.15">
      <c r="A530" s="419" t="s">
        <v>4386</v>
      </c>
      <c r="B530" s="405" t="s">
        <v>2703</v>
      </c>
      <c r="C530" s="405"/>
      <c r="D530" s="405"/>
      <c r="E530" s="405"/>
      <c r="F530" s="447" t="s">
        <v>107</v>
      </c>
      <c r="G530" s="441" t="s">
        <v>4387</v>
      </c>
      <c r="H530" s="442" t="s">
        <v>4016</v>
      </c>
      <c r="I530" s="406" t="s">
        <v>4017</v>
      </c>
      <c r="J530" s="407" t="s">
        <v>1629</v>
      </c>
      <c r="K530" s="408"/>
      <c r="L530" s="409">
        <v>212</v>
      </c>
      <c r="M530" s="409"/>
      <c r="N530" s="410" t="str">
        <f t="shared" si="16"/>
        <v>Contact famille</v>
      </c>
      <c r="O530" s="739">
        <v>212</v>
      </c>
      <c r="P530" s="863"/>
      <c r="Q530" s="730" t="str">
        <f t="shared" si="17"/>
        <v>Contact famille</v>
      </c>
      <c r="R530" s="741"/>
      <c r="S530" s="741"/>
      <c r="T530" s="741"/>
      <c r="U530" s="741"/>
      <c r="V530" s="741"/>
      <c r="W530" s="741" t="s">
        <v>313</v>
      </c>
      <c r="X530" s="741"/>
      <c r="Y530" s="741"/>
      <c r="Z530" s="741"/>
      <c r="AA530" s="741"/>
      <c r="AB530" s="423"/>
      <c r="AC530" s="423"/>
      <c r="AD530" s="423"/>
      <c r="AE530" s="423"/>
      <c r="AF530" s="422"/>
      <c r="AG530" s="448"/>
      <c r="AH530" s="431"/>
      <c r="AI530" s="429" t="s">
        <v>242</v>
      </c>
      <c r="AJ530" s="429" t="s">
        <v>242</v>
      </c>
      <c r="AK530" s="428" t="s">
        <v>242</v>
      </c>
      <c r="AL530" s="399" t="s">
        <v>242</v>
      </c>
      <c r="AM530" s="449" t="s">
        <v>244</v>
      </c>
      <c r="AN530" s="434"/>
      <c r="AO530" s="430"/>
      <c r="AP530" s="435"/>
      <c r="AQ530" s="440">
        <v>621754388</v>
      </c>
      <c r="AR530" s="436" t="s">
        <v>4391</v>
      </c>
      <c r="AS530" s="413"/>
      <c r="AT530" s="413"/>
      <c r="AU530" s="400"/>
      <c r="AV530" s="412"/>
      <c r="AW530" s="398"/>
      <c r="AX530" s="72"/>
      <c r="AY530" s="398"/>
      <c r="AZ530" s="400"/>
      <c r="BA530" s="72"/>
      <c r="BB530" s="404"/>
      <c r="BC530" s="404"/>
      <c r="BD530" s="404"/>
      <c r="BE530" s="404"/>
      <c r="BF530" s="404"/>
      <c r="BG530" s="404"/>
      <c r="BH530" s="403"/>
      <c r="BI530" s="403"/>
      <c r="BJ530" s="403"/>
      <c r="BK530" s="402"/>
      <c r="BL530" s="402"/>
      <c r="BM530" s="402"/>
      <c r="BN530" s="401"/>
      <c r="BO530" s="437"/>
      <c r="BP530" s="438"/>
      <c r="BQ530" s="438"/>
      <c r="BR530" s="444"/>
      <c r="BS530" s="445"/>
    </row>
    <row r="531" spans="1:72" ht="15" customHeight="1" x14ac:dyDescent="0.15">
      <c r="A531" s="419" t="s">
        <v>4386</v>
      </c>
      <c r="B531" s="405" t="s">
        <v>5626</v>
      </c>
      <c r="C531" s="405"/>
      <c r="D531" s="405"/>
      <c r="E531" s="405"/>
      <c r="F531" s="447" t="s">
        <v>5477</v>
      </c>
      <c r="G531" s="421" t="s">
        <v>5627</v>
      </c>
      <c r="H531" s="442" t="s">
        <v>3234</v>
      </c>
      <c r="I531" s="406" t="s">
        <v>848</v>
      </c>
      <c r="J531" s="407" t="s">
        <v>1943</v>
      </c>
      <c r="K531" s="408"/>
      <c r="L531" s="409">
        <v>212</v>
      </c>
      <c r="M531" s="409"/>
      <c r="N531" s="410" t="str">
        <f t="shared" si="16"/>
        <v>Contact famille</v>
      </c>
      <c r="O531" s="739">
        <v>212</v>
      </c>
      <c r="P531" s="863"/>
      <c r="Q531" s="730" t="str">
        <f t="shared" si="17"/>
        <v>Contact famille</v>
      </c>
      <c r="R531" s="740"/>
      <c r="S531" s="740"/>
      <c r="T531" s="740"/>
      <c r="U531" s="740"/>
      <c r="V531" s="740"/>
      <c r="W531" s="740"/>
      <c r="X531" s="740" t="s">
        <v>313</v>
      </c>
      <c r="Y531" s="740"/>
      <c r="Z531" s="740"/>
      <c r="AA531" s="740"/>
      <c r="AB531" s="423"/>
      <c r="AC531" s="418"/>
      <c r="AD531" s="418"/>
      <c r="AE531" s="418"/>
      <c r="AF531" s="422"/>
      <c r="AG531" s="425"/>
      <c r="AH531" s="417"/>
      <c r="AI531" s="429" t="s">
        <v>242</v>
      </c>
      <c r="AJ531" s="429" t="s">
        <v>242</v>
      </c>
      <c r="AK531" s="428" t="s">
        <v>242</v>
      </c>
      <c r="AL531" s="439" t="s">
        <v>242</v>
      </c>
      <c r="AM531" s="433" t="s">
        <v>244</v>
      </c>
      <c r="AN531" s="412"/>
      <c r="AO531" s="72"/>
      <c r="AP531" s="414"/>
      <c r="AQ531" s="440">
        <v>661660966</v>
      </c>
      <c r="AR531" s="400" t="s">
        <v>5631</v>
      </c>
      <c r="AS531" s="413"/>
      <c r="AT531" s="413"/>
      <c r="AU531" s="412"/>
      <c r="AV531" s="412"/>
      <c r="AW531" s="399"/>
      <c r="AX531" s="72"/>
      <c r="AY531" s="398"/>
      <c r="AZ531" s="400"/>
      <c r="BA531" s="72"/>
      <c r="BB531" s="404"/>
      <c r="BC531" s="404"/>
      <c r="BD531" s="404"/>
      <c r="BE531" s="404"/>
      <c r="BF531" s="404"/>
      <c r="BG531" s="404"/>
      <c r="BH531" s="403"/>
      <c r="BI531" s="403"/>
      <c r="BJ531" s="403"/>
      <c r="BK531" s="402"/>
      <c r="BL531" s="402"/>
      <c r="BM531" s="402"/>
      <c r="BN531" s="401"/>
      <c r="BO531" s="400"/>
      <c r="BP531" s="400"/>
      <c r="BQ531" s="400"/>
      <c r="BR531" s="72"/>
      <c r="BS531" s="411"/>
    </row>
    <row r="532" spans="1:72" ht="15" customHeight="1" x14ac:dyDescent="0.15">
      <c r="A532" s="419" t="s">
        <v>4386</v>
      </c>
      <c r="B532" s="405" t="s">
        <v>5369</v>
      </c>
      <c r="C532" s="405"/>
      <c r="D532" s="405"/>
      <c r="E532" s="405"/>
      <c r="F532" s="447" t="s">
        <v>107</v>
      </c>
      <c r="G532" s="421" t="s">
        <v>5366</v>
      </c>
      <c r="H532" s="442" t="s">
        <v>5367</v>
      </c>
      <c r="I532" s="406" t="s">
        <v>241</v>
      </c>
      <c r="J532" s="407" t="s">
        <v>5368</v>
      </c>
      <c r="K532" s="408"/>
      <c r="L532" s="409">
        <v>21</v>
      </c>
      <c r="M532" s="409"/>
      <c r="N532" s="410" t="str">
        <f t="shared" si="16"/>
        <v>U7 Mixte</v>
      </c>
      <c r="O532" s="739">
        <v>21</v>
      </c>
      <c r="P532" s="863"/>
      <c r="Q532" s="730" t="str">
        <f t="shared" si="17"/>
        <v>U7 Mixte</v>
      </c>
      <c r="R532" s="740"/>
      <c r="S532" s="740"/>
      <c r="T532" s="740"/>
      <c r="U532" s="740"/>
      <c r="V532" s="740"/>
      <c r="W532" s="740"/>
      <c r="X532" s="740" t="s">
        <v>192</v>
      </c>
      <c r="Y532" s="740"/>
      <c r="Z532" s="740"/>
      <c r="AA532" s="740"/>
      <c r="AB532" s="568" t="s">
        <v>2805</v>
      </c>
      <c r="AC532" s="418"/>
      <c r="AD532" s="418"/>
      <c r="AE532" s="418"/>
      <c r="AF532" s="422"/>
      <c r="AG532" s="425" t="s">
        <v>5173</v>
      </c>
      <c r="AH532" s="417"/>
      <c r="AI532" s="569"/>
      <c r="AJ532" s="429">
        <v>45952</v>
      </c>
      <c r="AK532" s="428">
        <v>2028</v>
      </c>
      <c r="AL532" s="439">
        <v>44268</v>
      </c>
      <c r="AM532" s="416" t="s">
        <v>5370</v>
      </c>
      <c r="AN532" s="412"/>
      <c r="AO532" s="72"/>
      <c r="AP532" s="414" t="s">
        <v>5371</v>
      </c>
      <c r="AQ532" s="430" t="s">
        <v>5372</v>
      </c>
      <c r="AR532" s="532" t="s">
        <v>5373</v>
      </c>
      <c r="AS532" s="413"/>
      <c r="AT532" s="413"/>
      <c r="AU532" s="412"/>
      <c r="AV532" s="412"/>
      <c r="AW532" s="399"/>
      <c r="AX532" s="72"/>
      <c r="AY532" s="398"/>
      <c r="AZ532" s="400"/>
      <c r="BA532" s="72"/>
      <c r="BB532" s="404"/>
      <c r="BC532" s="404"/>
      <c r="BD532" s="404"/>
      <c r="BE532" s="404"/>
      <c r="BF532" s="404"/>
      <c r="BG532" s="404"/>
      <c r="BH532" s="403"/>
      <c r="BI532" s="403"/>
      <c r="BJ532" s="403"/>
      <c r="BK532" s="402"/>
      <c r="BL532" s="402"/>
      <c r="BM532" s="402"/>
      <c r="BN532" s="401"/>
      <c r="BO532" s="400"/>
      <c r="BP532" s="400"/>
      <c r="BQ532" s="400"/>
      <c r="BR532" s="72"/>
      <c r="BS532" s="411"/>
    </row>
    <row r="533" spans="1:72" ht="15" customHeight="1" x14ac:dyDescent="0.15">
      <c r="A533" s="419" t="s">
        <v>1202</v>
      </c>
      <c r="B533" s="405" t="s">
        <v>5389</v>
      </c>
      <c r="C533" s="405"/>
      <c r="D533" s="405"/>
      <c r="E533" s="405"/>
      <c r="F533" s="447" t="s">
        <v>107</v>
      </c>
      <c r="G533" s="421" t="s">
        <v>5381</v>
      </c>
      <c r="H533" s="442" t="s">
        <v>481</v>
      </c>
      <c r="I533" s="406" t="s">
        <v>223</v>
      </c>
      <c r="J533" s="407" t="s">
        <v>5378</v>
      </c>
      <c r="K533" s="408"/>
      <c r="L533" s="409">
        <v>212</v>
      </c>
      <c r="M533" s="409"/>
      <c r="N533" s="410" t="str">
        <f t="shared" si="16"/>
        <v>Contact famille</v>
      </c>
      <c r="O533" s="739">
        <v>212</v>
      </c>
      <c r="P533" s="863"/>
      <c r="Q533" s="730" t="str">
        <f t="shared" si="17"/>
        <v>Contact famille</v>
      </c>
      <c r="R533" s="740"/>
      <c r="S533" s="740"/>
      <c r="T533" s="740"/>
      <c r="U533" s="740"/>
      <c r="V533" s="740"/>
      <c r="W533" s="740"/>
      <c r="X533" s="740" t="s">
        <v>313</v>
      </c>
      <c r="Y533" s="740"/>
      <c r="Z533" s="740"/>
      <c r="AA533" s="740"/>
      <c r="AB533" s="423"/>
      <c r="AC533" s="418"/>
      <c r="AD533" s="418"/>
      <c r="AE533" s="418"/>
      <c r="AF533" s="422"/>
      <c r="AG533" s="425"/>
      <c r="AH533" s="417"/>
      <c r="AI533" s="429" t="s">
        <v>242</v>
      </c>
      <c r="AJ533" s="429" t="s">
        <v>242</v>
      </c>
      <c r="AK533" s="428" t="s">
        <v>242</v>
      </c>
      <c r="AL533" s="399" t="s">
        <v>242</v>
      </c>
      <c r="AM533" s="449" t="s">
        <v>244</v>
      </c>
      <c r="AN533" s="412"/>
      <c r="AO533" s="72"/>
      <c r="AQ533" s="440">
        <v>691813046</v>
      </c>
      <c r="AR533" s="532" t="s">
        <v>5383</v>
      </c>
      <c r="AS533" s="413"/>
      <c r="AT533" s="413"/>
      <c r="AU533" s="412"/>
      <c r="AV533" s="412"/>
      <c r="AW533" s="399"/>
      <c r="AX533" s="72"/>
      <c r="AY533" s="398"/>
      <c r="AZ533" s="400"/>
      <c r="BA533" s="72"/>
      <c r="BB533" s="404"/>
      <c r="BC533" s="404"/>
      <c r="BD533" s="404"/>
      <c r="BE533" s="404"/>
      <c r="BF533" s="404"/>
      <c r="BG533" s="404"/>
      <c r="BH533" s="403"/>
      <c r="BI533" s="403"/>
      <c r="BJ533" s="403"/>
      <c r="BK533" s="402"/>
      <c r="BL533" s="402"/>
      <c r="BM533" s="402"/>
      <c r="BN533" s="401"/>
      <c r="BO533" s="400"/>
      <c r="BP533" s="400"/>
      <c r="BQ533" s="400"/>
      <c r="BR533" s="72"/>
      <c r="BS533" s="411"/>
    </row>
    <row r="534" spans="1:72" ht="15" customHeight="1" x14ac:dyDescent="0.15">
      <c r="A534" s="419" t="s">
        <v>1202</v>
      </c>
      <c r="B534" s="405" t="s">
        <v>5379</v>
      </c>
      <c r="C534" s="405"/>
      <c r="D534" s="405"/>
      <c r="E534" s="405"/>
      <c r="F534" s="447" t="s">
        <v>107</v>
      </c>
      <c r="G534" s="421" t="s">
        <v>5381</v>
      </c>
      <c r="H534" s="442" t="s">
        <v>481</v>
      </c>
      <c r="I534" s="406" t="s">
        <v>223</v>
      </c>
      <c r="J534" s="407" t="s">
        <v>5378</v>
      </c>
      <c r="K534" s="408"/>
      <c r="L534" s="409">
        <v>21</v>
      </c>
      <c r="M534" s="409"/>
      <c r="N534" s="410" t="str">
        <f t="shared" si="16"/>
        <v>U7 Mixte</v>
      </c>
      <c r="O534" s="739">
        <v>21</v>
      </c>
      <c r="P534" s="863"/>
      <c r="Q534" s="730" t="str">
        <f t="shared" si="17"/>
        <v>U7 Mixte</v>
      </c>
      <c r="R534" s="740"/>
      <c r="S534" s="740"/>
      <c r="T534" s="740"/>
      <c r="U534" s="740"/>
      <c r="V534" s="740"/>
      <c r="W534" s="740"/>
      <c r="X534" s="740" t="s">
        <v>192</v>
      </c>
      <c r="Y534" s="740"/>
      <c r="Z534" s="740"/>
      <c r="AA534" s="740"/>
      <c r="AB534" s="568" t="s">
        <v>2805</v>
      </c>
      <c r="AC534" s="418"/>
      <c r="AD534" s="418"/>
      <c r="AE534" s="418"/>
      <c r="AF534" s="422"/>
      <c r="AG534" s="425" t="s">
        <v>5173</v>
      </c>
      <c r="AH534" s="417"/>
      <c r="AI534" s="569"/>
      <c r="AJ534" s="429">
        <v>45957</v>
      </c>
      <c r="AK534" s="428">
        <v>2030</v>
      </c>
      <c r="AL534" s="439">
        <v>44948</v>
      </c>
      <c r="AM534" s="416" t="s">
        <v>5382</v>
      </c>
      <c r="AN534" s="412"/>
      <c r="AO534" s="72"/>
      <c r="AP534" s="414"/>
      <c r="AQ534" s="440">
        <v>691813046</v>
      </c>
      <c r="AR534" s="532" t="s">
        <v>5383</v>
      </c>
      <c r="AS534" s="413"/>
      <c r="AT534" s="413"/>
      <c r="AU534" s="412"/>
      <c r="AV534" s="412"/>
      <c r="AW534" s="399"/>
      <c r="AX534" s="72"/>
      <c r="AY534" s="398"/>
      <c r="AZ534" s="400"/>
      <c r="BA534" s="72"/>
      <c r="BB534" s="404"/>
      <c r="BC534" s="404"/>
      <c r="BD534" s="404"/>
      <c r="BE534" s="404"/>
      <c r="BF534" s="404"/>
      <c r="BG534" s="404"/>
      <c r="BH534" s="403"/>
      <c r="BI534" s="403"/>
      <c r="BJ534" s="403"/>
      <c r="BK534" s="402"/>
      <c r="BL534" s="402"/>
      <c r="BM534" s="402"/>
      <c r="BN534" s="401"/>
      <c r="BO534" s="400"/>
      <c r="BP534" s="400"/>
      <c r="BQ534" s="400"/>
      <c r="BR534" s="72"/>
      <c r="BS534" s="411"/>
    </row>
    <row r="535" spans="1:72" ht="15" customHeight="1" x14ac:dyDescent="0.15">
      <c r="A535" s="419" t="s">
        <v>4914</v>
      </c>
      <c r="B535" s="405" t="s">
        <v>4917</v>
      </c>
      <c r="C535" s="405"/>
      <c r="D535" s="405"/>
      <c r="E535" s="405"/>
      <c r="F535" s="447" t="s">
        <v>107</v>
      </c>
      <c r="G535" s="441" t="s">
        <v>4919</v>
      </c>
      <c r="H535" s="442" t="s">
        <v>4920</v>
      </c>
      <c r="I535" s="406" t="s">
        <v>528</v>
      </c>
      <c r="J535" s="407" t="s">
        <v>941</v>
      </c>
      <c r="K535" s="408"/>
      <c r="L535" s="409">
        <v>212</v>
      </c>
      <c r="M535" s="409"/>
      <c r="N535" s="410" t="str">
        <f t="shared" si="16"/>
        <v>Contact famille</v>
      </c>
      <c r="O535" s="739">
        <v>212</v>
      </c>
      <c r="P535" s="863"/>
      <c r="Q535" s="730" t="str">
        <f t="shared" si="17"/>
        <v>Contact famille</v>
      </c>
      <c r="R535" s="741"/>
      <c r="S535" s="741"/>
      <c r="T535" s="741" t="s">
        <v>313</v>
      </c>
      <c r="U535" s="741"/>
      <c r="V535" s="741"/>
      <c r="W535" s="741"/>
      <c r="X535" s="741"/>
      <c r="Y535" s="741"/>
      <c r="Z535" s="741"/>
      <c r="AA535" s="741"/>
      <c r="AB535" s="423"/>
      <c r="AC535" s="423"/>
      <c r="AD535" s="423"/>
      <c r="AE535" s="423"/>
      <c r="AF535" s="422"/>
      <c r="AG535" s="448"/>
      <c r="AH535" s="431"/>
      <c r="AI535" s="429" t="s">
        <v>242</v>
      </c>
      <c r="AJ535" s="429" t="s">
        <v>242</v>
      </c>
      <c r="AK535" s="428" t="s">
        <v>242</v>
      </c>
      <c r="AL535" s="439" t="s">
        <v>242</v>
      </c>
      <c r="AM535" s="433" t="s">
        <v>244</v>
      </c>
      <c r="AN535" s="434"/>
      <c r="AO535" s="430"/>
      <c r="AP535" s="435"/>
      <c r="AQ535" s="430"/>
      <c r="AR535" s="450"/>
      <c r="AS535" s="413"/>
      <c r="AT535" s="413"/>
      <c r="AU535" s="400"/>
      <c r="AV535" s="412"/>
      <c r="AW535" s="398"/>
      <c r="AX535" s="72"/>
      <c r="AY535" s="398"/>
      <c r="AZ535" s="400"/>
      <c r="BA535" s="72"/>
      <c r="BB535" s="404"/>
      <c r="BC535" s="404"/>
      <c r="BD535" s="404"/>
      <c r="BE535" s="404"/>
      <c r="BF535" s="404"/>
      <c r="BG535" s="404"/>
      <c r="BH535" s="403"/>
      <c r="BI535" s="403"/>
      <c r="BJ535" s="403"/>
      <c r="BK535" s="402"/>
      <c r="BL535" s="402"/>
      <c r="BM535" s="402"/>
      <c r="BN535" s="401"/>
      <c r="BO535" s="437"/>
      <c r="BP535" s="438"/>
      <c r="BQ535" s="438"/>
      <c r="BR535" s="444"/>
      <c r="BS535" s="445"/>
    </row>
    <row r="536" spans="1:72" ht="15" customHeight="1" x14ac:dyDescent="0.15">
      <c r="A536" s="419" t="s">
        <v>4914</v>
      </c>
      <c r="B536" s="405" t="s">
        <v>4916</v>
      </c>
      <c r="C536" s="405"/>
      <c r="D536" s="405"/>
      <c r="E536" s="405"/>
      <c r="F536" s="447" t="s">
        <v>107</v>
      </c>
      <c r="G536" s="441" t="s">
        <v>4919</v>
      </c>
      <c r="H536" s="442" t="s">
        <v>4920</v>
      </c>
      <c r="I536" s="406" t="s">
        <v>528</v>
      </c>
      <c r="J536" s="407" t="s">
        <v>941</v>
      </c>
      <c r="K536" s="408"/>
      <c r="L536" s="409">
        <v>5</v>
      </c>
      <c r="M536" s="409"/>
      <c r="N536" s="410" t="str">
        <f t="shared" si="16"/>
        <v>U 15 Hommes</v>
      </c>
      <c r="O536" s="739">
        <v>5</v>
      </c>
      <c r="P536" s="863"/>
      <c r="Q536" s="730" t="str">
        <f t="shared" si="17"/>
        <v>U 15 Hommes</v>
      </c>
      <c r="R536" s="741"/>
      <c r="S536" s="741"/>
      <c r="T536" s="741" t="s">
        <v>192</v>
      </c>
      <c r="U536" s="741"/>
      <c r="V536" s="741"/>
      <c r="W536" s="741"/>
      <c r="X536" s="741"/>
      <c r="Y536" s="741"/>
      <c r="Z536" s="741"/>
      <c r="AA536" s="741"/>
      <c r="AB536" s="423" t="s">
        <v>4923</v>
      </c>
      <c r="AC536" s="423"/>
      <c r="AD536" s="423"/>
      <c r="AE536" s="423"/>
      <c r="AF536" s="422"/>
      <c r="AG536" s="448"/>
      <c r="AH536" s="431"/>
      <c r="AI536" s="429">
        <v>45572</v>
      </c>
      <c r="AJ536" s="429">
        <v>45568</v>
      </c>
      <c r="AK536" s="617">
        <v>2025</v>
      </c>
      <c r="AL536" s="439">
        <v>41345</v>
      </c>
      <c r="AM536" s="433" t="s">
        <v>5289</v>
      </c>
      <c r="AN536" s="434"/>
      <c r="AO536" s="430"/>
      <c r="AP536" s="435"/>
      <c r="AQ536" s="440">
        <v>621295056</v>
      </c>
      <c r="AR536" s="436" t="s">
        <v>4921</v>
      </c>
      <c r="AS536" s="413"/>
      <c r="AT536" s="413"/>
      <c r="AU536" s="400"/>
      <c r="AV536" s="412"/>
      <c r="AW536" s="398"/>
      <c r="AX536" s="72"/>
      <c r="AY536" s="398"/>
      <c r="AZ536" s="400"/>
      <c r="BA536" s="72"/>
      <c r="BB536" s="404"/>
      <c r="BC536" s="404"/>
      <c r="BD536" s="404"/>
      <c r="BE536" s="404"/>
      <c r="BF536" s="404"/>
      <c r="BG536" s="404"/>
      <c r="BH536" s="403"/>
      <c r="BI536" s="403"/>
      <c r="BJ536" s="403"/>
      <c r="BK536" s="402"/>
      <c r="BL536" s="402"/>
      <c r="BM536" s="402"/>
      <c r="BN536" s="401"/>
      <c r="BO536" s="437"/>
      <c r="BP536" s="438"/>
      <c r="BQ536" s="438"/>
      <c r="BR536" s="444"/>
      <c r="BS536" s="445"/>
    </row>
    <row r="537" spans="1:72" ht="15" customHeight="1" x14ac:dyDescent="0.15">
      <c r="A537" s="419" t="s">
        <v>3295</v>
      </c>
      <c r="B537" s="405" t="s">
        <v>1434</v>
      </c>
      <c r="C537" s="405"/>
      <c r="D537" s="405"/>
      <c r="E537" s="405"/>
      <c r="F537" s="447" t="s">
        <v>107</v>
      </c>
      <c r="G537" s="441" t="s">
        <v>4506</v>
      </c>
      <c r="H537" s="442" t="s">
        <v>4507</v>
      </c>
      <c r="I537" s="406" t="s">
        <v>4508</v>
      </c>
      <c r="J537" s="407" t="s">
        <v>4504</v>
      </c>
      <c r="K537" s="408"/>
      <c r="L537" s="409">
        <v>212</v>
      </c>
      <c r="M537" s="409"/>
      <c r="N537" s="410" t="str">
        <f t="shared" si="16"/>
        <v>Contact famille</v>
      </c>
      <c r="O537" s="739">
        <v>212</v>
      </c>
      <c r="P537" s="863"/>
      <c r="Q537" s="730" t="str">
        <f t="shared" si="17"/>
        <v>Contact famille</v>
      </c>
      <c r="R537" s="741"/>
      <c r="S537" s="741"/>
      <c r="T537" s="741" t="s">
        <v>313</v>
      </c>
      <c r="U537" s="741"/>
      <c r="V537" s="741"/>
      <c r="W537" s="741"/>
      <c r="X537" s="741"/>
      <c r="Y537" s="741"/>
      <c r="Z537" s="741"/>
      <c r="AA537" s="741"/>
      <c r="AB537" s="423"/>
      <c r="AC537" s="423"/>
      <c r="AD537" s="423"/>
      <c r="AE537" s="423"/>
      <c r="AF537" s="422"/>
      <c r="AG537" s="448"/>
      <c r="AH537" s="431"/>
      <c r="AI537" s="429" t="s">
        <v>242</v>
      </c>
      <c r="AJ537" s="429" t="s">
        <v>242</v>
      </c>
      <c r="AK537" s="428" t="s">
        <v>242</v>
      </c>
      <c r="AL537" s="399" t="s">
        <v>242</v>
      </c>
      <c r="AM537" s="449" t="s">
        <v>244</v>
      </c>
      <c r="AN537" s="434"/>
      <c r="AO537" s="430"/>
      <c r="AP537" s="435"/>
      <c r="AQ537" s="430"/>
      <c r="AR537" s="450"/>
      <c r="AS537" s="413"/>
      <c r="AT537" s="413"/>
      <c r="AU537" s="400"/>
      <c r="AV537" s="412"/>
      <c r="AW537" s="398"/>
      <c r="AX537" s="72"/>
      <c r="AY537" s="398"/>
      <c r="AZ537" s="400"/>
      <c r="BA537" s="72"/>
      <c r="BB537" s="404"/>
      <c r="BC537" s="404"/>
      <c r="BD537" s="404"/>
      <c r="BE537" s="404"/>
      <c r="BF537" s="404"/>
      <c r="BG537" s="404"/>
      <c r="BH537" s="403"/>
      <c r="BI537" s="403"/>
      <c r="BJ537" s="403"/>
      <c r="BK537" s="402"/>
      <c r="BL537" s="402"/>
      <c r="BM537" s="402"/>
      <c r="BN537" s="401"/>
      <c r="BO537" s="437"/>
      <c r="BP537" s="438"/>
      <c r="BQ537" s="438"/>
      <c r="BR537" s="444"/>
      <c r="BS537" s="445"/>
    </row>
    <row r="538" spans="1:72" ht="15" customHeight="1" x14ac:dyDescent="0.15">
      <c r="A538" s="419" t="s">
        <v>3295</v>
      </c>
      <c r="B538" s="405" t="s">
        <v>3675</v>
      </c>
      <c r="C538" s="405"/>
      <c r="D538" s="405"/>
      <c r="E538" s="405"/>
      <c r="F538" s="447" t="s">
        <v>107</v>
      </c>
      <c r="G538" s="441" t="s">
        <v>4481</v>
      </c>
      <c r="H538" s="442" t="s">
        <v>1666</v>
      </c>
      <c r="I538" s="406" t="s">
        <v>274</v>
      </c>
      <c r="J538" s="407" t="s">
        <v>1572</v>
      </c>
      <c r="K538" s="408"/>
      <c r="L538" s="409">
        <v>212</v>
      </c>
      <c r="M538" s="409"/>
      <c r="N538" s="410" t="str">
        <f t="shared" si="16"/>
        <v>Contact famille</v>
      </c>
      <c r="O538" s="739">
        <v>212</v>
      </c>
      <c r="P538" s="863"/>
      <c r="Q538" s="730" t="str">
        <f t="shared" si="17"/>
        <v>Contact famille</v>
      </c>
      <c r="R538" s="741"/>
      <c r="S538" s="741"/>
      <c r="T538" s="741" t="s">
        <v>313</v>
      </c>
      <c r="U538" s="741"/>
      <c r="V538" s="741"/>
      <c r="W538" s="741"/>
      <c r="X538" s="741"/>
      <c r="Y538" s="741"/>
      <c r="Z538" s="741"/>
      <c r="AA538" s="741"/>
      <c r="AB538" s="423"/>
      <c r="AC538" s="423"/>
      <c r="AD538" s="423"/>
      <c r="AE538" s="423"/>
      <c r="AF538" s="422"/>
      <c r="AG538" s="448"/>
      <c r="AH538" s="431"/>
      <c r="AI538" s="429" t="s">
        <v>242</v>
      </c>
      <c r="AJ538" s="429" t="s">
        <v>242</v>
      </c>
      <c r="AK538" s="428" t="s">
        <v>242</v>
      </c>
      <c r="AL538" s="399" t="s">
        <v>242</v>
      </c>
      <c r="AM538" s="449" t="s">
        <v>244</v>
      </c>
      <c r="AN538" s="434"/>
      <c r="AO538" s="430"/>
      <c r="AP538" s="435"/>
      <c r="AQ538" s="440">
        <v>661260183</v>
      </c>
      <c r="AR538" s="436" t="s">
        <v>4487</v>
      </c>
      <c r="AS538" s="413"/>
      <c r="AT538" s="413"/>
      <c r="AU538" s="400"/>
      <c r="AV538" s="412"/>
      <c r="AW538" s="398"/>
      <c r="AX538" s="72"/>
      <c r="AY538" s="398"/>
      <c r="AZ538" s="400"/>
      <c r="BA538" s="72"/>
      <c r="BB538" s="404"/>
      <c r="BC538" s="404"/>
      <c r="BD538" s="404"/>
      <c r="BE538" s="404"/>
      <c r="BF538" s="404"/>
      <c r="BG538" s="404"/>
      <c r="BH538" s="403"/>
      <c r="BI538" s="403"/>
      <c r="BJ538" s="403"/>
      <c r="BK538" s="402"/>
      <c r="BL538" s="402"/>
      <c r="BM538" s="402"/>
      <c r="BN538" s="401"/>
      <c r="BO538" s="437"/>
      <c r="BP538" s="438"/>
      <c r="BQ538" s="438"/>
      <c r="BR538" s="444"/>
      <c r="BS538" s="445"/>
    </row>
    <row r="539" spans="1:72" ht="15" customHeight="1" x14ac:dyDescent="0.15">
      <c r="A539" s="419" t="s">
        <v>4478</v>
      </c>
      <c r="B539" s="405" t="s">
        <v>4480</v>
      </c>
      <c r="C539" s="405"/>
      <c r="D539" s="405"/>
      <c r="E539" s="405"/>
      <c r="F539" s="447" t="s">
        <v>107</v>
      </c>
      <c r="G539" s="441" t="s">
        <v>4482</v>
      </c>
      <c r="H539" s="442" t="s">
        <v>4483</v>
      </c>
      <c r="I539" s="406" t="s">
        <v>4484</v>
      </c>
      <c r="J539" s="407" t="s">
        <v>1572</v>
      </c>
      <c r="K539" s="408"/>
      <c r="L539" s="409">
        <v>212</v>
      </c>
      <c r="M539" s="409"/>
      <c r="N539" s="410" t="str">
        <f t="shared" si="16"/>
        <v>Contact famille</v>
      </c>
      <c r="O539" s="739">
        <v>212</v>
      </c>
      <c r="P539" s="863"/>
      <c r="Q539" s="730" t="str">
        <f t="shared" si="17"/>
        <v>Contact famille</v>
      </c>
      <c r="R539" s="741"/>
      <c r="S539" s="741"/>
      <c r="T539" s="741" t="s">
        <v>313</v>
      </c>
      <c r="U539" s="741"/>
      <c r="V539" s="741"/>
      <c r="W539" s="741"/>
      <c r="X539" s="741"/>
      <c r="Y539" s="741"/>
      <c r="Z539" s="741"/>
      <c r="AA539" s="741"/>
      <c r="AB539" s="423"/>
      <c r="AC539" s="423"/>
      <c r="AD539" s="423"/>
      <c r="AE539" s="423"/>
      <c r="AF539" s="422"/>
      <c r="AG539" s="448"/>
      <c r="AH539" s="431"/>
      <c r="AI539" s="429" t="s">
        <v>242</v>
      </c>
      <c r="AJ539" s="429" t="s">
        <v>242</v>
      </c>
      <c r="AK539" s="428" t="s">
        <v>242</v>
      </c>
      <c r="AL539" s="399" t="s">
        <v>242</v>
      </c>
      <c r="AM539" s="449" t="s">
        <v>244</v>
      </c>
      <c r="AN539" s="434"/>
      <c r="AO539" s="430"/>
      <c r="AP539" s="435"/>
      <c r="AQ539" s="440">
        <v>621325219</v>
      </c>
      <c r="AR539" s="436"/>
      <c r="AS539" s="413"/>
      <c r="AT539" s="413"/>
      <c r="AU539" s="400"/>
      <c r="AV539" s="412"/>
      <c r="AW539" s="398"/>
      <c r="AX539" s="72"/>
      <c r="AY539" s="398"/>
      <c r="AZ539" s="400"/>
      <c r="BA539" s="72"/>
      <c r="BB539" s="404"/>
      <c r="BC539" s="404"/>
      <c r="BD539" s="404"/>
      <c r="BE539" s="404"/>
      <c r="BF539" s="404"/>
      <c r="BG539" s="404"/>
      <c r="BH539" s="403"/>
      <c r="BI539" s="403"/>
      <c r="BJ539" s="403"/>
      <c r="BK539" s="402"/>
      <c r="BL539" s="402"/>
      <c r="BM539" s="402"/>
      <c r="BN539" s="401"/>
      <c r="BO539" s="437"/>
      <c r="BP539" s="438"/>
      <c r="BQ539" s="438"/>
      <c r="BR539" s="444"/>
      <c r="BS539" s="445"/>
      <c r="BT539" s="111"/>
    </row>
    <row r="540" spans="1:72" ht="15" customHeight="1" x14ac:dyDescent="0.15">
      <c r="A540" s="419" t="s">
        <v>4478</v>
      </c>
      <c r="B540" s="405" t="s">
        <v>4479</v>
      </c>
      <c r="C540" s="405"/>
      <c r="D540" s="405"/>
      <c r="E540" s="405"/>
      <c r="F540" s="447" t="s">
        <v>107</v>
      </c>
      <c r="G540" s="441" t="s">
        <v>4481</v>
      </c>
      <c r="H540" s="442" t="s">
        <v>1666</v>
      </c>
      <c r="I540" s="406" t="s">
        <v>274</v>
      </c>
      <c r="J540" s="407" t="s">
        <v>1572</v>
      </c>
      <c r="K540" s="408"/>
      <c r="L540" s="409">
        <v>5</v>
      </c>
      <c r="M540" s="409"/>
      <c r="N540" s="410" t="str">
        <f t="shared" si="16"/>
        <v>U 15 Hommes</v>
      </c>
      <c r="O540" s="739">
        <v>5</v>
      </c>
      <c r="P540" s="863"/>
      <c r="Q540" s="730" t="str">
        <f t="shared" si="17"/>
        <v>U 15 Hommes</v>
      </c>
      <c r="R540" s="741"/>
      <c r="S540" s="741"/>
      <c r="T540" s="741" t="s">
        <v>192</v>
      </c>
      <c r="U540" s="741"/>
      <c r="V540" s="741"/>
      <c r="W540" s="741"/>
      <c r="X540" s="741"/>
      <c r="Y540" s="741"/>
      <c r="Z540" s="741"/>
      <c r="AA540" s="741"/>
      <c r="AB540" s="423" t="s">
        <v>4495</v>
      </c>
      <c r="AC540" s="423"/>
      <c r="AD540" s="423"/>
      <c r="AE540" s="423"/>
      <c r="AF540" s="422"/>
      <c r="AG540" s="448"/>
      <c r="AH540" s="431"/>
      <c r="AI540" s="429">
        <v>45191</v>
      </c>
      <c r="AJ540" s="429">
        <v>45189</v>
      </c>
      <c r="AK540" s="428">
        <v>2028</v>
      </c>
      <c r="AL540" s="439">
        <v>41393</v>
      </c>
      <c r="AM540" s="433" t="s">
        <v>4485</v>
      </c>
      <c r="AN540" s="434"/>
      <c r="AO540" s="430"/>
      <c r="AP540" s="435" t="s">
        <v>4486</v>
      </c>
      <c r="AQ540" s="440" t="s">
        <v>4488</v>
      </c>
      <c r="AR540" s="436" t="s">
        <v>4487</v>
      </c>
      <c r="AS540" s="413"/>
      <c r="AT540" s="413"/>
      <c r="AU540" s="400"/>
      <c r="AV540" s="412"/>
      <c r="AW540" s="398"/>
      <c r="AX540" s="72"/>
      <c r="AY540" s="398"/>
      <c r="AZ540" s="400"/>
      <c r="BA540" s="72"/>
      <c r="BB540" s="404"/>
      <c r="BC540" s="404"/>
      <c r="BD540" s="404"/>
      <c r="BE540" s="404"/>
      <c r="BF540" s="404"/>
      <c r="BG540" s="404"/>
      <c r="BH540" s="403"/>
      <c r="BI540" s="403"/>
      <c r="BJ540" s="403"/>
      <c r="BK540" s="402"/>
      <c r="BL540" s="402"/>
      <c r="BM540" s="402"/>
      <c r="BN540" s="401"/>
      <c r="BO540" s="437"/>
      <c r="BP540" s="438"/>
      <c r="BQ540" s="438"/>
      <c r="BR540" s="444"/>
      <c r="BS540" s="445"/>
    </row>
    <row r="541" spans="1:72" ht="15" customHeight="1" x14ac:dyDescent="0.15">
      <c r="A541" s="555" t="s">
        <v>1181</v>
      </c>
      <c r="B541" s="556" t="s">
        <v>488</v>
      </c>
      <c r="C541" s="556"/>
      <c r="D541" s="556"/>
      <c r="E541" s="556"/>
      <c r="F541" s="447" t="s">
        <v>107</v>
      </c>
      <c r="G541" s="557" t="s">
        <v>1049</v>
      </c>
      <c r="H541" s="558" t="s">
        <v>1050</v>
      </c>
      <c r="I541" s="559" t="s">
        <v>1051</v>
      </c>
      <c r="J541" s="560" t="s">
        <v>320</v>
      </c>
      <c r="K541" s="561"/>
      <c r="L541" s="562">
        <v>2</v>
      </c>
      <c r="M541" s="562"/>
      <c r="N541" s="563" t="str">
        <f t="shared" si="16"/>
        <v>Seniors - Hommes</v>
      </c>
      <c r="O541" s="739">
        <v>2</v>
      </c>
      <c r="P541" s="863"/>
      <c r="Q541" s="730" t="str">
        <f t="shared" si="17"/>
        <v>Seniors - Hommes</v>
      </c>
      <c r="R541" s="741"/>
      <c r="S541" s="741"/>
      <c r="T541" s="741"/>
      <c r="U541" s="741"/>
      <c r="V541" s="741"/>
      <c r="W541" s="741"/>
      <c r="X541" s="741"/>
      <c r="Y541" s="741"/>
      <c r="Z541" s="741"/>
      <c r="AA541" s="741"/>
      <c r="AB541" s="545" t="s">
        <v>3084</v>
      </c>
      <c r="AC541" s="423"/>
      <c r="AD541" s="543"/>
      <c r="AE541" s="543"/>
      <c r="AF541" s="538"/>
      <c r="AG541" s="580" t="s">
        <v>5255</v>
      </c>
      <c r="AH541" s="544"/>
      <c r="AI541" s="621">
        <v>41936</v>
      </c>
      <c r="AJ541" s="621">
        <v>41937</v>
      </c>
      <c r="AK541" s="564">
        <v>2033</v>
      </c>
      <c r="AL541" s="622">
        <v>37908</v>
      </c>
      <c r="AM541" s="719" t="s">
        <v>2685</v>
      </c>
      <c r="AN541" s="531"/>
      <c r="AO541" s="565" t="s">
        <v>2389</v>
      </c>
      <c r="AP541" s="547"/>
      <c r="AQ541" s="582" t="s">
        <v>2686</v>
      </c>
      <c r="AR541" s="566" t="s">
        <v>2815</v>
      </c>
      <c r="AS541" s="538"/>
      <c r="AT541" s="413"/>
      <c r="AU541" s="531"/>
      <c r="AV541" s="531"/>
      <c r="AW541" s="546"/>
      <c r="AX541" s="547"/>
      <c r="AY541" s="548"/>
      <c r="AZ541" s="549"/>
      <c r="BA541" s="547"/>
      <c r="BB541" s="550"/>
      <c r="BC541" s="550"/>
      <c r="BD541" s="550"/>
      <c r="BE541" s="550"/>
      <c r="BF541" s="550"/>
      <c r="BG541" s="550"/>
      <c r="BH541" s="551"/>
      <c r="BI541" s="551"/>
      <c r="BJ541" s="551"/>
      <c r="BK541" s="552"/>
      <c r="BL541" s="552"/>
      <c r="BM541" s="552"/>
      <c r="BN541" s="553"/>
      <c r="BO541" s="549"/>
      <c r="BP541" s="549"/>
      <c r="BQ541" s="549"/>
      <c r="BR541" s="547"/>
      <c r="BS541" s="554"/>
    </row>
    <row r="542" spans="1:72" ht="15" customHeight="1" x14ac:dyDescent="0.15">
      <c r="A542" s="419" t="s">
        <v>1183</v>
      </c>
      <c r="B542" s="405" t="s">
        <v>3729</v>
      </c>
      <c r="C542" s="405"/>
      <c r="D542" s="405"/>
      <c r="E542" s="405"/>
      <c r="F542" s="451" t="s">
        <v>107</v>
      </c>
      <c r="G542" s="441" t="s">
        <v>3730</v>
      </c>
      <c r="H542" s="442" t="s">
        <v>3731</v>
      </c>
      <c r="I542" s="406" t="s">
        <v>3732</v>
      </c>
      <c r="J542" s="407" t="s">
        <v>320</v>
      </c>
      <c r="K542" s="408"/>
      <c r="L542" s="409">
        <v>2</v>
      </c>
      <c r="M542" s="409"/>
      <c r="N542" s="410" t="str">
        <f t="shared" si="16"/>
        <v>Seniors - Hommes</v>
      </c>
      <c r="O542" s="739">
        <v>2</v>
      </c>
      <c r="P542" s="863"/>
      <c r="Q542" s="730" t="str">
        <f t="shared" si="17"/>
        <v>Seniors - Hommes</v>
      </c>
      <c r="R542" s="741"/>
      <c r="S542" s="741"/>
      <c r="T542" s="741"/>
      <c r="U542" s="741"/>
      <c r="V542" s="741"/>
      <c r="W542" s="741"/>
      <c r="X542" s="741"/>
      <c r="Y542" s="741"/>
      <c r="Z542" s="741"/>
      <c r="AA542" s="741"/>
      <c r="AB542" s="423" t="s">
        <v>3739</v>
      </c>
      <c r="AC542" s="423"/>
      <c r="AD542" s="423"/>
      <c r="AE542" s="423"/>
      <c r="AF542" s="422"/>
      <c r="AG542" s="571"/>
      <c r="AH542" s="431"/>
      <c r="AI542" s="429">
        <v>44391</v>
      </c>
      <c r="AJ542" s="429">
        <v>44384</v>
      </c>
      <c r="AK542" s="428">
        <v>2030</v>
      </c>
      <c r="AL542" s="439">
        <v>33196</v>
      </c>
      <c r="AM542" s="433" t="s">
        <v>3733</v>
      </c>
      <c r="AN542" s="434"/>
      <c r="AO542" s="430"/>
      <c r="AP542" s="435"/>
      <c r="AQ542" s="440">
        <v>621452453</v>
      </c>
      <c r="AR542" s="578" t="s">
        <v>3734</v>
      </c>
      <c r="AS542" s="413"/>
      <c r="AT542" s="413"/>
      <c r="AU542" s="400"/>
      <c r="AV542" s="412"/>
      <c r="AW542" s="398"/>
      <c r="AX542" s="72"/>
      <c r="AY542" s="398"/>
      <c r="AZ542" s="400"/>
      <c r="BA542" s="72"/>
      <c r="BB542" s="404"/>
      <c r="BC542" s="404"/>
      <c r="BD542" s="404"/>
      <c r="BE542" s="404"/>
      <c r="BF542" s="404"/>
      <c r="BG542" s="404"/>
      <c r="BH542" s="403"/>
      <c r="BI542" s="403"/>
      <c r="BJ542" s="403"/>
      <c r="BK542" s="402"/>
      <c r="BL542" s="402"/>
      <c r="BM542" s="402"/>
      <c r="BN542" s="401"/>
      <c r="BO542" s="437"/>
      <c r="BP542" s="438"/>
      <c r="BQ542" s="438"/>
      <c r="BR542" s="444"/>
      <c r="BS542" s="445"/>
    </row>
    <row r="543" spans="1:72" ht="15" customHeight="1" x14ac:dyDescent="0.15">
      <c r="A543" s="419" t="s">
        <v>4681</v>
      </c>
      <c r="B543" s="405" t="s">
        <v>4682</v>
      </c>
      <c r="C543" s="405"/>
      <c r="D543" s="405"/>
      <c r="E543" s="405"/>
      <c r="F543" s="447" t="s">
        <v>107</v>
      </c>
      <c r="G543" s="441" t="s">
        <v>4683</v>
      </c>
      <c r="H543" s="442" t="s">
        <v>4684</v>
      </c>
      <c r="I543" s="406" t="s">
        <v>4685</v>
      </c>
      <c r="J543" s="407" t="s">
        <v>320</v>
      </c>
      <c r="K543" s="408"/>
      <c r="L543" s="409">
        <v>9</v>
      </c>
      <c r="M543" s="409"/>
      <c r="N543" s="410" t="str">
        <f t="shared" si="16"/>
        <v>Vétérans - Hommes</v>
      </c>
      <c r="O543" s="739">
        <v>9</v>
      </c>
      <c r="P543" s="863"/>
      <c r="Q543" s="730" t="str">
        <f t="shared" si="17"/>
        <v>Vétérans - Hommes</v>
      </c>
      <c r="R543" s="741"/>
      <c r="S543" s="741"/>
      <c r="T543" s="741"/>
      <c r="U543" s="741"/>
      <c r="V543" s="741"/>
      <c r="W543" s="741"/>
      <c r="X543" s="741"/>
      <c r="Y543" s="741"/>
      <c r="Z543" s="741"/>
      <c r="AA543" s="741"/>
      <c r="AB543" s="423" t="s">
        <v>4715</v>
      </c>
      <c r="AC543" s="423"/>
      <c r="AD543" s="423"/>
      <c r="AE543" s="423"/>
      <c r="AF543" s="422"/>
      <c r="AG543" s="469"/>
      <c r="AH543" s="431"/>
      <c r="AI543" s="429">
        <v>45303</v>
      </c>
      <c r="AJ543" s="429">
        <v>45297</v>
      </c>
      <c r="AK543" s="428">
        <v>2026</v>
      </c>
      <c r="AL543" s="439">
        <v>29733</v>
      </c>
      <c r="AM543" s="433" t="s">
        <v>4686</v>
      </c>
      <c r="AN543" s="434"/>
      <c r="AO543" s="430"/>
      <c r="AP543" s="435"/>
      <c r="AQ543" s="440">
        <v>691569890</v>
      </c>
      <c r="AR543" s="436" t="s">
        <v>4687</v>
      </c>
      <c r="AS543" s="413"/>
      <c r="AT543" s="413"/>
      <c r="AU543" s="400"/>
      <c r="AV543" s="412"/>
      <c r="AW543" s="398"/>
      <c r="AX543" s="72"/>
      <c r="AY543" s="398"/>
      <c r="AZ543" s="400"/>
      <c r="BA543" s="72"/>
      <c r="BB543" s="404"/>
      <c r="BC543" s="404"/>
      <c r="BD543" s="404"/>
      <c r="BE543" s="404"/>
      <c r="BF543" s="404"/>
      <c r="BG543" s="404"/>
      <c r="BH543" s="403"/>
      <c r="BI543" s="403"/>
      <c r="BJ543" s="403"/>
      <c r="BK543" s="402"/>
      <c r="BL543" s="402"/>
      <c r="BM543" s="402"/>
      <c r="BN543" s="401"/>
      <c r="BO543" s="437"/>
      <c r="BP543" s="438"/>
      <c r="BQ543" s="438"/>
      <c r="BR543" s="444"/>
      <c r="BS543" s="445"/>
    </row>
    <row r="544" spans="1:72" ht="15" customHeight="1" x14ac:dyDescent="0.15">
      <c r="A544" s="419" t="s">
        <v>3984</v>
      </c>
      <c r="B544" s="405" t="s">
        <v>3987</v>
      </c>
      <c r="C544" s="405"/>
      <c r="D544" s="405"/>
      <c r="E544" s="405"/>
      <c r="F544" s="447" t="s">
        <v>2141</v>
      </c>
      <c r="G544" s="441" t="s">
        <v>3988</v>
      </c>
      <c r="H544" s="442" t="s">
        <v>981</v>
      </c>
      <c r="I544" s="406" t="s">
        <v>982</v>
      </c>
      <c r="J544" s="407" t="s">
        <v>3983</v>
      </c>
      <c r="K544" s="408"/>
      <c r="L544" s="409">
        <v>212</v>
      </c>
      <c r="M544" s="409"/>
      <c r="N544" s="410" t="str">
        <f t="shared" si="16"/>
        <v>Contact famille</v>
      </c>
      <c r="O544" s="739">
        <v>212</v>
      </c>
      <c r="P544" s="863"/>
      <c r="Q544" s="730" t="str">
        <f t="shared" si="17"/>
        <v>Contact famille</v>
      </c>
      <c r="R544" s="741"/>
      <c r="S544" s="741"/>
      <c r="T544" s="741"/>
      <c r="U544" s="741"/>
      <c r="V544" s="741"/>
      <c r="W544" s="741"/>
      <c r="X544" s="741"/>
      <c r="Y544" s="741"/>
      <c r="Z544" s="741"/>
      <c r="AA544" s="741"/>
      <c r="AB544" s="423"/>
      <c r="AC544" s="423"/>
      <c r="AD544" s="423"/>
      <c r="AE544" s="423"/>
      <c r="AF544" s="422"/>
      <c r="AG544" s="469"/>
      <c r="AH544" s="431"/>
      <c r="AI544" s="429" t="s">
        <v>242</v>
      </c>
      <c r="AJ544" s="429" t="s">
        <v>242</v>
      </c>
      <c r="AK544" s="428" t="s">
        <v>242</v>
      </c>
      <c r="AL544" s="399" t="s">
        <v>242</v>
      </c>
      <c r="AM544" s="449" t="s">
        <v>244</v>
      </c>
      <c r="AN544" s="434"/>
      <c r="AO544" s="430"/>
      <c r="AP544" s="435"/>
      <c r="AQ544" s="706" t="s">
        <v>4158</v>
      </c>
      <c r="AR544" s="436" t="s">
        <v>3992</v>
      </c>
      <c r="AS544" s="413"/>
      <c r="AT544" s="413"/>
      <c r="AU544" s="400"/>
      <c r="AV544" s="412"/>
      <c r="AW544" s="398"/>
      <c r="AX544" s="72"/>
      <c r="AY544" s="398"/>
      <c r="AZ544" s="400"/>
      <c r="BA544" s="72"/>
      <c r="BB544" s="404"/>
      <c r="BC544" s="404"/>
      <c r="BD544" s="404"/>
      <c r="BE544" s="404"/>
      <c r="BF544" s="404"/>
      <c r="BG544" s="404"/>
      <c r="BH544" s="403"/>
      <c r="BI544" s="403"/>
      <c r="BJ544" s="403"/>
      <c r="BK544" s="402"/>
      <c r="BL544" s="402"/>
      <c r="BM544" s="402"/>
      <c r="BN544" s="401"/>
      <c r="BO544" s="437"/>
      <c r="BP544" s="438"/>
      <c r="BQ544" s="438"/>
      <c r="BR544" s="444"/>
      <c r="BS544" s="445"/>
    </row>
    <row r="545" spans="1:71" ht="15" customHeight="1" x14ac:dyDescent="0.15">
      <c r="A545" s="419" t="s">
        <v>3984</v>
      </c>
      <c r="B545" s="405" t="s">
        <v>3986</v>
      </c>
      <c r="C545" s="405"/>
      <c r="D545" s="405"/>
      <c r="E545" s="405"/>
      <c r="F545" s="451" t="s">
        <v>490</v>
      </c>
      <c r="G545" s="441" t="s">
        <v>3988</v>
      </c>
      <c r="H545" s="442" t="s">
        <v>981</v>
      </c>
      <c r="I545" s="406" t="s">
        <v>982</v>
      </c>
      <c r="J545" s="407" t="s">
        <v>3983</v>
      </c>
      <c r="K545" s="408"/>
      <c r="L545" s="409">
        <v>212</v>
      </c>
      <c r="M545" s="409"/>
      <c r="N545" s="410" t="str">
        <f t="shared" si="16"/>
        <v>Contact famille</v>
      </c>
      <c r="O545" s="739">
        <v>212</v>
      </c>
      <c r="P545" s="863"/>
      <c r="Q545" s="730" t="str">
        <f t="shared" si="17"/>
        <v>Contact famille</v>
      </c>
      <c r="R545" s="741"/>
      <c r="S545" s="741"/>
      <c r="T545" s="741"/>
      <c r="U545" s="741"/>
      <c r="V545" s="741"/>
      <c r="W545" s="741"/>
      <c r="X545" s="741"/>
      <c r="Y545" s="741"/>
      <c r="Z545" s="741"/>
      <c r="AA545" s="741"/>
      <c r="AB545" s="423"/>
      <c r="AC545" s="423"/>
      <c r="AD545" s="423"/>
      <c r="AE545" s="423"/>
      <c r="AF545" s="422"/>
      <c r="AG545" s="448"/>
      <c r="AH545" s="431"/>
      <c r="AI545" s="429" t="s">
        <v>242</v>
      </c>
      <c r="AJ545" s="429" t="s">
        <v>242</v>
      </c>
      <c r="AK545" s="428" t="s">
        <v>242</v>
      </c>
      <c r="AL545" s="399" t="s">
        <v>242</v>
      </c>
      <c r="AM545" s="449" t="s">
        <v>244</v>
      </c>
      <c r="AN545" s="434"/>
      <c r="AO545" s="430"/>
      <c r="AP545" s="435"/>
      <c r="AQ545" s="706" t="s">
        <v>4159</v>
      </c>
      <c r="AR545" s="436" t="s">
        <v>3991</v>
      </c>
      <c r="AS545" s="413"/>
      <c r="AT545" s="413"/>
      <c r="AU545" s="400"/>
      <c r="AV545" s="412"/>
      <c r="AW545" s="398"/>
      <c r="AX545" s="72"/>
      <c r="AY545" s="398"/>
      <c r="AZ545" s="400"/>
      <c r="BA545" s="72"/>
      <c r="BB545" s="404"/>
      <c r="BC545" s="404"/>
      <c r="BD545" s="404"/>
      <c r="BE545" s="404"/>
      <c r="BF545" s="404"/>
      <c r="BG545" s="404"/>
      <c r="BH545" s="403"/>
      <c r="BI545" s="403"/>
      <c r="BJ545" s="403"/>
      <c r="BK545" s="402"/>
      <c r="BL545" s="402"/>
      <c r="BM545" s="402"/>
      <c r="BN545" s="401"/>
      <c r="BO545" s="437"/>
      <c r="BP545" s="438"/>
      <c r="BQ545" s="438"/>
      <c r="BR545" s="444"/>
      <c r="BS545" s="445"/>
    </row>
    <row r="546" spans="1:71" ht="15" customHeight="1" x14ac:dyDescent="0.15">
      <c r="A546" s="419" t="s">
        <v>3984</v>
      </c>
      <c r="B546" s="405" t="s">
        <v>3985</v>
      </c>
      <c r="C546" s="405"/>
      <c r="D546" s="405"/>
      <c r="E546" s="405"/>
      <c r="F546" s="451" t="s">
        <v>490</v>
      </c>
      <c r="G546" s="441" t="s">
        <v>3988</v>
      </c>
      <c r="H546" s="442" t="s">
        <v>981</v>
      </c>
      <c r="I546" s="406" t="s">
        <v>982</v>
      </c>
      <c r="J546" s="407" t="s">
        <v>3983</v>
      </c>
      <c r="K546" s="408"/>
      <c r="L546" s="409">
        <v>3</v>
      </c>
      <c r="M546" s="409"/>
      <c r="N546" s="410" t="str">
        <f t="shared" si="16"/>
        <v>U 21 Hommes</v>
      </c>
      <c r="O546" s="739">
        <v>3</v>
      </c>
      <c r="P546" s="863"/>
      <c r="Q546" s="730" t="str">
        <f t="shared" si="17"/>
        <v>U 21 Hommes</v>
      </c>
      <c r="R546" s="741"/>
      <c r="S546" s="741"/>
      <c r="T546" s="741"/>
      <c r="U546" s="741"/>
      <c r="V546" s="741"/>
      <c r="W546" s="741"/>
      <c r="X546" s="741"/>
      <c r="Y546" s="741"/>
      <c r="Z546" s="741"/>
      <c r="AA546" s="741"/>
      <c r="AB546" s="423" t="s">
        <v>3993</v>
      </c>
      <c r="AC546" s="423"/>
      <c r="AD546" s="423"/>
      <c r="AE546" s="423"/>
      <c r="AF546" s="422"/>
      <c r="AG546" s="469"/>
      <c r="AH546" s="431"/>
      <c r="AI546" s="429">
        <v>44631</v>
      </c>
      <c r="AJ546" s="429">
        <v>44631</v>
      </c>
      <c r="AK546" s="613">
        <v>2023</v>
      </c>
      <c r="AL546" s="439">
        <v>39787</v>
      </c>
      <c r="AM546" s="433" t="s">
        <v>3989</v>
      </c>
      <c r="AN546" s="434"/>
      <c r="AO546" s="430"/>
      <c r="AP546" s="435"/>
      <c r="AQ546" s="440">
        <v>621472087</v>
      </c>
      <c r="AR546" s="436" t="s">
        <v>3990</v>
      </c>
      <c r="AS546" s="413"/>
      <c r="AT546" s="413"/>
      <c r="AU546" s="400"/>
      <c r="AV546" s="412"/>
      <c r="AW546" s="398"/>
      <c r="AX546" s="72"/>
      <c r="AY546" s="398"/>
      <c r="AZ546" s="400"/>
      <c r="BA546" s="72"/>
      <c r="BB546" s="404"/>
      <c r="BC546" s="404"/>
      <c r="BD546" s="404"/>
      <c r="BE546" s="404"/>
      <c r="BF546" s="404"/>
      <c r="BG546" s="404"/>
      <c r="BH546" s="403"/>
      <c r="BI546" s="403"/>
      <c r="BJ546" s="403"/>
      <c r="BK546" s="402"/>
      <c r="BL546" s="402"/>
      <c r="BM546" s="402"/>
      <c r="BN546" s="401"/>
      <c r="BO546" s="437"/>
      <c r="BP546" s="438"/>
      <c r="BQ546" s="438"/>
      <c r="BR546" s="444"/>
      <c r="BS546" s="445"/>
    </row>
    <row r="547" spans="1:71" ht="15" customHeight="1" x14ac:dyDescent="0.15">
      <c r="A547" s="419" t="s">
        <v>4646</v>
      </c>
      <c r="B547" s="405" t="s">
        <v>1137</v>
      </c>
      <c r="C547" s="405"/>
      <c r="D547" s="405"/>
      <c r="E547" s="405"/>
      <c r="F547" s="447" t="s">
        <v>107</v>
      </c>
      <c r="G547" s="441" t="s">
        <v>4648</v>
      </c>
      <c r="H547" s="442" t="s">
        <v>1235</v>
      </c>
      <c r="I547" s="406" t="s">
        <v>223</v>
      </c>
      <c r="J547" s="407" t="s">
        <v>4645</v>
      </c>
      <c r="K547" s="408"/>
      <c r="L547" s="409">
        <v>212</v>
      </c>
      <c r="M547" s="409"/>
      <c r="N547" s="410" t="str">
        <f t="shared" si="16"/>
        <v>Contact famille</v>
      </c>
      <c r="O547" s="739">
        <v>212</v>
      </c>
      <c r="P547" s="863"/>
      <c r="Q547" s="730" t="str">
        <f t="shared" si="17"/>
        <v>Contact famille</v>
      </c>
      <c r="R547" s="741"/>
      <c r="S547" s="741"/>
      <c r="T547" s="741"/>
      <c r="U547" s="741"/>
      <c r="V547" s="741"/>
      <c r="W547" s="741" t="s">
        <v>313</v>
      </c>
      <c r="X547" s="741" t="s">
        <v>313</v>
      </c>
      <c r="Y547" s="741"/>
      <c r="Z547" s="741"/>
      <c r="AA547" s="741"/>
      <c r="AB547" s="423"/>
      <c r="AC547" s="423"/>
      <c r="AD547" s="423"/>
      <c r="AE547" s="423"/>
      <c r="AF547" s="422"/>
      <c r="AG547" s="448"/>
      <c r="AH547" s="431"/>
      <c r="AI547" s="429" t="s">
        <v>242</v>
      </c>
      <c r="AJ547" s="429" t="s">
        <v>242</v>
      </c>
      <c r="AK547" s="428" t="s">
        <v>242</v>
      </c>
      <c r="AL547" s="439" t="s">
        <v>242</v>
      </c>
      <c r="AM547" s="433" t="s">
        <v>244</v>
      </c>
      <c r="AN547" s="434"/>
      <c r="AO547" s="430"/>
      <c r="AP547" s="435"/>
      <c r="AQ547" s="440">
        <v>691329129</v>
      </c>
      <c r="AR547" s="436" t="s">
        <v>4652</v>
      </c>
      <c r="AS547" s="413"/>
      <c r="AT547" s="413"/>
      <c r="AU547" s="400"/>
      <c r="AV547" s="412"/>
      <c r="AW547" s="398"/>
      <c r="AX547" s="72"/>
      <c r="AY547" s="398"/>
      <c r="AZ547" s="400"/>
      <c r="BA547" s="72"/>
      <c r="BB547" s="404"/>
      <c r="BC547" s="404"/>
      <c r="BD547" s="404"/>
      <c r="BE547" s="404"/>
      <c r="BF547" s="404"/>
      <c r="BG547" s="404"/>
      <c r="BH547" s="403"/>
      <c r="BI547" s="403"/>
      <c r="BJ547" s="403"/>
      <c r="BK547" s="402"/>
      <c r="BL547" s="402"/>
      <c r="BM547" s="402"/>
      <c r="BN547" s="401"/>
      <c r="BO547" s="437"/>
      <c r="BP547" s="438"/>
      <c r="BQ547" s="438"/>
      <c r="BR547" s="444"/>
      <c r="BS547" s="445"/>
    </row>
    <row r="548" spans="1:71" ht="15" customHeight="1" x14ac:dyDescent="0.15">
      <c r="A548" s="419" t="s">
        <v>4646</v>
      </c>
      <c r="B548" s="405" t="s">
        <v>1488</v>
      </c>
      <c r="C548" s="405"/>
      <c r="D548" s="405"/>
      <c r="E548" s="405"/>
      <c r="F548" s="447" t="s">
        <v>107</v>
      </c>
      <c r="G548" s="441" t="s">
        <v>4648</v>
      </c>
      <c r="H548" s="442" t="s">
        <v>1235</v>
      </c>
      <c r="I548" s="406" t="s">
        <v>223</v>
      </c>
      <c r="J548" s="407" t="s">
        <v>4645</v>
      </c>
      <c r="K548" s="408"/>
      <c r="L548" s="409">
        <v>8</v>
      </c>
      <c r="M548" s="409"/>
      <c r="N548" s="410" t="str">
        <f t="shared" si="16"/>
        <v xml:space="preserve">U 9 Hommes </v>
      </c>
      <c r="O548" s="739">
        <v>8</v>
      </c>
      <c r="P548" s="863"/>
      <c r="Q548" s="730" t="str">
        <f t="shared" si="17"/>
        <v xml:space="preserve">U 9 Hommes </v>
      </c>
      <c r="R548" s="741"/>
      <c r="S548" s="741"/>
      <c r="T548" s="741"/>
      <c r="U548" s="741"/>
      <c r="V548" s="741"/>
      <c r="W548" s="741" t="s">
        <v>192</v>
      </c>
      <c r="X548" s="741"/>
      <c r="Y548" s="741"/>
      <c r="Z548" s="741"/>
      <c r="AA548" s="741"/>
      <c r="AB548" s="423" t="s">
        <v>4673</v>
      </c>
      <c r="AC548" s="423"/>
      <c r="AD548" s="423"/>
      <c r="AE548" s="423"/>
      <c r="AF548" s="422"/>
      <c r="AG548" s="448"/>
      <c r="AH548" s="431"/>
      <c r="AI548" s="429">
        <v>45278</v>
      </c>
      <c r="AJ548" s="429">
        <v>45257</v>
      </c>
      <c r="AK548" s="428">
        <v>2030</v>
      </c>
      <c r="AL548" s="439">
        <v>43350</v>
      </c>
      <c r="AM548" s="433" t="s">
        <v>4649</v>
      </c>
      <c r="AN548" s="434"/>
      <c r="AO548" s="430"/>
      <c r="AP548" s="435" t="s">
        <v>4650</v>
      </c>
      <c r="AQ548" s="430" t="s">
        <v>4651</v>
      </c>
      <c r="AR548" s="436" t="s">
        <v>4652</v>
      </c>
      <c r="AS548" s="413"/>
      <c r="AT548" s="413"/>
      <c r="AU548" s="400"/>
      <c r="AV548" s="412"/>
      <c r="AW548" s="398"/>
      <c r="AX548" s="72"/>
      <c r="AY548" s="398"/>
      <c r="AZ548" s="400"/>
      <c r="BA548" s="72"/>
      <c r="BB548" s="404"/>
      <c r="BC548" s="404"/>
      <c r="BD548" s="404"/>
      <c r="BE548" s="404"/>
      <c r="BF548" s="404"/>
      <c r="BG548" s="404"/>
      <c r="BH548" s="403"/>
      <c r="BI548" s="403"/>
      <c r="BJ548" s="403"/>
      <c r="BK548" s="402"/>
      <c r="BL548" s="402"/>
      <c r="BM548" s="402"/>
      <c r="BN548" s="401"/>
      <c r="BO548" s="437"/>
      <c r="BP548" s="438"/>
      <c r="BQ548" s="438"/>
      <c r="BR548" s="444"/>
      <c r="BS548" s="445"/>
    </row>
    <row r="549" spans="1:71" ht="15" customHeight="1" x14ac:dyDescent="0.15">
      <c r="A549" s="419" t="s">
        <v>4646</v>
      </c>
      <c r="B549" s="405" t="s">
        <v>845</v>
      </c>
      <c r="C549" s="405"/>
      <c r="D549" s="405"/>
      <c r="E549" s="405"/>
      <c r="F549" s="447" t="s">
        <v>107</v>
      </c>
      <c r="G549" s="441" t="s">
        <v>4648</v>
      </c>
      <c r="H549" s="442" t="s">
        <v>1235</v>
      </c>
      <c r="I549" s="406" t="s">
        <v>223</v>
      </c>
      <c r="J549" s="407" t="s">
        <v>4645</v>
      </c>
      <c r="K549" s="408"/>
      <c r="L549" s="409">
        <v>21</v>
      </c>
      <c r="M549" s="409"/>
      <c r="N549" s="410" t="str">
        <f t="shared" si="16"/>
        <v>U7 Mixte</v>
      </c>
      <c r="O549" s="739">
        <v>21</v>
      </c>
      <c r="P549" s="863"/>
      <c r="Q549" s="730" t="str">
        <f t="shared" si="17"/>
        <v>U7 Mixte</v>
      </c>
      <c r="R549" s="741"/>
      <c r="S549" s="741"/>
      <c r="T549" s="741"/>
      <c r="U549" s="741"/>
      <c r="V549" s="741"/>
      <c r="W549" s="741"/>
      <c r="X549" s="741" t="s">
        <v>192</v>
      </c>
      <c r="Y549" s="741"/>
      <c r="Z549" s="741"/>
      <c r="AA549" s="741"/>
      <c r="AB549" s="423" t="s">
        <v>4674</v>
      </c>
      <c r="AC549" s="423"/>
      <c r="AD549" s="423"/>
      <c r="AE549" s="423"/>
      <c r="AF549" s="422"/>
      <c r="AG549" s="448"/>
      <c r="AH549" s="431"/>
      <c r="AI549" s="429">
        <v>45278</v>
      </c>
      <c r="AJ549" s="429">
        <v>45257</v>
      </c>
      <c r="AK549" s="428">
        <v>2029</v>
      </c>
      <c r="AL549" s="439">
        <v>44601</v>
      </c>
      <c r="AM549" s="433" t="s">
        <v>4669</v>
      </c>
      <c r="AN549" s="434"/>
      <c r="AO549" s="430"/>
      <c r="AP549" s="435" t="s">
        <v>4650</v>
      </c>
      <c r="AQ549" s="430" t="s">
        <v>4651</v>
      </c>
      <c r="AR549" s="350" t="s">
        <v>4652</v>
      </c>
      <c r="AS549" s="413"/>
      <c r="AT549" s="413"/>
      <c r="AU549" s="400"/>
      <c r="AV549" s="412"/>
      <c r="AW549" s="398"/>
      <c r="AX549" s="72"/>
      <c r="AY549" s="398"/>
      <c r="AZ549" s="400"/>
      <c r="BA549" s="72"/>
      <c r="BB549" s="404"/>
      <c r="BC549" s="404"/>
      <c r="BD549" s="404"/>
      <c r="BE549" s="404"/>
      <c r="BF549" s="404"/>
      <c r="BG549" s="404"/>
      <c r="BH549" s="403"/>
      <c r="BI549" s="403"/>
      <c r="BJ549" s="403"/>
      <c r="BK549" s="402"/>
      <c r="BL549" s="402"/>
      <c r="BM549" s="402"/>
      <c r="BN549" s="401"/>
      <c r="BO549" s="437"/>
      <c r="BP549" s="438"/>
      <c r="BQ549" s="438"/>
      <c r="BR549" s="444"/>
      <c r="BS549" s="445"/>
    </row>
    <row r="550" spans="1:71" ht="15" customHeight="1" x14ac:dyDescent="0.15">
      <c r="A550" s="419" t="s">
        <v>4654</v>
      </c>
      <c r="B550" s="405" t="s">
        <v>4657</v>
      </c>
      <c r="C550" s="405"/>
      <c r="D550" s="405"/>
      <c r="E550" s="405"/>
      <c r="F550" s="451" t="s">
        <v>4659</v>
      </c>
      <c r="G550" s="441" t="s">
        <v>4660</v>
      </c>
      <c r="H550" s="442" t="s">
        <v>4661</v>
      </c>
      <c r="I550" s="406" t="s">
        <v>558</v>
      </c>
      <c r="J550" s="407" t="s">
        <v>653</v>
      </c>
      <c r="K550" s="408"/>
      <c r="L550" s="409">
        <v>212</v>
      </c>
      <c r="M550" s="409"/>
      <c r="N550" s="410" t="str">
        <f t="shared" si="16"/>
        <v>Contact famille</v>
      </c>
      <c r="O550" s="739">
        <v>212</v>
      </c>
      <c r="P550" s="863"/>
      <c r="Q550" s="730" t="str">
        <f t="shared" si="17"/>
        <v>Contact famille</v>
      </c>
      <c r="R550" s="741"/>
      <c r="S550" s="741"/>
      <c r="T550" s="741"/>
      <c r="U550" s="741" t="s">
        <v>313</v>
      </c>
      <c r="V550" s="741"/>
      <c r="W550" s="741"/>
      <c r="X550" s="741"/>
      <c r="Y550" s="741"/>
      <c r="Z550" s="741"/>
      <c r="AA550" s="741"/>
      <c r="AB550" s="423"/>
      <c r="AC550" s="423"/>
      <c r="AD550" s="423"/>
      <c r="AE550" s="423"/>
      <c r="AF550" s="422"/>
      <c r="AG550" s="448"/>
      <c r="AH550" s="431"/>
      <c r="AI550" s="429" t="s">
        <v>242</v>
      </c>
      <c r="AJ550" s="429" t="s">
        <v>242</v>
      </c>
      <c r="AK550" s="428" t="s">
        <v>242</v>
      </c>
      <c r="AL550" s="439" t="s">
        <v>242</v>
      </c>
      <c r="AM550" s="433" t="s">
        <v>244</v>
      </c>
      <c r="AN550" s="434"/>
      <c r="AO550" s="430"/>
      <c r="AP550" s="435"/>
      <c r="AQ550" s="440">
        <v>621424881</v>
      </c>
      <c r="AR550" s="450" t="s">
        <v>4665</v>
      </c>
      <c r="AS550" s="413"/>
      <c r="AT550" s="413"/>
      <c r="AU550" s="400"/>
      <c r="AV550" s="412"/>
      <c r="AW550" s="398"/>
      <c r="AX550" s="72"/>
      <c r="AY550" s="398"/>
      <c r="AZ550" s="400"/>
      <c r="BA550" s="72"/>
      <c r="BB550" s="404"/>
      <c r="BC550" s="404"/>
      <c r="BD550" s="404"/>
      <c r="BE550" s="404"/>
      <c r="BF550" s="404"/>
      <c r="BG550" s="404"/>
      <c r="BH550" s="403"/>
      <c r="BI550" s="403"/>
      <c r="BJ550" s="403"/>
      <c r="BK550" s="402"/>
      <c r="BL550" s="402"/>
      <c r="BM550" s="402"/>
      <c r="BN550" s="401"/>
      <c r="BO550" s="437"/>
      <c r="BP550" s="438"/>
      <c r="BQ550" s="438"/>
      <c r="BR550" s="444"/>
      <c r="BS550" s="445"/>
    </row>
    <row r="551" spans="1:71" ht="15" customHeight="1" x14ac:dyDescent="0.15">
      <c r="A551" s="419" t="s">
        <v>4654</v>
      </c>
      <c r="B551" s="405" t="s">
        <v>4656</v>
      </c>
      <c r="C551" s="405"/>
      <c r="D551" s="405"/>
      <c r="E551" s="405"/>
      <c r="F551" s="451" t="s">
        <v>4659</v>
      </c>
      <c r="G551" s="441" t="s">
        <v>4660</v>
      </c>
      <c r="H551" s="442" t="s">
        <v>4661</v>
      </c>
      <c r="I551" s="406" t="s">
        <v>558</v>
      </c>
      <c r="J551" s="407" t="s">
        <v>653</v>
      </c>
      <c r="K551" s="408"/>
      <c r="L551" s="409">
        <v>6</v>
      </c>
      <c r="M551" s="409"/>
      <c r="N551" s="410" t="str">
        <f t="shared" si="16"/>
        <v>U 13 Hommes</v>
      </c>
      <c r="O551" s="739">
        <v>6</v>
      </c>
      <c r="P551" s="863"/>
      <c r="Q551" s="730" t="str">
        <f t="shared" si="17"/>
        <v>U 13 Hommes</v>
      </c>
      <c r="R551" s="741"/>
      <c r="S551" s="741"/>
      <c r="T551" s="741"/>
      <c r="U551" s="741" t="s">
        <v>192</v>
      </c>
      <c r="V551" s="741"/>
      <c r="W551" s="741"/>
      <c r="X551" s="741"/>
      <c r="Y551" s="741"/>
      <c r="Z551" s="741"/>
      <c r="AA551" s="741"/>
      <c r="AB551" s="423" t="s">
        <v>4670</v>
      </c>
      <c r="AC551" s="423"/>
      <c r="AD551" s="423"/>
      <c r="AE551" s="423"/>
      <c r="AF551" s="422"/>
      <c r="AG551" s="448"/>
      <c r="AH551" s="431"/>
      <c r="AI551" s="429">
        <v>45273</v>
      </c>
      <c r="AJ551" s="429">
        <v>45262</v>
      </c>
      <c r="AK551" s="428">
        <v>2026</v>
      </c>
      <c r="AL551" s="439">
        <v>41744</v>
      </c>
      <c r="AM551" s="433" t="s">
        <v>4662</v>
      </c>
      <c r="AN551" s="434"/>
      <c r="AO551" s="430"/>
      <c r="AP551" s="435" t="s">
        <v>4663</v>
      </c>
      <c r="AQ551" s="430" t="s">
        <v>4664</v>
      </c>
      <c r="AR551" s="450" t="s">
        <v>4666</v>
      </c>
      <c r="AS551" s="413"/>
      <c r="AT551" s="413"/>
      <c r="AU551" s="400"/>
      <c r="AV551" s="412"/>
      <c r="AW551" s="398"/>
      <c r="AX551" s="72"/>
      <c r="AY551" s="398"/>
      <c r="AZ551" s="400"/>
      <c r="BA551" s="72"/>
      <c r="BB551" s="404"/>
      <c r="BC551" s="404"/>
      <c r="BD551" s="404"/>
      <c r="BE551" s="404"/>
      <c r="BF551" s="404"/>
      <c r="BG551" s="404"/>
      <c r="BH551" s="403"/>
      <c r="BI551" s="403"/>
      <c r="BJ551" s="403"/>
      <c r="BK551" s="402"/>
      <c r="BL551" s="402"/>
      <c r="BM551" s="402"/>
      <c r="BN551" s="401"/>
      <c r="BO551" s="437"/>
      <c r="BP551" s="438"/>
      <c r="BQ551" s="438"/>
      <c r="BR551" s="444"/>
      <c r="BS551" s="445"/>
    </row>
    <row r="552" spans="1:71" ht="15" customHeight="1" x14ac:dyDescent="0.15">
      <c r="A552" s="419" t="s">
        <v>4311</v>
      </c>
      <c r="B552" s="405" t="s">
        <v>4314</v>
      </c>
      <c r="C552" s="405"/>
      <c r="D552" s="405"/>
      <c r="E552" s="405"/>
      <c r="F552" s="451" t="s">
        <v>490</v>
      </c>
      <c r="G552" s="441" t="s">
        <v>4315</v>
      </c>
      <c r="H552" s="442" t="s">
        <v>110</v>
      </c>
      <c r="I552" s="406" t="s">
        <v>111</v>
      </c>
      <c r="J552" s="407" t="s">
        <v>4309</v>
      </c>
      <c r="K552" s="408"/>
      <c r="L552" s="409">
        <v>212</v>
      </c>
      <c r="M552" s="409"/>
      <c r="N552" s="410" t="str">
        <f t="shared" si="16"/>
        <v>Contact famille</v>
      </c>
      <c r="O552" s="739">
        <v>212</v>
      </c>
      <c r="P552" s="863"/>
      <c r="Q552" s="730" t="str">
        <f t="shared" si="17"/>
        <v>Contact famille</v>
      </c>
      <c r="R552" s="741"/>
      <c r="S552" s="741"/>
      <c r="T552" s="741"/>
      <c r="U552" s="741"/>
      <c r="V552" s="741"/>
      <c r="W552" s="741" t="s">
        <v>313</v>
      </c>
      <c r="X552" s="741"/>
      <c r="Y552" s="741"/>
      <c r="Z552" s="741"/>
      <c r="AA552" s="741"/>
      <c r="AB552" s="423"/>
      <c r="AC552" s="423"/>
      <c r="AD552" s="423"/>
      <c r="AE552" s="423"/>
      <c r="AF552" s="422"/>
      <c r="AG552" s="448"/>
      <c r="AH552" s="431"/>
      <c r="AI552" s="429" t="s">
        <v>242</v>
      </c>
      <c r="AJ552" s="429" t="s">
        <v>242</v>
      </c>
      <c r="AK552" s="428" t="s">
        <v>242</v>
      </c>
      <c r="AL552" s="439" t="s">
        <v>242</v>
      </c>
      <c r="AM552" s="433" t="s">
        <v>244</v>
      </c>
      <c r="AN552" s="434"/>
      <c r="AO552" s="430"/>
      <c r="AP552" s="435"/>
      <c r="AQ552" s="440">
        <v>661890301</v>
      </c>
      <c r="AR552" s="436" t="s">
        <v>4320</v>
      </c>
      <c r="AS552" s="413"/>
      <c r="AT552" s="413"/>
      <c r="AU552" s="400"/>
      <c r="AV552" s="412"/>
      <c r="AW552" s="398"/>
      <c r="AX552" s="72"/>
      <c r="AY552" s="398"/>
      <c r="AZ552" s="400"/>
      <c r="BA552" s="72"/>
      <c r="BB552" s="404"/>
      <c r="BC552" s="404"/>
      <c r="BD552" s="404"/>
      <c r="BE552" s="404"/>
      <c r="BF552" s="404"/>
      <c r="BG552" s="404"/>
      <c r="BH552" s="403"/>
      <c r="BI552" s="403"/>
      <c r="BJ552" s="403"/>
      <c r="BK552" s="402"/>
      <c r="BL552" s="402"/>
      <c r="BM552" s="402"/>
      <c r="BN552" s="401"/>
      <c r="BO552" s="437"/>
      <c r="BP552" s="438"/>
      <c r="BQ552" s="438"/>
      <c r="BR552" s="444"/>
      <c r="BS552" s="445"/>
    </row>
    <row r="553" spans="1:71" ht="15" customHeight="1" x14ac:dyDescent="0.15">
      <c r="A553" s="419" t="s">
        <v>5010</v>
      </c>
      <c r="B553" s="405" t="s">
        <v>5017</v>
      </c>
      <c r="C553" s="405"/>
      <c r="D553" s="405"/>
      <c r="E553" s="405"/>
      <c r="F553" s="447" t="s">
        <v>107</v>
      </c>
      <c r="G553" s="441" t="s">
        <v>5018</v>
      </c>
      <c r="H553" s="442" t="s">
        <v>5019</v>
      </c>
      <c r="I553" s="406" t="s">
        <v>274</v>
      </c>
      <c r="J553" s="407" t="s">
        <v>2727</v>
      </c>
      <c r="K553" s="408"/>
      <c r="L553" s="409">
        <v>212</v>
      </c>
      <c r="M553" s="409"/>
      <c r="N553" s="410" t="str">
        <f t="shared" si="16"/>
        <v>Contact famille</v>
      </c>
      <c r="O553" s="739">
        <v>212</v>
      </c>
      <c r="P553" s="863"/>
      <c r="Q553" s="730" t="str">
        <f t="shared" si="17"/>
        <v>Contact famille</v>
      </c>
      <c r="R553" s="741"/>
      <c r="S553" s="741"/>
      <c r="T553" s="741"/>
      <c r="U553" s="741"/>
      <c r="V553" s="741"/>
      <c r="W553" s="741"/>
      <c r="X553" s="741" t="s">
        <v>313</v>
      </c>
      <c r="Y553" s="741"/>
      <c r="Z553" s="741"/>
      <c r="AA553" s="741"/>
      <c r="AB553" s="423"/>
      <c r="AC553" s="423"/>
      <c r="AD553" s="423"/>
      <c r="AE553" s="423"/>
      <c r="AF553" s="422"/>
      <c r="AG553" s="448"/>
      <c r="AH553" s="431"/>
      <c r="AI553" s="429" t="s">
        <v>242</v>
      </c>
      <c r="AJ553" s="429" t="s">
        <v>242</v>
      </c>
      <c r="AK553" s="428" t="s">
        <v>242</v>
      </c>
      <c r="AL553" s="399" t="s">
        <v>242</v>
      </c>
      <c r="AM553" s="449" t="s">
        <v>244</v>
      </c>
      <c r="AN553" s="434"/>
      <c r="AO553" s="430"/>
      <c r="AP553" s="435"/>
      <c r="AQ553" s="440">
        <v>621765406</v>
      </c>
      <c r="AR553" s="436" t="s">
        <v>5014</v>
      </c>
      <c r="AS553" s="413"/>
      <c r="AT553" s="413"/>
      <c r="AU553" s="400"/>
      <c r="AV553" s="412"/>
      <c r="AW553" s="398"/>
      <c r="AX553" s="72"/>
      <c r="AY553" s="398"/>
      <c r="AZ553" s="400"/>
      <c r="BA553" s="72"/>
      <c r="BB553" s="404"/>
      <c r="BC553" s="404"/>
      <c r="BD553" s="404"/>
      <c r="BE553" s="404"/>
      <c r="BF553" s="404"/>
      <c r="BG553" s="404"/>
      <c r="BH553" s="403"/>
      <c r="BI553" s="403"/>
      <c r="BJ553" s="403"/>
      <c r="BK553" s="402"/>
      <c r="BL553" s="402"/>
      <c r="BM553" s="402"/>
      <c r="BN553" s="401"/>
      <c r="BO553" s="437"/>
      <c r="BP553" s="438"/>
      <c r="BQ553" s="438"/>
      <c r="BR553" s="444"/>
      <c r="BS553" s="445"/>
    </row>
    <row r="554" spans="1:71" ht="15" customHeight="1" x14ac:dyDescent="0.15">
      <c r="A554" s="419" t="s">
        <v>5010</v>
      </c>
      <c r="B554" s="405" t="s">
        <v>698</v>
      </c>
      <c r="C554" s="405"/>
      <c r="D554" s="405"/>
      <c r="E554" s="405"/>
      <c r="F554" s="447" t="s">
        <v>107</v>
      </c>
      <c r="G554" s="441" t="s">
        <v>5018</v>
      </c>
      <c r="H554" s="442" t="s">
        <v>5019</v>
      </c>
      <c r="I554" s="406" t="s">
        <v>274</v>
      </c>
      <c r="J554" s="407" t="s">
        <v>2727</v>
      </c>
      <c r="K554" s="408"/>
      <c r="L554" s="409">
        <v>212</v>
      </c>
      <c r="M554" s="409"/>
      <c r="N554" s="410" t="str">
        <f t="shared" si="16"/>
        <v>Contact famille</v>
      </c>
      <c r="O554" s="739">
        <v>212</v>
      </c>
      <c r="P554" s="863"/>
      <c r="Q554" s="730" t="str">
        <f t="shared" si="17"/>
        <v>Contact famille</v>
      </c>
      <c r="R554" s="741"/>
      <c r="S554" s="741"/>
      <c r="T554" s="741"/>
      <c r="U554" s="741"/>
      <c r="V554" s="741"/>
      <c r="W554" s="741"/>
      <c r="X554" s="741" t="s">
        <v>313</v>
      </c>
      <c r="Y554" s="741"/>
      <c r="Z554" s="741"/>
      <c r="AA554" s="741"/>
      <c r="AB554" s="423"/>
      <c r="AC554" s="423"/>
      <c r="AD554" s="423"/>
      <c r="AE554" s="423"/>
      <c r="AF554" s="422"/>
      <c r="AG554" s="448"/>
      <c r="AH554" s="431"/>
      <c r="AI554" s="429" t="s">
        <v>242</v>
      </c>
      <c r="AJ554" s="429" t="s">
        <v>242</v>
      </c>
      <c r="AK554" s="428" t="s">
        <v>242</v>
      </c>
      <c r="AL554" s="439" t="s">
        <v>242</v>
      </c>
      <c r="AM554" s="433" t="s">
        <v>5020</v>
      </c>
      <c r="AN554" s="434"/>
      <c r="AO554" s="430"/>
      <c r="AP554" s="435"/>
      <c r="AQ554" s="440">
        <v>691118239</v>
      </c>
      <c r="AR554" s="436" t="s">
        <v>5014</v>
      </c>
      <c r="AS554" s="413"/>
      <c r="AT554" s="413"/>
      <c r="AU554" s="400"/>
      <c r="AV554" s="412"/>
      <c r="AW554" s="399"/>
      <c r="AX554" s="72"/>
      <c r="AY554" s="398"/>
      <c r="AZ554" s="400"/>
      <c r="BA554" s="72"/>
      <c r="BB554" s="404"/>
      <c r="BC554" s="404"/>
      <c r="BD554" s="404"/>
      <c r="BE554" s="404"/>
      <c r="BF554" s="404"/>
      <c r="BG554" s="404"/>
      <c r="BH554" s="403"/>
      <c r="BI554" s="403"/>
      <c r="BJ554" s="403"/>
      <c r="BK554" s="402"/>
      <c r="BL554" s="402"/>
      <c r="BM554" s="402"/>
      <c r="BN554" s="401"/>
      <c r="BO554" s="437"/>
      <c r="BP554" s="438"/>
      <c r="BQ554" s="438"/>
      <c r="BR554" s="444"/>
      <c r="BS554" s="445"/>
    </row>
    <row r="555" spans="1:71" ht="15" customHeight="1" x14ac:dyDescent="0.15">
      <c r="A555" s="419" t="s">
        <v>5010</v>
      </c>
      <c r="B555" s="405" t="s">
        <v>5011</v>
      </c>
      <c r="C555" s="405"/>
      <c r="D555" s="405"/>
      <c r="E555" s="405"/>
      <c r="F555" s="447" t="s">
        <v>107</v>
      </c>
      <c r="G555" s="441" t="s">
        <v>5018</v>
      </c>
      <c r="H555" s="442" t="s">
        <v>5019</v>
      </c>
      <c r="I555" s="406" t="s">
        <v>274</v>
      </c>
      <c r="J555" s="407" t="s">
        <v>2727</v>
      </c>
      <c r="K555" s="408"/>
      <c r="L555" s="409">
        <v>21</v>
      </c>
      <c r="M555" s="409"/>
      <c r="N555" s="410" t="str">
        <f t="shared" si="16"/>
        <v>U7 Mixte</v>
      </c>
      <c r="O555" s="739">
        <v>21</v>
      </c>
      <c r="P555" s="863"/>
      <c r="Q555" s="730" t="str">
        <f t="shared" si="17"/>
        <v>U7 Mixte</v>
      </c>
      <c r="R555" s="741"/>
      <c r="S555" s="741"/>
      <c r="T555" s="741"/>
      <c r="U555" s="741"/>
      <c r="V555" s="741"/>
      <c r="W555" s="741"/>
      <c r="X555" s="741" t="s">
        <v>192</v>
      </c>
      <c r="Y555" s="741"/>
      <c r="Z555" s="741"/>
      <c r="AA555" s="741"/>
      <c r="AB555" s="423" t="s">
        <v>5012</v>
      </c>
      <c r="AC555" s="423"/>
      <c r="AD555" s="423"/>
      <c r="AE555" s="423"/>
      <c r="AF555" s="422"/>
      <c r="AG555" s="448"/>
      <c r="AH555" s="431"/>
      <c r="AI555" s="429">
        <v>45643</v>
      </c>
      <c r="AJ555" s="429">
        <v>45614</v>
      </c>
      <c r="AK555" s="428">
        <v>2029</v>
      </c>
      <c r="AL555" s="439">
        <v>44575</v>
      </c>
      <c r="AM555" s="433" t="s">
        <v>5013</v>
      </c>
      <c r="AN555" s="434"/>
      <c r="AO555" s="430"/>
      <c r="AP555" s="435" t="s">
        <v>5015</v>
      </c>
      <c r="AQ555" s="430" t="s">
        <v>5016</v>
      </c>
      <c r="AR555" s="436" t="s">
        <v>5014</v>
      </c>
      <c r="AS555" s="413"/>
      <c r="AT555" s="413"/>
      <c r="AU555" s="400"/>
      <c r="AV555" s="412"/>
      <c r="AW555" s="398"/>
      <c r="AX555" s="72"/>
      <c r="AY555" s="398"/>
      <c r="AZ555" s="400"/>
      <c r="BA555" s="72"/>
      <c r="BB555" s="404"/>
      <c r="BC555" s="404"/>
      <c r="BD555" s="404"/>
      <c r="BE555" s="404"/>
      <c r="BF555" s="404"/>
      <c r="BG555" s="404"/>
      <c r="BH555" s="403"/>
      <c r="BI555" s="403"/>
      <c r="BJ555" s="403"/>
      <c r="BK555" s="402"/>
      <c r="BL555" s="402"/>
      <c r="BM555" s="402"/>
      <c r="BN555" s="401"/>
      <c r="BO555" s="437"/>
      <c r="BP555" s="438"/>
      <c r="BQ555" s="438"/>
      <c r="BR555" s="444"/>
      <c r="BS555" s="445"/>
    </row>
    <row r="556" spans="1:71" ht="15" customHeight="1" x14ac:dyDescent="0.15">
      <c r="A556" s="419" t="s">
        <v>4655</v>
      </c>
      <c r="B556" s="405" t="s">
        <v>4658</v>
      </c>
      <c r="C556" s="405"/>
      <c r="D556" s="405"/>
      <c r="E556" s="405"/>
      <c r="F556" s="451" t="s">
        <v>4659</v>
      </c>
      <c r="G556" s="441" t="s">
        <v>4660</v>
      </c>
      <c r="H556" s="442" t="s">
        <v>4661</v>
      </c>
      <c r="I556" s="406" t="s">
        <v>558</v>
      </c>
      <c r="J556" s="407" t="s">
        <v>653</v>
      </c>
      <c r="K556" s="408"/>
      <c r="L556" s="409">
        <v>212</v>
      </c>
      <c r="M556" s="409"/>
      <c r="N556" s="410" t="str">
        <f t="shared" si="16"/>
        <v>Contact famille</v>
      </c>
      <c r="O556" s="739">
        <v>212</v>
      </c>
      <c r="P556" s="863"/>
      <c r="Q556" s="730" t="str">
        <f t="shared" si="17"/>
        <v>Contact famille</v>
      </c>
      <c r="R556" s="741"/>
      <c r="S556" s="741"/>
      <c r="T556" s="741"/>
      <c r="U556" s="741" t="s">
        <v>313</v>
      </c>
      <c r="V556" s="741"/>
      <c r="W556" s="741"/>
      <c r="X556" s="741"/>
      <c r="Y556" s="741"/>
      <c r="Z556" s="741"/>
      <c r="AA556" s="741"/>
      <c r="AB556" s="423"/>
      <c r="AC556" s="423"/>
      <c r="AD556" s="423"/>
      <c r="AE556" s="423"/>
      <c r="AF556" s="422"/>
      <c r="AG556" s="448"/>
      <c r="AH556" s="431"/>
      <c r="AI556" s="429" t="s">
        <v>242</v>
      </c>
      <c r="AJ556" s="429" t="s">
        <v>242</v>
      </c>
      <c r="AK556" s="428" t="s">
        <v>242</v>
      </c>
      <c r="AL556" s="399" t="s">
        <v>242</v>
      </c>
      <c r="AM556" s="449" t="s">
        <v>244</v>
      </c>
      <c r="AN556" s="434"/>
      <c r="AO556" s="430"/>
      <c r="AP556" s="435"/>
      <c r="AQ556" s="440">
        <v>621381229</v>
      </c>
      <c r="AR556" s="450" t="s">
        <v>4666</v>
      </c>
      <c r="AS556" s="413"/>
      <c r="AT556" s="413"/>
      <c r="AU556" s="400"/>
      <c r="AV556" s="412"/>
      <c r="AW556" s="398"/>
      <c r="AX556" s="72"/>
      <c r="AY556" s="398"/>
      <c r="AZ556" s="400"/>
      <c r="BA556" s="72"/>
      <c r="BB556" s="404"/>
      <c r="BC556" s="404"/>
      <c r="BD556" s="404"/>
      <c r="BE556" s="404"/>
      <c r="BF556" s="404"/>
      <c r="BG556" s="404"/>
      <c r="BH556" s="403"/>
      <c r="BI556" s="403"/>
      <c r="BJ556" s="403"/>
      <c r="BK556" s="402"/>
      <c r="BL556" s="402"/>
      <c r="BM556" s="402"/>
      <c r="BN556" s="401"/>
      <c r="BO556" s="437"/>
      <c r="BP556" s="438"/>
      <c r="BQ556" s="438"/>
      <c r="BR556" s="444"/>
      <c r="BS556" s="445"/>
    </row>
    <row r="557" spans="1:71" ht="15" customHeight="1" x14ac:dyDescent="0.15">
      <c r="A557" s="419" t="s">
        <v>3184</v>
      </c>
      <c r="B557" s="405" t="s">
        <v>2167</v>
      </c>
      <c r="C557" s="405"/>
      <c r="D557" s="405"/>
      <c r="E557" s="405"/>
      <c r="F557" s="451" t="s">
        <v>107</v>
      </c>
      <c r="G557" s="441" t="s">
        <v>3185</v>
      </c>
      <c r="H557" s="442" t="s">
        <v>492</v>
      </c>
      <c r="I557" s="406" t="s">
        <v>493</v>
      </c>
      <c r="J557" s="407" t="s">
        <v>1558</v>
      </c>
      <c r="K557" s="408"/>
      <c r="L557" s="409">
        <v>212</v>
      </c>
      <c r="M557" s="409"/>
      <c r="N557" s="410" t="str">
        <f t="shared" si="16"/>
        <v>Contact famille</v>
      </c>
      <c r="O557" s="739">
        <v>212</v>
      </c>
      <c r="P557" s="863"/>
      <c r="Q557" s="730" t="str">
        <f t="shared" si="17"/>
        <v>Contact famille</v>
      </c>
      <c r="R557" s="741"/>
      <c r="S557" s="741"/>
      <c r="T557" s="741"/>
      <c r="U557" s="741"/>
      <c r="V557" s="741"/>
      <c r="W557" s="741"/>
      <c r="X557" s="741"/>
      <c r="Y557" s="741"/>
      <c r="Z557" s="741"/>
      <c r="AA557" s="741"/>
      <c r="AB557" s="423"/>
      <c r="AC557" s="423"/>
      <c r="AD557" s="423"/>
      <c r="AE557" s="423" t="s">
        <v>252</v>
      </c>
      <c r="AF557" s="422"/>
      <c r="AG557" s="448" t="s">
        <v>252</v>
      </c>
      <c r="AH557" s="431"/>
      <c r="AI557" s="429" t="s">
        <v>242</v>
      </c>
      <c r="AJ557" s="429" t="s">
        <v>242</v>
      </c>
      <c r="AK557" s="428" t="s">
        <v>242</v>
      </c>
      <c r="AL557" s="439" t="s">
        <v>242</v>
      </c>
      <c r="AM557" s="433" t="s">
        <v>244</v>
      </c>
      <c r="AN557" s="434"/>
      <c r="AO557" s="430"/>
      <c r="AP557" s="435"/>
      <c r="AQ557" s="430" t="s">
        <v>3191</v>
      </c>
      <c r="AR557" s="436" t="s">
        <v>3195</v>
      </c>
      <c r="AS557" s="413"/>
      <c r="AT557" s="413"/>
      <c r="AU557" s="400"/>
      <c r="AV557" s="412"/>
      <c r="AW557" s="398"/>
      <c r="AX557" s="72"/>
      <c r="AY557" s="398"/>
      <c r="AZ557" s="400"/>
      <c r="BA557" s="72"/>
      <c r="BB557" s="404"/>
      <c r="BC557" s="404"/>
      <c r="BD557" s="404"/>
      <c r="BE557" s="404"/>
      <c r="BF557" s="404"/>
      <c r="BG557" s="404"/>
      <c r="BH557" s="403"/>
      <c r="BI557" s="403"/>
      <c r="BJ557" s="403"/>
      <c r="BK557" s="402"/>
      <c r="BL557" s="402"/>
      <c r="BM557" s="402"/>
      <c r="BN557" s="401"/>
      <c r="BO557" s="437"/>
      <c r="BP557" s="438"/>
      <c r="BQ557" s="438"/>
      <c r="BR557" s="444"/>
      <c r="BS557" s="445"/>
    </row>
    <row r="558" spans="1:71" ht="15" customHeight="1" x14ac:dyDescent="0.15">
      <c r="A558" s="419" t="s">
        <v>3184</v>
      </c>
      <c r="B558" s="405" t="s">
        <v>1203</v>
      </c>
      <c r="C558" s="405"/>
      <c r="D558" s="405"/>
      <c r="E558" s="405"/>
      <c r="F558" s="447" t="s">
        <v>107</v>
      </c>
      <c r="G558" s="441" t="s">
        <v>3185</v>
      </c>
      <c r="H558" s="442" t="s">
        <v>492</v>
      </c>
      <c r="I558" s="406" t="s">
        <v>493</v>
      </c>
      <c r="J558" s="407" t="s">
        <v>1558</v>
      </c>
      <c r="K558" s="408"/>
      <c r="L558" s="409">
        <v>3</v>
      </c>
      <c r="M558" s="409"/>
      <c r="N558" s="410" t="str">
        <f t="shared" si="16"/>
        <v>U 21 Hommes</v>
      </c>
      <c r="O558" s="739">
        <v>3</v>
      </c>
      <c r="P558" s="863"/>
      <c r="Q558" s="730" t="str">
        <f t="shared" si="17"/>
        <v>U 21 Hommes</v>
      </c>
      <c r="R558" s="741"/>
      <c r="S558" s="741"/>
      <c r="T558" s="741"/>
      <c r="U558" s="741"/>
      <c r="V558" s="741"/>
      <c r="W558" s="741"/>
      <c r="X558" s="741"/>
      <c r="Y558" s="741"/>
      <c r="Z558" s="741"/>
      <c r="AA558" s="741"/>
      <c r="AB558" s="423" t="s">
        <v>3224</v>
      </c>
      <c r="AC558" s="423"/>
      <c r="AD558" s="423"/>
      <c r="AE558" s="423"/>
      <c r="AF558" s="422"/>
      <c r="AG558" s="425"/>
      <c r="AH558" s="431"/>
      <c r="AI558" s="429">
        <v>43843</v>
      </c>
      <c r="AJ558" s="429">
        <v>43802</v>
      </c>
      <c r="AK558" s="428">
        <v>2026</v>
      </c>
      <c r="AL558" s="439">
        <v>38840</v>
      </c>
      <c r="AM558" s="433" t="s">
        <v>3187</v>
      </c>
      <c r="AN558" s="434"/>
      <c r="AO558" s="430" t="s">
        <v>3189</v>
      </c>
      <c r="AP558" s="435"/>
      <c r="AQ558" s="430" t="s">
        <v>3190</v>
      </c>
      <c r="AR558" s="679" t="s">
        <v>3193</v>
      </c>
      <c r="AS558" s="413"/>
      <c r="AT558" s="413"/>
      <c r="AU558" s="400"/>
      <c r="AV558" s="412"/>
      <c r="AW558" s="398"/>
      <c r="AX558" s="72"/>
      <c r="AY558" s="398"/>
      <c r="AZ558" s="400"/>
      <c r="BA558" s="72"/>
      <c r="BB558" s="404"/>
      <c r="BC558" s="404"/>
      <c r="BD558" s="404"/>
      <c r="BE558" s="443" t="s">
        <v>347</v>
      </c>
      <c r="BF558" s="404"/>
      <c r="BG558" s="404"/>
      <c r="BH558" s="403"/>
      <c r="BI558" s="403"/>
      <c r="BJ558" s="403"/>
      <c r="BK558" s="402"/>
      <c r="BL558" s="402"/>
      <c r="BM558" s="402"/>
      <c r="BN558" s="401"/>
      <c r="BO558" s="437"/>
      <c r="BP558" s="438"/>
      <c r="BQ558" s="438"/>
      <c r="BR558" s="444"/>
      <c r="BS558" s="445"/>
    </row>
    <row r="559" spans="1:71" ht="15" customHeight="1" x14ac:dyDescent="0.15">
      <c r="A559" s="419" t="s">
        <v>4688</v>
      </c>
      <c r="B559" s="405" t="s">
        <v>525</v>
      </c>
      <c r="C559" s="405"/>
      <c r="D559" s="405"/>
      <c r="E559" s="405"/>
      <c r="F559" s="447" t="s">
        <v>107</v>
      </c>
      <c r="G559" s="441" t="s">
        <v>4691</v>
      </c>
      <c r="H559" s="442" t="s">
        <v>3618</v>
      </c>
      <c r="I559" s="406" t="s">
        <v>223</v>
      </c>
      <c r="J559" s="407" t="s">
        <v>2027</v>
      </c>
      <c r="K559" s="408"/>
      <c r="L559" s="409">
        <v>212</v>
      </c>
      <c r="M559" s="409"/>
      <c r="N559" s="410" t="str">
        <f t="shared" si="16"/>
        <v>Contact famille</v>
      </c>
      <c r="O559" s="739">
        <v>212</v>
      </c>
      <c r="P559" s="863"/>
      <c r="Q559" s="730" t="str">
        <f t="shared" si="17"/>
        <v>Contact famille</v>
      </c>
      <c r="R559" s="741"/>
      <c r="S559" s="741"/>
      <c r="T559" s="741"/>
      <c r="U559" s="741"/>
      <c r="V559" s="741"/>
      <c r="W559" s="741"/>
      <c r="X559" s="741" t="s">
        <v>313</v>
      </c>
      <c r="Y559" s="741"/>
      <c r="Z559" s="741"/>
      <c r="AA559" s="741"/>
      <c r="AB559" s="423"/>
      <c r="AC559" s="423"/>
      <c r="AD559" s="423"/>
      <c r="AE559" s="423"/>
      <c r="AF559" s="422" t="s">
        <v>252</v>
      </c>
      <c r="AG559" s="448"/>
      <c r="AH559" s="431"/>
      <c r="AI559" s="429" t="s">
        <v>242</v>
      </c>
      <c r="AJ559" s="429" t="s">
        <v>242</v>
      </c>
      <c r="AK559" s="470" t="s">
        <v>242</v>
      </c>
      <c r="AL559" s="439">
        <v>27396</v>
      </c>
      <c r="AM559" s="433" t="s">
        <v>4693</v>
      </c>
      <c r="AN559" s="434"/>
      <c r="AO559" s="430" t="s">
        <v>4696</v>
      </c>
      <c r="AP559" s="435"/>
      <c r="AQ559" s="440">
        <v>691654785</v>
      </c>
      <c r="AR559" s="679" t="s">
        <v>4700</v>
      </c>
      <c r="AS559" s="413"/>
      <c r="AT559" s="413"/>
      <c r="AU559" s="400"/>
      <c r="AV559" s="412"/>
      <c r="AW559" s="398"/>
      <c r="AX559" s="72"/>
      <c r="AY559" s="398"/>
      <c r="AZ559" s="400"/>
      <c r="BA559" s="72"/>
      <c r="BB559" s="404"/>
      <c r="BC559" s="404"/>
      <c r="BD559" s="404"/>
      <c r="BE559" s="404"/>
      <c r="BF559" s="404"/>
      <c r="BG559" s="404"/>
      <c r="BH559" s="403"/>
      <c r="BI559" s="403"/>
      <c r="BJ559" s="403"/>
      <c r="BK559" s="402"/>
      <c r="BL559" s="402"/>
      <c r="BM559" s="402"/>
      <c r="BN559" s="401"/>
      <c r="BO559" s="437"/>
      <c r="BP559" s="438"/>
      <c r="BQ559" s="438"/>
      <c r="BR559" s="444"/>
      <c r="BS559" s="445"/>
    </row>
    <row r="560" spans="1:71" ht="15" customHeight="1" x14ac:dyDescent="0.15">
      <c r="A560" s="419" t="s">
        <v>4688</v>
      </c>
      <c r="B560" s="405" t="s">
        <v>4689</v>
      </c>
      <c r="C560" s="405"/>
      <c r="D560" s="405"/>
      <c r="E560" s="405"/>
      <c r="F560" s="447" t="s">
        <v>5477</v>
      </c>
      <c r="G560" s="441" t="s">
        <v>4691</v>
      </c>
      <c r="H560" s="442" t="s">
        <v>3618</v>
      </c>
      <c r="I560" s="406" t="s">
        <v>223</v>
      </c>
      <c r="J560" s="407" t="s">
        <v>2027</v>
      </c>
      <c r="K560" s="408"/>
      <c r="L560" s="409">
        <v>21</v>
      </c>
      <c r="M560" s="409"/>
      <c r="N560" s="410" t="str">
        <f t="shared" si="16"/>
        <v>U7 Mixte</v>
      </c>
      <c r="O560" s="739">
        <v>21</v>
      </c>
      <c r="P560" s="863"/>
      <c r="Q560" s="730" t="str">
        <f t="shared" si="17"/>
        <v>U7 Mixte</v>
      </c>
      <c r="R560" s="741"/>
      <c r="S560" s="741"/>
      <c r="T560" s="741"/>
      <c r="U560" s="741"/>
      <c r="V560" s="741"/>
      <c r="W560" s="741"/>
      <c r="X560" s="741" t="s">
        <v>192</v>
      </c>
      <c r="Y560" s="741"/>
      <c r="Z560" s="741"/>
      <c r="AA560" s="741"/>
      <c r="AB560" s="423" t="s">
        <v>4791</v>
      </c>
      <c r="AC560" s="423"/>
      <c r="AD560" s="423"/>
      <c r="AE560" s="423"/>
      <c r="AF560" s="422"/>
      <c r="AG560" s="425"/>
      <c r="AH560" s="431"/>
      <c r="AI560" s="429">
        <v>45369</v>
      </c>
      <c r="AJ560" s="429">
        <v>45297</v>
      </c>
      <c r="AK560" s="428">
        <v>2028</v>
      </c>
      <c r="AL560" s="439">
        <v>44531</v>
      </c>
      <c r="AM560" s="433" t="s">
        <v>4692</v>
      </c>
      <c r="AN560" s="434"/>
      <c r="AO560" s="430" t="s">
        <v>4695</v>
      </c>
      <c r="AP560" s="435" t="s">
        <v>4698</v>
      </c>
      <c r="AQ560" s="430" t="s">
        <v>4699</v>
      </c>
      <c r="AR560" s="436" t="s">
        <v>4701</v>
      </c>
      <c r="AS560" s="413"/>
      <c r="AT560" s="413"/>
      <c r="AU560" s="400"/>
      <c r="AV560" s="412"/>
      <c r="AW560" s="398"/>
      <c r="AX560" s="72"/>
      <c r="AY560" s="398"/>
      <c r="AZ560" s="400"/>
      <c r="BA560" s="72"/>
      <c r="BB560" s="404"/>
      <c r="BC560" s="404"/>
      <c r="BD560" s="404"/>
      <c r="BE560" s="404"/>
      <c r="BF560" s="404"/>
      <c r="BG560" s="404"/>
      <c r="BH560" s="403"/>
      <c r="BI560" s="403"/>
      <c r="BJ560" s="403"/>
      <c r="BK560" s="402"/>
      <c r="BL560" s="402"/>
      <c r="BM560" s="402"/>
      <c r="BN560" s="401"/>
      <c r="BO560" s="437"/>
      <c r="BP560" s="438"/>
      <c r="BQ560" s="438"/>
      <c r="BR560" s="444"/>
      <c r="BS560" s="446" t="s">
        <v>252</v>
      </c>
    </row>
    <row r="561" spans="1:71" ht="15" customHeight="1" x14ac:dyDescent="0.15">
      <c r="A561" s="419"/>
      <c r="B561" s="405"/>
      <c r="C561" s="405"/>
      <c r="D561" s="405"/>
      <c r="E561" s="405"/>
      <c r="F561" s="420"/>
      <c r="G561" s="421"/>
      <c r="H561" s="442"/>
      <c r="I561" s="406"/>
      <c r="J561" s="407" t="s">
        <v>1006</v>
      </c>
      <c r="K561" s="408"/>
      <c r="L561" s="409"/>
      <c r="M561" s="409"/>
      <c r="N561" s="410" t="str">
        <f t="shared" si="16"/>
        <v>CAT à compléter</v>
      </c>
      <c r="O561" s="739"/>
      <c r="P561" s="863"/>
      <c r="Q561" s="730" t="str">
        <f t="shared" si="17"/>
        <v>CAT à compléter</v>
      </c>
      <c r="R561" s="740"/>
      <c r="S561" s="740"/>
      <c r="T561" s="740"/>
      <c r="U561" s="740"/>
      <c r="V561" s="740"/>
      <c r="W561" s="740"/>
      <c r="X561" s="740"/>
      <c r="Y561" s="740"/>
      <c r="Z561" s="740"/>
      <c r="AA561" s="740"/>
      <c r="AB561" s="423"/>
      <c r="AC561" s="418"/>
      <c r="AD561" s="418"/>
      <c r="AE561" s="418"/>
      <c r="AF561" s="422"/>
      <c r="AG561" s="425"/>
      <c r="AH561" s="417"/>
      <c r="AI561" s="415"/>
      <c r="AJ561" s="415"/>
      <c r="AK561" s="428"/>
      <c r="AL561" s="397"/>
      <c r="AM561" s="416"/>
      <c r="AN561" s="412"/>
      <c r="AO561" s="72"/>
      <c r="AP561" s="414"/>
      <c r="AQ561" s="430"/>
      <c r="AR561" s="400"/>
      <c r="AS561" s="413"/>
      <c r="AT561" s="413"/>
      <c r="AU561" s="412"/>
      <c r="AV561" s="412"/>
      <c r="AW561" s="399"/>
      <c r="AX561" s="72"/>
      <c r="AY561" s="398"/>
      <c r="AZ561" s="400"/>
      <c r="BA561" s="72"/>
      <c r="BB561" s="404"/>
      <c r="BC561" s="404"/>
      <c r="BD561" s="404"/>
      <c r="BE561" s="404"/>
      <c r="BF561" s="404"/>
      <c r="BG561" s="404"/>
      <c r="BH561" s="403"/>
      <c r="BI561" s="403"/>
      <c r="BJ561" s="403"/>
      <c r="BK561" s="402"/>
      <c r="BL561" s="402"/>
      <c r="BM561" s="402"/>
      <c r="BN561" s="401"/>
      <c r="BO561" s="400"/>
      <c r="BP561" s="400"/>
      <c r="BQ561" s="400"/>
      <c r="BR561" s="72"/>
      <c r="BS561" s="411"/>
    </row>
    <row r="562" spans="1:71" ht="15" customHeight="1" x14ac:dyDescent="0.15">
      <c r="A562" s="419"/>
      <c r="B562" s="405"/>
      <c r="C562" s="405"/>
      <c r="D562" s="405"/>
      <c r="E562" s="405"/>
      <c r="F562" s="420"/>
      <c r="G562" s="421"/>
      <c r="H562" s="442"/>
      <c r="I562" s="406"/>
      <c r="J562" s="407" t="s">
        <v>714</v>
      </c>
      <c r="K562" s="408"/>
      <c r="L562" s="409"/>
      <c r="M562" s="409"/>
      <c r="N562" s="410" t="str">
        <f t="shared" si="16"/>
        <v>CAT à compléter</v>
      </c>
      <c r="O562" s="739"/>
      <c r="P562" s="863"/>
      <c r="Q562" s="730" t="str">
        <f t="shared" si="17"/>
        <v>CAT à compléter</v>
      </c>
      <c r="R562" s="740"/>
      <c r="S562" s="740"/>
      <c r="T562" s="740"/>
      <c r="U562" s="740"/>
      <c r="V562" s="740"/>
      <c r="W562" s="740"/>
      <c r="X562" s="740"/>
      <c r="Y562" s="740"/>
      <c r="Z562" s="740"/>
      <c r="AA562" s="740"/>
      <c r="AB562" s="423"/>
      <c r="AC562" s="418"/>
      <c r="AD562" s="418"/>
      <c r="AE562" s="418"/>
      <c r="AF562" s="422"/>
      <c r="AG562" s="425"/>
      <c r="AH562" s="417"/>
      <c r="AI562" s="415"/>
      <c r="AJ562" s="415"/>
      <c r="AK562" s="428"/>
      <c r="AL562" s="397"/>
      <c r="AM562" s="416"/>
      <c r="AN562" s="412"/>
      <c r="AO562" s="72"/>
      <c r="AP562" s="414"/>
      <c r="AQ562" s="430"/>
      <c r="AR562" s="400"/>
      <c r="AS562" s="413"/>
      <c r="AT562" s="413"/>
      <c r="AU562" s="412"/>
      <c r="AV562" s="412"/>
      <c r="AW562" s="399"/>
      <c r="AX562" s="72"/>
      <c r="AY562" s="398"/>
      <c r="AZ562" s="400"/>
      <c r="BA562" s="72"/>
      <c r="BB562" s="404"/>
      <c r="BC562" s="404"/>
      <c r="BD562" s="404"/>
      <c r="BE562" s="404"/>
      <c r="BF562" s="404"/>
      <c r="BG562" s="404"/>
      <c r="BH562" s="403"/>
      <c r="BI562" s="403"/>
      <c r="BJ562" s="403"/>
      <c r="BK562" s="402"/>
      <c r="BL562" s="402"/>
      <c r="BM562" s="402"/>
      <c r="BN562" s="401"/>
      <c r="BO562" s="400"/>
      <c r="BP562" s="400"/>
      <c r="BQ562" s="400"/>
      <c r="BR562" s="72"/>
      <c r="BS562" s="411"/>
    </row>
    <row r="563" spans="1:71" ht="15" customHeight="1" x14ac:dyDescent="0.15">
      <c r="A563" s="419"/>
      <c r="B563" s="405"/>
      <c r="C563" s="405"/>
      <c r="D563" s="405"/>
      <c r="E563" s="405"/>
      <c r="F563" s="420"/>
      <c r="G563" s="421"/>
      <c r="H563" s="442"/>
      <c r="I563" s="406"/>
      <c r="J563" s="407" t="s">
        <v>728</v>
      </c>
      <c r="K563" s="408"/>
      <c r="L563" s="409"/>
      <c r="M563" s="409"/>
      <c r="N563" s="410" t="str">
        <f t="shared" si="16"/>
        <v>CAT à compléter</v>
      </c>
      <c r="O563" s="739"/>
      <c r="P563" s="863"/>
      <c r="Q563" s="730" t="str">
        <f t="shared" si="17"/>
        <v>CAT à compléter</v>
      </c>
      <c r="R563" s="740"/>
      <c r="S563" s="740"/>
      <c r="T563" s="740"/>
      <c r="U563" s="740"/>
      <c r="V563" s="740"/>
      <c r="W563" s="740"/>
      <c r="X563" s="740"/>
      <c r="Y563" s="740"/>
      <c r="Z563" s="740"/>
      <c r="AA563" s="740"/>
      <c r="AB563" s="423"/>
      <c r="AC563" s="418"/>
      <c r="AD563" s="418"/>
      <c r="AE563" s="418"/>
      <c r="AF563" s="422"/>
      <c r="AG563" s="425"/>
      <c r="AH563" s="417"/>
      <c r="AI563" s="415"/>
      <c r="AJ563" s="415"/>
      <c r="AK563" s="428"/>
      <c r="AL563" s="397"/>
      <c r="AM563" s="416"/>
      <c r="AN563" s="412"/>
      <c r="AO563" s="72"/>
      <c r="AP563" s="414"/>
      <c r="AQ563" s="430"/>
      <c r="AR563" s="400" t="s">
        <v>252</v>
      </c>
      <c r="AS563" s="413"/>
      <c r="AT563" s="413"/>
      <c r="AU563" s="412"/>
      <c r="AV563" s="412"/>
      <c r="AW563" s="399"/>
      <c r="AX563" s="72"/>
      <c r="AY563" s="398"/>
      <c r="AZ563" s="400"/>
      <c r="BA563" s="72"/>
      <c r="BB563" s="404"/>
      <c r="BC563" s="404"/>
      <c r="BD563" s="404"/>
      <c r="BE563" s="404"/>
      <c r="BF563" s="404"/>
      <c r="BG563" s="404"/>
      <c r="BH563" s="403"/>
      <c r="BI563" s="403"/>
      <c r="BJ563" s="403"/>
      <c r="BK563" s="402"/>
      <c r="BL563" s="402"/>
      <c r="BM563" s="402"/>
      <c r="BN563" s="401"/>
      <c r="BO563" s="400"/>
      <c r="BP563" s="400"/>
      <c r="BQ563" s="400"/>
      <c r="BR563" s="72"/>
      <c r="BS563" s="411"/>
    </row>
    <row r="564" spans="1:71" ht="15" customHeight="1" x14ac:dyDescent="0.15">
      <c r="A564" s="419"/>
      <c r="B564" s="405"/>
      <c r="C564" s="405"/>
      <c r="D564" s="405"/>
      <c r="E564" s="405"/>
      <c r="F564" s="420"/>
      <c r="G564" s="421"/>
      <c r="H564" s="442"/>
      <c r="I564" s="406"/>
      <c r="J564" s="407" t="s">
        <v>2246</v>
      </c>
      <c r="K564" s="408"/>
      <c r="L564" s="409"/>
      <c r="M564" s="409"/>
      <c r="N564" s="410" t="str">
        <f t="shared" si="16"/>
        <v>CAT à compléter</v>
      </c>
      <c r="O564" s="739"/>
      <c r="P564" s="863"/>
      <c r="Q564" s="730" t="str">
        <f t="shared" si="17"/>
        <v>CAT à compléter</v>
      </c>
      <c r="R564" s="740"/>
      <c r="S564" s="740"/>
      <c r="T564" s="740"/>
      <c r="U564" s="740"/>
      <c r="V564" s="740"/>
      <c r="W564" s="740"/>
      <c r="X564" s="740"/>
      <c r="Y564" s="740"/>
      <c r="Z564" s="740"/>
      <c r="AA564" s="740"/>
      <c r="AB564" s="423"/>
      <c r="AC564" s="418"/>
      <c r="AD564" s="418"/>
      <c r="AE564" s="418"/>
      <c r="AF564" s="422"/>
      <c r="AG564" s="425"/>
      <c r="AH564" s="417"/>
      <c r="AI564" s="415"/>
      <c r="AJ564" s="415"/>
      <c r="AK564" s="428"/>
      <c r="AL564" s="397"/>
      <c r="AM564" s="416"/>
      <c r="AN564" s="412"/>
      <c r="AO564" s="72"/>
      <c r="AP564" s="414"/>
      <c r="AQ564" s="430"/>
      <c r="AR564" s="400"/>
      <c r="AS564" s="413"/>
      <c r="AT564" s="413"/>
      <c r="AU564" s="412"/>
      <c r="AV564" s="412"/>
      <c r="AW564" s="399"/>
      <c r="AX564" s="72"/>
      <c r="AY564" s="398"/>
      <c r="AZ564" s="400"/>
      <c r="BA564" s="72"/>
      <c r="BB564" s="404"/>
      <c r="BC564" s="404"/>
      <c r="BD564" s="404"/>
      <c r="BE564" s="404"/>
      <c r="BF564" s="404"/>
      <c r="BG564" s="404"/>
      <c r="BH564" s="403"/>
      <c r="BI564" s="403"/>
      <c r="BJ564" s="403"/>
      <c r="BK564" s="402"/>
      <c r="BL564" s="402"/>
      <c r="BM564" s="402"/>
      <c r="BN564" s="401"/>
      <c r="BO564" s="400"/>
      <c r="BP564" s="400"/>
      <c r="BQ564" s="400"/>
      <c r="BR564" s="72"/>
      <c r="BS564" s="411"/>
    </row>
    <row r="565" spans="1:71" ht="15" customHeight="1" x14ac:dyDescent="0.15">
      <c r="A565" s="419"/>
      <c r="B565" s="405"/>
      <c r="C565" s="405"/>
      <c r="D565" s="405"/>
      <c r="E565" s="405"/>
      <c r="F565" s="420"/>
      <c r="G565" s="421"/>
      <c r="H565" s="442"/>
      <c r="I565" s="406"/>
      <c r="J565" s="407" t="s">
        <v>5634</v>
      </c>
      <c r="K565" s="408"/>
      <c r="L565" s="409"/>
      <c r="M565" s="409"/>
      <c r="N565" s="410" t="str">
        <f t="shared" si="16"/>
        <v>CAT à compléter</v>
      </c>
      <c r="O565" s="739"/>
      <c r="P565" s="863"/>
      <c r="Q565" s="730" t="str">
        <f t="shared" si="17"/>
        <v>CAT à compléter</v>
      </c>
      <c r="R565" s="740"/>
      <c r="S565" s="740"/>
      <c r="T565" s="740"/>
      <c r="U565" s="740"/>
      <c r="V565" s="740"/>
      <c r="W565" s="740"/>
      <c r="X565" s="740"/>
      <c r="Y565" s="740"/>
      <c r="Z565" s="740"/>
      <c r="AA565" s="740"/>
      <c r="AB565" s="423"/>
      <c r="AC565" s="418"/>
      <c r="AD565" s="418"/>
      <c r="AE565" s="418"/>
      <c r="AF565" s="422"/>
      <c r="AG565" s="425"/>
      <c r="AH565" s="417"/>
      <c r="AI565" s="415"/>
      <c r="AJ565" s="415"/>
      <c r="AK565" s="428"/>
      <c r="AL565" s="397"/>
      <c r="AM565" s="416"/>
      <c r="AN565" s="412"/>
      <c r="AO565" s="72"/>
      <c r="AP565" s="414"/>
      <c r="AQ565" s="430"/>
      <c r="AR565" s="400"/>
      <c r="AS565" s="413"/>
      <c r="AT565" s="413"/>
      <c r="AU565" s="412"/>
      <c r="AV565" s="412"/>
      <c r="AW565" s="399"/>
      <c r="AX565" s="72"/>
      <c r="AY565" s="398"/>
      <c r="AZ565" s="400"/>
      <c r="BA565" s="72"/>
      <c r="BB565" s="404"/>
      <c r="BC565" s="404"/>
      <c r="BD565" s="404"/>
      <c r="BE565" s="404"/>
      <c r="BF565" s="404"/>
      <c r="BG565" s="404"/>
      <c r="BH565" s="403"/>
      <c r="BI565" s="403"/>
      <c r="BJ565" s="403"/>
      <c r="BK565" s="402"/>
      <c r="BL565" s="402"/>
      <c r="BM565" s="402"/>
      <c r="BN565" s="401"/>
      <c r="BO565" s="400"/>
      <c r="BP565" s="400"/>
      <c r="BQ565" s="400"/>
      <c r="BR565" s="72"/>
      <c r="BS565" s="411"/>
    </row>
    <row r="566" spans="1:71" ht="15" customHeight="1" x14ac:dyDescent="0.15">
      <c r="A566" s="419"/>
      <c r="B566" s="405"/>
      <c r="C566" s="405"/>
      <c r="D566" s="405"/>
      <c r="E566" s="405"/>
      <c r="F566" s="420"/>
      <c r="G566" s="421"/>
      <c r="H566" s="442"/>
      <c r="I566" s="406"/>
      <c r="J566" s="407" t="s">
        <v>5635</v>
      </c>
      <c r="K566" s="408"/>
      <c r="L566" s="409"/>
      <c r="M566" s="409"/>
      <c r="N566" s="410" t="str">
        <f t="shared" si="16"/>
        <v>CAT à compléter</v>
      </c>
      <c r="O566" s="739"/>
      <c r="P566" s="863"/>
      <c r="Q566" s="730" t="str">
        <f t="shared" si="17"/>
        <v>CAT à compléter</v>
      </c>
      <c r="R566" s="740"/>
      <c r="S566" s="740"/>
      <c r="T566" s="740"/>
      <c r="U566" s="740"/>
      <c r="V566" s="740"/>
      <c r="W566" s="740"/>
      <c r="X566" s="740"/>
      <c r="Y566" s="740"/>
      <c r="Z566" s="740"/>
      <c r="AA566" s="740"/>
      <c r="AB566" s="423"/>
      <c r="AC566" s="418"/>
      <c r="AD566" s="418"/>
      <c r="AE566" s="418"/>
      <c r="AF566" s="422"/>
      <c r="AG566" s="425"/>
      <c r="AH566" s="417"/>
      <c r="AI566" s="415"/>
      <c r="AJ566" s="415"/>
      <c r="AK566" s="428"/>
      <c r="AL566" s="397"/>
      <c r="AM566" s="416"/>
      <c r="AN566" s="412"/>
      <c r="AO566" s="72"/>
      <c r="AP566" s="414"/>
      <c r="AQ566" s="430"/>
      <c r="AR566" s="400"/>
      <c r="AS566" s="413"/>
      <c r="AT566" s="413"/>
      <c r="AU566" s="412"/>
      <c r="AV566" s="412"/>
      <c r="AW566" s="399"/>
      <c r="AX566" s="72"/>
      <c r="AY566" s="398"/>
      <c r="AZ566" s="400"/>
      <c r="BA566" s="72"/>
      <c r="BB566" s="404"/>
      <c r="BC566" s="404"/>
      <c r="BD566" s="404"/>
      <c r="BE566" s="404"/>
      <c r="BF566" s="404"/>
      <c r="BG566" s="404"/>
      <c r="BH566" s="403"/>
      <c r="BI566" s="403"/>
      <c r="BJ566" s="403"/>
      <c r="BK566" s="402"/>
      <c r="BL566" s="402"/>
      <c r="BM566" s="402"/>
      <c r="BN566" s="401"/>
      <c r="BO566" s="400"/>
      <c r="BP566" s="400"/>
      <c r="BQ566" s="400"/>
      <c r="BR566" s="72"/>
      <c r="BS566" s="411"/>
    </row>
    <row r="567" spans="1:71" ht="15" customHeight="1" x14ac:dyDescent="0.15">
      <c r="A567" s="419"/>
      <c r="B567" s="405"/>
      <c r="C567" s="405"/>
      <c r="D567" s="405"/>
      <c r="E567" s="405"/>
      <c r="F567" s="420"/>
      <c r="G567" s="421"/>
      <c r="H567" s="442"/>
      <c r="I567" s="406"/>
      <c r="J567" s="407" t="s">
        <v>5636</v>
      </c>
      <c r="K567" s="408"/>
      <c r="L567" s="409"/>
      <c r="M567" s="409"/>
      <c r="N567" s="410" t="str">
        <f t="shared" si="16"/>
        <v>CAT à compléter</v>
      </c>
      <c r="O567" s="739"/>
      <c r="P567" s="863"/>
      <c r="Q567" s="730" t="str">
        <f t="shared" si="17"/>
        <v>CAT à compléter</v>
      </c>
      <c r="R567" s="740"/>
      <c r="S567" s="740"/>
      <c r="T567" s="740"/>
      <c r="U567" s="740"/>
      <c r="V567" s="740"/>
      <c r="W567" s="740"/>
      <c r="X567" s="740"/>
      <c r="Y567" s="740"/>
      <c r="Z567" s="740"/>
      <c r="AA567" s="740"/>
      <c r="AB567" s="423"/>
      <c r="AC567" s="418"/>
      <c r="AD567" s="418"/>
      <c r="AE567" s="418"/>
      <c r="AF567" s="422"/>
      <c r="AG567" s="425"/>
      <c r="AH567" s="417"/>
      <c r="AI567" s="415"/>
      <c r="AJ567" s="415"/>
      <c r="AK567" s="428"/>
      <c r="AL567" s="397"/>
      <c r="AM567" s="416"/>
      <c r="AN567" s="412"/>
      <c r="AO567" s="72"/>
      <c r="AP567" s="414"/>
      <c r="AQ567" s="430"/>
      <c r="AR567" s="400"/>
      <c r="AS567" s="413"/>
      <c r="AT567" s="413"/>
      <c r="AU567" s="412"/>
      <c r="AV567" s="412"/>
      <c r="AW567" s="399"/>
      <c r="AX567" s="72"/>
      <c r="AY567" s="398"/>
      <c r="AZ567" s="400"/>
      <c r="BA567" s="72"/>
      <c r="BB567" s="404"/>
      <c r="BC567" s="404"/>
      <c r="BD567" s="404"/>
      <c r="BE567" s="404"/>
      <c r="BF567" s="404"/>
      <c r="BG567" s="404"/>
      <c r="BH567" s="403"/>
      <c r="BI567" s="403"/>
      <c r="BJ567" s="403"/>
      <c r="BK567" s="402"/>
      <c r="BL567" s="402"/>
      <c r="BM567" s="402"/>
      <c r="BN567" s="401"/>
      <c r="BO567" s="400"/>
      <c r="BP567" s="400"/>
      <c r="BQ567" s="400"/>
      <c r="BR567" s="72"/>
      <c r="BS567" s="411"/>
    </row>
    <row r="568" spans="1:71" ht="15" customHeight="1" x14ac:dyDescent="0.15">
      <c r="A568" s="419"/>
      <c r="B568" s="405"/>
      <c r="C568" s="405"/>
      <c r="D568" s="405"/>
      <c r="E568" s="405"/>
      <c r="F568" s="420"/>
      <c r="G568" s="421"/>
      <c r="H568" s="442"/>
      <c r="I568" s="406"/>
      <c r="J568" s="407" t="s">
        <v>5637</v>
      </c>
      <c r="K568" s="408"/>
      <c r="L568" s="409"/>
      <c r="M568" s="409"/>
      <c r="N568" s="410" t="str">
        <f t="shared" si="16"/>
        <v>CAT à compléter</v>
      </c>
      <c r="O568" s="739"/>
      <c r="P568" s="863"/>
      <c r="Q568" s="730" t="str">
        <f t="shared" si="17"/>
        <v>CAT à compléter</v>
      </c>
      <c r="R568" s="740"/>
      <c r="S568" s="740"/>
      <c r="T568" s="740"/>
      <c r="U568" s="740"/>
      <c r="V568" s="740"/>
      <c r="W568" s="740"/>
      <c r="X568" s="740"/>
      <c r="Y568" s="740"/>
      <c r="Z568" s="740"/>
      <c r="AA568" s="740"/>
      <c r="AB568" s="423"/>
      <c r="AC568" s="418"/>
      <c r="AD568" s="418"/>
      <c r="AE568" s="418"/>
      <c r="AF568" s="422"/>
      <c r="AG568" s="425"/>
      <c r="AH568" s="417"/>
      <c r="AI568" s="415"/>
      <c r="AJ568" s="415"/>
      <c r="AK568" s="428"/>
      <c r="AL568" s="397"/>
      <c r="AM568" s="416"/>
      <c r="AN568" s="412"/>
      <c r="AO568" s="72"/>
      <c r="AP568" s="414"/>
      <c r="AQ568" s="430"/>
      <c r="AR568" s="400"/>
      <c r="AS568" s="413"/>
      <c r="AT568" s="413"/>
      <c r="AU568" s="412"/>
      <c r="AV568" s="412"/>
      <c r="AW568" s="399"/>
      <c r="AX568" s="72"/>
      <c r="AY568" s="398"/>
      <c r="AZ568" s="400"/>
      <c r="BA568" s="72"/>
      <c r="BB568" s="404"/>
      <c r="BC568" s="404"/>
      <c r="BD568" s="404"/>
      <c r="BE568" s="404"/>
      <c r="BF568" s="404"/>
      <c r="BG568" s="404"/>
      <c r="BH568" s="403"/>
      <c r="BI568" s="403"/>
      <c r="BJ568" s="403"/>
      <c r="BK568" s="402"/>
      <c r="BL568" s="402"/>
      <c r="BM568" s="402"/>
      <c r="BN568" s="401"/>
      <c r="BO568" s="400"/>
      <c r="BP568" s="400"/>
      <c r="BQ568" s="400"/>
      <c r="BR568" s="72"/>
      <c r="BS568" s="411"/>
    </row>
    <row r="569" spans="1:71" ht="15" customHeight="1" x14ac:dyDescent="0.15">
      <c r="A569" s="419"/>
      <c r="B569" s="405"/>
      <c r="C569" s="405"/>
      <c r="D569" s="405"/>
      <c r="E569" s="405"/>
      <c r="F569" s="420"/>
      <c r="G569" s="421"/>
      <c r="H569" s="442"/>
      <c r="I569" s="406"/>
      <c r="J569" s="407"/>
      <c r="K569" s="408"/>
      <c r="L569" s="409"/>
      <c r="M569" s="409"/>
      <c r="N569" s="410" t="str">
        <f t="shared" si="16"/>
        <v>CAT à compléter</v>
      </c>
      <c r="O569" s="739"/>
      <c r="P569" s="863"/>
      <c r="Q569" s="730" t="str">
        <f t="shared" si="17"/>
        <v>CAT à compléter</v>
      </c>
      <c r="R569" s="740"/>
      <c r="S569" s="740"/>
      <c r="T569" s="740"/>
      <c r="U569" s="740"/>
      <c r="V569" s="740"/>
      <c r="W569" s="740"/>
      <c r="X569" s="740"/>
      <c r="Y569" s="740"/>
      <c r="Z569" s="740"/>
      <c r="AA569" s="740"/>
      <c r="AB569" s="423"/>
      <c r="AC569" s="418"/>
      <c r="AD569" s="418"/>
      <c r="AE569" s="418"/>
      <c r="AF569" s="422"/>
      <c r="AG569" s="425"/>
      <c r="AH569" s="417"/>
      <c r="AI569" s="415"/>
      <c r="AJ569" s="415"/>
      <c r="AK569" s="428"/>
      <c r="AL569" s="397"/>
      <c r="AM569" s="416"/>
      <c r="AN569" s="412"/>
      <c r="AO569" s="72"/>
      <c r="AP569" s="414"/>
      <c r="AQ569" s="430"/>
      <c r="AR569" s="400"/>
      <c r="AS569" s="413"/>
      <c r="AT569" s="413"/>
      <c r="AU569" s="412"/>
      <c r="AV569" s="412"/>
      <c r="AW569" s="399"/>
      <c r="AX569" s="72"/>
      <c r="AY569" s="398"/>
      <c r="AZ569" s="400"/>
      <c r="BA569" s="72"/>
      <c r="BB569" s="404"/>
      <c r="BC569" s="404"/>
      <c r="BD569" s="404"/>
      <c r="BE569" s="404"/>
      <c r="BF569" s="404"/>
      <c r="BG569" s="404"/>
      <c r="BH569" s="403"/>
      <c r="BI569" s="403"/>
      <c r="BJ569" s="403"/>
      <c r="BK569" s="402"/>
      <c r="BL569" s="402"/>
      <c r="BM569" s="402"/>
      <c r="BN569" s="401"/>
      <c r="BO569" s="400"/>
      <c r="BP569" s="400"/>
      <c r="BQ569" s="400"/>
      <c r="BR569" s="72"/>
      <c r="BS569" s="411"/>
    </row>
    <row r="570" spans="1:71" ht="15" customHeight="1" x14ac:dyDescent="0.15">
      <c r="A570" s="419"/>
      <c r="B570" s="405"/>
      <c r="C570" s="405"/>
      <c r="D570" s="405"/>
      <c r="E570" s="405"/>
      <c r="F570" s="420"/>
      <c r="G570" s="421"/>
      <c r="H570" s="442"/>
      <c r="I570" s="406"/>
      <c r="J570" s="407"/>
      <c r="K570" s="408"/>
      <c r="L570" s="409"/>
      <c r="M570" s="409"/>
      <c r="N570" s="410" t="str">
        <f t="shared" si="16"/>
        <v>CAT à compléter</v>
      </c>
      <c r="O570" s="739"/>
      <c r="P570" s="863"/>
      <c r="Q570" s="730" t="str">
        <f t="shared" si="17"/>
        <v>CAT à compléter</v>
      </c>
      <c r="R570" s="740"/>
      <c r="S570" s="740"/>
      <c r="T570" s="740"/>
      <c r="U570" s="740"/>
      <c r="V570" s="740"/>
      <c r="W570" s="740"/>
      <c r="X570" s="740"/>
      <c r="Y570" s="740"/>
      <c r="Z570" s="740"/>
      <c r="AA570" s="740"/>
      <c r="AB570" s="423"/>
      <c r="AC570" s="418"/>
      <c r="AD570" s="418"/>
      <c r="AE570" s="418"/>
      <c r="AF570" s="422"/>
      <c r="AG570" s="425"/>
      <c r="AH570" s="417"/>
      <c r="AI570" s="415"/>
      <c r="AJ570" s="415"/>
      <c r="AK570" s="428"/>
      <c r="AL570" s="397"/>
      <c r="AM570" s="416"/>
      <c r="AN570" s="412"/>
      <c r="AO570" s="72"/>
      <c r="AP570" s="414"/>
      <c r="AQ570" s="430"/>
      <c r="AR570" s="400"/>
      <c r="AS570" s="413"/>
      <c r="AT570" s="413"/>
      <c r="AU570" s="412"/>
      <c r="AV570" s="412"/>
      <c r="AW570" s="399"/>
      <c r="AX570" s="72"/>
      <c r="AY570" s="398"/>
      <c r="AZ570" s="400"/>
      <c r="BA570" s="72"/>
      <c r="BB570" s="404"/>
      <c r="BC570" s="404"/>
      <c r="BD570" s="404"/>
      <c r="BE570" s="404"/>
      <c r="BF570" s="404"/>
      <c r="BG570" s="404"/>
      <c r="BH570" s="403"/>
      <c r="BI570" s="403"/>
      <c r="BJ570" s="403"/>
      <c r="BK570" s="402"/>
      <c r="BL570" s="402"/>
      <c r="BM570" s="402"/>
      <c r="BN570" s="401"/>
      <c r="BO570" s="400"/>
      <c r="BP570" s="400"/>
      <c r="BQ570" s="400"/>
      <c r="BR570" s="72"/>
      <c r="BS570" s="411"/>
    </row>
    <row r="571" spans="1:71" ht="15" customHeight="1" x14ac:dyDescent="0.15">
      <c r="A571" s="419"/>
      <c r="B571" s="405"/>
      <c r="C571" s="405"/>
      <c r="D571" s="405"/>
      <c r="E571" s="405"/>
      <c r="F571" s="420"/>
      <c r="G571" s="421"/>
      <c r="H571" s="442"/>
      <c r="I571" s="406"/>
      <c r="J571" s="407"/>
      <c r="K571" s="408"/>
      <c r="L571" s="409"/>
      <c r="M571" s="409"/>
      <c r="N571" s="410" t="str">
        <f t="shared" si="16"/>
        <v>CAT à compléter</v>
      </c>
      <c r="O571" s="739"/>
      <c r="P571" s="863"/>
      <c r="Q571" s="730" t="str">
        <f t="shared" si="17"/>
        <v>CAT à compléter</v>
      </c>
      <c r="R571" s="740"/>
      <c r="S571" s="740"/>
      <c r="T571" s="740"/>
      <c r="U571" s="740"/>
      <c r="V571" s="740"/>
      <c r="W571" s="740"/>
      <c r="X571" s="740"/>
      <c r="Y571" s="740"/>
      <c r="Z571" s="740"/>
      <c r="AA571" s="740"/>
      <c r="AB571" s="423"/>
      <c r="AC571" s="418"/>
      <c r="AD571" s="418"/>
      <c r="AE571" s="418"/>
      <c r="AF571" s="422"/>
      <c r="AG571" s="425"/>
      <c r="AH571" s="417"/>
      <c r="AI571" s="415"/>
      <c r="AJ571" s="415"/>
      <c r="AK571" s="428"/>
      <c r="AL571" s="397"/>
      <c r="AM571" s="416"/>
      <c r="AN571" s="412"/>
      <c r="AO571" s="72"/>
      <c r="AP571" s="414"/>
      <c r="AQ571" s="430"/>
      <c r="AR571" s="400"/>
      <c r="AS571" s="413"/>
      <c r="AT571" s="413"/>
      <c r="AU571" s="412"/>
      <c r="AV571" s="412"/>
      <c r="AW571" s="399"/>
      <c r="AX571" s="72"/>
      <c r="AY571" s="398"/>
      <c r="AZ571" s="400"/>
      <c r="BA571" s="72"/>
      <c r="BB571" s="404"/>
      <c r="BC571" s="404"/>
      <c r="BD571" s="404"/>
      <c r="BE571" s="404"/>
      <c r="BF571" s="404"/>
      <c r="BG571" s="404"/>
      <c r="BH571" s="403"/>
      <c r="BI571" s="403"/>
      <c r="BJ571" s="403"/>
      <c r="BK571" s="402"/>
      <c r="BL571" s="402"/>
      <c r="BM571" s="402"/>
      <c r="BN571" s="401"/>
      <c r="BO571" s="400"/>
      <c r="BP571" s="400"/>
      <c r="BQ571" s="400"/>
      <c r="BR571" s="72"/>
      <c r="BS571" s="411"/>
    </row>
    <row r="572" spans="1:71" ht="15" customHeight="1" x14ac:dyDescent="0.15">
      <c r="A572" s="419"/>
      <c r="B572" s="405"/>
      <c r="C572" s="405"/>
      <c r="D572" s="405"/>
      <c r="E572" s="405"/>
      <c r="F572" s="420"/>
      <c r="G572" s="421"/>
      <c r="H572" s="442"/>
      <c r="I572" s="406"/>
      <c r="J572" s="407"/>
      <c r="K572" s="408"/>
      <c r="L572" s="409"/>
      <c r="M572" s="409"/>
      <c r="N572" s="410" t="str">
        <f t="shared" si="16"/>
        <v>CAT à compléter</v>
      </c>
      <c r="O572" s="739"/>
      <c r="P572" s="863"/>
      <c r="Q572" s="730" t="str">
        <f t="shared" si="17"/>
        <v>CAT à compléter</v>
      </c>
      <c r="R572" s="740"/>
      <c r="S572" s="740"/>
      <c r="T572" s="740"/>
      <c r="U572" s="740"/>
      <c r="V572" s="740"/>
      <c r="W572" s="740"/>
      <c r="X572" s="740"/>
      <c r="Y572" s="740"/>
      <c r="Z572" s="740"/>
      <c r="AA572" s="740"/>
      <c r="AB572" s="423"/>
      <c r="AC572" s="418"/>
      <c r="AD572" s="418"/>
      <c r="AE572" s="418"/>
      <c r="AF572" s="422"/>
      <c r="AG572" s="425"/>
      <c r="AH572" s="417"/>
      <c r="AI572" s="415"/>
      <c r="AJ572" s="415"/>
      <c r="AK572" s="428"/>
      <c r="AL572" s="397"/>
      <c r="AM572" s="416"/>
      <c r="AN572" s="412"/>
      <c r="AO572" s="72"/>
      <c r="AP572" s="414"/>
      <c r="AQ572" s="430"/>
      <c r="AR572" s="400"/>
      <c r="AS572" s="413"/>
      <c r="AT572" s="413"/>
      <c r="AU572" s="412"/>
      <c r="AV572" s="412"/>
      <c r="AW572" s="399"/>
      <c r="AX572" s="72"/>
      <c r="AY572" s="398"/>
      <c r="AZ572" s="400"/>
      <c r="BA572" s="72"/>
      <c r="BB572" s="404"/>
      <c r="BC572" s="404"/>
      <c r="BD572" s="404"/>
      <c r="BE572" s="404"/>
      <c r="BF572" s="404"/>
      <c r="BG572" s="404"/>
      <c r="BH572" s="403"/>
      <c r="BI572" s="403"/>
      <c r="BJ572" s="403"/>
      <c r="BK572" s="402"/>
      <c r="BL572" s="402"/>
      <c r="BM572" s="402"/>
      <c r="BN572" s="401"/>
      <c r="BO572" s="400"/>
      <c r="BP572" s="400"/>
      <c r="BQ572" s="400"/>
      <c r="BR572" s="72"/>
      <c r="BS572" s="411"/>
    </row>
    <row r="573" spans="1:71" ht="15" customHeight="1" x14ac:dyDescent="0.15">
      <c r="A573" s="419"/>
      <c r="B573" s="405"/>
      <c r="C573" s="405"/>
      <c r="D573" s="405"/>
      <c r="E573" s="405"/>
      <c r="F573" s="420"/>
      <c r="G573" s="421"/>
      <c r="H573" s="442"/>
      <c r="I573" s="406"/>
      <c r="J573" s="407"/>
      <c r="K573" s="408"/>
      <c r="L573" s="409"/>
      <c r="M573" s="409"/>
      <c r="N573" s="410" t="str">
        <f t="shared" si="16"/>
        <v>CAT à compléter</v>
      </c>
      <c r="O573" s="739"/>
      <c r="P573" s="863"/>
      <c r="Q573" s="730" t="str">
        <f t="shared" si="17"/>
        <v>CAT à compléter</v>
      </c>
      <c r="R573" s="740"/>
      <c r="S573" s="740"/>
      <c r="T573" s="740"/>
      <c r="U573" s="740"/>
      <c r="V573" s="740"/>
      <c r="W573" s="740"/>
      <c r="X573" s="740"/>
      <c r="Y573" s="740"/>
      <c r="Z573" s="740"/>
      <c r="AA573" s="740"/>
      <c r="AB573" s="423"/>
      <c r="AC573" s="418"/>
      <c r="AD573" s="418"/>
      <c r="AE573" s="418"/>
      <c r="AF573" s="422"/>
      <c r="AG573" s="425"/>
      <c r="AH573" s="417"/>
      <c r="AI573" s="415"/>
      <c r="AJ573" s="415"/>
      <c r="AK573" s="428"/>
      <c r="AL573" s="397"/>
      <c r="AM573" s="416"/>
      <c r="AN573" s="412"/>
      <c r="AO573" s="72"/>
      <c r="AP573" s="414"/>
      <c r="AQ573" s="430"/>
      <c r="AR573" s="400"/>
      <c r="AS573" s="413"/>
      <c r="AT573" s="413"/>
      <c r="AU573" s="412"/>
      <c r="AV573" s="412"/>
      <c r="AW573" s="399"/>
      <c r="AX573" s="72"/>
      <c r="AY573" s="398"/>
      <c r="AZ573" s="400"/>
      <c r="BA573" s="72"/>
      <c r="BB573" s="404"/>
      <c r="BC573" s="404"/>
      <c r="BD573" s="404"/>
      <c r="BE573" s="404"/>
      <c r="BF573" s="404"/>
      <c r="BG573" s="404"/>
      <c r="BH573" s="403"/>
      <c r="BI573" s="403"/>
      <c r="BJ573" s="403"/>
      <c r="BK573" s="402"/>
      <c r="BL573" s="402"/>
      <c r="BM573" s="402"/>
      <c r="BN573" s="401"/>
      <c r="BO573" s="400"/>
      <c r="BP573" s="400"/>
      <c r="BQ573" s="400"/>
      <c r="BR573" s="72"/>
      <c r="BS573" s="411"/>
    </row>
    <row r="574" spans="1:71" ht="15" customHeight="1" x14ac:dyDescent="0.15">
      <c r="A574" s="419"/>
      <c r="B574" s="405"/>
      <c r="C574" s="405"/>
      <c r="D574" s="405"/>
      <c r="E574" s="405"/>
      <c r="F574" s="420"/>
      <c r="G574" s="421"/>
      <c r="H574" s="442"/>
      <c r="I574" s="406"/>
      <c r="J574" s="407"/>
      <c r="K574" s="408"/>
      <c r="L574" s="409"/>
      <c r="M574" s="409"/>
      <c r="N574" s="410" t="str">
        <f t="shared" si="16"/>
        <v>CAT à compléter</v>
      </c>
      <c r="O574" s="739"/>
      <c r="P574" s="863"/>
      <c r="Q574" s="730" t="str">
        <f t="shared" si="17"/>
        <v>CAT à compléter</v>
      </c>
      <c r="R574" s="740"/>
      <c r="S574" s="740"/>
      <c r="T574" s="740"/>
      <c r="U574" s="740"/>
      <c r="V574" s="740"/>
      <c r="W574" s="740"/>
      <c r="X574" s="740"/>
      <c r="Y574" s="740"/>
      <c r="Z574" s="740"/>
      <c r="AA574" s="740"/>
      <c r="AB574" s="423"/>
      <c r="AC574" s="418"/>
      <c r="AD574" s="418"/>
      <c r="AE574" s="418"/>
      <c r="AF574" s="422"/>
      <c r="AG574" s="425"/>
      <c r="AH574" s="417"/>
      <c r="AI574" s="415"/>
      <c r="AJ574" s="415"/>
      <c r="AK574" s="428"/>
      <c r="AL574" s="397"/>
      <c r="AM574" s="416"/>
      <c r="AN574" s="412"/>
      <c r="AO574" s="72"/>
      <c r="AP574" s="414"/>
      <c r="AQ574" s="430"/>
      <c r="AR574" s="400"/>
      <c r="AS574" s="413"/>
      <c r="AT574" s="413"/>
      <c r="AU574" s="412"/>
      <c r="AV574" s="412"/>
      <c r="AW574" s="399"/>
      <c r="AX574" s="72"/>
      <c r="AY574" s="398"/>
      <c r="AZ574" s="400"/>
      <c r="BA574" s="72"/>
      <c r="BB574" s="404"/>
      <c r="BC574" s="404"/>
      <c r="BD574" s="404"/>
      <c r="BE574" s="404"/>
      <c r="BF574" s="404"/>
      <c r="BG574" s="404"/>
      <c r="BH574" s="403"/>
      <c r="BI574" s="403"/>
      <c r="BJ574" s="403"/>
      <c r="BK574" s="402"/>
      <c r="BL574" s="402"/>
      <c r="BM574" s="402"/>
      <c r="BN574" s="401"/>
      <c r="BO574" s="400"/>
      <c r="BP574" s="400"/>
      <c r="BQ574" s="400"/>
      <c r="BR574" s="72"/>
      <c r="BS574" s="411"/>
    </row>
    <row r="575" spans="1:71" ht="15" customHeight="1" x14ac:dyDescent="0.15">
      <c r="A575" s="419"/>
      <c r="B575" s="405"/>
      <c r="C575" s="405"/>
      <c r="D575" s="405"/>
      <c r="E575" s="405"/>
      <c r="F575" s="420"/>
      <c r="G575" s="421"/>
      <c r="H575" s="442"/>
      <c r="I575" s="406"/>
      <c r="J575" s="407"/>
      <c r="K575" s="408"/>
      <c r="L575" s="409"/>
      <c r="M575" s="409"/>
      <c r="N575" s="410" t="str">
        <f t="shared" si="16"/>
        <v>CAT à compléter</v>
      </c>
      <c r="O575" s="739"/>
      <c r="P575" s="863"/>
      <c r="Q575" s="730" t="str">
        <f t="shared" si="17"/>
        <v>CAT à compléter</v>
      </c>
      <c r="R575" s="740"/>
      <c r="S575" s="740"/>
      <c r="T575" s="740"/>
      <c r="U575" s="740"/>
      <c r="V575" s="740"/>
      <c r="W575" s="740"/>
      <c r="X575" s="740"/>
      <c r="Y575" s="740"/>
      <c r="Z575" s="740"/>
      <c r="AA575" s="740"/>
      <c r="AB575" s="423"/>
      <c r="AC575" s="418"/>
      <c r="AD575" s="418"/>
      <c r="AE575" s="418"/>
      <c r="AF575" s="422"/>
      <c r="AG575" s="425"/>
      <c r="AH575" s="417"/>
      <c r="AI575" s="415"/>
      <c r="AJ575" s="415"/>
      <c r="AK575" s="428"/>
      <c r="AL575" s="397"/>
      <c r="AM575" s="416"/>
      <c r="AN575" s="412"/>
      <c r="AO575" s="72"/>
      <c r="AP575" s="414"/>
      <c r="AQ575" s="430"/>
      <c r="AR575" s="400"/>
      <c r="AS575" s="413"/>
      <c r="AT575" s="413"/>
      <c r="AU575" s="412"/>
      <c r="AV575" s="412"/>
      <c r="AW575" s="399"/>
      <c r="AX575" s="72"/>
      <c r="AY575" s="398"/>
      <c r="AZ575" s="400"/>
      <c r="BA575" s="72"/>
      <c r="BB575" s="404"/>
      <c r="BC575" s="404"/>
      <c r="BD575" s="404"/>
      <c r="BE575" s="404"/>
      <c r="BF575" s="404"/>
      <c r="BG575" s="404"/>
      <c r="BH575" s="403"/>
      <c r="BI575" s="403"/>
      <c r="BJ575" s="403"/>
      <c r="BK575" s="402"/>
      <c r="BL575" s="402"/>
      <c r="BM575" s="402"/>
      <c r="BN575" s="401"/>
      <c r="BO575" s="400"/>
      <c r="BP575" s="400"/>
      <c r="BQ575" s="400"/>
      <c r="BR575" s="72"/>
      <c r="BS575" s="411"/>
    </row>
    <row r="576" spans="1:71" ht="15" customHeight="1" x14ac:dyDescent="0.15">
      <c r="A576" s="419"/>
      <c r="B576" s="405"/>
      <c r="C576" s="405"/>
      <c r="D576" s="405"/>
      <c r="E576" s="405"/>
      <c r="F576" s="420"/>
      <c r="G576" s="421"/>
      <c r="H576" s="442"/>
      <c r="I576" s="406"/>
      <c r="J576" s="407"/>
      <c r="K576" s="408"/>
      <c r="L576" s="409"/>
      <c r="M576" s="409"/>
      <c r="N576" s="410" t="str">
        <f t="shared" si="16"/>
        <v>CAT à compléter</v>
      </c>
      <c r="O576" s="739"/>
      <c r="P576" s="863"/>
      <c r="Q576" s="730" t="str">
        <f t="shared" si="17"/>
        <v>CAT à compléter</v>
      </c>
      <c r="R576" s="740"/>
      <c r="S576" s="740"/>
      <c r="T576" s="740"/>
      <c r="U576" s="740"/>
      <c r="V576" s="740"/>
      <c r="W576" s="740"/>
      <c r="X576" s="740"/>
      <c r="Y576" s="740"/>
      <c r="Z576" s="740"/>
      <c r="AA576" s="740"/>
      <c r="AB576" s="423"/>
      <c r="AC576" s="418"/>
      <c r="AD576" s="418"/>
      <c r="AE576" s="418"/>
      <c r="AF576" s="422"/>
      <c r="AG576" s="425"/>
      <c r="AH576" s="417"/>
      <c r="AI576" s="415"/>
      <c r="AJ576" s="415"/>
      <c r="AK576" s="428"/>
      <c r="AL576" s="397"/>
      <c r="AM576" s="416"/>
      <c r="AN576" s="412"/>
      <c r="AO576" s="72"/>
      <c r="AP576" s="414"/>
      <c r="AQ576" s="430"/>
      <c r="AR576" s="400"/>
      <c r="AS576" s="413"/>
      <c r="AT576" s="413"/>
      <c r="AU576" s="412"/>
      <c r="AV576" s="412"/>
      <c r="AW576" s="399"/>
      <c r="AX576" s="72"/>
      <c r="AY576" s="398"/>
      <c r="AZ576" s="400"/>
      <c r="BA576" s="72"/>
      <c r="BB576" s="404"/>
      <c r="BC576" s="404"/>
      <c r="BD576" s="404"/>
      <c r="BE576" s="404"/>
      <c r="BF576" s="404"/>
      <c r="BG576" s="404"/>
      <c r="BH576" s="403"/>
      <c r="BI576" s="403"/>
      <c r="BJ576" s="403"/>
      <c r="BK576" s="402"/>
      <c r="BL576" s="402"/>
      <c r="BM576" s="402"/>
      <c r="BN576" s="401"/>
      <c r="BO576" s="400"/>
      <c r="BP576" s="400"/>
      <c r="BQ576" s="400"/>
      <c r="BR576" s="72"/>
      <c r="BS576" s="411"/>
    </row>
    <row r="577" spans="1:71" ht="15" customHeight="1" x14ac:dyDescent="0.15">
      <c r="A577" s="419"/>
      <c r="B577" s="405"/>
      <c r="C577" s="405"/>
      <c r="D577" s="405"/>
      <c r="E577" s="405"/>
      <c r="F577" s="420"/>
      <c r="G577" s="421"/>
      <c r="H577" s="442"/>
      <c r="I577" s="406"/>
      <c r="J577" s="407"/>
      <c r="K577" s="408"/>
      <c r="L577" s="409"/>
      <c r="M577" s="409"/>
      <c r="N577" s="410" t="str">
        <f t="shared" si="16"/>
        <v>CAT à compléter</v>
      </c>
      <c r="O577" s="739"/>
      <c r="P577" s="863"/>
      <c r="Q577" s="730" t="str">
        <f t="shared" si="17"/>
        <v>CAT à compléter</v>
      </c>
      <c r="R577" s="740"/>
      <c r="S577" s="740"/>
      <c r="T577" s="740"/>
      <c r="U577" s="740"/>
      <c r="V577" s="740"/>
      <c r="W577" s="740"/>
      <c r="X577" s="740"/>
      <c r="Y577" s="740"/>
      <c r="Z577" s="740"/>
      <c r="AA577" s="740"/>
      <c r="AB577" s="423"/>
      <c r="AC577" s="418"/>
      <c r="AD577" s="418"/>
      <c r="AE577" s="418"/>
      <c r="AF577" s="422"/>
      <c r="AG577" s="425"/>
      <c r="AH577" s="417"/>
      <c r="AI577" s="415"/>
      <c r="AJ577" s="415"/>
      <c r="AK577" s="428"/>
      <c r="AL577" s="397"/>
      <c r="AM577" s="416"/>
      <c r="AN577" s="412"/>
      <c r="AO577" s="72"/>
      <c r="AP577" s="414"/>
      <c r="AQ577" s="430"/>
      <c r="AR577" s="400"/>
      <c r="AS577" s="413"/>
      <c r="AT577" s="413"/>
      <c r="AU577" s="412"/>
      <c r="AV577" s="412"/>
      <c r="AW577" s="399"/>
      <c r="AX577" s="72"/>
      <c r="AY577" s="398"/>
      <c r="AZ577" s="400"/>
      <c r="BA577" s="72"/>
      <c r="BB577" s="404"/>
      <c r="BC577" s="404"/>
      <c r="BD577" s="404"/>
      <c r="BE577" s="404"/>
      <c r="BF577" s="404"/>
      <c r="BG577" s="404"/>
      <c r="BH577" s="403"/>
      <c r="BI577" s="403"/>
      <c r="BJ577" s="403"/>
      <c r="BK577" s="402"/>
      <c r="BL577" s="402"/>
      <c r="BM577" s="402"/>
      <c r="BN577" s="401"/>
      <c r="BO577" s="400"/>
      <c r="BP577" s="400"/>
      <c r="BQ577" s="400"/>
      <c r="BR577" s="72"/>
      <c r="BS577" s="411"/>
    </row>
    <row r="578" spans="1:71" ht="15" customHeight="1" x14ac:dyDescent="0.15">
      <c r="A578" s="419"/>
      <c r="B578" s="405"/>
      <c r="C578" s="405"/>
      <c r="D578" s="405"/>
      <c r="E578" s="405"/>
      <c r="F578" s="420"/>
      <c r="G578" s="421"/>
      <c r="H578" s="442"/>
      <c r="I578" s="406"/>
      <c r="J578" s="407"/>
      <c r="K578" s="408"/>
      <c r="L578" s="409"/>
      <c r="M578" s="409"/>
      <c r="N578" s="410" t="str">
        <f t="shared" ref="N578:N639" si="18">VLOOKUP(L578,CAT_JOUEUR,2,FALSE)</f>
        <v>CAT à compléter</v>
      </c>
      <c r="O578" s="739"/>
      <c r="P578" s="863"/>
      <c r="Q578" s="730" t="str">
        <f t="shared" ref="Q578:Q639" si="19">VLOOKUP(O578,CAT_JOUEUR,2,FALSE)</f>
        <v>CAT à compléter</v>
      </c>
      <c r="R578" s="740"/>
      <c r="S578" s="740"/>
      <c r="T578" s="740"/>
      <c r="U578" s="740"/>
      <c r="V578" s="740"/>
      <c r="W578" s="740"/>
      <c r="X578" s="740"/>
      <c r="Y578" s="740"/>
      <c r="Z578" s="740"/>
      <c r="AA578" s="740"/>
      <c r="AB578" s="423"/>
      <c r="AC578" s="418"/>
      <c r="AD578" s="418"/>
      <c r="AE578" s="418"/>
      <c r="AF578" s="422"/>
      <c r="AG578" s="425"/>
      <c r="AH578" s="417"/>
      <c r="AI578" s="415"/>
      <c r="AJ578" s="415"/>
      <c r="AK578" s="428"/>
      <c r="AL578" s="397"/>
      <c r="AM578" s="416"/>
      <c r="AN578" s="412"/>
      <c r="AO578" s="72"/>
      <c r="AP578" s="414"/>
      <c r="AQ578" s="430"/>
      <c r="AR578" s="400"/>
      <c r="AS578" s="413"/>
      <c r="AT578" s="413"/>
      <c r="AU578" s="412"/>
      <c r="AV578" s="412"/>
      <c r="AW578" s="399"/>
      <c r="AX578" s="72"/>
      <c r="AY578" s="398"/>
      <c r="AZ578" s="400"/>
      <c r="BA578" s="72"/>
      <c r="BB578" s="404"/>
      <c r="BC578" s="404"/>
      <c r="BD578" s="404"/>
      <c r="BE578" s="404"/>
      <c r="BF578" s="404"/>
      <c r="BG578" s="404"/>
      <c r="BH578" s="403"/>
      <c r="BI578" s="403"/>
      <c r="BJ578" s="403"/>
      <c r="BK578" s="402"/>
      <c r="BL578" s="402"/>
      <c r="BM578" s="402"/>
      <c r="BN578" s="401"/>
      <c r="BO578" s="400"/>
      <c r="BP578" s="400"/>
      <c r="BQ578" s="400"/>
      <c r="BR578" s="72"/>
      <c r="BS578" s="411"/>
    </row>
    <row r="579" spans="1:71" ht="15" customHeight="1" x14ac:dyDescent="0.15">
      <c r="A579" s="419"/>
      <c r="B579" s="405"/>
      <c r="C579" s="405"/>
      <c r="D579" s="405"/>
      <c r="E579" s="405"/>
      <c r="F579" s="420"/>
      <c r="G579" s="421"/>
      <c r="H579" s="442"/>
      <c r="I579" s="406"/>
      <c r="J579" s="407"/>
      <c r="K579" s="408"/>
      <c r="L579" s="409"/>
      <c r="M579" s="409"/>
      <c r="N579" s="410" t="str">
        <f t="shared" si="18"/>
        <v>CAT à compléter</v>
      </c>
      <c r="O579" s="739"/>
      <c r="P579" s="863"/>
      <c r="Q579" s="730" t="str">
        <f t="shared" si="19"/>
        <v>CAT à compléter</v>
      </c>
      <c r="R579" s="740"/>
      <c r="S579" s="740"/>
      <c r="T579" s="740"/>
      <c r="U579" s="740"/>
      <c r="V579" s="740"/>
      <c r="W579" s="740"/>
      <c r="X579" s="740"/>
      <c r="Y579" s="740"/>
      <c r="Z579" s="740"/>
      <c r="AA579" s="740"/>
      <c r="AB579" s="423"/>
      <c r="AC579" s="418"/>
      <c r="AD579" s="418"/>
      <c r="AE579" s="418"/>
      <c r="AF579" s="422"/>
      <c r="AG579" s="425"/>
      <c r="AH579" s="417"/>
      <c r="AI579" s="415"/>
      <c r="AJ579" s="415"/>
      <c r="AK579" s="428"/>
      <c r="AL579" s="397"/>
      <c r="AM579" s="416"/>
      <c r="AN579" s="412"/>
      <c r="AO579" s="72"/>
      <c r="AP579" s="414"/>
      <c r="AQ579" s="430"/>
      <c r="AR579" s="400"/>
      <c r="AS579" s="413"/>
      <c r="AT579" s="413"/>
      <c r="AU579" s="412"/>
      <c r="AV579" s="412"/>
      <c r="AW579" s="399"/>
      <c r="AX579" s="72"/>
      <c r="AY579" s="398"/>
      <c r="AZ579" s="400"/>
      <c r="BA579" s="72"/>
      <c r="BB579" s="404"/>
      <c r="BC579" s="404"/>
      <c r="BD579" s="404"/>
      <c r="BE579" s="404"/>
      <c r="BF579" s="404"/>
      <c r="BG579" s="404"/>
      <c r="BH579" s="403"/>
      <c r="BI579" s="403"/>
      <c r="BJ579" s="403"/>
      <c r="BK579" s="402"/>
      <c r="BL579" s="402"/>
      <c r="BM579" s="402"/>
      <c r="BN579" s="401"/>
      <c r="BO579" s="400"/>
      <c r="BP579" s="400"/>
      <c r="BQ579" s="400"/>
      <c r="BR579" s="72"/>
      <c r="BS579" s="411"/>
    </row>
    <row r="580" spans="1:71" ht="15" customHeight="1" x14ac:dyDescent="0.15">
      <c r="A580" s="419"/>
      <c r="B580" s="405"/>
      <c r="C580" s="405"/>
      <c r="D580" s="405"/>
      <c r="E580" s="405"/>
      <c r="F580" s="420"/>
      <c r="G580" s="421"/>
      <c r="H580" s="442"/>
      <c r="I580" s="406"/>
      <c r="J580" s="407"/>
      <c r="K580" s="408"/>
      <c r="L580" s="409"/>
      <c r="M580" s="409"/>
      <c r="N580" s="410" t="str">
        <f t="shared" si="18"/>
        <v>CAT à compléter</v>
      </c>
      <c r="O580" s="739"/>
      <c r="P580" s="863"/>
      <c r="Q580" s="730" t="str">
        <f t="shared" si="19"/>
        <v>CAT à compléter</v>
      </c>
      <c r="R580" s="740"/>
      <c r="S580" s="740"/>
      <c r="T580" s="740"/>
      <c r="U580" s="740"/>
      <c r="V580" s="740"/>
      <c r="W580" s="740"/>
      <c r="X580" s="740"/>
      <c r="Y580" s="740"/>
      <c r="Z580" s="740"/>
      <c r="AA580" s="740"/>
      <c r="AB580" s="423"/>
      <c r="AC580" s="418"/>
      <c r="AD580" s="418"/>
      <c r="AE580" s="418"/>
      <c r="AF580" s="422"/>
      <c r="AG580" s="425"/>
      <c r="AH580" s="417"/>
      <c r="AI580" s="415"/>
      <c r="AJ580" s="415"/>
      <c r="AK580" s="428"/>
      <c r="AL580" s="397"/>
      <c r="AM580" s="416"/>
      <c r="AN580" s="412"/>
      <c r="AO580" s="72"/>
      <c r="AP580" s="414"/>
      <c r="AQ580" s="430"/>
      <c r="AR580" s="400"/>
      <c r="AS580" s="413"/>
      <c r="AT580" s="413"/>
      <c r="AU580" s="412"/>
      <c r="AV580" s="412"/>
      <c r="AW580" s="399"/>
      <c r="AX580" s="72"/>
      <c r="AY580" s="398"/>
      <c r="AZ580" s="400"/>
      <c r="BA580" s="72"/>
      <c r="BB580" s="404"/>
      <c r="BC580" s="404"/>
      <c r="BD580" s="404"/>
      <c r="BE580" s="404"/>
      <c r="BF580" s="404"/>
      <c r="BG580" s="404"/>
      <c r="BH580" s="403"/>
      <c r="BI580" s="403"/>
      <c r="BJ580" s="403"/>
      <c r="BK580" s="402"/>
      <c r="BL580" s="402"/>
      <c r="BM580" s="402"/>
      <c r="BN580" s="401"/>
      <c r="BO580" s="400"/>
      <c r="BP580" s="400"/>
      <c r="BQ580" s="400"/>
      <c r="BR580" s="72"/>
      <c r="BS580" s="411"/>
    </row>
    <row r="581" spans="1:71" ht="15" customHeight="1" x14ac:dyDescent="0.15">
      <c r="A581" s="419"/>
      <c r="B581" s="405"/>
      <c r="C581" s="405"/>
      <c r="D581" s="405"/>
      <c r="E581" s="405"/>
      <c r="F581" s="420"/>
      <c r="G581" s="421"/>
      <c r="H581" s="442"/>
      <c r="I581" s="406"/>
      <c r="J581" s="407"/>
      <c r="K581" s="408"/>
      <c r="L581" s="409"/>
      <c r="M581" s="409"/>
      <c r="N581" s="410" t="str">
        <f t="shared" si="18"/>
        <v>CAT à compléter</v>
      </c>
      <c r="O581" s="739"/>
      <c r="P581" s="863"/>
      <c r="Q581" s="730" t="str">
        <f t="shared" si="19"/>
        <v>CAT à compléter</v>
      </c>
      <c r="R581" s="740"/>
      <c r="S581" s="740"/>
      <c r="T581" s="740"/>
      <c r="U581" s="740"/>
      <c r="V581" s="740"/>
      <c r="W581" s="740"/>
      <c r="X581" s="740"/>
      <c r="Y581" s="740"/>
      <c r="Z581" s="740"/>
      <c r="AA581" s="740"/>
      <c r="AB581" s="423"/>
      <c r="AC581" s="418"/>
      <c r="AD581" s="418"/>
      <c r="AE581" s="418"/>
      <c r="AF581" s="422"/>
      <c r="AG581" s="425"/>
      <c r="AH581" s="417"/>
      <c r="AI581" s="415"/>
      <c r="AJ581" s="415"/>
      <c r="AK581" s="428"/>
      <c r="AL581" s="397"/>
      <c r="AM581" s="416"/>
      <c r="AN581" s="412"/>
      <c r="AO581" s="72"/>
      <c r="AP581" s="414"/>
      <c r="AQ581" s="430"/>
      <c r="AR581" s="400"/>
      <c r="AS581" s="413"/>
      <c r="AT581" s="413"/>
      <c r="AU581" s="412"/>
      <c r="AV581" s="412"/>
      <c r="AW581" s="399"/>
      <c r="AX581" s="72"/>
      <c r="AY581" s="398"/>
      <c r="AZ581" s="400"/>
      <c r="BA581" s="72"/>
      <c r="BB581" s="404"/>
      <c r="BC581" s="404"/>
      <c r="BD581" s="404"/>
      <c r="BE581" s="404"/>
      <c r="BF581" s="404"/>
      <c r="BG581" s="404"/>
      <c r="BH581" s="403"/>
      <c r="BI581" s="403"/>
      <c r="BJ581" s="403"/>
      <c r="BK581" s="402"/>
      <c r="BL581" s="402"/>
      <c r="BM581" s="402"/>
      <c r="BN581" s="401"/>
      <c r="BO581" s="400"/>
      <c r="BP581" s="400"/>
      <c r="BQ581" s="400"/>
      <c r="BR581" s="72"/>
      <c r="BS581" s="411"/>
    </row>
    <row r="582" spans="1:71" ht="15" customHeight="1" x14ac:dyDescent="0.15">
      <c r="A582" s="419"/>
      <c r="B582" s="405"/>
      <c r="C582" s="405"/>
      <c r="D582" s="405"/>
      <c r="E582" s="405"/>
      <c r="F582" s="420"/>
      <c r="G582" s="421"/>
      <c r="H582" s="442"/>
      <c r="I582" s="406"/>
      <c r="J582" s="407"/>
      <c r="K582" s="408"/>
      <c r="L582" s="409"/>
      <c r="M582" s="409"/>
      <c r="N582" s="410" t="str">
        <f t="shared" si="18"/>
        <v>CAT à compléter</v>
      </c>
      <c r="O582" s="739"/>
      <c r="P582" s="863"/>
      <c r="Q582" s="730" t="str">
        <f t="shared" si="19"/>
        <v>CAT à compléter</v>
      </c>
      <c r="R582" s="740"/>
      <c r="S582" s="740"/>
      <c r="T582" s="740"/>
      <c r="U582" s="740"/>
      <c r="V582" s="740"/>
      <c r="W582" s="740"/>
      <c r="X582" s="740"/>
      <c r="Y582" s="740"/>
      <c r="Z582" s="740"/>
      <c r="AA582" s="740"/>
      <c r="AB582" s="423"/>
      <c r="AC582" s="418"/>
      <c r="AD582" s="418"/>
      <c r="AE582" s="418"/>
      <c r="AF582" s="422"/>
      <c r="AG582" s="425"/>
      <c r="AH582" s="417"/>
      <c r="AI582" s="415"/>
      <c r="AJ582" s="415"/>
      <c r="AK582" s="428"/>
      <c r="AL582" s="397"/>
      <c r="AM582" s="416"/>
      <c r="AN582" s="412"/>
      <c r="AO582" s="72"/>
      <c r="AP582" s="414"/>
      <c r="AQ582" s="430"/>
      <c r="AR582" s="400"/>
      <c r="AS582" s="413"/>
      <c r="AT582" s="413"/>
      <c r="AU582" s="412"/>
      <c r="AV582" s="412"/>
      <c r="AW582" s="399"/>
      <c r="AX582" s="72"/>
      <c r="AY582" s="398"/>
      <c r="AZ582" s="400"/>
      <c r="BA582" s="72"/>
      <c r="BB582" s="404"/>
      <c r="BC582" s="404"/>
      <c r="BD582" s="404"/>
      <c r="BE582" s="404"/>
      <c r="BF582" s="404"/>
      <c r="BG582" s="404"/>
      <c r="BH582" s="403"/>
      <c r="BI582" s="403"/>
      <c r="BJ582" s="403"/>
      <c r="BK582" s="402"/>
      <c r="BL582" s="402"/>
      <c r="BM582" s="402"/>
      <c r="BN582" s="401"/>
      <c r="BO582" s="400"/>
      <c r="BP582" s="400"/>
      <c r="BQ582" s="400"/>
      <c r="BR582" s="72"/>
      <c r="BS582" s="411"/>
    </row>
    <row r="583" spans="1:71" ht="15" customHeight="1" x14ac:dyDescent="0.15">
      <c r="A583" s="419"/>
      <c r="B583" s="405"/>
      <c r="C583" s="405"/>
      <c r="D583" s="405"/>
      <c r="E583" s="405"/>
      <c r="F583" s="420"/>
      <c r="G583" s="421"/>
      <c r="H583" s="442"/>
      <c r="I583" s="406"/>
      <c r="J583" s="407"/>
      <c r="K583" s="408"/>
      <c r="L583" s="409"/>
      <c r="M583" s="409"/>
      <c r="N583" s="410" t="str">
        <f t="shared" si="18"/>
        <v>CAT à compléter</v>
      </c>
      <c r="O583" s="739"/>
      <c r="P583" s="863"/>
      <c r="Q583" s="730" t="str">
        <f t="shared" si="19"/>
        <v>CAT à compléter</v>
      </c>
      <c r="R583" s="740"/>
      <c r="S583" s="740"/>
      <c r="T583" s="740"/>
      <c r="U583" s="740"/>
      <c r="V583" s="740"/>
      <c r="W583" s="740"/>
      <c r="X583" s="740"/>
      <c r="Y583" s="740"/>
      <c r="Z583" s="740"/>
      <c r="AA583" s="740"/>
      <c r="AB583" s="423"/>
      <c r="AC583" s="418"/>
      <c r="AD583" s="418"/>
      <c r="AE583" s="418"/>
      <c r="AF583" s="422"/>
      <c r="AG583" s="425"/>
      <c r="AH583" s="417"/>
      <c r="AI583" s="415"/>
      <c r="AJ583" s="415"/>
      <c r="AK583" s="428"/>
      <c r="AL583" s="397"/>
      <c r="AM583" s="416"/>
      <c r="AN583" s="412"/>
      <c r="AO583" s="72"/>
      <c r="AP583" s="414"/>
      <c r="AQ583" s="430"/>
      <c r="AR583" s="400"/>
      <c r="AS583" s="413"/>
      <c r="AT583" s="413"/>
      <c r="AU583" s="412"/>
      <c r="AV583" s="412"/>
      <c r="AW583" s="399"/>
      <c r="AX583" s="72"/>
      <c r="AY583" s="398"/>
      <c r="AZ583" s="400"/>
      <c r="BA583" s="72"/>
      <c r="BB583" s="404"/>
      <c r="BC583" s="404"/>
      <c r="BD583" s="404"/>
      <c r="BE583" s="404"/>
      <c r="BF583" s="404"/>
      <c r="BG583" s="404"/>
      <c r="BH583" s="403"/>
      <c r="BI583" s="403"/>
      <c r="BJ583" s="403"/>
      <c r="BK583" s="402"/>
      <c r="BL583" s="402"/>
      <c r="BM583" s="402"/>
      <c r="BN583" s="401"/>
      <c r="BO583" s="400"/>
      <c r="BP583" s="400"/>
      <c r="BQ583" s="400"/>
      <c r="BR583" s="72"/>
      <c r="BS583" s="411"/>
    </row>
    <row r="584" spans="1:71" ht="15" customHeight="1" x14ac:dyDescent="0.15">
      <c r="A584" s="419"/>
      <c r="B584" s="405"/>
      <c r="C584" s="405"/>
      <c r="D584" s="405"/>
      <c r="E584" s="405"/>
      <c r="F584" s="420"/>
      <c r="G584" s="421"/>
      <c r="H584" s="442"/>
      <c r="I584" s="406"/>
      <c r="J584" s="407"/>
      <c r="K584" s="408"/>
      <c r="L584" s="409"/>
      <c r="M584" s="409"/>
      <c r="N584" s="410" t="str">
        <f t="shared" si="18"/>
        <v>CAT à compléter</v>
      </c>
      <c r="O584" s="739"/>
      <c r="P584" s="863"/>
      <c r="Q584" s="730" t="str">
        <f t="shared" si="19"/>
        <v>CAT à compléter</v>
      </c>
      <c r="R584" s="740"/>
      <c r="S584" s="740"/>
      <c r="T584" s="740"/>
      <c r="U584" s="740"/>
      <c r="V584" s="740"/>
      <c r="W584" s="740"/>
      <c r="X584" s="740"/>
      <c r="Y584" s="740"/>
      <c r="Z584" s="740"/>
      <c r="AA584" s="740"/>
      <c r="AB584" s="423"/>
      <c r="AC584" s="418"/>
      <c r="AD584" s="418"/>
      <c r="AE584" s="418"/>
      <c r="AF584" s="422"/>
      <c r="AG584" s="425"/>
      <c r="AH584" s="417"/>
      <c r="AI584" s="415"/>
      <c r="AJ584" s="415"/>
      <c r="AK584" s="428"/>
      <c r="AL584" s="397"/>
      <c r="AM584" s="416"/>
      <c r="AN584" s="412"/>
      <c r="AO584" s="72"/>
      <c r="AP584" s="414"/>
      <c r="AQ584" s="430"/>
      <c r="AR584" s="400"/>
      <c r="AS584" s="413"/>
      <c r="AT584" s="413"/>
      <c r="AU584" s="412"/>
      <c r="AV584" s="412"/>
      <c r="AW584" s="399"/>
      <c r="AX584" s="72"/>
      <c r="AY584" s="398"/>
      <c r="AZ584" s="400"/>
      <c r="BA584" s="72"/>
      <c r="BB584" s="404"/>
      <c r="BC584" s="404"/>
      <c r="BD584" s="404"/>
      <c r="BE584" s="404"/>
      <c r="BF584" s="404"/>
      <c r="BG584" s="404"/>
      <c r="BH584" s="403"/>
      <c r="BI584" s="403"/>
      <c r="BJ584" s="403"/>
      <c r="BK584" s="402"/>
      <c r="BL584" s="402"/>
      <c r="BM584" s="402"/>
      <c r="BN584" s="401"/>
      <c r="BO584" s="400"/>
      <c r="BP584" s="400"/>
      <c r="BQ584" s="400"/>
      <c r="BR584" s="72"/>
      <c r="BS584" s="411"/>
    </row>
    <row r="585" spans="1:71" ht="15" customHeight="1" x14ac:dyDescent="0.15">
      <c r="A585" s="419"/>
      <c r="B585" s="405"/>
      <c r="C585" s="405"/>
      <c r="D585" s="405"/>
      <c r="E585" s="405"/>
      <c r="F585" s="420"/>
      <c r="G585" s="421"/>
      <c r="H585" s="442"/>
      <c r="I585" s="406"/>
      <c r="J585" s="407"/>
      <c r="K585" s="408"/>
      <c r="L585" s="409"/>
      <c r="M585" s="409"/>
      <c r="N585" s="410" t="str">
        <f t="shared" si="18"/>
        <v>CAT à compléter</v>
      </c>
      <c r="O585" s="739"/>
      <c r="P585" s="863"/>
      <c r="Q585" s="730" t="str">
        <f t="shared" si="19"/>
        <v>CAT à compléter</v>
      </c>
      <c r="R585" s="740"/>
      <c r="S585" s="740"/>
      <c r="T585" s="740"/>
      <c r="U585" s="740"/>
      <c r="V585" s="740"/>
      <c r="W585" s="740"/>
      <c r="X585" s="740"/>
      <c r="Y585" s="740"/>
      <c r="Z585" s="740"/>
      <c r="AA585" s="740"/>
      <c r="AB585" s="423"/>
      <c r="AC585" s="418"/>
      <c r="AD585" s="418"/>
      <c r="AE585" s="418"/>
      <c r="AF585" s="422"/>
      <c r="AG585" s="425"/>
      <c r="AH585" s="417"/>
      <c r="AI585" s="415"/>
      <c r="AJ585" s="415"/>
      <c r="AK585" s="428"/>
      <c r="AL585" s="397"/>
      <c r="AM585" s="416"/>
      <c r="AN585" s="412"/>
      <c r="AO585" s="72"/>
      <c r="AP585" s="414"/>
      <c r="AQ585" s="430"/>
      <c r="AR585" s="400"/>
      <c r="AS585" s="413"/>
      <c r="AT585" s="413"/>
      <c r="AU585" s="412"/>
      <c r="AV585" s="412"/>
      <c r="AW585" s="399"/>
      <c r="AX585" s="72"/>
      <c r="AY585" s="398"/>
      <c r="AZ585" s="400"/>
      <c r="BA585" s="72"/>
      <c r="BB585" s="404"/>
      <c r="BC585" s="404"/>
      <c r="BD585" s="404"/>
      <c r="BE585" s="404"/>
      <c r="BF585" s="404"/>
      <c r="BG585" s="404"/>
      <c r="BH585" s="403"/>
      <c r="BI585" s="403"/>
      <c r="BJ585" s="403"/>
      <c r="BK585" s="402"/>
      <c r="BL585" s="402"/>
      <c r="BM585" s="402"/>
      <c r="BN585" s="401"/>
      <c r="BO585" s="400"/>
      <c r="BP585" s="400"/>
      <c r="BQ585" s="400"/>
      <c r="BR585" s="72"/>
      <c r="BS585" s="411"/>
    </row>
    <row r="586" spans="1:71" ht="15" customHeight="1" x14ac:dyDescent="0.15">
      <c r="A586" s="419"/>
      <c r="B586" s="405"/>
      <c r="C586" s="405"/>
      <c r="D586" s="405"/>
      <c r="E586" s="405"/>
      <c r="F586" s="420"/>
      <c r="G586" s="421"/>
      <c r="H586" s="442"/>
      <c r="I586" s="406"/>
      <c r="J586" s="407"/>
      <c r="K586" s="408"/>
      <c r="L586" s="409"/>
      <c r="M586" s="409"/>
      <c r="N586" s="410" t="str">
        <f t="shared" si="18"/>
        <v>CAT à compléter</v>
      </c>
      <c r="O586" s="739"/>
      <c r="P586" s="863"/>
      <c r="Q586" s="730" t="str">
        <f t="shared" si="19"/>
        <v>CAT à compléter</v>
      </c>
      <c r="R586" s="740"/>
      <c r="S586" s="740"/>
      <c r="T586" s="740"/>
      <c r="U586" s="740"/>
      <c r="V586" s="740"/>
      <c r="W586" s="740"/>
      <c r="X586" s="740"/>
      <c r="Y586" s="740"/>
      <c r="Z586" s="740"/>
      <c r="AA586" s="740"/>
      <c r="AB586" s="423"/>
      <c r="AC586" s="418"/>
      <c r="AD586" s="418"/>
      <c r="AE586" s="418"/>
      <c r="AF586" s="422"/>
      <c r="AG586" s="425"/>
      <c r="AH586" s="417"/>
      <c r="AI586" s="415"/>
      <c r="AJ586" s="415"/>
      <c r="AK586" s="428"/>
      <c r="AL586" s="397"/>
      <c r="AM586" s="416"/>
      <c r="AN586" s="412"/>
      <c r="AO586" s="72"/>
      <c r="AP586" s="414"/>
      <c r="AQ586" s="430"/>
      <c r="AR586" s="400"/>
      <c r="AS586" s="413"/>
      <c r="AT586" s="413"/>
      <c r="AU586" s="412"/>
      <c r="AV586" s="412"/>
      <c r="AW586" s="399"/>
      <c r="AX586" s="72"/>
      <c r="AY586" s="398"/>
      <c r="AZ586" s="400"/>
      <c r="BA586" s="72"/>
      <c r="BB586" s="404"/>
      <c r="BC586" s="404"/>
      <c r="BD586" s="404"/>
      <c r="BE586" s="404"/>
      <c r="BF586" s="404"/>
      <c r="BG586" s="404"/>
      <c r="BH586" s="403"/>
      <c r="BI586" s="403"/>
      <c r="BJ586" s="403"/>
      <c r="BK586" s="402"/>
      <c r="BL586" s="402"/>
      <c r="BM586" s="402"/>
      <c r="BN586" s="401"/>
      <c r="BO586" s="400"/>
      <c r="BP586" s="400"/>
      <c r="BQ586" s="400"/>
      <c r="BR586" s="72"/>
      <c r="BS586" s="411"/>
    </row>
    <row r="587" spans="1:71" ht="15" customHeight="1" x14ac:dyDescent="0.15">
      <c r="A587" s="419"/>
      <c r="B587" s="405"/>
      <c r="C587" s="405"/>
      <c r="D587" s="405"/>
      <c r="E587" s="405"/>
      <c r="F587" s="420"/>
      <c r="G587" s="421"/>
      <c r="H587" s="442"/>
      <c r="I587" s="406"/>
      <c r="J587" s="407"/>
      <c r="K587" s="408"/>
      <c r="L587" s="409"/>
      <c r="M587" s="409"/>
      <c r="N587" s="410" t="str">
        <f t="shared" si="18"/>
        <v>CAT à compléter</v>
      </c>
      <c r="O587" s="739"/>
      <c r="P587" s="863"/>
      <c r="Q587" s="730" t="str">
        <f t="shared" si="19"/>
        <v>CAT à compléter</v>
      </c>
      <c r="R587" s="740"/>
      <c r="S587" s="740"/>
      <c r="T587" s="740"/>
      <c r="U587" s="740"/>
      <c r="V587" s="740"/>
      <c r="W587" s="740"/>
      <c r="X587" s="740"/>
      <c r="Y587" s="740"/>
      <c r="Z587" s="740"/>
      <c r="AA587" s="740"/>
      <c r="AB587" s="423"/>
      <c r="AC587" s="418"/>
      <c r="AD587" s="418"/>
      <c r="AE587" s="418"/>
      <c r="AF587" s="422"/>
      <c r="AG587" s="425"/>
      <c r="AH587" s="417"/>
      <c r="AI587" s="415"/>
      <c r="AJ587" s="415"/>
      <c r="AK587" s="428"/>
      <c r="AL587" s="397"/>
      <c r="AM587" s="416"/>
      <c r="AN587" s="412"/>
      <c r="AO587" s="72"/>
      <c r="AP587" s="414"/>
      <c r="AQ587" s="430"/>
      <c r="AR587" s="400"/>
      <c r="AS587" s="413"/>
      <c r="AT587" s="413"/>
      <c r="AU587" s="412"/>
      <c r="AV587" s="412"/>
      <c r="AW587" s="399"/>
      <c r="AX587" s="72"/>
      <c r="AY587" s="398"/>
      <c r="AZ587" s="400"/>
      <c r="BA587" s="72"/>
      <c r="BB587" s="404"/>
      <c r="BC587" s="404"/>
      <c r="BD587" s="404"/>
      <c r="BE587" s="404"/>
      <c r="BF587" s="404"/>
      <c r="BG587" s="404"/>
      <c r="BH587" s="403"/>
      <c r="BI587" s="403"/>
      <c r="BJ587" s="403"/>
      <c r="BK587" s="402"/>
      <c r="BL587" s="402"/>
      <c r="BM587" s="402"/>
      <c r="BN587" s="401"/>
      <c r="BO587" s="400"/>
      <c r="BP587" s="400"/>
      <c r="BQ587" s="400"/>
      <c r="BR587" s="72"/>
      <c r="BS587" s="411"/>
    </row>
    <row r="588" spans="1:71" ht="15" customHeight="1" x14ac:dyDescent="0.15">
      <c r="A588" s="419"/>
      <c r="B588" s="405"/>
      <c r="C588" s="405"/>
      <c r="D588" s="405"/>
      <c r="E588" s="405"/>
      <c r="F588" s="420"/>
      <c r="G588" s="421"/>
      <c r="H588" s="442"/>
      <c r="I588" s="406"/>
      <c r="J588" s="407"/>
      <c r="K588" s="408"/>
      <c r="L588" s="409"/>
      <c r="M588" s="409"/>
      <c r="N588" s="410" t="str">
        <f t="shared" si="18"/>
        <v>CAT à compléter</v>
      </c>
      <c r="O588" s="739"/>
      <c r="P588" s="863"/>
      <c r="Q588" s="730" t="str">
        <f t="shared" si="19"/>
        <v>CAT à compléter</v>
      </c>
      <c r="R588" s="740"/>
      <c r="S588" s="740"/>
      <c r="T588" s="740"/>
      <c r="U588" s="740"/>
      <c r="V588" s="740"/>
      <c r="W588" s="740"/>
      <c r="X588" s="740"/>
      <c r="Y588" s="740"/>
      <c r="Z588" s="740"/>
      <c r="AA588" s="740"/>
      <c r="AB588" s="423"/>
      <c r="AC588" s="418"/>
      <c r="AD588" s="418"/>
      <c r="AE588" s="418"/>
      <c r="AF588" s="422"/>
      <c r="AG588" s="425"/>
      <c r="AH588" s="417"/>
      <c r="AI588" s="415"/>
      <c r="AJ588" s="415"/>
      <c r="AK588" s="428"/>
      <c r="AL588" s="397"/>
      <c r="AM588" s="416"/>
      <c r="AN588" s="412"/>
      <c r="AO588" s="72"/>
      <c r="AP588" s="414"/>
      <c r="AQ588" s="430"/>
      <c r="AR588" s="400"/>
      <c r="AS588" s="413"/>
      <c r="AT588" s="413"/>
      <c r="AU588" s="412"/>
      <c r="AV588" s="412"/>
      <c r="AW588" s="399"/>
      <c r="AX588" s="72"/>
      <c r="AY588" s="398"/>
      <c r="AZ588" s="400"/>
      <c r="BA588" s="72"/>
      <c r="BB588" s="404"/>
      <c r="BC588" s="404"/>
      <c r="BD588" s="404"/>
      <c r="BE588" s="404"/>
      <c r="BF588" s="404"/>
      <c r="BG588" s="404"/>
      <c r="BH588" s="403"/>
      <c r="BI588" s="403"/>
      <c r="BJ588" s="403"/>
      <c r="BK588" s="402"/>
      <c r="BL588" s="402"/>
      <c r="BM588" s="402"/>
      <c r="BN588" s="401"/>
      <c r="BO588" s="400"/>
      <c r="BP588" s="400"/>
      <c r="BQ588" s="400"/>
      <c r="BR588" s="72"/>
      <c r="BS588" s="411"/>
    </row>
    <row r="589" spans="1:71" ht="15" customHeight="1" x14ac:dyDescent="0.15">
      <c r="A589" s="419"/>
      <c r="B589" s="405"/>
      <c r="C589" s="405"/>
      <c r="D589" s="405"/>
      <c r="E589" s="405"/>
      <c r="F589" s="420"/>
      <c r="G589" s="421"/>
      <c r="H589" s="442"/>
      <c r="I589" s="406"/>
      <c r="J589" s="407"/>
      <c r="K589" s="408"/>
      <c r="L589" s="409"/>
      <c r="M589" s="409"/>
      <c r="N589" s="410" t="str">
        <f t="shared" si="18"/>
        <v>CAT à compléter</v>
      </c>
      <c r="O589" s="739"/>
      <c r="P589" s="863"/>
      <c r="Q589" s="730" t="str">
        <f t="shared" si="19"/>
        <v>CAT à compléter</v>
      </c>
      <c r="R589" s="740"/>
      <c r="S589" s="740"/>
      <c r="T589" s="740"/>
      <c r="U589" s="740"/>
      <c r="V589" s="740"/>
      <c r="W589" s="740"/>
      <c r="X589" s="740"/>
      <c r="Y589" s="740"/>
      <c r="Z589" s="740"/>
      <c r="AA589" s="740"/>
      <c r="AB589" s="423"/>
      <c r="AC589" s="418"/>
      <c r="AD589" s="418"/>
      <c r="AE589" s="418"/>
      <c r="AF589" s="422"/>
      <c r="AG589" s="425"/>
      <c r="AH589" s="417"/>
      <c r="AI589" s="415"/>
      <c r="AJ589" s="415"/>
      <c r="AK589" s="428"/>
      <c r="AL589" s="397"/>
      <c r="AM589" s="416"/>
      <c r="AN589" s="412"/>
      <c r="AO589" s="72"/>
      <c r="AP589" s="414"/>
      <c r="AQ589" s="430"/>
      <c r="AR589" s="400"/>
      <c r="AS589" s="413"/>
      <c r="AT589" s="413"/>
      <c r="AU589" s="412"/>
      <c r="AV589" s="412"/>
      <c r="AW589" s="399"/>
      <c r="AX589" s="72"/>
      <c r="AY589" s="398"/>
      <c r="AZ589" s="400"/>
      <c r="BA589" s="72"/>
      <c r="BB589" s="404"/>
      <c r="BC589" s="404"/>
      <c r="BD589" s="404"/>
      <c r="BE589" s="404"/>
      <c r="BF589" s="404"/>
      <c r="BG589" s="404"/>
      <c r="BH589" s="403"/>
      <c r="BI589" s="403"/>
      <c r="BJ589" s="403"/>
      <c r="BK589" s="402"/>
      <c r="BL589" s="402"/>
      <c r="BM589" s="402"/>
      <c r="BN589" s="401"/>
      <c r="BO589" s="400"/>
      <c r="BP589" s="400"/>
      <c r="BQ589" s="400"/>
      <c r="BR589" s="72"/>
      <c r="BS589" s="411"/>
    </row>
    <row r="590" spans="1:71" ht="15" customHeight="1" x14ac:dyDescent="0.15">
      <c r="A590" s="419"/>
      <c r="B590" s="405"/>
      <c r="C590" s="405"/>
      <c r="D590" s="405"/>
      <c r="E590" s="405"/>
      <c r="F590" s="420"/>
      <c r="G590" s="421"/>
      <c r="H590" s="442"/>
      <c r="I590" s="406"/>
      <c r="J590" s="407"/>
      <c r="K590" s="408"/>
      <c r="L590" s="409"/>
      <c r="M590" s="409"/>
      <c r="N590" s="410" t="str">
        <f t="shared" si="18"/>
        <v>CAT à compléter</v>
      </c>
      <c r="O590" s="739"/>
      <c r="P590" s="863"/>
      <c r="Q590" s="730" t="str">
        <f t="shared" si="19"/>
        <v>CAT à compléter</v>
      </c>
      <c r="R590" s="740"/>
      <c r="S590" s="740"/>
      <c r="T590" s="740"/>
      <c r="U590" s="740"/>
      <c r="V590" s="740"/>
      <c r="W590" s="740"/>
      <c r="X590" s="740"/>
      <c r="Y590" s="740"/>
      <c r="Z590" s="740"/>
      <c r="AA590" s="740"/>
      <c r="AB590" s="423"/>
      <c r="AC590" s="418"/>
      <c r="AD590" s="418"/>
      <c r="AE590" s="418"/>
      <c r="AF590" s="422"/>
      <c r="AG590" s="425"/>
      <c r="AH590" s="417"/>
      <c r="AI590" s="415"/>
      <c r="AJ590" s="415"/>
      <c r="AK590" s="428"/>
      <c r="AL590" s="397"/>
      <c r="AM590" s="416"/>
      <c r="AN590" s="412"/>
      <c r="AO590" s="72"/>
      <c r="AP590" s="414"/>
      <c r="AQ590" s="430"/>
      <c r="AR590" s="400"/>
      <c r="AS590" s="413"/>
      <c r="AT590" s="413"/>
      <c r="AU590" s="412"/>
      <c r="AV590" s="412"/>
      <c r="AW590" s="399"/>
      <c r="AX590" s="72"/>
      <c r="AY590" s="398"/>
      <c r="AZ590" s="400"/>
      <c r="BA590" s="72"/>
      <c r="BB590" s="404"/>
      <c r="BC590" s="404"/>
      <c r="BD590" s="404"/>
      <c r="BE590" s="404"/>
      <c r="BF590" s="404"/>
      <c r="BG590" s="404"/>
      <c r="BH590" s="403"/>
      <c r="BI590" s="403"/>
      <c r="BJ590" s="403"/>
      <c r="BK590" s="402"/>
      <c r="BL590" s="402"/>
      <c r="BM590" s="402"/>
      <c r="BN590" s="401"/>
      <c r="BO590" s="400"/>
      <c r="BP590" s="400"/>
      <c r="BQ590" s="400"/>
      <c r="BR590" s="72"/>
      <c r="BS590" s="411"/>
    </row>
    <row r="591" spans="1:71" ht="15" customHeight="1" x14ac:dyDescent="0.15">
      <c r="A591" s="419"/>
      <c r="B591" s="405"/>
      <c r="C591" s="405"/>
      <c r="D591" s="405"/>
      <c r="E591" s="405"/>
      <c r="F591" s="420"/>
      <c r="G591" s="421"/>
      <c r="H591" s="442"/>
      <c r="I591" s="406"/>
      <c r="J591" s="407"/>
      <c r="K591" s="408"/>
      <c r="L591" s="409"/>
      <c r="M591" s="409"/>
      <c r="N591" s="410" t="str">
        <f t="shared" si="18"/>
        <v>CAT à compléter</v>
      </c>
      <c r="O591" s="739"/>
      <c r="P591" s="863"/>
      <c r="Q591" s="730" t="str">
        <f t="shared" si="19"/>
        <v>CAT à compléter</v>
      </c>
      <c r="R591" s="740"/>
      <c r="S591" s="740"/>
      <c r="T591" s="740"/>
      <c r="U591" s="740"/>
      <c r="V591" s="740"/>
      <c r="W591" s="740"/>
      <c r="X591" s="740"/>
      <c r="Y591" s="740"/>
      <c r="Z591" s="740"/>
      <c r="AA591" s="740"/>
      <c r="AB591" s="423"/>
      <c r="AC591" s="418"/>
      <c r="AD591" s="418"/>
      <c r="AE591" s="418"/>
      <c r="AF591" s="422"/>
      <c r="AG591" s="425"/>
      <c r="AH591" s="417"/>
      <c r="AI591" s="415"/>
      <c r="AJ591" s="415"/>
      <c r="AK591" s="428"/>
      <c r="AL591" s="397"/>
      <c r="AM591" s="416"/>
      <c r="AN591" s="412"/>
      <c r="AO591" s="72"/>
      <c r="AP591" s="414"/>
      <c r="AQ591" s="430"/>
      <c r="AR591" s="400"/>
      <c r="AS591" s="413"/>
      <c r="AT591" s="413"/>
      <c r="AU591" s="412"/>
      <c r="AV591" s="412"/>
      <c r="AW591" s="399"/>
      <c r="AX591" s="72"/>
      <c r="AY591" s="398"/>
      <c r="AZ591" s="400"/>
      <c r="BA591" s="72"/>
      <c r="BB591" s="404"/>
      <c r="BC591" s="404"/>
      <c r="BD591" s="404"/>
      <c r="BE591" s="404"/>
      <c r="BF591" s="404"/>
      <c r="BG591" s="404"/>
      <c r="BH591" s="403"/>
      <c r="BI591" s="403"/>
      <c r="BJ591" s="403"/>
      <c r="BK591" s="402"/>
      <c r="BL591" s="402"/>
      <c r="BM591" s="402"/>
      <c r="BN591" s="401"/>
      <c r="BO591" s="400"/>
      <c r="BP591" s="400"/>
      <c r="BQ591" s="400"/>
      <c r="BR591" s="72"/>
      <c r="BS591" s="411"/>
    </row>
    <row r="592" spans="1:71" ht="15" customHeight="1" x14ac:dyDescent="0.15">
      <c r="A592" s="419"/>
      <c r="B592" s="405"/>
      <c r="C592" s="405"/>
      <c r="D592" s="405"/>
      <c r="E592" s="405"/>
      <c r="F592" s="420"/>
      <c r="G592" s="421"/>
      <c r="H592" s="442"/>
      <c r="I592" s="406"/>
      <c r="J592" s="407"/>
      <c r="K592" s="408"/>
      <c r="L592" s="409"/>
      <c r="M592" s="409"/>
      <c r="N592" s="410" t="str">
        <f t="shared" si="18"/>
        <v>CAT à compléter</v>
      </c>
      <c r="O592" s="739"/>
      <c r="P592" s="863"/>
      <c r="Q592" s="730" t="str">
        <f t="shared" si="19"/>
        <v>CAT à compléter</v>
      </c>
      <c r="R592" s="740"/>
      <c r="S592" s="740"/>
      <c r="T592" s="740"/>
      <c r="U592" s="740"/>
      <c r="V592" s="740"/>
      <c r="W592" s="740"/>
      <c r="X592" s="740"/>
      <c r="Y592" s="740"/>
      <c r="Z592" s="740"/>
      <c r="AA592" s="740"/>
      <c r="AB592" s="423"/>
      <c r="AC592" s="418"/>
      <c r="AD592" s="418"/>
      <c r="AE592" s="418"/>
      <c r="AF592" s="422"/>
      <c r="AG592" s="425"/>
      <c r="AH592" s="417"/>
      <c r="AI592" s="415"/>
      <c r="AJ592" s="415"/>
      <c r="AK592" s="428"/>
      <c r="AL592" s="397"/>
      <c r="AM592" s="416"/>
      <c r="AN592" s="412"/>
      <c r="AO592" s="72"/>
      <c r="AP592" s="414"/>
      <c r="AQ592" s="430"/>
      <c r="AR592" s="400"/>
      <c r="AS592" s="413"/>
      <c r="AT592" s="413"/>
      <c r="AU592" s="412"/>
      <c r="AV592" s="412"/>
      <c r="AW592" s="399"/>
      <c r="AX592" s="72"/>
      <c r="AY592" s="398"/>
      <c r="AZ592" s="400"/>
      <c r="BA592" s="72"/>
      <c r="BB592" s="404"/>
      <c r="BC592" s="404"/>
      <c r="BD592" s="404"/>
      <c r="BE592" s="404"/>
      <c r="BF592" s="404"/>
      <c r="BG592" s="404"/>
      <c r="BH592" s="403"/>
      <c r="BI592" s="403"/>
      <c r="BJ592" s="403"/>
      <c r="BK592" s="402"/>
      <c r="BL592" s="402"/>
      <c r="BM592" s="402"/>
      <c r="BN592" s="401"/>
      <c r="BO592" s="400"/>
      <c r="BP592" s="400"/>
      <c r="BQ592" s="400"/>
      <c r="BR592" s="72"/>
      <c r="BS592" s="411"/>
    </row>
    <row r="593" spans="1:71" ht="15" customHeight="1" x14ac:dyDescent="0.15">
      <c r="A593" s="419"/>
      <c r="B593" s="405"/>
      <c r="C593" s="405"/>
      <c r="D593" s="405"/>
      <c r="E593" s="405"/>
      <c r="F593" s="420"/>
      <c r="G593" s="421"/>
      <c r="H593" s="442"/>
      <c r="I593" s="406"/>
      <c r="J593" s="407"/>
      <c r="K593" s="408"/>
      <c r="L593" s="409"/>
      <c r="M593" s="409"/>
      <c r="N593" s="410" t="str">
        <f t="shared" si="18"/>
        <v>CAT à compléter</v>
      </c>
      <c r="O593" s="739"/>
      <c r="P593" s="863"/>
      <c r="Q593" s="730" t="str">
        <f t="shared" si="19"/>
        <v>CAT à compléter</v>
      </c>
      <c r="R593" s="740"/>
      <c r="S593" s="740"/>
      <c r="T593" s="740"/>
      <c r="U593" s="740"/>
      <c r="V593" s="740"/>
      <c r="W593" s="740"/>
      <c r="X593" s="740"/>
      <c r="Y593" s="740"/>
      <c r="Z593" s="740"/>
      <c r="AA593" s="740"/>
      <c r="AB593" s="423"/>
      <c r="AC593" s="418"/>
      <c r="AD593" s="418"/>
      <c r="AE593" s="418"/>
      <c r="AF593" s="422"/>
      <c r="AG593" s="425"/>
      <c r="AH593" s="417"/>
      <c r="AI593" s="415"/>
      <c r="AJ593" s="415"/>
      <c r="AK593" s="428"/>
      <c r="AL593" s="397"/>
      <c r="AM593" s="416"/>
      <c r="AN593" s="412"/>
      <c r="AO593" s="72"/>
      <c r="AP593" s="414"/>
      <c r="AQ593" s="430"/>
      <c r="AR593" s="400"/>
      <c r="AS593" s="413"/>
      <c r="AT593" s="413"/>
      <c r="AU593" s="412"/>
      <c r="AV593" s="412"/>
      <c r="AW593" s="399"/>
      <c r="AX593" s="72"/>
      <c r="AY593" s="398"/>
      <c r="AZ593" s="400"/>
      <c r="BA593" s="72"/>
      <c r="BB593" s="404"/>
      <c r="BC593" s="404"/>
      <c r="BD593" s="404"/>
      <c r="BE593" s="404"/>
      <c r="BF593" s="404"/>
      <c r="BG593" s="404"/>
      <c r="BH593" s="403"/>
      <c r="BI593" s="403"/>
      <c r="BJ593" s="403"/>
      <c r="BK593" s="402"/>
      <c r="BL593" s="402"/>
      <c r="BM593" s="402"/>
      <c r="BN593" s="401"/>
      <c r="BO593" s="400"/>
      <c r="BP593" s="400"/>
      <c r="BQ593" s="400"/>
      <c r="BR593" s="72"/>
      <c r="BS593" s="411"/>
    </row>
    <row r="594" spans="1:71" ht="15" customHeight="1" x14ac:dyDescent="0.15">
      <c r="A594" s="419"/>
      <c r="B594" s="405"/>
      <c r="C594" s="405"/>
      <c r="D594" s="405"/>
      <c r="E594" s="405"/>
      <c r="F594" s="420"/>
      <c r="G594" s="421"/>
      <c r="H594" s="442"/>
      <c r="I594" s="406"/>
      <c r="J594" s="407"/>
      <c r="K594" s="408"/>
      <c r="L594" s="409"/>
      <c r="M594" s="409"/>
      <c r="N594" s="410" t="str">
        <f t="shared" si="18"/>
        <v>CAT à compléter</v>
      </c>
      <c r="O594" s="739"/>
      <c r="P594" s="863"/>
      <c r="Q594" s="730" t="str">
        <f t="shared" si="19"/>
        <v>CAT à compléter</v>
      </c>
      <c r="R594" s="740"/>
      <c r="S594" s="740"/>
      <c r="T594" s="740"/>
      <c r="U594" s="740"/>
      <c r="V594" s="740"/>
      <c r="W594" s="740"/>
      <c r="X594" s="740"/>
      <c r="Y594" s="740"/>
      <c r="Z594" s="740"/>
      <c r="AA594" s="740"/>
      <c r="AB594" s="423"/>
      <c r="AC594" s="418"/>
      <c r="AD594" s="418"/>
      <c r="AE594" s="418"/>
      <c r="AF594" s="422"/>
      <c r="AG594" s="425"/>
      <c r="AH594" s="417"/>
      <c r="AI594" s="415"/>
      <c r="AJ594" s="415"/>
      <c r="AK594" s="428"/>
      <c r="AL594" s="397"/>
      <c r="AM594" s="416"/>
      <c r="AN594" s="412"/>
      <c r="AO594" s="72"/>
      <c r="AP594" s="414"/>
      <c r="AQ594" s="430"/>
      <c r="AR594" s="400"/>
      <c r="AS594" s="413"/>
      <c r="AT594" s="413"/>
      <c r="AU594" s="412"/>
      <c r="AV594" s="412"/>
      <c r="AW594" s="399"/>
      <c r="AX594" s="72"/>
      <c r="AY594" s="398"/>
      <c r="AZ594" s="400"/>
      <c r="BA594" s="72"/>
      <c r="BB594" s="404"/>
      <c r="BC594" s="404"/>
      <c r="BD594" s="404"/>
      <c r="BE594" s="404"/>
      <c r="BF594" s="404"/>
      <c r="BG594" s="404"/>
      <c r="BH594" s="403"/>
      <c r="BI594" s="403"/>
      <c r="BJ594" s="403"/>
      <c r="BK594" s="402"/>
      <c r="BL594" s="402"/>
      <c r="BM594" s="402"/>
      <c r="BN594" s="401"/>
      <c r="BO594" s="400"/>
      <c r="BP594" s="400"/>
      <c r="BQ594" s="400"/>
      <c r="BR594" s="72"/>
      <c r="BS594" s="411"/>
    </row>
    <row r="595" spans="1:71" ht="15" customHeight="1" x14ac:dyDescent="0.15">
      <c r="A595" s="419"/>
      <c r="B595" s="405"/>
      <c r="C595" s="405"/>
      <c r="D595" s="405"/>
      <c r="E595" s="405"/>
      <c r="F595" s="420"/>
      <c r="G595" s="421"/>
      <c r="H595" s="442"/>
      <c r="I595" s="406"/>
      <c r="J595" s="407"/>
      <c r="K595" s="408"/>
      <c r="L595" s="409"/>
      <c r="M595" s="409"/>
      <c r="N595" s="410" t="str">
        <f t="shared" si="18"/>
        <v>CAT à compléter</v>
      </c>
      <c r="O595" s="739"/>
      <c r="P595" s="863"/>
      <c r="Q595" s="730" t="str">
        <f t="shared" si="19"/>
        <v>CAT à compléter</v>
      </c>
      <c r="R595" s="740"/>
      <c r="S595" s="740"/>
      <c r="T595" s="740"/>
      <c r="U595" s="740"/>
      <c r="V595" s="740"/>
      <c r="W595" s="740"/>
      <c r="X595" s="740"/>
      <c r="Y595" s="740"/>
      <c r="Z595" s="740"/>
      <c r="AA595" s="740"/>
      <c r="AB595" s="423"/>
      <c r="AC595" s="418"/>
      <c r="AD595" s="418"/>
      <c r="AE595" s="418"/>
      <c r="AF595" s="422"/>
      <c r="AG595" s="425"/>
      <c r="AH595" s="417"/>
      <c r="AI595" s="415"/>
      <c r="AJ595" s="415"/>
      <c r="AK595" s="428"/>
      <c r="AL595" s="397"/>
      <c r="AM595" s="416"/>
      <c r="AN595" s="412"/>
      <c r="AO595" s="72"/>
      <c r="AP595" s="414"/>
      <c r="AQ595" s="430"/>
      <c r="AR595" s="400"/>
      <c r="AS595" s="413"/>
      <c r="AT595" s="413"/>
      <c r="AU595" s="412"/>
      <c r="AV595" s="412"/>
      <c r="AW595" s="399"/>
      <c r="AX595" s="72"/>
      <c r="AY595" s="398"/>
      <c r="AZ595" s="400"/>
      <c r="BA595" s="72"/>
      <c r="BB595" s="404"/>
      <c r="BC595" s="404"/>
      <c r="BD595" s="404"/>
      <c r="BE595" s="404"/>
      <c r="BF595" s="404"/>
      <c r="BG595" s="404"/>
      <c r="BH595" s="403"/>
      <c r="BI595" s="403"/>
      <c r="BJ595" s="403"/>
      <c r="BK595" s="402"/>
      <c r="BL595" s="402"/>
      <c r="BM595" s="402"/>
      <c r="BN595" s="401"/>
      <c r="BO595" s="400"/>
      <c r="BP595" s="400"/>
      <c r="BQ595" s="400"/>
      <c r="BR595" s="72"/>
      <c r="BS595" s="411"/>
    </row>
    <row r="596" spans="1:71" ht="15" customHeight="1" x14ac:dyDescent="0.15">
      <c r="A596" s="419"/>
      <c r="B596" s="405"/>
      <c r="C596" s="405"/>
      <c r="D596" s="405"/>
      <c r="E596" s="405"/>
      <c r="F596" s="420"/>
      <c r="G596" s="421"/>
      <c r="H596" s="442"/>
      <c r="I596" s="406"/>
      <c r="J596" s="407"/>
      <c r="K596" s="408"/>
      <c r="L596" s="409"/>
      <c r="M596" s="409"/>
      <c r="N596" s="410" t="str">
        <f t="shared" si="18"/>
        <v>CAT à compléter</v>
      </c>
      <c r="O596" s="739"/>
      <c r="P596" s="863"/>
      <c r="Q596" s="730" t="str">
        <f t="shared" si="19"/>
        <v>CAT à compléter</v>
      </c>
      <c r="R596" s="740"/>
      <c r="S596" s="740"/>
      <c r="T596" s="740"/>
      <c r="U596" s="740"/>
      <c r="V596" s="740"/>
      <c r="W596" s="740"/>
      <c r="X596" s="740"/>
      <c r="Y596" s="740"/>
      <c r="Z596" s="740"/>
      <c r="AA596" s="740"/>
      <c r="AB596" s="423"/>
      <c r="AC596" s="418"/>
      <c r="AD596" s="418"/>
      <c r="AE596" s="418"/>
      <c r="AF596" s="422"/>
      <c r="AG596" s="425"/>
      <c r="AH596" s="417"/>
      <c r="AI596" s="415"/>
      <c r="AJ596" s="415"/>
      <c r="AK596" s="428"/>
      <c r="AL596" s="397"/>
      <c r="AM596" s="416"/>
      <c r="AN596" s="412"/>
      <c r="AO596" s="72"/>
      <c r="AP596" s="414"/>
      <c r="AQ596" s="430"/>
      <c r="AR596" s="400"/>
      <c r="AS596" s="413"/>
      <c r="AT596" s="413"/>
      <c r="AU596" s="412"/>
      <c r="AV596" s="412"/>
      <c r="AW596" s="399"/>
      <c r="AX596" s="72"/>
      <c r="AY596" s="398"/>
      <c r="AZ596" s="400"/>
      <c r="BA596" s="72"/>
      <c r="BB596" s="404"/>
      <c r="BC596" s="404"/>
      <c r="BD596" s="404"/>
      <c r="BE596" s="404"/>
      <c r="BF596" s="404"/>
      <c r="BG596" s="404"/>
      <c r="BH596" s="403"/>
      <c r="BI596" s="403"/>
      <c r="BJ596" s="403"/>
      <c r="BK596" s="402"/>
      <c r="BL596" s="402"/>
      <c r="BM596" s="402"/>
      <c r="BN596" s="401"/>
      <c r="BO596" s="400"/>
      <c r="BP596" s="400"/>
      <c r="BQ596" s="400"/>
      <c r="BR596" s="72"/>
      <c r="BS596" s="411"/>
    </row>
    <row r="597" spans="1:71" ht="15" customHeight="1" x14ac:dyDescent="0.15">
      <c r="A597" s="419"/>
      <c r="B597" s="405"/>
      <c r="C597" s="405"/>
      <c r="D597" s="405"/>
      <c r="E597" s="405"/>
      <c r="F597" s="420"/>
      <c r="G597" s="421"/>
      <c r="H597" s="442"/>
      <c r="I597" s="406"/>
      <c r="J597" s="407"/>
      <c r="K597" s="408"/>
      <c r="L597" s="409"/>
      <c r="M597" s="409"/>
      <c r="N597" s="410" t="str">
        <f t="shared" si="18"/>
        <v>CAT à compléter</v>
      </c>
      <c r="O597" s="739"/>
      <c r="P597" s="863"/>
      <c r="Q597" s="730" t="str">
        <f t="shared" si="19"/>
        <v>CAT à compléter</v>
      </c>
      <c r="R597" s="740"/>
      <c r="S597" s="740"/>
      <c r="T597" s="740"/>
      <c r="U597" s="740"/>
      <c r="V597" s="740"/>
      <c r="W597" s="740"/>
      <c r="X597" s="740"/>
      <c r="Y597" s="740"/>
      <c r="Z597" s="740"/>
      <c r="AA597" s="740"/>
      <c r="AB597" s="423"/>
      <c r="AC597" s="418"/>
      <c r="AD597" s="418"/>
      <c r="AE597" s="418"/>
      <c r="AF597" s="422"/>
      <c r="AG597" s="425"/>
      <c r="AH597" s="417"/>
      <c r="AI597" s="415"/>
      <c r="AJ597" s="415"/>
      <c r="AK597" s="428"/>
      <c r="AL597" s="397"/>
      <c r="AM597" s="416"/>
      <c r="AN597" s="412"/>
      <c r="AO597" s="72"/>
      <c r="AP597" s="414"/>
      <c r="AQ597" s="430"/>
      <c r="AR597" s="400"/>
      <c r="AS597" s="413"/>
      <c r="AT597" s="413"/>
      <c r="AU597" s="412"/>
      <c r="AV597" s="412"/>
      <c r="AW597" s="399"/>
      <c r="AX597" s="72"/>
      <c r="AY597" s="398"/>
      <c r="AZ597" s="400"/>
      <c r="BA597" s="72"/>
      <c r="BB597" s="404"/>
      <c r="BC597" s="404"/>
      <c r="BD597" s="404"/>
      <c r="BE597" s="404"/>
      <c r="BF597" s="404"/>
      <c r="BG597" s="404"/>
      <c r="BH597" s="403"/>
      <c r="BI597" s="403"/>
      <c r="BJ597" s="403"/>
      <c r="BK597" s="402"/>
      <c r="BL597" s="402"/>
      <c r="BM597" s="402"/>
      <c r="BN597" s="401"/>
      <c r="BO597" s="400"/>
      <c r="BP597" s="400"/>
      <c r="BQ597" s="400"/>
      <c r="BR597" s="72"/>
      <c r="BS597" s="411"/>
    </row>
    <row r="598" spans="1:71" ht="15" customHeight="1" x14ac:dyDescent="0.15">
      <c r="A598" s="419"/>
      <c r="B598" s="405"/>
      <c r="C598" s="405"/>
      <c r="D598" s="405"/>
      <c r="E598" s="405"/>
      <c r="F598" s="420"/>
      <c r="G598" s="421"/>
      <c r="H598" s="442"/>
      <c r="I598" s="406"/>
      <c r="J598" s="407"/>
      <c r="K598" s="408"/>
      <c r="L598" s="409"/>
      <c r="M598" s="409"/>
      <c r="N598" s="410" t="str">
        <f t="shared" si="18"/>
        <v>CAT à compléter</v>
      </c>
      <c r="O598" s="739"/>
      <c r="P598" s="863"/>
      <c r="Q598" s="730" t="str">
        <f t="shared" si="19"/>
        <v>CAT à compléter</v>
      </c>
      <c r="R598" s="740"/>
      <c r="S598" s="740"/>
      <c r="T598" s="740"/>
      <c r="U598" s="740"/>
      <c r="V598" s="740"/>
      <c r="W598" s="740"/>
      <c r="X598" s="740"/>
      <c r="Y598" s="740"/>
      <c r="Z598" s="740"/>
      <c r="AA598" s="740"/>
      <c r="AB598" s="423"/>
      <c r="AC598" s="418"/>
      <c r="AD598" s="418"/>
      <c r="AE598" s="418"/>
      <c r="AF598" s="422"/>
      <c r="AG598" s="425"/>
      <c r="AH598" s="417"/>
      <c r="AI598" s="415"/>
      <c r="AJ598" s="415"/>
      <c r="AK598" s="428"/>
      <c r="AL598" s="397"/>
      <c r="AM598" s="416"/>
      <c r="AN598" s="412"/>
      <c r="AO598" s="72"/>
      <c r="AP598" s="414"/>
      <c r="AQ598" s="430"/>
      <c r="AR598" s="400"/>
      <c r="AS598" s="413"/>
      <c r="AT598" s="413"/>
      <c r="AU598" s="412"/>
      <c r="AV598" s="412"/>
      <c r="AW598" s="399"/>
      <c r="AX598" s="72"/>
      <c r="AY598" s="398"/>
      <c r="AZ598" s="400"/>
      <c r="BA598" s="72"/>
      <c r="BB598" s="404"/>
      <c r="BC598" s="404"/>
      <c r="BD598" s="404"/>
      <c r="BE598" s="404"/>
      <c r="BF598" s="404"/>
      <c r="BG598" s="404"/>
      <c r="BH598" s="403"/>
      <c r="BI598" s="403"/>
      <c r="BJ598" s="403"/>
      <c r="BK598" s="402"/>
      <c r="BL598" s="402"/>
      <c r="BM598" s="402"/>
      <c r="BN598" s="401"/>
      <c r="BO598" s="400"/>
      <c r="BP598" s="400"/>
      <c r="BQ598" s="400"/>
      <c r="BR598" s="72"/>
      <c r="BS598" s="411"/>
    </row>
    <row r="599" spans="1:71" ht="15" customHeight="1" x14ac:dyDescent="0.15">
      <c r="A599" s="419"/>
      <c r="B599" s="405"/>
      <c r="C599" s="405"/>
      <c r="D599" s="405"/>
      <c r="E599" s="405"/>
      <c r="F599" s="420"/>
      <c r="G599" s="421"/>
      <c r="H599" s="442"/>
      <c r="I599" s="406"/>
      <c r="J599" s="407"/>
      <c r="K599" s="408"/>
      <c r="L599" s="409"/>
      <c r="M599" s="409"/>
      <c r="N599" s="410" t="str">
        <f t="shared" si="18"/>
        <v>CAT à compléter</v>
      </c>
      <c r="O599" s="739"/>
      <c r="P599" s="863"/>
      <c r="Q599" s="730" t="str">
        <f t="shared" si="19"/>
        <v>CAT à compléter</v>
      </c>
      <c r="R599" s="740"/>
      <c r="S599" s="740"/>
      <c r="T599" s="740"/>
      <c r="U599" s="740"/>
      <c r="V599" s="740"/>
      <c r="W599" s="740"/>
      <c r="X599" s="740"/>
      <c r="Y599" s="740"/>
      <c r="Z599" s="740"/>
      <c r="AA599" s="740"/>
      <c r="AB599" s="423"/>
      <c r="AC599" s="418"/>
      <c r="AD599" s="418"/>
      <c r="AE599" s="418"/>
      <c r="AF599" s="422"/>
      <c r="AG599" s="425"/>
      <c r="AH599" s="417"/>
      <c r="AI599" s="415"/>
      <c r="AJ599" s="415"/>
      <c r="AK599" s="428"/>
      <c r="AL599" s="397"/>
      <c r="AM599" s="416"/>
      <c r="AN599" s="412"/>
      <c r="AO599" s="72"/>
      <c r="AP599" s="414"/>
      <c r="AQ599" s="430"/>
      <c r="AR599" s="400"/>
      <c r="AS599" s="413"/>
      <c r="AT599" s="413"/>
      <c r="AU599" s="412"/>
      <c r="AV599" s="412"/>
      <c r="AW599" s="399"/>
      <c r="AX599" s="72"/>
      <c r="AY599" s="398"/>
      <c r="AZ599" s="400"/>
      <c r="BA599" s="72"/>
      <c r="BB599" s="404"/>
      <c r="BC599" s="404"/>
      <c r="BD599" s="404"/>
      <c r="BE599" s="404"/>
      <c r="BF599" s="404"/>
      <c r="BG599" s="404"/>
      <c r="BH599" s="403"/>
      <c r="BI599" s="403"/>
      <c r="BJ599" s="403"/>
      <c r="BK599" s="402"/>
      <c r="BL599" s="402"/>
      <c r="BM599" s="402"/>
      <c r="BN599" s="401"/>
      <c r="BO599" s="400"/>
      <c r="BP599" s="400"/>
      <c r="BQ599" s="400"/>
      <c r="BR599" s="72"/>
      <c r="BS599" s="411"/>
    </row>
    <row r="600" spans="1:71" ht="15" customHeight="1" x14ac:dyDescent="0.15">
      <c r="A600" s="419"/>
      <c r="B600" s="405"/>
      <c r="C600" s="405"/>
      <c r="D600" s="405"/>
      <c r="E600" s="405"/>
      <c r="F600" s="420"/>
      <c r="G600" s="421"/>
      <c r="H600" s="442"/>
      <c r="I600" s="406"/>
      <c r="J600" s="407"/>
      <c r="K600" s="408"/>
      <c r="L600" s="409"/>
      <c r="M600" s="409"/>
      <c r="N600" s="410" t="str">
        <f t="shared" si="18"/>
        <v>CAT à compléter</v>
      </c>
      <c r="O600" s="739"/>
      <c r="P600" s="863"/>
      <c r="Q600" s="730" t="str">
        <f t="shared" si="19"/>
        <v>CAT à compléter</v>
      </c>
      <c r="R600" s="740"/>
      <c r="S600" s="740"/>
      <c r="T600" s="740"/>
      <c r="U600" s="740"/>
      <c r="V600" s="740"/>
      <c r="W600" s="740"/>
      <c r="X600" s="740"/>
      <c r="Y600" s="740"/>
      <c r="Z600" s="740"/>
      <c r="AA600" s="740"/>
      <c r="AB600" s="423"/>
      <c r="AC600" s="418"/>
      <c r="AD600" s="418"/>
      <c r="AE600" s="418"/>
      <c r="AF600" s="422"/>
      <c r="AG600" s="425"/>
      <c r="AH600" s="417"/>
      <c r="AI600" s="415"/>
      <c r="AJ600" s="415"/>
      <c r="AK600" s="428"/>
      <c r="AL600" s="397"/>
      <c r="AM600" s="416"/>
      <c r="AN600" s="412"/>
      <c r="AO600" s="72"/>
      <c r="AP600" s="414"/>
      <c r="AQ600" s="430"/>
      <c r="AR600" s="400"/>
      <c r="AS600" s="413"/>
      <c r="AT600" s="413"/>
      <c r="AU600" s="412"/>
      <c r="AV600" s="412"/>
      <c r="AW600" s="399"/>
      <c r="AX600" s="72"/>
      <c r="AY600" s="398"/>
      <c r="AZ600" s="400"/>
      <c r="BA600" s="72"/>
      <c r="BB600" s="404"/>
      <c r="BC600" s="404"/>
      <c r="BD600" s="404"/>
      <c r="BE600" s="404"/>
      <c r="BF600" s="404"/>
      <c r="BG600" s="404"/>
      <c r="BH600" s="403"/>
      <c r="BI600" s="403"/>
      <c r="BJ600" s="403"/>
      <c r="BK600" s="402"/>
      <c r="BL600" s="402"/>
      <c r="BM600" s="402"/>
      <c r="BN600" s="401"/>
      <c r="BO600" s="400"/>
      <c r="BP600" s="400"/>
      <c r="BQ600" s="400"/>
      <c r="BR600" s="72"/>
      <c r="BS600" s="411"/>
    </row>
    <row r="601" spans="1:71" ht="15" customHeight="1" x14ac:dyDescent="0.15">
      <c r="A601" s="419"/>
      <c r="B601" s="405"/>
      <c r="C601" s="405"/>
      <c r="D601" s="405"/>
      <c r="E601" s="405"/>
      <c r="F601" s="420"/>
      <c r="G601" s="421"/>
      <c r="H601" s="442"/>
      <c r="I601" s="406"/>
      <c r="J601" s="407"/>
      <c r="K601" s="408"/>
      <c r="L601" s="409"/>
      <c r="M601" s="409"/>
      <c r="N601" s="410" t="str">
        <f t="shared" si="18"/>
        <v>CAT à compléter</v>
      </c>
      <c r="O601" s="739"/>
      <c r="P601" s="863"/>
      <c r="Q601" s="730" t="str">
        <f t="shared" si="19"/>
        <v>CAT à compléter</v>
      </c>
      <c r="R601" s="740"/>
      <c r="S601" s="740"/>
      <c r="T601" s="740"/>
      <c r="U601" s="740"/>
      <c r="V601" s="740"/>
      <c r="W601" s="740"/>
      <c r="X601" s="740"/>
      <c r="Y601" s="740"/>
      <c r="Z601" s="740"/>
      <c r="AA601" s="740"/>
      <c r="AB601" s="423"/>
      <c r="AC601" s="418"/>
      <c r="AD601" s="418"/>
      <c r="AE601" s="418"/>
      <c r="AF601" s="422"/>
      <c r="AG601" s="425"/>
      <c r="AH601" s="417"/>
      <c r="AI601" s="415"/>
      <c r="AJ601" s="415"/>
      <c r="AK601" s="428"/>
      <c r="AL601" s="397"/>
      <c r="AM601" s="416"/>
      <c r="AN601" s="412"/>
      <c r="AO601" s="72"/>
      <c r="AP601" s="414"/>
      <c r="AQ601" s="430"/>
      <c r="AR601" s="400"/>
      <c r="AS601" s="413"/>
      <c r="AT601" s="413"/>
      <c r="AU601" s="412"/>
      <c r="AV601" s="412"/>
      <c r="AW601" s="399"/>
      <c r="AX601" s="72"/>
      <c r="AY601" s="398"/>
      <c r="AZ601" s="400"/>
      <c r="BA601" s="72"/>
      <c r="BB601" s="404"/>
      <c r="BC601" s="404"/>
      <c r="BD601" s="404"/>
      <c r="BE601" s="404"/>
      <c r="BF601" s="404"/>
      <c r="BG601" s="404"/>
      <c r="BH601" s="403"/>
      <c r="BI601" s="403"/>
      <c r="BJ601" s="403"/>
      <c r="BK601" s="402"/>
      <c r="BL601" s="402"/>
      <c r="BM601" s="402"/>
      <c r="BN601" s="401"/>
      <c r="BO601" s="400"/>
      <c r="BP601" s="400"/>
      <c r="BQ601" s="400"/>
      <c r="BR601" s="72"/>
      <c r="BS601" s="411"/>
    </row>
    <row r="602" spans="1:71" ht="15" customHeight="1" x14ac:dyDescent="0.15">
      <c r="A602" s="419"/>
      <c r="B602" s="405"/>
      <c r="C602" s="405"/>
      <c r="D602" s="405"/>
      <c r="E602" s="405"/>
      <c r="F602" s="420"/>
      <c r="G602" s="421"/>
      <c r="H602" s="442"/>
      <c r="I602" s="406"/>
      <c r="J602" s="407"/>
      <c r="K602" s="408"/>
      <c r="L602" s="409"/>
      <c r="M602" s="409"/>
      <c r="N602" s="410" t="str">
        <f t="shared" si="18"/>
        <v>CAT à compléter</v>
      </c>
      <c r="O602" s="739"/>
      <c r="P602" s="863"/>
      <c r="Q602" s="730" t="str">
        <f t="shared" si="19"/>
        <v>CAT à compléter</v>
      </c>
      <c r="R602" s="740"/>
      <c r="S602" s="740"/>
      <c r="T602" s="740"/>
      <c r="U602" s="740"/>
      <c r="V602" s="740"/>
      <c r="W602" s="740"/>
      <c r="X602" s="740"/>
      <c r="Y602" s="740"/>
      <c r="Z602" s="740"/>
      <c r="AA602" s="740"/>
      <c r="AB602" s="423"/>
      <c r="AC602" s="418"/>
      <c r="AD602" s="418"/>
      <c r="AE602" s="418"/>
      <c r="AF602" s="422"/>
      <c r="AG602" s="425"/>
      <c r="AH602" s="417"/>
      <c r="AI602" s="415"/>
      <c r="AJ602" s="415"/>
      <c r="AK602" s="428"/>
      <c r="AL602" s="397"/>
      <c r="AM602" s="416"/>
      <c r="AN602" s="412"/>
      <c r="AO602" s="72"/>
      <c r="AP602" s="414"/>
      <c r="AQ602" s="430"/>
      <c r="AR602" s="400"/>
      <c r="AS602" s="413"/>
      <c r="AT602" s="413"/>
      <c r="AU602" s="412"/>
      <c r="AV602" s="412"/>
      <c r="AW602" s="399"/>
      <c r="AX602" s="72"/>
      <c r="AY602" s="398"/>
      <c r="AZ602" s="400"/>
      <c r="BA602" s="72"/>
      <c r="BB602" s="404"/>
      <c r="BC602" s="404"/>
      <c r="BD602" s="404"/>
      <c r="BE602" s="404"/>
      <c r="BF602" s="404"/>
      <c r="BG602" s="404"/>
      <c r="BH602" s="403"/>
      <c r="BI602" s="403"/>
      <c r="BJ602" s="403"/>
      <c r="BK602" s="402"/>
      <c r="BL602" s="402"/>
      <c r="BM602" s="402"/>
      <c r="BN602" s="401"/>
      <c r="BO602" s="400"/>
      <c r="BP602" s="400"/>
      <c r="BQ602" s="400"/>
      <c r="BR602" s="72"/>
      <c r="BS602" s="411"/>
    </row>
    <row r="603" spans="1:71" ht="15" customHeight="1" x14ac:dyDescent="0.15">
      <c r="A603" s="419"/>
      <c r="B603" s="405"/>
      <c r="C603" s="405"/>
      <c r="D603" s="405"/>
      <c r="E603" s="405"/>
      <c r="F603" s="420"/>
      <c r="G603" s="421"/>
      <c r="H603" s="442"/>
      <c r="I603" s="406"/>
      <c r="J603" s="407"/>
      <c r="K603" s="408"/>
      <c r="L603" s="409"/>
      <c r="M603" s="409"/>
      <c r="N603" s="410" t="str">
        <f t="shared" si="18"/>
        <v>CAT à compléter</v>
      </c>
      <c r="O603" s="739"/>
      <c r="P603" s="863"/>
      <c r="Q603" s="730" t="str">
        <f t="shared" si="19"/>
        <v>CAT à compléter</v>
      </c>
      <c r="R603" s="740"/>
      <c r="S603" s="740"/>
      <c r="T603" s="740"/>
      <c r="U603" s="740"/>
      <c r="V603" s="740"/>
      <c r="W603" s="740"/>
      <c r="X603" s="740"/>
      <c r="Y603" s="740"/>
      <c r="Z603" s="740"/>
      <c r="AA603" s="740"/>
      <c r="AB603" s="423"/>
      <c r="AC603" s="418"/>
      <c r="AD603" s="418"/>
      <c r="AE603" s="418"/>
      <c r="AF603" s="422"/>
      <c r="AG603" s="425"/>
      <c r="AH603" s="417"/>
      <c r="AI603" s="415"/>
      <c r="AJ603" s="415"/>
      <c r="AK603" s="428"/>
      <c r="AL603" s="397"/>
      <c r="AM603" s="416"/>
      <c r="AN603" s="412"/>
      <c r="AO603" s="72"/>
      <c r="AP603" s="414"/>
      <c r="AQ603" s="430"/>
      <c r="AR603" s="400"/>
      <c r="AS603" s="413"/>
      <c r="AT603" s="413"/>
      <c r="AU603" s="412"/>
      <c r="AV603" s="412"/>
      <c r="AW603" s="399"/>
      <c r="AX603" s="72"/>
      <c r="AY603" s="398"/>
      <c r="AZ603" s="400"/>
      <c r="BA603" s="72"/>
      <c r="BB603" s="404"/>
      <c r="BC603" s="404"/>
      <c r="BD603" s="404"/>
      <c r="BE603" s="404"/>
      <c r="BF603" s="404"/>
      <c r="BG603" s="404"/>
      <c r="BH603" s="403"/>
      <c r="BI603" s="403"/>
      <c r="BJ603" s="403"/>
      <c r="BK603" s="402"/>
      <c r="BL603" s="402"/>
      <c r="BM603" s="402"/>
      <c r="BN603" s="401"/>
      <c r="BO603" s="400"/>
      <c r="BP603" s="400"/>
      <c r="BQ603" s="400"/>
      <c r="BR603" s="72"/>
      <c r="BS603" s="411"/>
    </row>
    <row r="604" spans="1:71" ht="15" customHeight="1" x14ac:dyDescent="0.15">
      <c r="A604" s="419"/>
      <c r="B604" s="405"/>
      <c r="C604" s="405"/>
      <c r="D604" s="405"/>
      <c r="E604" s="405"/>
      <c r="F604" s="420"/>
      <c r="G604" s="421"/>
      <c r="H604" s="442"/>
      <c r="I604" s="406"/>
      <c r="J604" s="407"/>
      <c r="K604" s="408"/>
      <c r="L604" s="409"/>
      <c r="M604" s="409"/>
      <c r="N604" s="410" t="str">
        <f t="shared" si="18"/>
        <v>CAT à compléter</v>
      </c>
      <c r="O604" s="739"/>
      <c r="P604" s="863"/>
      <c r="Q604" s="730" t="str">
        <f t="shared" si="19"/>
        <v>CAT à compléter</v>
      </c>
      <c r="R604" s="740"/>
      <c r="S604" s="740"/>
      <c r="T604" s="740"/>
      <c r="U604" s="740"/>
      <c r="V604" s="740"/>
      <c r="W604" s="740"/>
      <c r="X604" s="740"/>
      <c r="Y604" s="740"/>
      <c r="Z604" s="740"/>
      <c r="AA604" s="740"/>
      <c r="AB604" s="423"/>
      <c r="AC604" s="418"/>
      <c r="AD604" s="418"/>
      <c r="AE604" s="418"/>
      <c r="AF604" s="422"/>
      <c r="AG604" s="425"/>
      <c r="AH604" s="417"/>
      <c r="AI604" s="415"/>
      <c r="AJ604" s="415"/>
      <c r="AK604" s="428"/>
      <c r="AL604" s="397"/>
      <c r="AM604" s="416"/>
      <c r="AN604" s="412"/>
      <c r="AO604" s="72"/>
      <c r="AP604" s="414"/>
      <c r="AQ604" s="430"/>
      <c r="AR604" s="400"/>
      <c r="AS604" s="413"/>
      <c r="AT604" s="413"/>
      <c r="AU604" s="412"/>
      <c r="AV604" s="412"/>
      <c r="AW604" s="399"/>
      <c r="AX604" s="72"/>
      <c r="AY604" s="398"/>
      <c r="AZ604" s="400"/>
      <c r="BA604" s="72"/>
      <c r="BB604" s="404"/>
      <c r="BC604" s="404"/>
      <c r="BD604" s="404"/>
      <c r="BE604" s="404"/>
      <c r="BF604" s="404"/>
      <c r="BG604" s="404"/>
      <c r="BH604" s="403"/>
      <c r="BI604" s="403"/>
      <c r="BJ604" s="403"/>
      <c r="BK604" s="402"/>
      <c r="BL604" s="402"/>
      <c r="BM604" s="402"/>
      <c r="BN604" s="401"/>
      <c r="BO604" s="400"/>
      <c r="BP604" s="400"/>
      <c r="BQ604" s="400"/>
      <c r="BR604" s="72"/>
      <c r="BS604" s="411"/>
    </row>
    <row r="605" spans="1:71" ht="15" customHeight="1" x14ac:dyDescent="0.15">
      <c r="A605" s="419"/>
      <c r="B605" s="405"/>
      <c r="C605" s="405"/>
      <c r="D605" s="405"/>
      <c r="E605" s="405"/>
      <c r="F605" s="420"/>
      <c r="G605" s="421"/>
      <c r="H605" s="442"/>
      <c r="I605" s="406"/>
      <c r="J605" s="407"/>
      <c r="K605" s="408"/>
      <c r="L605" s="409"/>
      <c r="M605" s="409"/>
      <c r="N605" s="410" t="str">
        <f t="shared" si="18"/>
        <v>CAT à compléter</v>
      </c>
      <c r="O605" s="739"/>
      <c r="P605" s="863"/>
      <c r="Q605" s="730" t="str">
        <f t="shared" si="19"/>
        <v>CAT à compléter</v>
      </c>
      <c r="R605" s="740"/>
      <c r="S605" s="740"/>
      <c r="T605" s="740"/>
      <c r="U605" s="740"/>
      <c r="V605" s="740"/>
      <c r="W605" s="740"/>
      <c r="X605" s="740"/>
      <c r="Y605" s="740"/>
      <c r="Z605" s="740"/>
      <c r="AA605" s="740"/>
      <c r="AB605" s="423"/>
      <c r="AC605" s="418"/>
      <c r="AD605" s="418"/>
      <c r="AE605" s="418"/>
      <c r="AF605" s="422"/>
      <c r="AG605" s="425"/>
      <c r="AH605" s="417"/>
      <c r="AI605" s="415"/>
      <c r="AJ605" s="415"/>
      <c r="AK605" s="428"/>
      <c r="AL605" s="397"/>
      <c r="AM605" s="416"/>
      <c r="AN605" s="412"/>
      <c r="AO605" s="72"/>
      <c r="AP605" s="414"/>
      <c r="AQ605" s="430"/>
      <c r="AR605" s="400"/>
      <c r="AS605" s="413"/>
      <c r="AT605" s="413"/>
      <c r="AU605" s="412"/>
      <c r="AV605" s="412"/>
      <c r="AW605" s="399"/>
      <c r="AX605" s="72"/>
      <c r="AY605" s="398"/>
      <c r="AZ605" s="400"/>
      <c r="BA605" s="72"/>
      <c r="BB605" s="404"/>
      <c r="BC605" s="404"/>
      <c r="BD605" s="404"/>
      <c r="BE605" s="404"/>
      <c r="BF605" s="404"/>
      <c r="BG605" s="404"/>
      <c r="BH605" s="403"/>
      <c r="BI605" s="403"/>
      <c r="BJ605" s="403"/>
      <c r="BK605" s="402"/>
      <c r="BL605" s="402"/>
      <c r="BM605" s="402"/>
      <c r="BN605" s="401"/>
      <c r="BO605" s="400"/>
      <c r="BP605" s="400"/>
      <c r="BQ605" s="400"/>
      <c r="BR605" s="72"/>
      <c r="BS605" s="411"/>
    </row>
    <row r="606" spans="1:71" ht="15" customHeight="1" x14ac:dyDescent="0.15">
      <c r="A606" s="419"/>
      <c r="B606" s="405"/>
      <c r="C606" s="405"/>
      <c r="D606" s="405"/>
      <c r="E606" s="405"/>
      <c r="F606" s="420"/>
      <c r="G606" s="421"/>
      <c r="H606" s="442"/>
      <c r="I606" s="406"/>
      <c r="J606" s="407"/>
      <c r="K606" s="408"/>
      <c r="L606" s="409"/>
      <c r="M606" s="409"/>
      <c r="N606" s="410" t="str">
        <f t="shared" si="18"/>
        <v>CAT à compléter</v>
      </c>
      <c r="O606" s="739"/>
      <c r="P606" s="863"/>
      <c r="Q606" s="730" t="str">
        <f t="shared" si="19"/>
        <v>CAT à compléter</v>
      </c>
      <c r="R606" s="740"/>
      <c r="S606" s="740"/>
      <c r="T606" s="740"/>
      <c r="U606" s="740"/>
      <c r="V606" s="740"/>
      <c r="W606" s="740"/>
      <c r="X606" s="740"/>
      <c r="Y606" s="740"/>
      <c r="Z606" s="740"/>
      <c r="AA606" s="740"/>
      <c r="AB606" s="423"/>
      <c r="AC606" s="418"/>
      <c r="AD606" s="418"/>
      <c r="AE606" s="418"/>
      <c r="AF606" s="422"/>
      <c r="AG606" s="425"/>
      <c r="AH606" s="417"/>
      <c r="AI606" s="415"/>
      <c r="AJ606" s="415"/>
      <c r="AK606" s="428"/>
      <c r="AL606" s="397"/>
      <c r="AM606" s="416"/>
      <c r="AN606" s="412"/>
      <c r="AO606" s="72"/>
      <c r="AP606" s="414"/>
      <c r="AQ606" s="430"/>
      <c r="AR606" s="400"/>
      <c r="AS606" s="413"/>
      <c r="AT606" s="413"/>
      <c r="AU606" s="412"/>
      <c r="AV606" s="412"/>
      <c r="AW606" s="399"/>
      <c r="AX606" s="72"/>
      <c r="AY606" s="398"/>
      <c r="AZ606" s="400"/>
      <c r="BA606" s="72"/>
      <c r="BB606" s="404"/>
      <c r="BC606" s="404"/>
      <c r="BD606" s="404"/>
      <c r="BE606" s="404"/>
      <c r="BF606" s="404"/>
      <c r="BG606" s="404"/>
      <c r="BH606" s="403"/>
      <c r="BI606" s="403"/>
      <c r="BJ606" s="403"/>
      <c r="BK606" s="402"/>
      <c r="BL606" s="402"/>
      <c r="BM606" s="402"/>
      <c r="BN606" s="401"/>
      <c r="BO606" s="400"/>
      <c r="BP606" s="400"/>
      <c r="BQ606" s="400"/>
      <c r="BR606" s="72"/>
      <c r="BS606" s="411"/>
    </row>
    <row r="607" spans="1:71" ht="15" customHeight="1" x14ac:dyDescent="0.15">
      <c r="A607" s="419"/>
      <c r="B607" s="405"/>
      <c r="C607" s="405"/>
      <c r="D607" s="405"/>
      <c r="E607" s="405"/>
      <c r="F607" s="420"/>
      <c r="G607" s="421"/>
      <c r="H607" s="442"/>
      <c r="I607" s="406"/>
      <c r="J607" s="407"/>
      <c r="K607" s="408"/>
      <c r="L607" s="409"/>
      <c r="M607" s="409"/>
      <c r="N607" s="410" t="str">
        <f t="shared" si="18"/>
        <v>CAT à compléter</v>
      </c>
      <c r="O607" s="739"/>
      <c r="P607" s="863"/>
      <c r="Q607" s="730" t="str">
        <f t="shared" si="19"/>
        <v>CAT à compléter</v>
      </c>
      <c r="R607" s="740"/>
      <c r="S607" s="740"/>
      <c r="T607" s="740"/>
      <c r="U607" s="740"/>
      <c r="V607" s="740"/>
      <c r="W607" s="740"/>
      <c r="X607" s="740"/>
      <c r="Y607" s="740"/>
      <c r="Z607" s="740"/>
      <c r="AA607" s="740"/>
      <c r="AB607" s="423"/>
      <c r="AC607" s="418"/>
      <c r="AD607" s="418"/>
      <c r="AE607" s="418"/>
      <c r="AF607" s="422"/>
      <c r="AG607" s="425"/>
      <c r="AH607" s="417"/>
      <c r="AI607" s="415"/>
      <c r="AJ607" s="415"/>
      <c r="AK607" s="428"/>
      <c r="AL607" s="397"/>
      <c r="AM607" s="416"/>
      <c r="AN607" s="412"/>
      <c r="AO607" s="72"/>
      <c r="AP607" s="414"/>
      <c r="AQ607" s="430"/>
      <c r="AR607" s="400"/>
      <c r="AS607" s="413"/>
      <c r="AT607" s="413"/>
      <c r="AU607" s="412"/>
      <c r="AV607" s="412"/>
      <c r="AW607" s="399"/>
      <c r="AX607" s="72"/>
      <c r="AY607" s="398"/>
      <c r="AZ607" s="400"/>
      <c r="BA607" s="72"/>
      <c r="BB607" s="404"/>
      <c r="BC607" s="404"/>
      <c r="BD607" s="404"/>
      <c r="BE607" s="404"/>
      <c r="BF607" s="404"/>
      <c r="BG607" s="404"/>
      <c r="BH607" s="403"/>
      <c r="BI607" s="403"/>
      <c r="BJ607" s="403"/>
      <c r="BK607" s="402"/>
      <c r="BL607" s="402"/>
      <c r="BM607" s="402"/>
      <c r="BN607" s="401"/>
      <c r="BO607" s="400"/>
      <c r="BP607" s="400"/>
      <c r="BQ607" s="400"/>
      <c r="BR607" s="72"/>
      <c r="BS607" s="411"/>
    </row>
    <row r="608" spans="1:71" ht="15" customHeight="1" x14ac:dyDescent="0.15">
      <c r="A608" s="419"/>
      <c r="B608" s="405"/>
      <c r="C608" s="405"/>
      <c r="D608" s="405"/>
      <c r="E608" s="405"/>
      <c r="F608" s="420"/>
      <c r="G608" s="421"/>
      <c r="H608" s="442"/>
      <c r="I608" s="406"/>
      <c r="J608" s="407"/>
      <c r="K608" s="408"/>
      <c r="L608" s="409"/>
      <c r="M608" s="409"/>
      <c r="N608" s="410" t="str">
        <f t="shared" si="18"/>
        <v>CAT à compléter</v>
      </c>
      <c r="O608" s="739"/>
      <c r="P608" s="863"/>
      <c r="Q608" s="730" t="str">
        <f t="shared" si="19"/>
        <v>CAT à compléter</v>
      </c>
      <c r="R608" s="740"/>
      <c r="S608" s="740"/>
      <c r="T608" s="740"/>
      <c r="U608" s="740"/>
      <c r="V608" s="740"/>
      <c r="W608" s="740"/>
      <c r="X608" s="740"/>
      <c r="Y608" s="740"/>
      <c r="Z608" s="740"/>
      <c r="AA608" s="740"/>
      <c r="AB608" s="423"/>
      <c r="AC608" s="418"/>
      <c r="AD608" s="418"/>
      <c r="AE608" s="418"/>
      <c r="AF608" s="422"/>
      <c r="AG608" s="425"/>
      <c r="AH608" s="417"/>
      <c r="AI608" s="415"/>
      <c r="AJ608" s="415"/>
      <c r="AK608" s="428"/>
      <c r="AL608" s="397"/>
      <c r="AM608" s="416"/>
      <c r="AN608" s="412"/>
      <c r="AO608" s="72"/>
      <c r="AP608" s="414"/>
      <c r="AQ608" s="430"/>
      <c r="AR608" s="400"/>
      <c r="AS608" s="413"/>
      <c r="AT608" s="413"/>
      <c r="AU608" s="412"/>
      <c r="AV608" s="412"/>
      <c r="AW608" s="399"/>
      <c r="AX608" s="72"/>
      <c r="AY608" s="398"/>
      <c r="AZ608" s="400"/>
      <c r="BA608" s="72"/>
      <c r="BB608" s="404"/>
      <c r="BC608" s="404"/>
      <c r="BD608" s="404"/>
      <c r="BE608" s="404"/>
      <c r="BF608" s="404"/>
      <c r="BG608" s="404"/>
      <c r="BH608" s="403"/>
      <c r="BI608" s="403"/>
      <c r="BJ608" s="403"/>
      <c r="BK608" s="402"/>
      <c r="BL608" s="402"/>
      <c r="BM608" s="402"/>
      <c r="BN608" s="401"/>
      <c r="BO608" s="400"/>
      <c r="BP608" s="400"/>
      <c r="BQ608" s="400"/>
      <c r="BR608" s="72"/>
      <c r="BS608" s="411"/>
    </row>
    <row r="609" spans="1:71" ht="15" customHeight="1" x14ac:dyDescent="0.15">
      <c r="A609" s="419"/>
      <c r="B609" s="405"/>
      <c r="C609" s="405"/>
      <c r="D609" s="405"/>
      <c r="E609" s="405"/>
      <c r="F609" s="420"/>
      <c r="G609" s="421"/>
      <c r="H609" s="442"/>
      <c r="I609" s="406"/>
      <c r="J609" s="407"/>
      <c r="K609" s="408"/>
      <c r="L609" s="409"/>
      <c r="M609" s="409"/>
      <c r="N609" s="410" t="str">
        <f t="shared" si="18"/>
        <v>CAT à compléter</v>
      </c>
      <c r="O609" s="739"/>
      <c r="P609" s="863"/>
      <c r="Q609" s="730" t="str">
        <f t="shared" si="19"/>
        <v>CAT à compléter</v>
      </c>
      <c r="R609" s="740"/>
      <c r="S609" s="740"/>
      <c r="T609" s="740"/>
      <c r="U609" s="740"/>
      <c r="V609" s="740"/>
      <c r="W609" s="740"/>
      <c r="X609" s="740"/>
      <c r="Y609" s="740"/>
      <c r="Z609" s="740"/>
      <c r="AA609" s="740"/>
      <c r="AB609" s="423"/>
      <c r="AC609" s="418"/>
      <c r="AD609" s="418"/>
      <c r="AE609" s="418"/>
      <c r="AF609" s="422"/>
      <c r="AG609" s="425"/>
      <c r="AH609" s="417"/>
      <c r="AI609" s="415"/>
      <c r="AJ609" s="415"/>
      <c r="AK609" s="428"/>
      <c r="AL609" s="397"/>
      <c r="AM609" s="416"/>
      <c r="AN609" s="412"/>
      <c r="AO609" s="72"/>
      <c r="AP609" s="414"/>
      <c r="AQ609" s="430"/>
      <c r="AR609" s="400"/>
      <c r="AS609" s="413"/>
      <c r="AT609" s="413"/>
      <c r="AU609" s="412"/>
      <c r="AV609" s="412"/>
      <c r="AW609" s="399"/>
      <c r="AX609" s="72"/>
      <c r="AY609" s="398"/>
      <c r="AZ609" s="400"/>
      <c r="BA609" s="72"/>
      <c r="BB609" s="404"/>
      <c r="BC609" s="404"/>
      <c r="BD609" s="404"/>
      <c r="BE609" s="404"/>
      <c r="BF609" s="404"/>
      <c r="BG609" s="404"/>
      <c r="BH609" s="403"/>
      <c r="BI609" s="403"/>
      <c r="BJ609" s="403"/>
      <c r="BK609" s="402"/>
      <c r="BL609" s="402"/>
      <c r="BM609" s="402"/>
      <c r="BN609" s="401"/>
      <c r="BO609" s="400"/>
      <c r="BP609" s="400"/>
      <c r="BQ609" s="400"/>
      <c r="BR609" s="72"/>
      <c r="BS609" s="411"/>
    </row>
    <row r="610" spans="1:71" ht="15" customHeight="1" x14ac:dyDescent="0.15">
      <c r="A610" s="419"/>
      <c r="B610" s="405"/>
      <c r="C610" s="405"/>
      <c r="D610" s="405"/>
      <c r="E610" s="405"/>
      <c r="F610" s="420"/>
      <c r="G610" s="421"/>
      <c r="H610" s="442"/>
      <c r="I610" s="406"/>
      <c r="J610" s="407"/>
      <c r="K610" s="408"/>
      <c r="L610" s="409"/>
      <c r="M610" s="409"/>
      <c r="N610" s="410" t="str">
        <f t="shared" si="18"/>
        <v>CAT à compléter</v>
      </c>
      <c r="O610" s="739"/>
      <c r="P610" s="863"/>
      <c r="Q610" s="730" t="str">
        <f t="shared" si="19"/>
        <v>CAT à compléter</v>
      </c>
      <c r="R610" s="740"/>
      <c r="S610" s="740"/>
      <c r="T610" s="740"/>
      <c r="U610" s="740"/>
      <c r="V610" s="740"/>
      <c r="W610" s="740"/>
      <c r="X610" s="740"/>
      <c r="Y610" s="740"/>
      <c r="Z610" s="740"/>
      <c r="AA610" s="740"/>
      <c r="AB610" s="423"/>
      <c r="AC610" s="418"/>
      <c r="AD610" s="418"/>
      <c r="AE610" s="418"/>
      <c r="AF610" s="422"/>
      <c r="AG610" s="425"/>
      <c r="AH610" s="417"/>
      <c r="AI610" s="415"/>
      <c r="AJ610" s="415"/>
      <c r="AK610" s="428"/>
      <c r="AL610" s="397"/>
      <c r="AM610" s="416"/>
      <c r="AN610" s="412"/>
      <c r="AO610" s="72"/>
      <c r="AP610" s="414"/>
      <c r="AQ610" s="430"/>
      <c r="AR610" s="400"/>
      <c r="AS610" s="413"/>
      <c r="AT610" s="413"/>
      <c r="AU610" s="412"/>
      <c r="AV610" s="412"/>
      <c r="AW610" s="399"/>
      <c r="AX610" s="72"/>
      <c r="AY610" s="398"/>
      <c r="AZ610" s="400"/>
      <c r="BA610" s="72"/>
      <c r="BB610" s="404"/>
      <c r="BC610" s="404"/>
      <c r="BD610" s="404"/>
      <c r="BE610" s="404"/>
      <c r="BF610" s="404"/>
      <c r="BG610" s="404"/>
      <c r="BH610" s="403"/>
      <c r="BI610" s="403"/>
      <c r="BJ610" s="403"/>
      <c r="BK610" s="402"/>
      <c r="BL610" s="402"/>
      <c r="BM610" s="402"/>
      <c r="BN610" s="401"/>
      <c r="BO610" s="400"/>
      <c r="BP610" s="400"/>
      <c r="BQ610" s="400"/>
      <c r="BR610" s="72"/>
      <c r="BS610" s="411"/>
    </row>
    <row r="611" spans="1:71" ht="15" customHeight="1" x14ac:dyDescent="0.15">
      <c r="A611" s="419"/>
      <c r="B611" s="405"/>
      <c r="C611" s="405"/>
      <c r="D611" s="405"/>
      <c r="E611" s="405"/>
      <c r="F611" s="420"/>
      <c r="G611" s="421"/>
      <c r="H611" s="442"/>
      <c r="I611" s="406"/>
      <c r="J611" s="407"/>
      <c r="K611" s="408"/>
      <c r="L611" s="409"/>
      <c r="M611" s="409"/>
      <c r="N611" s="410" t="str">
        <f t="shared" si="18"/>
        <v>CAT à compléter</v>
      </c>
      <c r="O611" s="739"/>
      <c r="P611" s="863"/>
      <c r="Q611" s="730" t="str">
        <f t="shared" si="19"/>
        <v>CAT à compléter</v>
      </c>
      <c r="R611" s="740"/>
      <c r="S611" s="740"/>
      <c r="T611" s="740"/>
      <c r="U611" s="740"/>
      <c r="V611" s="740"/>
      <c r="W611" s="740"/>
      <c r="X611" s="740"/>
      <c r="Y611" s="740"/>
      <c r="Z611" s="740"/>
      <c r="AA611" s="740"/>
      <c r="AB611" s="423"/>
      <c r="AC611" s="418"/>
      <c r="AD611" s="418"/>
      <c r="AE611" s="418"/>
      <c r="AF611" s="422"/>
      <c r="AG611" s="425"/>
      <c r="AH611" s="417"/>
      <c r="AI611" s="415"/>
      <c r="AJ611" s="415"/>
      <c r="AK611" s="428"/>
      <c r="AL611" s="397"/>
      <c r="AM611" s="416"/>
      <c r="AN611" s="412"/>
      <c r="AO611" s="72"/>
      <c r="AP611" s="414"/>
      <c r="AQ611" s="430"/>
      <c r="AR611" s="400"/>
      <c r="AS611" s="413"/>
      <c r="AT611" s="413"/>
      <c r="AU611" s="412"/>
      <c r="AV611" s="412"/>
      <c r="AW611" s="399"/>
      <c r="AX611" s="72"/>
      <c r="AY611" s="398"/>
      <c r="AZ611" s="400"/>
      <c r="BA611" s="72"/>
      <c r="BB611" s="404"/>
      <c r="BC611" s="404"/>
      <c r="BD611" s="404"/>
      <c r="BE611" s="404"/>
      <c r="BF611" s="404"/>
      <c r="BG611" s="404"/>
      <c r="BH611" s="403"/>
      <c r="BI611" s="403"/>
      <c r="BJ611" s="403"/>
      <c r="BK611" s="402"/>
      <c r="BL611" s="402"/>
      <c r="BM611" s="402"/>
      <c r="BN611" s="401"/>
      <c r="BO611" s="400"/>
      <c r="BP611" s="400"/>
      <c r="BQ611" s="400"/>
      <c r="BR611" s="72"/>
      <c r="BS611" s="411"/>
    </row>
    <row r="612" spans="1:71" ht="15" customHeight="1" x14ac:dyDescent="0.15">
      <c r="A612" s="419"/>
      <c r="B612" s="405"/>
      <c r="C612" s="405"/>
      <c r="D612" s="405"/>
      <c r="E612" s="405"/>
      <c r="F612" s="420"/>
      <c r="G612" s="421"/>
      <c r="H612" s="442"/>
      <c r="I612" s="406"/>
      <c r="J612" s="407"/>
      <c r="K612" s="408"/>
      <c r="L612" s="409"/>
      <c r="M612" s="409"/>
      <c r="N612" s="410" t="str">
        <f t="shared" si="18"/>
        <v>CAT à compléter</v>
      </c>
      <c r="O612" s="739"/>
      <c r="P612" s="863"/>
      <c r="Q612" s="730" t="str">
        <f t="shared" si="19"/>
        <v>CAT à compléter</v>
      </c>
      <c r="R612" s="740"/>
      <c r="S612" s="740"/>
      <c r="T612" s="740"/>
      <c r="U612" s="740"/>
      <c r="V612" s="740"/>
      <c r="W612" s="740"/>
      <c r="X612" s="740"/>
      <c r="Y612" s="740"/>
      <c r="Z612" s="740"/>
      <c r="AA612" s="740"/>
      <c r="AB612" s="423"/>
      <c r="AC612" s="418"/>
      <c r="AD612" s="418"/>
      <c r="AE612" s="418"/>
      <c r="AF612" s="422"/>
      <c r="AG612" s="425"/>
      <c r="AH612" s="417"/>
      <c r="AI612" s="415"/>
      <c r="AJ612" s="415"/>
      <c r="AK612" s="428"/>
      <c r="AL612" s="397"/>
      <c r="AM612" s="416"/>
      <c r="AN612" s="412"/>
      <c r="AO612" s="72"/>
      <c r="AP612" s="414"/>
      <c r="AQ612" s="430"/>
      <c r="AR612" s="400"/>
      <c r="AS612" s="413"/>
      <c r="AT612" s="413"/>
      <c r="AU612" s="412"/>
      <c r="AV612" s="412"/>
      <c r="AW612" s="399"/>
      <c r="AX612" s="72"/>
      <c r="AY612" s="398"/>
      <c r="AZ612" s="400"/>
      <c r="BA612" s="72"/>
      <c r="BB612" s="404"/>
      <c r="BC612" s="404"/>
      <c r="BD612" s="404"/>
      <c r="BE612" s="404"/>
      <c r="BF612" s="404"/>
      <c r="BG612" s="404"/>
      <c r="BH612" s="403"/>
      <c r="BI612" s="403"/>
      <c r="BJ612" s="403"/>
      <c r="BK612" s="402"/>
      <c r="BL612" s="402"/>
      <c r="BM612" s="402"/>
      <c r="BN612" s="401"/>
      <c r="BO612" s="400"/>
      <c r="BP612" s="400"/>
      <c r="BQ612" s="400"/>
      <c r="BR612" s="72"/>
      <c r="BS612" s="411"/>
    </row>
    <row r="613" spans="1:71" ht="15" customHeight="1" x14ac:dyDescent="0.15">
      <c r="A613" s="419"/>
      <c r="B613" s="405"/>
      <c r="C613" s="405"/>
      <c r="D613" s="405"/>
      <c r="E613" s="405"/>
      <c r="F613" s="420"/>
      <c r="G613" s="421"/>
      <c r="H613" s="442"/>
      <c r="I613" s="406"/>
      <c r="J613" s="407"/>
      <c r="K613" s="408"/>
      <c r="L613" s="409"/>
      <c r="M613" s="409"/>
      <c r="N613" s="410" t="str">
        <f t="shared" si="18"/>
        <v>CAT à compléter</v>
      </c>
      <c r="O613" s="739"/>
      <c r="P613" s="863"/>
      <c r="Q613" s="730" t="str">
        <f t="shared" si="19"/>
        <v>CAT à compléter</v>
      </c>
      <c r="R613" s="740"/>
      <c r="S613" s="740"/>
      <c r="T613" s="740"/>
      <c r="U613" s="740"/>
      <c r="V613" s="740"/>
      <c r="W613" s="740"/>
      <c r="X613" s="740"/>
      <c r="Y613" s="740"/>
      <c r="Z613" s="740"/>
      <c r="AA613" s="740"/>
      <c r="AB613" s="423"/>
      <c r="AC613" s="418"/>
      <c r="AD613" s="418"/>
      <c r="AE613" s="418"/>
      <c r="AF613" s="422"/>
      <c r="AG613" s="425"/>
      <c r="AH613" s="417"/>
      <c r="AI613" s="415"/>
      <c r="AJ613" s="415"/>
      <c r="AK613" s="428"/>
      <c r="AL613" s="397"/>
      <c r="AM613" s="416"/>
      <c r="AN613" s="412"/>
      <c r="AO613" s="72"/>
      <c r="AP613" s="414"/>
      <c r="AQ613" s="430"/>
      <c r="AR613" s="400"/>
      <c r="AS613" s="413"/>
      <c r="AT613" s="413"/>
      <c r="AU613" s="412"/>
      <c r="AV613" s="412"/>
      <c r="AW613" s="399"/>
      <c r="AX613" s="72"/>
      <c r="AY613" s="398"/>
      <c r="AZ613" s="400"/>
      <c r="BA613" s="72"/>
      <c r="BB613" s="404"/>
      <c r="BC613" s="404"/>
      <c r="BD613" s="404"/>
      <c r="BE613" s="404"/>
      <c r="BF613" s="404"/>
      <c r="BG613" s="404"/>
      <c r="BH613" s="403"/>
      <c r="BI613" s="403"/>
      <c r="BJ613" s="403"/>
      <c r="BK613" s="402"/>
      <c r="BL613" s="402"/>
      <c r="BM613" s="402"/>
      <c r="BN613" s="401"/>
      <c r="BO613" s="400"/>
      <c r="BP613" s="400"/>
      <c r="BQ613" s="400"/>
      <c r="BR613" s="72"/>
      <c r="BS613" s="411"/>
    </row>
    <row r="614" spans="1:71" ht="15" customHeight="1" x14ac:dyDescent="0.15">
      <c r="A614" s="419"/>
      <c r="B614" s="405"/>
      <c r="C614" s="405"/>
      <c r="D614" s="405"/>
      <c r="E614" s="405"/>
      <c r="F614" s="420"/>
      <c r="G614" s="421"/>
      <c r="H614" s="442"/>
      <c r="I614" s="406"/>
      <c r="J614" s="407"/>
      <c r="K614" s="408"/>
      <c r="L614" s="409"/>
      <c r="M614" s="409"/>
      <c r="N614" s="410" t="str">
        <f t="shared" si="18"/>
        <v>CAT à compléter</v>
      </c>
      <c r="O614" s="739"/>
      <c r="P614" s="863"/>
      <c r="Q614" s="730" t="str">
        <f t="shared" si="19"/>
        <v>CAT à compléter</v>
      </c>
      <c r="R614" s="740"/>
      <c r="S614" s="740"/>
      <c r="T614" s="740"/>
      <c r="U614" s="740"/>
      <c r="V614" s="740"/>
      <c r="W614" s="740"/>
      <c r="X614" s="740"/>
      <c r="Y614" s="740"/>
      <c r="Z614" s="740"/>
      <c r="AA614" s="740"/>
      <c r="AB614" s="423"/>
      <c r="AC614" s="418"/>
      <c r="AD614" s="418"/>
      <c r="AE614" s="418"/>
      <c r="AF614" s="422"/>
      <c r="AG614" s="425"/>
      <c r="AH614" s="417"/>
      <c r="AI614" s="415"/>
      <c r="AJ614" s="415"/>
      <c r="AK614" s="428"/>
      <c r="AL614" s="397"/>
      <c r="AM614" s="416"/>
      <c r="AN614" s="412"/>
      <c r="AO614" s="72"/>
      <c r="AP614" s="414"/>
      <c r="AQ614" s="430"/>
      <c r="AR614" s="400"/>
      <c r="AS614" s="413"/>
      <c r="AT614" s="413"/>
      <c r="AU614" s="412"/>
      <c r="AV614" s="412"/>
      <c r="AW614" s="399"/>
      <c r="AX614" s="72"/>
      <c r="AY614" s="398"/>
      <c r="AZ614" s="400"/>
      <c r="BA614" s="72"/>
      <c r="BB614" s="404"/>
      <c r="BC614" s="404"/>
      <c r="BD614" s="404"/>
      <c r="BE614" s="404"/>
      <c r="BF614" s="404"/>
      <c r="BG614" s="404"/>
      <c r="BH614" s="403"/>
      <c r="BI614" s="403"/>
      <c r="BJ614" s="403"/>
      <c r="BK614" s="402"/>
      <c r="BL614" s="402"/>
      <c r="BM614" s="402"/>
      <c r="BN614" s="401"/>
      <c r="BO614" s="400"/>
      <c r="BP614" s="400"/>
      <c r="BQ614" s="400"/>
      <c r="BR614" s="72"/>
      <c r="BS614" s="411"/>
    </row>
    <row r="615" spans="1:71" ht="15" customHeight="1" x14ac:dyDescent="0.15">
      <c r="A615" s="419"/>
      <c r="B615" s="405"/>
      <c r="C615" s="405"/>
      <c r="D615" s="405"/>
      <c r="E615" s="405"/>
      <c r="F615" s="420"/>
      <c r="G615" s="421"/>
      <c r="H615" s="442"/>
      <c r="I615" s="406"/>
      <c r="J615" s="407"/>
      <c r="K615" s="408"/>
      <c r="L615" s="409"/>
      <c r="M615" s="409"/>
      <c r="N615" s="410" t="str">
        <f t="shared" si="18"/>
        <v>CAT à compléter</v>
      </c>
      <c r="O615" s="739"/>
      <c r="P615" s="863"/>
      <c r="Q615" s="730" t="str">
        <f t="shared" si="19"/>
        <v>CAT à compléter</v>
      </c>
      <c r="R615" s="740"/>
      <c r="S615" s="740"/>
      <c r="T615" s="740"/>
      <c r="U615" s="740"/>
      <c r="V615" s="740"/>
      <c r="W615" s="740"/>
      <c r="X615" s="740"/>
      <c r="Y615" s="740"/>
      <c r="Z615" s="740"/>
      <c r="AA615" s="740"/>
      <c r="AB615" s="423"/>
      <c r="AC615" s="418"/>
      <c r="AD615" s="418"/>
      <c r="AE615" s="418"/>
      <c r="AF615" s="422"/>
      <c r="AG615" s="425"/>
      <c r="AH615" s="417"/>
      <c r="AI615" s="415"/>
      <c r="AJ615" s="415"/>
      <c r="AK615" s="428"/>
      <c r="AL615" s="397"/>
      <c r="AM615" s="416"/>
      <c r="AN615" s="412"/>
      <c r="AO615" s="72"/>
      <c r="AP615" s="414"/>
      <c r="AQ615" s="430"/>
      <c r="AR615" s="400"/>
      <c r="AS615" s="413"/>
      <c r="AT615" s="413"/>
      <c r="AU615" s="412"/>
      <c r="AV615" s="412"/>
      <c r="AW615" s="399"/>
      <c r="AX615" s="72"/>
      <c r="AY615" s="398"/>
      <c r="AZ615" s="400"/>
      <c r="BA615" s="72"/>
      <c r="BB615" s="404"/>
      <c r="BC615" s="404"/>
      <c r="BD615" s="404"/>
      <c r="BE615" s="404"/>
      <c r="BF615" s="404"/>
      <c r="BG615" s="404"/>
      <c r="BH615" s="403"/>
      <c r="BI615" s="403"/>
      <c r="BJ615" s="403"/>
      <c r="BK615" s="402"/>
      <c r="BL615" s="402"/>
      <c r="BM615" s="402"/>
      <c r="BN615" s="401"/>
      <c r="BO615" s="400"/>
      <c r="BP615" s="400"/>
      <c r="BQ615" s="400"/>
      <c r="BR615" s="72"/>
      <c r="BS615" s="411"/>
    </row>
    <row r="616" spans="1:71" ht="15" customHeight="1" x14ac:dyDescent="0.15">
      <c r="A616" s="419"/>
      <c r="B616" s="405"/>
      <c r="C616" s="405"/>
      <c r="D616" s="405"/>
      <c r="E616" s="405"/>
      <c r="F616" s="420"/>
      <c r="G616" s="421"/>
      <c r="H616" s="442"/>
      <c r="I616" s="406"/>
      <c r="J616" s="407"/>
      <c r="K616" s="408"/>
      <c r="L616" s="409"/>
      <c r="M616" s="409"/>
      <c r="N616" s="410" t="str">
        <f t="shared" si="18"/>
        <v>CAT à compléter</v>
      </c>
      <c r="O616" s="739"/>
      <c r="P616" s="863"/>
      <c r="Q616" s="730" t="str">
        <f t="shared" si="19"/>
        <v>CAT à compléter</v>
      </c>
      <c r="R616" s="740"/>
      <c r="S616" s="740"/>
      <c r="T616" s="740"/>
      <c r="U616" s="740"/>
      <c r="V616" s="740"/>
      <c r="W616" s="740"/>
      <c r="X616" s="740"/>
      <c r="Y616" s="740"/>
      <c r="Z616" s="740"/>
      <c r="AA616" s="740"/>
      <c r="AB616" s="423"/>
      <c r="AC616" s="418"/>
      <c r="AD616" s="418"/>
      <c r="AE616" s="418"/>
      <c r="AF616" s="422"/>
      <c r="AG616" s="425"/>
      <c r="AH616" s="417"/>
      <c r="AI616" s="415"/>
      <c r="AJ616" s="415"/>
      <c r="AK616" s="428"/>
      <c r="AL616" s="397"/>
      <c r="AM616" s="416"/>
      <c r="AN616" s="412"/>
      <c r="AO616" s="72"/>
      <c r="AP616" s="414"/>
      <c r="AQ616" s="430"/>
      <c r="AR616" s="400"/>
      <c r="AS616" s="413"/>
      <c r="AT616" s="413"/>
      <c r="AU616" s="412"/>
      <c r="AV616" s="412"/>
      <c r="AW616" s="399"/>
      <c r="AX616" s="72"/>
      <c r="AY616" s="398"/>
      <c r="AZ616" s="400"/>
      <c r="BA616" s="72"/>
      <c r="BB616" s="404"/>
      <c r="BC616" s="404"/>
      <c r="BD616" s="404"/>
      <c r="BE616" s="404"/>
      <c r="BF616" s="404"/>
      <c r="BG616" s="404"/>
      <c r="BH616" s="403"/>
      <c r="BI616" s="403"/>
      <c r="BJ616" s="403"/>
      <c r="BK616" s="402"/>
      <c r="BL616" s="402"/>
      <c r="BM616" s="402"/>
      <c r="BN616" s="401"/>
      <c r="BO616" s="400"/>
      <c r="BP616" s="400"/>
      <c r="BQ616" s="400"/>
      <c r="BR616" s="72"/>
      <c r="BS616" s="411"/>
    </row>
    <row r="617" spans="1:71" ht="15" customHeight="1" x14ac:dyDescent="0.15">
      <c r="A617" s="419"/>
      <c r="B617" s="405"/>
      <c r="C617" s="405"/>
      <c r="D617" s="405"/>
      <c r="E617" s="405"/>
      <c r="F617" s="420"/>
      <c r="G617" s="421"/>
      <c r="H617" s="442"/>
      <c r="I617" s="406"/>
      <c r="J617" s="407"/>
      <c r="K617" s="408"/>
      <c r="L617" s="409"/>
      <c r="M617" s="409"/>
      <c r="N617" s="410" t="str">
        <f t="shared" si="18"/>
        <v>CAT à compléter</v>
      </c>
      <c r="O617" s="739"/>
      <c r="P617" s="863"/>
      <c r="Q617" s="730" t="str">
        <f t="shared" si="19"/>
        <v>CAT à compléter</v>
      </c>
      <c r="R617" s="740"/>
      <c r="S617" s="740"/>
      <c r="T617" s="740"/>
      <c r="U617" s="740"/>
      <c r="V617" s="740"/>
      <c r="W617" s="740"/>
      <c r="X617" s="740"/>
      <c r="Y617" s="740"/>
      <c r="Z617" s="740"/>
      <c r="AA617" s="740"/>
      <c r="AB617" s="423"/>
      <c r="AC617" s="418"/>
      <c r="AD617" s="418"/>
      <c r="AE617" s="418"/>
      <c r="AF617" s="422"/>
      <c r="AG617" s="425"/>
      <c r="AH617" s="417"/>
      <c r="AI617" s="415"/>
      <c r="AJ617" s="415"/>
      <c r="AK617" s="428"/>
      <c r="AL617" s="397"/>
      <c r="AM617" s="416"/>
      <c r="AN617" s="412"/>
      <c r="AO617" s="72"/>
      <c r="AP617" s="414"/>
      <c r="AQ617" s="430"/>
      <c r="AR617" s="400"/>
      <c r="AS617" s="413"/>
      <c r="AT617" s="413"/>
      <c r="AU617" s="412"/>
      <c r="AV617" s="412"/>
      <c r="AW617" s="399"/>
      <c r="AX617" s="72"/>
      <c r="AY617" s="398"/>
      <c r="AZ617" s="400"/>
      <c r="BA617" s="72"/>
      <c r="BB617" s="404"/>
      <c r="BC617" s="404"/>
      <c r="BD617" s="404"/>
      <c r="BE617" s="404"/>
      <c r="BF617" s="404"/>
      <c r="BG617" s="404"/>
      <c r="BH617" s="403"/>
      <c r="BI617" s="403"/>
      <c r="BJ617" s="403"/>
      <c r="BK617" s="402"/>
      <c r="BL617" s="402"/>
      <c r="BM617" s="402"/>
      <c r="BN617" s="401"/>
      <c r="BO617" s="400"/>
      <c r="BP617" s="400"/>
      <c r="BQ617" s="400"/>
      <c r="BR617" s="72"/>
      <c r="BS617" s="411"/>
    </row>
    <row r="618" spans="1:71" ht="15" customHeight="1" x14ac:dyDescent="0.15">
      <c r="A618" s="419"/>
      <c r="B618" s="405"/>
      <c r="C618" s="405"/>
      <c r="D618" s="405"/>
      <c r="E618" s="405"/>
      <c r="F618" s="420"/>
      <c r="G618" s="421"/>
      <c r="H618" s="442"/>
      <c r="I618" s="406"/>
      <c r="J618" s="407"/>
      <c r="K618" s="408"/>
      <c r="L618" s="409"/>
      <c r="M618" s="409"/>
      <c r="N618" s="410" t="str">
        <f t="shared" si="18"/>
        <v>CAT à compléter</v>
      </c>
      <c r="O618" s="739"/>
      <c r="P618" s="863"/>
      <c r="Q618" s="730" t="str">
        <f t="shared" si="19"/>
        <v>CAT à compléter</v>
      </c>
      <c r="R618" s="740"/>
      <c r="S618" s="740"/>
      <c r="T618" s="740"/>
      <c r="U618" s="740"/>
      <c r="V618" s="740"/>
      <c r="W618" s="740"/>
      <c r="X618" s="740"/>
      <c r="Y618" s="740"/>
      <c r="Z618" s="740"/>
      <c r="AA618" s="740"/>
      <c r="AB618" s="423"/>
      <c r="AC618" s="418"/>
      <c r="AD618" s="418"/>
      <c r="AE618" s="418"/>
      <c r="AF618" s="422"/>
      <c r="AG618" s="425"/>
      <c r="AH618" s="417"/>
      <c r="AI618" s="415"/>
      <c r="AJ618" s="415"/>
      <c r="AK618" s="428"/>
      <c r="AL618" s="397"/>
      <c r="AM618" s="416"/>
      <c r="AN618" s="412"/>
      <c r="AO618" s="72"/>
      <c r="AP618" s="414"/>
      <c r="AQ618" s="430"/>
      <c r="AR618" s="400"/>
      <c r="AS618" s="413"/>
      <c r="AT618" s="413"/>
      <c r="AU618" s="412"/>
      <c r="AV618" s="412"/>
      <c r="AW618" s="399"/>
      <c r="AX618" s="72"/>
      <c r="AY618" s="398"/>
      <c r="AZ618" s="400"/>
      <c r="BA618" s="72"/>
      <c r="BB618" s="404"/>
      <c r="BC618" s="404"/>
      <c r="BD618" s="404"/>
      <c r="BE618" s="404"/>
      <c r="BF618" s="404"/>
      <c r="BG618" s="404"/>
      <c r="BH618" s="403"/>
      <c r="BI618" s="403"/>
      <c r="BJ618" s="403"/>
      <c r="BK618" s="402"/>
      <c r="BL618" s="402"/>
      <c r="BM618" s="402"/>
      <c r="BN618" s="401"/>
      <c r="BO618" s="400"/>
      <c r="BP618" s="400"/>
      <c r="BQ618" s="400"/>
      <c r="BR618" s="72"/>
      <c r="BS618" s="411"/>
    </row>
    <row r="619" spans="1:71" ht="15" customHeight="1" x14ac:dyDescent="0.15">
      <c r="A619" s="419"/>
      <c r="B619" s="405"/>
      <c r="C619" s="405"/>
      <c r="D619" s="405"/>
      <c r="E619" s="405"/>
      <c r="F619" s="420"/>
      <c r="G619" s="421"/>
      <c r="H619" s="442"/>
      <c r="I619" s="406"/>
      <c r="J619" s="407"/>
      <c r="K619" s="408"/>
      <c r="L619" s="409"/>
      <c r="M619" s="409"/>
      <c r="N619" s="410" t="str">
        <f t="shared" si="18"/>
        <v>CAT à compléter</v>
      </c>
      <c r="O619" s="739"/>
      <c r="P619" s="863"/>
      <c r="Q619" s="730" t="str">
        <f t="shared" si="19"/>
        <v>CAT à compléter</v>
      </c>
      <c r="R619" s="740"/>
      <c r="S619" s="740"/>
      <c r="T619" s="740"/>
      <c r="U619" s="740"/>
      <c r="V619" s="740"/>
      <c r="W619" s="740"/>
      <c r="X619" s="740"/>
      <c r="Y619" s="740"/>
      <c r="Z619" s="740"/>
      <c r="AA619" s="740"/>
      <c r="AB619" s="423"/>
      <c r="AC619" s="418"/>
      <c r="AD619" s="418"/>
      <c r="AE619" s="418"/>
      <c r="AF619" s="422"/>
      <c r="AG619" s="425"/>
      <c r="AH619" s="417"/>
      <c r="AI619" s="415"/>
      <c r="AJ619" s="415"/>
      <c r="AK619" s="428"/>
      <c r="AL619" s="397"/>
      <c r="AM619" s="416"/>
      <c r="AN619" s="412"/>
      <c r="AO619" s="72"/>
      <c r="AP619" s="414"/>
      <c r="AQ619" s="430"/>
      <c r="AR619" s="400"/>
      <c r="AS619" s="413"/>
      <c r="AT619" s="413"/>
      <c r="AU619" s="412"/>
      <c r="AV619" s="412"/>
      <c r="AW619" s="399"/>
      <c r="AX619" s="72"/>
      <c r="AY619" s="398"/>
      <c r="AZ619" s="400"/>
      <c r="BA619" s="72"/>
      <c r="BB619" s="404"/>
      <c r="BC619" s="404"/>
      <c r="BD619" s="404"/>
      <c r="BE619" s="404"/>
      <c r="BF619" s="404"/>
      <c r="BG619" s="404"/>
      <c r="BH619" s="403"/>
      <c r="BI619" s="403"/>
      <c r="BJ619" s="403"/>
      <c r="BK619" s="402"/>
      <c r="BL619" s="402"/>
      <c r="BM619" s="402"/>
      <c r="BN619" s="401"/>
      <c r="BO619" s="400"/>
      <c r="BP619" s="400"/>
      <c r="BQ619" s="400"/>
      <c r="BR619" s="72"/>
      <c r="BS619" s="411"/>
    </row>
    <row r="620" spans="1:71" ht="15" customHeight="1" x14ac:dyDescent="0.15">
      <c r="A620" s="419"/>
      <c r="B620" s="405"/>
      <c r="C620" s="405"/>
      <c r="D620" s="405"/>
      <c r="E620" s="405"/>
      <c r="F620" s="420"/>
      <c r="G620" s="421"/>
      <c r="H620" s="442"/>
      <c r="I620" s="406"/>
      <c r="J620" s="407"/>
      <c r="K620" s="408"/>
      <c r="L620" s="409"/>
      <c r="M620" s="409"/>
      <c r="N620" s="410" t="str">
        <f t="shared" si="18"/>
        <v>CAT à compléter</v>
      </c>
      <c r="O620" s="739"/>
      <c r="P620" s="863"/>
      <c r="Q620" s="730" t="str">
        <f t="shared" si="19"/>
        <v>CAT à compléter</v>
      </c>
      <c r="R620" s="740"/>
      <c r="S620" s="740"/>
      <c r="T620" s="740"/>
      <c r="U620" s="740"/>
      <c r="V620" s="740"/>
      <c r="W620" s="740"/>
      <c r="X620" s="740"/>
      <c r="Y620" s="740"/>
      <c r="Z620" s="740"/>
      <c r="AA620" s="740"/>
      <c r="AB620" s="423"/>
      <c r="AC620" s="418"/>
      <c r="AD620" s="418"/>
      <c r="AE620" s="418"/>
      <c r="AF620" s="422"/>
      <c r="AG620" s="425"/>
      <c r="AH620" s="417"/>
      <c r="AI620" s="415"/>
      <c r="AJ620" s="415"/>
      <c r="AK620" s="428"/>
      <c r="AL620" s="397"/>
      <c r="AM620" s="416"/>
      <c r="AN620" s="412"/>
      <c r="AO620" s="72"/>
      <c r="AP620" s="414"/>
      <c r="AQ620" s="430"/>
      <c r="AR620" s="400"/>
      <c r="AS620" s="413"/>
      <c r="AT620" s="413"/>
      <c r="AU620" s="412"/>
      <c r="AV620" s="412"/>
      <c r="AW620" s="399"/>
      <c r="AX620" s="72"/>
      <c r="AY620" s="398"/>
      <c r="AZ620" s="400"/>
      <c r="BA620" s="72"/>
      <c r="BB620" s="404"/>
      <c r="BC620" s="404"/>
      <c r="BD620" s="404"/>
      <c r="BE620" s="404"/>
      <c r="BF620" s="404"/>
      <c r="BG620" s="404"/>
      <c r="BH620" s="403"/>
      <c r="BI620" s="403"/>
      <c r="BJ620" s="403"/>
      <c r="BK620" s="402"/>
      <c r="BL620" s="402"/>
      <c r="BM620" s="402"/>
      <c r="BN620" s="401"/>
      <c r="BO620" s="400"/>
      <c r="BP620" s="400"/>
      <c r="BQ620" s="400"/>
      <c r="BR620" s="72"/>
      <c r="BS620" s="411"/>
    </row>
    <row r="621" spans="1:71" ht="15" customHeight="1" x14ac:dyDescent="0.15">
      <c r="A621" s="419"/>
      <c r="B621" s="405"/>
      <c r="C621" s="405"/>
      <c r="D621" s="405"/>
      <c r="E621" s="405"/>
      <c r="F621" s="420"/>
      <c r="G621" s="421"/>
      <c r="H621" s="442"/>
      <c r="I621" s="406"/>
      <c r="J621" s="407"/>
      <c r="K621" s="408"/>
      <c r="L621" s="409"/>
      <c r="M621" s="409"/>
      <c r="N621" s="410" t="str">
        <f t="shared" si="18"/>
        <v>CAT à compléter</v>
      </c>
      <c r="O621" s="739"/>
      <c r="P621" s="863"/>
      <c r="Q621" s="730" t="str">
        <f t="shared" si="19"/>
        <v>CAT à compléter</v>
      </c>
      <c r="R621" s="740"/>
      <c r="S621" s="740"/>
      <c r="T621" s="740"/>
      <c r="U621" s="740"/>
      <c r="V621" s="740"/>
      <c r="W621" s="740"/>
      <c r="X621" s="740"/>
      <c r="Y621" s="740"/>
      <c r="Z621" s="740"/>
      <c r="AA621" s="740"/>
      <c r="AB621" s="423"/>
      <c r="AC621" s="418"/>
      <c r="AD621" s="418"/>
      <c r="AE621" s="418"/>
      <c r="AF621" s="422"/>
      <c r="AG621" s="425"/>
      <c r="AH621" s="417"/>
      <c r="AI621" s="415"/>
      <c r="AJ621" s="415"/>
      <c r="AK621" s="428"/>
      <c r="AL621" s="397"/>
      <c r="AM621" s="416"/>
      <c r="AN621" s="412"/>
      <c r="AO621" s="72"/>
      <c r="AP621" s="414"/>
      <c r="AQ621" s="430"/>
      <c r="AR621" s="400"/>
      <c r="AS621" s="413"/>
      <c r="AT621" s="413"/>
      <c r="AU621" s="412"/>
      <c r="AV621" s="412"/>
      <c r="AW621" s="399"/>
      <c r="AX621" s="72"/>
      <c r="AY621" s="398"/>
      <c r="AZ621" s="400"/>
      <c r="BA621" s="72"/>
      <c r="BB621" s="404"/>
      <c r="BC621" s="404"/>
      <c r="BD621" s="404"/>
      <c r="BE621" s="404"/>
      <c r="BF621" s="404"/>
      <c r="BG621" s="404"/>
      <c r="BH621" s="403"/>
      <c r="BI621" s="403"/>
      <c r="BJ621" s="403"/>
      <c r="BK621" s="402"/>
      <c r="BL621" s="402"/>
      <c r="BM621" s="402"/>
      <c r="BN621" s="401"/>
      <c r="BO621" s="400"/>
      <c r="BP621" s="400"/>
      <c r="BQ621" s="400"/>
      <c r="BR621" s="72"/>
      <c r="BS621" s="411"/>
    </row>
    <row r="622" spans="1:71" ht="15" customHeight="1" x14ac:dyDescent="0.15">
      <c r="A622" s="419"/>
      <c r="B622" s="405"/>
      <c r="C622" s="405"/>
      <c r="D622" s="405"/>
      <c r="E622" s="405"/>
      <c r="F622" s="420"/>
      <c r="G622" s="421"/>
      <c r="H622" s="442"/>
      <c r="I622" s="406"/>
      <c r="J622" s="407"/>
      <c r="K622" s="408"/>
      <c r="L622" s="409"/>
      <c r="M622" s="409"/>
      <c r="N622" s="410" t="str">
        <f t="shared" si="18"/>
        <v>CAT à compléter</v>
      </c>
      <c r="O622" s="739"/>
      <c r="P622" s="863"/>
      <c r="Q622" s="730" t="str">
        <f t="shared" si="19"/>
        <v>CAT à compléter</v>
      </c>
      <c r="R622" s="740"/>
      <c r="S622" s="740"/>
      <c r="T622" s="740"/>
      <c r="U622" s="740"/>
      <c r="V622" s="740"/>
      <c r="W622" s="740"/>
      <c r="X622" s="740"/>
      <c r="Y622" s="740"/>
      <c r="Z622" s="740"/>
      <c r="AA622" s="740"/>
      <c r="AB622" s="423"/>
      <c r="AC622" s="418"/>
      <c r="AD622" s="418"/>
      <c r="AE622" s="418"/>
      <c r="AF622" s="422"/>
      <c r="AG622" s="425"/>
      <c r="AH622" s="417"/>
      <c r="AI622" s="415"/>
      <c r="AJ622" s="415"/>
      <c r="AK622" s="428"/>
      <c r="AL622" s="397"/>
      <c r="AM622" s="416"/>
      <c r="AN622" s="412"/>
      <c r="AO622" s="72"/>
      <c r="AP622" s="414"/>
      <c r="AQ622" s="430"/>
      <c r="AR622" s="400"/>
      <c r="AS622" s="413"/>
      <c r="AT622" s="413"/>
      <c r="AU622" s="412"/>
      <c r="AV622" s="412"/>
      <c r="AW622" s="399"/>
      <c r="AX622" s="72"/>
      <c r="AY622" s="398"/>
      <c r="AZ622" s="400"/>
      <c r="BA622" s="72"/>
      <c r="BB622" s="404"/>
      <c r="BC622" s="404"/>
      <c r="BD622" s="404"/>
      <c r="BE622" s="404"/>
      <c r="BF622" s="404"/>
      <c r="BG622" s="404"/>
      <c r="BH622" s="403"/>
      <c r="BI622" s="403"/>
      <c r="BJ622" s="403"/>
      <c r="BK622" s="402"/>
      <c r="BL622" s="402"/>
      <c r="BM622" s="402"/>
      <c r="BN622" s="401"/>
      <c r="BO622" s="400"/>
      <c r="BP622" s="400"/>
      <c r="BQ622" s="400"/>
      <c r="BR622" s="72"/>
      <c r="BS622" s="411"/>
    </row>
    <row r="623" spans="1:71" ht="15" customHeight="1" x14ac:dyDescent="0.15">
      <c r="A623" s="419"/>
      <c r="B623" s="405"/>
      <c r="C623" s="405"/>
      <c r="D623" s="405"/>
      <c r="E623" s="405"/>
      <c r="F623" s="420"/>
      <c r="G623" s="421"/>
      <c r="H623" s="442"/>
      <c r="I623" s="406"/>
      <c r="J623" s="407"/>
      <c r="K623" s="408"/>
      <c r="L623" s="409"/>
      <c r="M623" s="409"/>
      <c r="N623" s="410" t="str">
        <f t="shared" si="18"/>
        <v>CAT à compléter</v>
      </c>
      <c r="O623" s="739"/>
      <c r="P623" s="863"/>
      <c r="Q623" s="730" t="str">
        <f t="shared" si="19"/>
        <v>CAT à compléter</v>
      </c>
      <c r="R623" s="740"/>
      <c r="S623" s="740"/>
      <c r="T623" s="740"/>
      <c r="U623" s="740"/>
      <c r="V623" s="740"/>
      <c r="W623" s="740"/>
      <c r="X623" s="740"/>
      <c r="Y623" s="740"/>
      <c r="Z623" s="740"/>
      <c r="AA623" s="740"/>
      <c r="AB623" s="423"/>
      <c r="AC623" s="418"/>
      <c r="AD623" s="418"/>
      <c r="AE623" s="418"/>
      <c r="AF623" s="422"/>
      <c r="AG623" s="425"/>
      <c r="AH623" s="417"/>
      <c r="AI623" s="415"/>
      <c r="AJ623" s="415"/>
      <c r="AK623" s="428"/>
      <c r="AL623" s="397"/>
      <c r="AM623" s="416"/>
      <c r="AN623" s="412"/>
      <c r="AO623" s="72"/>
      <c r="AP623" s="414"/>
      <c r="AQ623" s="430"/>
      <c r="AR623" s="400"/>
      <c r="AS623" s="413"/>
      <c r="AT623" s="413"/>
      <c r="AU623" s="412"/>
      <c r="AV623" s="412"/>
      <c r="AW623" s="399"/>
      <c r="AX623" s="72"/>
      <c r="AY623" s="398"/>
      <c r="AZ623" s="400"/>
      <c r="BA623" s="72"/>
      <c r="BB623" s="404"/>
      <c r="BC623" s="404"/>
      <c r="BD623" s="404"/>
      <c r="BE623" s="404"/>
      <c r="BF623" s="404"/>
      <c r="BG623" s="404"/>
      <c r="BH623" s="403"/>
      <c r="BI623" s="403"/>
      <c r="BJ623" s="403"/>
      <c r="BK623" s="402"/>
      <c r="BL623" s="402"/>
      <c r="BM623" s="402"/>
      <c r="BN623" s="401"/>
      <c r="BO623" s="400"/>
      <c r="BP623" s="400"/>
      <c r="BQ623" s="400"/>
      <c r="BR623" s="72"/>
      <c r="BS623" s="411"/>
    </row>
    <row r="624" spans="1:71" ht="15" customHeight="1" x14ac:dyDescent="0.15">
      <c r="A624" s="419"/>
      <c r="B624" s="405"/>
      <c r="C624" s="405"/>
      <c r="D624" s="405"/>
      <c r="E624" s="405"/>
      <c r="F624" s="420"/>
      <c r="G624" s="421"/>
      <c r="H624" s="442"/>
      <c r="I624" s="406"/>
      <c r="J624" s="407"/>
      <c r="K624" s="408"/>
      <c r="L624" s="409"/>
      <c r="M624" s="409"/>
      <c r="N624" s="410" t="str">
        <f t="shared" si="18"/>
        <v>CAT à compléter</v>
      </c>
      <c r="O624" s="739"/>
      <c r="P624" s="863"/>
      <c r="Q624" s="730" t="str">
        <f t="shared" si="19"/>
        <v>CAT à compléter</v>
      </c>
      <c r="R624" s="740"/>
      <c r="S624" s="740"/>
      <c r="T624" s="740"/>
      <c r="U624" s="740"/>
      <c r="V624" s="740"/>
      <c r="W624" s="740"/>
      <c r="X624" s="740"/>
      <c r="Y624" s="740"/>
      <c r="Z624" s="740"/>
      <c r="AA624" s="740"/>
      <c r="AB624" s="423"/>
      <c r="AC624" s="418"/>
      <c r="AD624" s="418"/>
      <c r="AE624" s="418"/>
      <c r="AF624" s="422"/>
      <c r="AG624" s="425"/>
      <c r="AH624" s="417"/>
      <c r="AI624" s="415"/>
      <c r="AJ624" s="415"/>
      <c r="AK624" s="428"/>
      <c r="AL624" s="397"/>
      <c r="AM624" s="416"/>
      <c r="AN624" s="412"/>
      <c r="AO624" s="72"/>
      <c r="AP624" s="414"/>
      <c r="AQ624" s="430"/>
      <c r="AR624" s="400"/>
      <c r="AS624" s="413"/>
      <c r="AT624" s="413"/>
      <c r="AU624" s="412"/>
      <c r="AV624" s="412"/>
      <c r="AW624" s="399"/>
      <c r="AX624" s="72"/>
      <c r="AY624" s="398"/>
      <c r="AZ624" s="400"/>
      <c r="BA624" s="72"/>
      <c r="BB624" s="404"/>
      <c r="BC624" s="404"/>
      <c r="BD624" s="404"/>
      <c r="BE624" s="404"/>
      <c r="BF624" s="404"/>
      <c r="BG624" s="404"/>
      <c r="BH624" s="403"/>
      <c r="BI624" s="403"/>
      <c r="BJ624" s="403"/>
      <c r="BK624" s="402"/>
      <c r="BL624" s="402"/>
      <c r="BM624" s="402"/>
      <c r="BN624" s="401"/>
      <c r="BO624" s="400"/>
      <c r="BP624" s="400"/>
      <c r="BQ624" s="400"/>
      <c r="BR624" s="72"/>
      <c r="BS624" s="411"/>
    </row>
    <row r="625" spans="1:71" ht="15" customHeight="1" x14ac:dyDescent="0.15">
      <c r="A625" s="419"/>
      <c r="B625" s="405"/>
      <c r="C625" s="405"/>
      <c r="D625" s="405"/>
      <c r="E625" s="405"/>
      <c r="F625" s="420"/>
      <c r="G625" s="421"/>
      <c r="H625" s="442"/>
      <c r="I625" s="406"/>
      <c r="J625" s="407"/>
      <c r="K625" s="408"/>
      <c r="L625" s="409"/>
      <c r="M625" s="409"/>
      <c r="N625" s="410" t="str">
        <f t="shared" si="18"/>
        <v>CAT à compléter</v>
      </c>
      <c r="O625" s="739"/>
      <c r="P625" s="863"/>
      <c r="Q625" s="730" t="str">
        <f t="shared" si="19"/>
        <v>CAT à compléter</v>
      </c>
      <c r="R625" s="740"/>
      <c r="S625" s="740"/>
      <c r="T625" s="740"/>
      <c r="U625" s="740"/>
      <c r="V625" s="740"/>
      <c r="W625" s="740"/>
      <c r="X625" s="740"/>
      <c r="Y625" s="740"/>
      <c r="Z625" s="740"/>
      <c r="AA625" s="740"/>
      <c r="AB625" s="423"/>
      <c r="AC625" s="418"/>
      <c r="AD625" s="418"/>
      <c r="AE625" s="418"/>
      <c r="AF625" s="422"/>
      <c r="AG625" s="425"/>
      <c r="AH625" s="417"/>
      <c r="AI625" s="415"/>
      <c r="AJ625" s="415"/>
      <c r="AK625" s="428"/>
      <c r="AL625" s="397"/>
      <c r="AM625" s="416"/>
      <c r="AN625" s="412"/>
      <c r="AO625" s="72"/>
      <c r="AP625" s="414"/>
      <c r="AQ625" s="430"/>
      <c r="AR625" s="400"/>
      <c r="AS625" s="413"/>
      <c r="AT625" s="413"/>
      <c r="AU625" s="412"/>
      <c r="AV625" s="412"/>
      <c r="AW625" s="399"/>
      <c r="AX625" s="72"/>
      <c r="AY625" s="398"/>
      <c r="AZ625" s="400"/>
      <c r="BA625" s="72"/>
      <c r="BB625" s="404"/>
      <c r="BC625" s="404"/>
      <c r="BD625" s="404"/>
      <c r="BE625" s="404"/>
      <c r="BF625" s="404"/>
      <c r="BG625" s="404"/>
      <c r="BH625" s="403"/>
      <c r="BI625" s="403"/>
      <c r="BJ625" s="403"/>
      <c r="BK625" s="402"/>
      <c r="BL625" s="402"/>
      <c r="BM625" s="402"/>
      <c r="BN625" s="401"/>
      <c r="BO625" s="400"/>
      <c r="BP625" s="400"/>
      <c r="BQ625" s="400"/>
      <c r="BR625" s="72"/>
      <c r="BS625" s="411"/>
    </row>
    <row r="626" spans="1:71" ht="15" customHeight="1" x14ac:dyDescent="0.15">
      <c r="A626" s="419"/>
      <c r="B626" s="405"/>
      <c r="C626" s="405"/>
      <c r="D626" s="405"/>
      <c r="E626" s="405"/>
      <c r="F626" s="420"/>
      <c r="G626" s="421"/>
      <c r="H626" s="442"/>
      <c r="I626" s="406"/>
      <c r="J626" s="407"/>
      <c r="K626" s="408"/>
      <c r="L626" s="409"/>
      <c r="M626" s="409"/>
      <c r="N626" s="410" t="str">
        <f t="shared" si="18"/>
        <v>CAT à compléter</v>
      </c>
      <c r="O626" s="739"/>
      <c r="P626" s="863"/>
      <c r="Q626" s="730" t="str">
        <f t="shared" si="19"/>
        <v>CAT à compléter</v>
      </c>
      <c r="R626" s="740"/>
      <c r="S626" s="740"/>
      <c r="T626" s="740"/>
      <c r="U626" s="740"/>
      <c r="V626" s="740"/>
      <c r="W626" s="740"/>
      <c r="X626" s="740"/>
      <c r="Y626" s="740"/>
      <c r="Z626" s="740"/>
      <c r="AA626" s="740"/>
      <c r="AB626" s="423"/>
      <c r="AC626" s="418"/>
      <c r="AD626" s="418"/>
      <c r="AE626" s="418"/>
      <c r="AF626" s="422"/>
      <c r="AG626" s="425"/>
      <c r="AH626" s="417"/>
      <c r="AI626" s="415"/>
      <c r="AJ626" s="415"/>
      <c r="AK626" s="428"/>
      <c r="AL626" s="397"/>
      <c r="AM626" s="416"/>
      <c r="AN626" s="412"/>
      <c r="AO626" s="72"/>
      <c r="AP626" s="414"/>
      <c r="AQ626" s="430"/>
      <c r="AR626" s="400"/>
      <c r="AS626" s="413"/>
      <c r="AT626" s="413"/>
      <c r="AU626" s="412"/>
      <c r="AV626" s="412"/>
      <c r="AW626" s="399"/>
      <c r="AX626" s="72"/>
      <c r="AY626" s="398"/>
      <c r="AZ626" s="400"/>
      <c r="BA626" s="72"/>
      <c r="BB626" s="404"/>
      <c r="BC626" s="404"/>
      <c r="BD626" s="404"/>
      <c r="BE626" s="404"/>
      <c r="BF626" s="404"/>
      <c r="BG626" s="404"/>
      <c r="BH626" s="403"/>
      <c r="BI626" s="403"/>
      <c r="BJ626" s="403"/>
      <c r="BK626" s="402"/>
      <c r="BL626" s="402"/>
      <c r="BM626" s="402"/>
      <c r="BN626" s="401"/>
      <c r="BO626" s="400"/>
      <c r="BP626" s="400"/>
      <c r="BQ626" s="400"/>
      <c r="BR626" s="72"/>
      <c r="BS626" s="411"/>
    </row>
    <row r="627" spans="1:71" ht="15" customHeight="1" x14ac:dyDescent="0.15">
      <c r="A627" s="419"/>
      <c r="B627" s="405"/>
      <c r="C627" s="405"/>
      <c r="D627" s="405"/>
      <c r="E627" s="405"/>
      <c r="F627" s="420"/>
      <c r="G627" s="421"/>
      <c r="H627" s="442"/>
      <c r="I627" s="406"/>
      <c r="J627" s="407"/>
      <c r="K627" s="408"/>
      <c r="L627" s="409"/>
      <c r="M627" s="409"/>
      <c r="N627" s="410" t="str">
        <f t="shared" si="18"/>
        <v>CAT à compléter</v>
      </c>
      <c r="O627" s="739"/>
      <c r="P627" s="863"/>
      <c r="Q627" s="730" t="str">
        <f t="shared" si="19"/>
        <v>CAT à compléter</v>
      </c>
      <c r="R627" s="740"/>
      <c r="S627" s="740"/>
      <c r="T627" s="740"/>
      <c r="U627" s="740"/>
      <c r="V627" s="740"/>
      <c r="W627" s="740"/>
      <c r="X627" s="740"/>
      <c r="Y627" s="740"/>
      <c r="Z627" s="740"/>
      <c r="AA627" s="740"/>
      <c r="AB627" s="423"/>
      <c r="AC627" s="418"/>
      <c r="AD627" s="418"/>
      <c r="AE627" s="418"/>
      <c r="AF627" s="422"/>
      <c r="AG627" s="425"/>
      <c r="AH627" s="417"/>
      <c r="AI627" s="415"/>
      <c r="AJ627" s="415"/>
      <c r="AK627" s="428"/>
      <c r="AL627" s="397"/>
      <c r="AM627" s="416"/>
      <c r="AN627" s="412"/>
      <c r="AO627" s="72"/>
      <c r="AP627" s="414"/>
      <c r="AQ627" s="430"/>
      <c r="AR627" s="400"/>
      <c r="AS627" s="413"/>
      <c r="AT627" s="413"/>
      <c r="AU627" s="412"/>
      <c r="AV627" s="412"/>
      <c r="AW627" s="399"/>
      <c r="AX627" s="72"/>
      <c r="AY627" s="398"/>
      <c r="AZ627" s="400"/>
      <c r="BA627" s="72"/>
      <c r="BB627" s="404"/>
      <c r="BC627" s="404"/>
      <c r="BD627" s="404"/>
      <c r="BE627" s="404"/>
      <c r="BF627" s="404"/>
      <c r="BG627" s="404"/>
      <c r="BH627" s="403"/>
      <c r="BI627" s="403"/>
      <c r="BJ627" s="403"/>
      <c r="BK627" s="402"/>
      <c r="BL627" s="402"/>
      <c r="BM627" s="402"/>
      <c r="BN627" s="401"/>
      <c r="BO627" s="400"/>
      <c r="BP627" s="400"/>
      <c r="BQ627" s="400"/>
      <c r="BR627" s="72"/>
      <c r="BS627" s="411"/>
    </row>
    <row r="628" spans="1:71" ht="15" customHeight="1" x14ac:dyDescent="0.15">
      <c r="A628" s="419"/>
      <c r="B628" s="405"/>
      <c r="C628" s="405"/>
      <c r="D628" s="405"/>
      <c r="E628" s="405"/>
      <c r="F628" s="420"/>
      <c r="G628" s="421"/>
      <c r="H628" s="442"/>
      <c r="I628" s="406"/>
      <c r="J628" s="407"/>
      <c r="K628" s="408"/>
      <c r="L628" s="409"/>
      <c r="M628" s="409"/>
      <c r="N628" s="410" t="str">
        <f t="shared" si="18"/>
        <v>CAT à compléter</v>
      </c>
      <c r="O628" s="739"/>
      <c r="P628" s="863"/>
      <c r="Q628" s="730" t="str">
        <f t="shared" si="19"/>
        <v>CAT à compléter</v>
      </c>
      <c r="R628" s="740"/>
      <c r="S628" s="740"/>
      <c r="T628" s="740"/>
      <c r="U628" s="740"/>
      <c r="V628" s="740"/>
      <c r="W628" s="740"/>
      <c r="X628" s="740"/>
      <c r="Y628" s="740"/>
      <c r="Z628" s="740"/>
      <c r="AA628" s="740"/>
      <c r="AB628" s="423"/>
      <c r="AC628" s="418"/>
      <c r="AD628" s="418"/>
      <c r="AE628" s="418"/>
      <c r="AF628" s="422"/>
      <c r="AG628" s="425"/>
      <c r="AH628" s="417"/>
      <c r="AI628" s="415"/>
      <c r="AJ628" s="415"/>
      <c r="AK628" s="428"/>
      <c r="AL628" s="397"/>
      <c r="AM628" s="416"/>
      <c r="AN628" s="412"/>
      <c r="AO628" s="72"/>
      <c r="AP628" s="414"/>
      <c r="AQ628" s="430"/>
      <c r="AR628" s="400"/>
      <c r="AS628" s="413"/>
      <c r="AT628" s="413"/>
      <c r="AU628" s="412"/>
      <c r="AV628" s="412"/>
      <c r="AW628" s="399"/>
      <c r="AX628" s="72"/>
      <c r="AY628" s="398"/>
      <c r="AZ628" s="400"/>
      <c r="BA628" s="72"/>
      <c r="BB628" s="404"/>
      <c r="BC628" s="404"/>
      <c r="BD628" s="404"/>
      <c r="BE628" s="404"/>
      <c r="BF628" s="404"/>
      <c r="BG628" s="404"/>
      <c r="BH628" s="403"/>
      <c r="BI628" s="403"/>
      <c r="BJ628" s="403"/>
      <c r="BK628" s="402"/>
      <c r="BL628" s="402"/>
      <c r="BM628" s="402"/>
      <c r="BN628" s="401"/>
      <c r="BO628" s="400"/>
      <c r="BP628" s="400"/>
      <c r="BQ628" s="400"/>
      <c r="BR628" s="72"/>
      <c r="BS628" s="411"/>
    </row>
    <row r="629" spans="1:71" ht="15" customHeight="1" x14ac:dyDescent="0.15">
      <c r="A629" s="419"/>
      <c r="B629" s="405"/>
      <c r="C629" s="405"/>
      <c r="D629" s="405"/>
      <c r="E629" s="405"/>
      <c r="F629" s="420"/>
      <c r="G629" s="421"/>
      <c r="H629" s="442"/>
      <c r="I629" s="406"/>
      <c r="J629" s="407"/>
      <c r="K629" s="408"/>
      <c r="L629" s="409"/>
      <c r="M629" s="409"/>
      <c r="N629" s="410" t="str">
        <f t="shared" si="18"/>
        <v>CAT à compléter</v>
      </c>
      <c r="O629" s="739"/>
      <c r="P629" s="863"/>
      <c r="Q629" s="730" t="str">
        <f t="shared" si="19"/>
        <v>CAT à compléter</v>
      </c>
      <c r="R629" s="740"/>
      <c r="S629" s="740"/>
      <c r="T629" s="740"/>
      <c r="U629" s="740"/>
      <c r="V629" s="740"/>
      <c r="W629" s="740"/>
      <c r="X629" s="740"/>
      <c r="Y629" s="740"/>
      <c r="Z629" s="740"/>
      <c r="AA629" s="740"/>
      <c r="AB629" s="423"/>
      <c r="AC629" s="418"/>
      <c r="AD629" s="418"/>
      <c r="AE629" s="418"/>
      <c r="AF629" s="422"/>
      <c r="AG629" s="425"/>
      <c r="AH629" s="417"/>
      <c r="AI629" s="415"/>
      <c r="AJ629" s="415"/>
      <c r="AK629" s="428"/>
      <c r="AL629" s="397"/>
      <c r="AM629" s="416"/>
      <c r="AN629" s="412"/>
      <c r="AO629" s="72"/>
      <c r="AP629" s="414"/>
      <c r="AQ629" s="430"/>
      <c r="AR629" s="400"/>
      <c r="AS629" s="413"/>
      <c r="AT629" s="413"/>
      <c r="AU629" s="412"/>
      <c r="AV629" s="412"/>
      <c r="AW629" s="399"/>
      <c r="AX629" s="72"/>
      <c r="AY629" s="398"/>
      <c r="AZ629" s="400"/>
      <c r="BA629" s="72"/>
      <c r="BB629" s="404"/>
      <c r="BC629" s="404"/>
      <c r="BD629" s="404"/>
      <c r="BE629" s="404"/>
      <c r="BF629" s="404"/>
      <c r="BG629" s="404"/>
      <c r="BH629" s="403"/>
      <c r="BI629" s="403"/>
      <c r="BJ629" s="403"/>
      <c r="BK629" s="402"/>
      <c r="BL629" s="402"/>
      <c r="BM629" s="402"/>
      <c r="BN629" s="401"/>
      <c r="BO629" s="400"/>
      <c r="BP629" s="400"/>
      <c r="BQ629" s="400"/>
      <c r="BR629" s="72"/>
      <c r="BS629" s="411"/>
    </row>
    <row r="630" spans="1:71" ht="15" customHeight="1" x14ac:dyDescent="0.15">
      <c r="A630" s="419"/>
      <c r="B630" s="405"/>
      <c r="C630" s="405"/>
      <c r="D630" s="405"/>
      <c r="E630" s="405"/>
      <c r="F630" s="420"/>
      <c r="G630" s="421"/>
      <c r="H630" s="442"/>
      <c r="I630" s="406"/>
      <c r="J630" s="407"/>
      <c r="K630" s="408"/>
      <c r="L630" s="409"/>
      <c r="M630" s="409"/>
      <c r="N630" s="410" t="str">
        <f t="shared" si="18"/>
        <v>CAT à compléter</v>
      </c>
      <c r="O630" s="739"/>
      <c r="P630" s="863"/>
      <c r="Q630" s="730" t="str">
        <f t="shared" si="19"/>
        <v>CAT à compléter</v>
      </c>
      <c r="R630" s="740"/>
      <c r="S630" s="740"/>
      <c r="T630" s="740"/>
      <c r="U630" s="740"/>
      <c r="V630" s="740"/>
      <c r="W630" s="740"/>
      <c r="X630" s="740"/>
      <c r="Y630" s="740"/>
      <c r="Z630" s="740"/>
      <c r="AA630" s="740"/>
      <c r="AB630" s="423"/>
      <c r="AC630" s="418"/>
      <c r="AD630" s="418"/>
      <c r="AE630" s="418"/>
      <c r="AF630" s="422"/>
      <c r="AG630" s="425"/>
      <c r="AH630" s="417"/>
      <c r="AI630" s="415"/>
      <c r="AJ630" s="415"/>
      <c r="AK630" s="428"/>
      <c r="AL630" s="397"/>
      <c r="AM630" s="416"/>
      <c r="AN630" s="412"/>
      <c r="AO630" s="72"/>
      <c r="AP630" s="414"/>
      <c r="AQ630" s="430"/>
      <c r="AR630" s="400"/>
      <c r="AS630" s="413"/>
      <c r="AT630" s="413"/>
      <c r="AU630" s="412"/>
      <c r="AV630" s="412"/>
      <c r="AW630" s="399"/>
      <c r="AX630" s="72"/>
      <c r="AY630" s="398"/>
      <c r="AZ630" s="400"/>
      <c r="BA630" s="72"/>
      <c r="BB630" s="404"/>
      <c r="BC630" s="404"/>
      <c r="BD630" s="404"/>
      <c r="BE630" s="404"/>
      <c r="BF630" s="404"/>
      <c r="BG630" s="404"/>
      <c r="BH630" s="403"/>
      <c r="BI630" s="403"/>
      <c r="BJ630" s="403"/>
      <c r="BK630" s="402"/>
      <c r="BL630" s="402"/>
      <c r="BM630" s="402"/>
      <c r="BN630" s="401"/>
      <c r="BO630" s="400"/>
      <c r="BP630" s="400"/>
      <c r="BQ630" s="400"/>
      <c r="BR630" s="72"/>
      <c r="BS630" s="411"/>
    </row>
    <row r="631" spans="1:71" ht="15" customHeight="1" x14ac:dyDescent="0.15">
      <c r="A631" s="419"/>
      <c r="B631" s="405"/>
      <c r="C631" s="405"/>
      <c r="D631" s="405"/>
      <c r="E631" s="405"/>
      <c r="F631" s="420"/>
      <c r="G631" s="421"/>
      <c r="H631" s="442"/>
      <c r="I631" s="406"/>
      <c r="J631" s="407"/>
      <c r="K631" s="408"/>
      <c r="L631" s="409"/>
      <c r="M631" s="409"/>
      <c r="N631" s="410" t="str">
        <f t="shared" si="18"/>
        <v>CAT à compléter</v>
      </c>
      <c r="O631" s="739"/>
      <c r="P631" s="863"/>
      <c r="Q631" s="730" t="str">
        <f t="shared" si="19"/>
        <v>CAT à compléter</v>
      </c>
      <c r="R631" s="740"/>
      <c r="S631" s="740"/>
      <c r="T631" s="740"/>
      <c r="U631" s="740"/>
      <c r="V631" s="740"/>
      <c r="W631" s="740"/>
      <c r="X631" s="740"/>
      <c r="Y631" s="740"/>
      <c r="Z631" s="740"/>
      <c r="AA631" s="740"/>
      <c r="AB631" s="423"/>
      <c r="AC631" s="418"/>
      <c r="AD631" s="418"/>
      <c r="AE631" s="418"/>
      <c r="AF631" s="422"/>
      <c r="AG631" s="425"/>
      <c r="AH631" s="417"/>
      <c r="AI631" s="415"/>
      <c r="AJ631" s="415"/>
      <c r="AK631" s="428"/>
      <c r="AL631" s="397"/>
      <c r="AM631" s="416"/>
      <c r="AN631" s="412"/>
      <c r="AO631" s="72"/>
      <c r="AP631" s="414"/>
      <c r="AQ631" s="430"/>
      <c r="AR631" s="400"/>
      <c r="AS631" s="413"/>
      <c r="AT631" s="413"/>
      <c r="AU631" s="412"/>
      <c r="AV631" s="412"/>
      <c r="AW631" s="399"/>
      <c r="AX631" s="72"/>
      <c r="AY631" s="398"/>
      <c r="AZ631" s="400"/>
      <c r="BA631" s="72"/>
      <c r="BB631" s="404"/>
      <c r="BC631" s="404"/>
      <c r="BD631" s="404"/>
      <c r="BE631" s="404"/>
      <c r="BF631" s="404"/>
      <c r="BG631" s="404"/>
      <c r="BH631" s="403"/>
      <c r="BI631" s="403"/>
      <c r="BJ631" s="403"/>
      <c r="BK631" s="402"/>
      <c r="BL631" s="402"/>
      <c r="BM631" s="402"/>
      <c r="BN631" s="401"/>
      <c r="BO631" s="400"/>
      <c r="BP631" s="400"/>
      <c r="BQ631" s="400"/>
      <c r="BR631" s="72"/>
      <c r="BS631" s="411"/>
    </row>
    <row r="632" spans="1:71" ht="15" customHeight="1" x14ac:dyDescent="0.15">
      <c r="A632" s="419"/>
      <c r="B632" s="405"/>
      <c r="C632" s="405"/>
      <c r="D632" s="405"/>
      <c r="E632" s="405"/>
      <c r="F632" s="420"/>
      <c r="G632" s="421"/>
      <c r="H632" s="442"/>
      <c r="I632" s="406"/>
      <c r="J632" s="407"/>
      <c r="K632" s="408"/>
      <c r="L632" s="409"/>
      <c r="M632" s="409"/>
      <c r="N632" s="410" t="str">
        <f t="shared" si="18"/>
        <v>CAT à compléter</v>
      </c>
      <c r="O632" s="739"/>
      <c r="P632" s="863"/>
      <c r="Q632" s="730" t="str">
        <f t="shared" si="19"/>
        <v>CAT à compléter</v>
      </c>
      <c r="R632" s="740"/>
      <c r="S632" s="740"/>
      <c r="T632" s="740"/>
      <c r="U632" s="740"/>
      <c r="V632" s="740"/>
      <c r="W632" s="740"/>
      <c r="X632" s="740"/>
      <c r="Y632" s="740"/>
      <c r="Z632" s="740"/>
      <c r="AA632" s="740"/>
      <c r="AB632" s="423"/>
      <c r="AC632" s="418"/>
      <c r="AD632" s="418"/>
      <c r="AE632" s="418"/>
      <c r="AF632" s="422"/>
      <c r="AG632" s="425"/>
      <c r="AH632" s="417"/>
      <c r="AI632" s="415"/>
      <c r="AJ632" s="415"/>
      <c r="AK632" s="428"/>
      <c r="AL632" s="397"/>
      <c r="AM632" s="416"/>
      <c r="AN632" s="412"/>
      <c r="AO632" s="72"/>
      <c r="AP632" s="414"/>
      <c r="AQ632" s="430"/>
      <c r="AR632" s="400"/>
      <c r="AS632" s="413"/>
      <c r="AT632" s="413"/>
      <c r="AU632" s="412"/>
      <c r="AV632" s="412"/>
      <c r="AW632" s="399"/>
      <c r="AX632" s="72"/>
      <c r="AY632" s="398"/>
      <c r="AZ632" s="400"/>
      <c r="BA632" s="72"/>
      <c r="BB632" s="404"/>
      <c r="BC632" s="404"/>
      <c r="BD632" s="404"/>
      <c r="BE632" s="404"/>
      <c r="BF632" s="404"/>
      <c r="BG632" s="404"/>
      <c r="BH632" s="403"/>
      <c r="BI632" s="403"/>
      <c r="BJ632" s="403"/>
      <c r="BK632" s="402"/>
      <c r="BL632" s="402"/>
      <c r="BM632" s="402"/>
      <c r="BN632" s="401"/>
      <c r="BO632" s="400"/>
      <c r="BP632" s="400"/>
      <c r="BQ632" s="400"/>
      <c r="BR632" s="72"/>
      <c r="BS632" s="411"/>
    </row>
    <row r="633" spans="1:71" ht="15" customHeight="1" x14ac:dyDescent="0.15">
      <c r="A633" s="419"/>
      <c r="B633" s="405"/>
      <c r="C633" s="405"/>
      <c r="D633" s="405"/>
      <c r="E633" s="405"/>
      <c r="F633" s="420"/>
      <c r="G633" s="421"/>
      <c r="H633" s="442"/>
      <c r="I633" s="406"/>
      <c r="J633" s="407"/>
      <c r="K633" s="408"/>
      <c r="L633" s="409"/>
      <c r="M633" s="409"/>
      <c r="N633" s="410" t="str">
        <f t="shared" si="18"/>
        <v>CAT à compléter</v>
      </c>
      <c r="O633" s="739"/>
      <c r="P633" s="863"/>
      <c r="Q633" s="730" t="str">
        <f t="shared" si="19"/>
        <v>CAT à compléter</v>
      </c>
      <c r="R633" s="740"/>
      <c r="S633" s="740"/>
      <c r="T633" s="740"/>
      <c r="U633" s="740"/>
      <c r="V633" s="740"/>
      <c r="W633" s="740"/>
      <c r="X633" s="740"/>
      <c r="Y633" s="740"/>
      <c r="Z633" s="740"/>
      <c r="AA633" s="740"/>
      <c r="AB633" s="423"/>
      <c r="AC633" s="418"/>
      <c r="AD633" s="418"/>
      <c r="AE633" s="418"/>
      <c r="AF633" s="422"/>
      <c r="AG633" s="425"/>
      <c r="AH633" s="417"/>
      <c r="AI633" s="415"/>
      <c r="AJ633" s="415"/>
      <c r="AK633" s="428"/>
      <c r="AL633" s="397"/>
      <c r="AM633" s="416"/>
      <c r="AN633" s="412"/>
      <c r="AO633" s="72"/>
      <c r="AP633" s="414"/>
      <c r="AQ633" s="430"/>
      <c r="AR633" s="400"/>
      <c r="AS633" s="413"/>
      <c r="AT633" s="413"/>
      <c r="AU633" s="412"/>
      <c r="AV633" s="412"/>
      <c r="AW633" s="399"/>
      <c r="AX633" s="72"/>
      <c r="AY633" s="398"/>
      <c r="AZ633" s="400"/>
      <c r="BA633" s="72"/>
      <c r="BB633" s="404"/>
      <c r="BC633" s="404"/>
      <c r="BD633" s="404"/>
      <c r="BE633" s="404"/>
      <c r="BF633" s="404"/>
      <c r="BG633" s="404"/>
      <c r="BH633" s="403"/>
      <c r="BI633" s="403"/>
      <c r="BJ633" s="403"/>
      <c r="BK633" s="402"/>
      <c r="BL633" s="402"/>
      <c r="BM633" s="402"/>
      <c r="BN633" s="401"/>
      <c r="BO633" s="400"/>
      <c r="BP633" s="400"/>
      <c r="BQ633" s="400"/>
      <c r="BR633" s="72"/>
      <c r="BS633" s="411"/>
    </row>
    <row r="634" spans="1:71" ht="15" customHeight="1" x14ac:dyDescent="0.15">
      <c r="A634" s="419"/>
      <c r="B634" s="405"/>
      <c r="C634" s="405"/>
      <c r="D634" s="405"/>
      <c r="E634" s="405"/>
      <c r="F634" s="420"/>
      <c r="G634" s="421"/>
      <c r="H634" s="442"/>
      <c r="I634" s="406"/>
      <c r="J634" s="407"/>
      <c r="K634" s="408"/>
      <c r="L634" s="409"/>
      <c r="M634" s="409"/>
      <c r="N634" s="410" t="str">
        <f t="shared" si="18"/>
        <v>CAT à compléter</v>
      </c>
      <c r="O634" s="739"/>
      <c r="P634" s="863"/>
      <c r="Q634" s="730" t="str">
        <f t="shared" si="19"/>
        <v>CAT à compléter</v>
      </c>
      <c r="R634" s="740"/>
      <c r="S634" s="740"/>
      <c r="T634" s="740"/>
      <c r="U634" s="740"/>
      <c r="V634" s="740"/>
      <c r="W634" s="740"/>
      <c r="X634" s="740"/>
      <c r="Y634" s="740"/>
      <c r="Z634" s="740"/>
      <c r="AA634" s="740"/>
      <c r="AB634" s="423"/>
      <c r="AC634" s="418"/>
      <c r="AD634" s="418"/>
      <c r="AE634" s="418"/>
      <c r="AF634" s="422"/>
      <c r="AG634" s="425"/>
      <c r="AH634" s="417"/>
      <c r="AI634" s="415"/>
      <c r="AJ634" s="415"/>
      <c r="AK634" s="428"/>
      <c r="AL634" s="397"/>
      <c r="AM634" s="416"/>
      <c r="AN634" s="412"/>
      <c r="AO634" s="72"/>
      <c r="AP634" s="414"/>
      <c r="AQ634" s="430"/>
      <c r="AR634" s="400"/>
      <c r="AS634" s="413"/>
      <c r="AT634" s="413"/>
      <c r="AU634" s="412"/>
      <c r="AV634" s="412"/>
      <c r="AW634" s="399"/>
      <c r="AX634" s="72"/>
      <c r="AY634" s="398"/>
      <c r="AZ634" s="400"/>
      <c r="BA634" s="72"/>
      <c r="BB634" s="404"/>
      <c r="BC634" s="404"/>
      <c r="BD634" s="404"/>
      <c r="BE634" s="404"/>
      <c r="BF634" s="404"/>
      <c r="BG634" s="404"/>
      <c r="BH634" s="403"/>
      <c r="BI634" s="403"/>
      <c r="BJ634" s="403"/>
      <c r="BK634" s="402"/>
      <c r="BL634" s="402"/>
      <c r="BM634" s="402"/>
      <c r="BN634" s="401"/>
      <c r="BO634" s="400"/>
      <c r="BP634" s="400"/>
      <c r="BQ634" s="400"/>
      <c r="BR634" s="72"/>
      <c r="BS634" s="411"/>
    </row>
    <row r="635" spans="1:71" ht="15" customHeight="1" x14ac:dyDescent="0.15">
      <c r="A635" s="419"/>
      <c r="B635" s="405"/>
      <c r="C635" s="405"/>
      <c r="D635" s="405"/>
      <c r="E635" s="405"/>
      <c r="F635" s="420"/>
      <c r="G635" s="421"/>
      <c r="H635" s="442"/>
      <c r="I635" s="406"/>
      <c r="J635" s="407"/>
      <c r="K635" s="408"/>
      <c r="L635" s="409"/>
      <c r="M635" s="409"/>
      <c r="N635" s="410" t="str">
        <f t="shared" si="18"/>
        <v>CAT à compléter</v>
      </c>
      <c r="O635" s="739"/>
      <c r="P635" s="863"/>
      <c r="Q635" s="730" t="str">
        <f t="shared" si="19"/>
        <v>CAT à compléter</v>
      </c>
      <c r="R635" s="740"/>
      <c r="S635" s="740"/>
      <c r="T635" s="740"/>
      <c r="U635" s="740"/>
      <c r="V635" s="740"/>
      <c r="W635" s="740"/>
      <c r="X635" s="740"/>
      <c r="Y635" s="740"/>
      <c r="Z635" s="740"/>
      <c r="AA635" s="740"/>
      <c r="AB635" s="423"/>
      <c r="AC635" s="418"/>
      <c r="AD635" s="418"/>
      <c r="AE635" s="418"/>
      <c r="AF635" s="422"/>
      <c r="AG635" s="425"/>
      <c r="AH635" s="417"/>
      <c r="AI635" s="415"/>
      <c r="AJ635" s="415"/>
      <c r="AK635" s="428"/>
      <c r="AL635" s="397"/>
      <c r="AM635" s="416"/>
      <c r="AN635" s="412"/>
      <c r="AO635" s="72"/>
      <c r="AP635" s="414"/>
      <c r="AQ635" s="430"/>
      <c r="AR635" s="400"/>
      <c r="AS635" s="413"/>
      <c r="AT635" s="413"/>
      <c r="AU635" s="412"/>
      <c r="AV635" s="412"/>
      <c r="AW635" s="399"/>
      <c r="AX635" s="72"/>
      <c r="AY635" s="398"/>
      <c r="AZ635" s="400"/>
      <c r="BA635" s="72"/>
      <c r="BB635" s="404"/>
      <c r="BC635" s="404"/>
      <c r="BD635" s="404"/>
      <c r="BE635" s="404"/>
      <c r="BF635" s="404"/>
      <c r="BG635" s="404"/>
      <c r="BH635" s="403"/>
      <c r="BI635" s="403"/>
      <c r="BJ635" s="403"/>
      <c r="BK635" s="402"/>
      <c r="BL635" s="402"/>
      <c r="BM635" s="402"/>
      <c r="BN635" s="401"/>
      <c r="BO635" s="400"/>
      <c r="BP635" s="400"/>
      <c r="BQ635" s="400"/>
      <c r="BR635" s="72"/>
      <c r="BS635" s="411"/>
    </row>
    <row r="636" spans="1:71" ht="15" customHeight="1" x14ac:dyDescent="0.15">
      <c r="A636" s="419"/>
      <c r="B636" s="405"/>
      <c r="C636" s="405"/>
      <c r="D636" s="405"/>
      <c r="E636" s="405"/>
      <c r="F636" s="420"/>
      <c r="G636" s="421"/>
      <c r="H636" s="442"/>
      <c r="I636" s="406"/>
      <c r="J636" s="407"/>
      <c r="K636" s="408"/>
      <c r="L636" s="409"/>
      <c r="M636" s="409"/>
      <c r="N636" s="410" t="str">
        <f t="shared" si="18"/>
        <v>CAT à compléter</v>
      </c>
      <c r="O636" s="739"/>
      <c r="P636" s="863"/>
      <c r="Q636" s="730" t="str">
        <f t="shared" si="19"/>
        <v>CAT à compléter</v>
      </c>
      <c r="R636" s="740"/>
      <c r="S636" s="740"/>
      <c r="T636" s="740"/>
      <c r="U636" s="740"/>
      <c r="V636" s="740"/>
      <c r="W636" s="740"/>
      <c r="X636" s="740"/>
      <c r="Y636" s="740"/>
      <c r="Z636" s="740"/>
      <c r="AA636" s="740"/>
      <c r="AB636" s="423"/>
      <c r="AC636" s="418"/>
      <c r="AD636" s="418"/>
      <c r="AE636" s="418"/>
      <c r="AF636" s="422"/>
      <c r="AG636" s="425"/>
      <c r="AH636" s="417"/>
      <c r="AI636" s="415"/>
      <c r="AJ636" s="415"/>
      <c r="AK636" s="428"/>
      <c r="AL636" s="397"/>
      <c r="AM636" s="416"/>
      <c r="AN636" s="412"/>
      <c r="AO636" s="72"/>
      <c r="AP636" s="414"/>
      <c r="AQ636" s="430"/>
      <c r="AR636" s="400"/>
      <c r="AS636" s="413"/>
      <c r="AT636" s="413"/>
      <c r="AU636" s="412"/>
      <c r="AV636" s="412"/>
      <c r="AW636" s="399"/>
      <c r="AX636" s="72"/>
      <c r="AY636" s="398"/>
      <c r="AZ636" s="400"/>
      <c r="BA636" s="72"/>
      <c r="BB636" s="404"/>
      <c r="BC636" s="404"/>
      <c r="BD636" s="404"/>
      <c r="BE636" s="404"/>
      <c r="BF636" s="404"/>
      <c r="BG636" s="404"/>
      <c r="BH636" s="403"/>
      <c r="BI636" s="403"/>
      <c r="BJ636" s="403"/>
      <c r="BK636" s="402"/>
      <c r="BL636" s="402"/>
      <c r="BM636" s="402"/>
      <c r="BN636" s="401"/>
      <c r="BO636" s="400"/>
      <c r="BP636" s="400"/>
      <c r="BQ636" s="400"/>
      <c r="BR636" s="72"/>
      <c r="BS636" s="411"/>
    </row>
    <row r="637" spans="1:71" ht="15" customHeight="1" x14ac:dyDescent="0.15">
      <c r="A637" s="419"/>
      <c r="B637" s="405"/>
      <c r="C637" s="405"/>
      <c r="D637" s="405"/>
      <c r="E637" s="405"/>
      <c r="F637" s="420"/>
      <c r="G637" s="421"/>
      <c r="H637" s="442"/>
      <c r="I637" s="406"/>
      <c r="J637" s="407"/>
      <c r="K637" s="408"/>
      <c r="L637" s="409"/>
      <c r="M637" s="409"/>
      <c r="N637" s="410" t="str">
        <f t="shared" si="18"/>
        <v>CAT à compléter</v>
      </c>
      <c r="O637" s="739"/>
      <c r="P637" s="863"/>
      <c r="Q637" s="730" t="str">
        <f t="shared" si="19"/>
        <v>CAT à compléter</v>
      </c>
      <c r="R637" s="740"/>
      <c r="S637" s="740"/>
      <c r="T637" s="740"/>
      <c r="U637" s="740"/>
      <c r="V637" s="740"/>
      <c r="W637" s="740"/>
      <c r="X637" s="740"/>
      <c r="Y637" s="740"/>
      <c r="Z637" s="740"/>
      <c r="AA637" s="740"/>
      <c r="AB637" s="423"/>
      <c r="AC637" s="418"/>
      <c r="AD637" s="418"/>
      <c r="AE637" s="418"/>
      <c r="AF637" s="422"/>
      <c r="AG637" s="425"/>
      <c r="AH637" s="417"/>
      <c r="AI637" s="415"/>
      <c r="AJ637" s="415"/>
      <c r="AK637" s="428"/>
      <c r="AL637" s="397"/>
      <c r="AM637" s="416"/>
      <c r="AN637" s="412"/>
      <c r="AO637" s="72"/>
      <c r="AP637" s="414"/>
      <c r="AQ637" s="430"/>
      <c r="AR637" s="400"/>
      <c r="AS637" s="413"/>
      <c r="AT637" s="413"/>
      <c r="AU637" s="412"/>
      <c r="AV637" s="412"/>
      <c r="AW637" s="399"/>
      <c r="AX637" s="72"/>
      <c r="AY637" s="398"/>
      <c r="AZ637" s="400"/>
      <c r="BA637" s="72"/>
      <c r="BB637" s="404"/>
      <c r="BC637" s="404"/>
      <c r="BD637" s="404"/>
      <c r="BE637" s="404"/>
      <c r="BF637" s="404"/>
      <c r="BG637" s="404"/>
      <c r="BH637" s="403"/>
      <c r="BI637" s="403"/>
      <c r="BJ637" s="403"/>
      <c r="BK637" s="402"/>
      <c r="BL637" s="402"/>
      <c r="BM637" s="402"/>
      <c r="BN637" s="401"/>
      <c r="BO637" s="400"/>
      <c r="BP637" s="400"/>
      <c r="BQ637" s="400"/>
      <c r="BR637" s="72"/>
      <c r="BS637" s="411"/>
    </row>
    <row r="638" spans="1:71" ht="15" customHeight="1" x14ac:dyDescent="0.15">
      <c r="A638" s="419"/>
      <c r="B638" s="405"/>
      <c r="C638" s="405"/>
      <c r="D638" s="405"/>
      <c r="E638" s="405"/>
      <c r="F638" s="420"/>
      <c r="G638" s="421"/>
      <c r="H638" s="442"/>
      <c r="I638" s="406"/>
      <c r="J638" s="407"/>
      <c r="K638" s="408"/>
      <c r="L638" s="409"/>
      <c r="M638" s="409"/>
      <c r="N638" s="410" t="str">
        <f t="shared" si="18"/>
        <v>CAT à compléter</v>
      </c>
      <c r="O638" s="739"/>
      <c r="P638" s="863"/>
      <c r="Q638" s="730" t="str">
        <f t="shared" si="19"/>
        <v>CAT à compléter</v>
      </c>
      <c r="R638" s="740"/>
      <c r="S638" s="740"/>
      <c r="T638" s="740"/>
      <c r="U638" s="740"/>
      <c r="V638" s="740"/>
      <c r="W638" s="740"/>
      <c r="X638" s="740"/>
      <c r="Y638" s="740"/>
      <c r="Z638" s="740"/>
      <c r="AA638" s="740"/>
      <c r="AB638" s="423"/>
      <c r="AC638" s="418"/>
      <c r="AD638" s="418"/>
      <c r="AE638" s="418"/>
      <c r="AF638" s="422"/>
      <c r="AG638" s="425"/>
      <c r="AH638" s="417"/>
      <c r="AI638" s="415"/>
      <c r="AJ638" s="415"/>
      <c r="AK638" s="428"/>
      <c r="AL638" s="397"/>
      <c r="AM638" s="416"/>
      <c r="AN638" s="412"/>
      <c r="AO638" s="72"/>
      <c r="AP638" s="414"/>
      <c r="AQ638" s="430"/>
      <c r="AR638" s="400"/>
      <c r="AS638" s="413"/>
      <c r="AT638" s="413"/>
      <c r="AU638" s="412"/>
      <c r="AV638" s="412"/>
      <c r="AW638" s="399"/>
      <c r="AX638" s="72"/>
      <c r="AY638" s="398"/>
      <c r="AZ638" s="400"/>
      <c r="BA638" s="72"/>
      <c r="BB638" s="404"/>
      <c r="BC638" s="404"/>
      <c r="BD638" s="404"/>
      <c r="BE638" s="404"/>
      <c r="BF638" s="404"/>
      <c r="BG638" s="404"/>
      <c r="BH638" s="403"/>
      <c r="BI638" s="403"/>
      <c r="BJ638" s="403"/>
      <c r="BK638" s="402"/>
      <c r="BL638" s="402"/>
      <c r="BM638" s="402"/>
      <c r="BN638" s="401"/>
      <c r="BO638" s="400"/>
      <c r="BP638" s="400"/>
      <c r="BQ638" s="400"/>
      <c r="BR638" s="72"/>
      <c r="BS638" s="411"/>
    </row>
    <row r="639" spans="1:71" ht="15" customHeight="1" x14ac:dyDescent="0.15">
      <c r="A639" s="419"/>
      <c r="B639" s="405"/>
      <c r="C639" s="405"/>
      <c r="D639" s="405"/>
      <c r="E639" s="405"/>
      <c r="F639" s="420"/>
      <c r="G639" s="421"/>
      <c r="H639" s="442"/>
      <c r="I639" s="406"/>
      <c r="J639" s="407"/>
      <c r="K639" s="408"/>
      <c r="L639" s="409"/>
      <c r="M639" s="409"/>
      <c r="N639" s="410" t="str">
        <f t="shared" si="18"/>
        <v>CAT à compléter</v>
      </c>
      <c r="O639" s="739"/>
      <c r="P639" s="863"/>
      <c r="Q639" s="730" t="str">
        <f t="shared" si="19"/>
        <v>CAT à compléter</v>
      </c>
      <c r="R639" s="740"/>
      <c r="S639" s="740"/>
      <c r="T639" s="740"/>
      <c r="U639" s="740"/>
      <c r="V639" s="740"/>
      <c r="W639" s="740"/>
      <c r="X639" s="740"/>
      <c r="Y639" s="740"/>
      <c r="Z639" s="740"/>
      <c r="AA639" s="740"/>
      <c r="AB639" s="423"/>
      <c r="AC639" s="418"/>
      <c r="AD639" s="418"/>
      <c r="AE639" s="418"/>
      <c r="AF639" s="422"/>
      <c r="AG639" s="425"/>
      <c r="AH639" s="417"/>
      <c r="AI639" s="415"/>
      <c r="AJ639" s="415"/>
      <c r="AK639" s="428"/>
      <c r="AL639" s="397"/>
      <c r="AM639" s="416"/>
      <c r="AN639" s="412"/>
      <c r="AO639" s="72"/>
      <c r="AP639" s="414"/>
      <c r="AQ639" s="430"/>
      <c r="AR639" s="400"/>
      <c r="AS639" s="413"/>
      <c r="AT639" s="413"/>
      <c r="AU639" s="412"/>
      <c r="AV639" s="412"/>
      <c r="AW639" s="399"/>
      <c r="AX639" s="72"/>
      <c r="AY639" s="398"/>
      <c r="AZ639" s="400"/>
      <c r="BA639" s="72"/>
      <c r="BB639" s="404"/>
      <c r="BC639" s="404"/>
      <c r="BD639" s="404"/>
      <c r="BE639" s="404"/>
      <c r="BF639" s="404"/>
      <c r="BG639" s="404"/>
      <c r="BH639" s="403"/>
      <c r="BI639" s="403"/>
      <c r="BJ639" s="403"/>
      <c r="BK639" s="402"/>
      <c r="BL639" s="402"/>
      <c r="BM639" s="402"/>
      <c r="BN639" s="401"/>
      <c r="BO639" s="400"/>
      <c r="BP639" s="400"/>
      <c r="BQ639" s="400"/>
      <c r="BR639" s="72"/>
      <c r="BS639" s="411"/>
    </row>
    <row r="640" spans="1:71" ht="15" customHeight="1" x14ac:dyDescent="0.15">
      <c r="A640" s="419"/>
      <c r="B640" s="405"/>
      <c r="C640" s="405"/>
      <c r="D640" s="405"/>
      <c r="E640" s="405"/>
      <c r="F640" s="420"/>
      <c r="G640" s="421"/>
      <c r="H640" s="442"/>
      <c r="I640" s="406"/>
      <c r="J640" s="407"/>
      <c r="K640" s="408"/>
      <c r="L640" s="409"/>
      <c r="M640" s="409"/>
      <c r="N640" s="410" t="str">
        <f t="shared" ref="N640:N641" si="20">VLOOKUP(L640,CAT_JOUEUR,2,FALSE)</f>
        <v>CAT à compléter</v>
      </c>
      <c r="O640" s="739"/>
      <c r="P640" s="863"/>
      <c r="Q640" s="730" t="str">
        <f t="shared" ref="Q640:Q641" si="21">VLOOKUP(O640,CAT_JOUEUR,2,FALSE)</f>
        <v>CAT à compléter</v>
      </c>
      <c r="R640" s="740"/>
      <c r="S640" s="740"/>
      <c r="T640" s="740"/>
      <c r="U640" s="740"/>
      <c r="V640" s="740"/>
      <c r="W640" s="740"/>
      <c r="X640" s="740"/>
      <c r="Y640" s="740"/>
      <c r="Z640" s="740"/>
      <c r="AA640" s="740"/>
      <c r="AB640" s="423"/>
      <c r="AC640" s="418"/>
      <c r="AD640" s="418"/>
      <c r="AE640" s="418"/>
      <c r="AF640" s="422"/>
      <c r="AG640" s="425"/>
      <c r="AH640" s="417"/>
      <c r="AI640" s="415"/>
      <c r="AJ640" s="415"/>
      <c r="AK640" s="428"/>
      <c r="AL640" s="397"/>
      <c r="AM640" s="416"/>
      <c r="AN640" s="412"/>
      <c r="AO640" s="72"/>
      <c r="AP640" s="414"/>
      <c r="AQ640" s="430"/>
      <c r="AR640" s="400"/>
      <c r="AS640" s="413"/>
      <c r="AT640" s="413"/>
      <c r="AU640" s="412"/>
      <c r="AV640" s="412"/>
      <c r="AW640" s="399"/>
      <c r="AX640" s="72"/>
      <c r="AY640" s="398"/>
      <c r="AZ640" s="400"/>
      <c r="BA640" s="72"/>
      <c r="BB640" s="404"/>
      <c r="BC640" s="404"/>
      <c r="BD640" s="404"/>
      <c r="BE640" s="404"/>
      <c r="BF640" s="404"/>
      <c r="BG640" s="404"/>
      <c r="BH640" s="403"/>
      <c r="BI640" s="403"/>
      <c r="BJ640" s="403"/>
      <c r="BK640" s="402"/>
      <c r="BL640" s="402"/>
      <c r="BM640" s="402"/>
      <c r="BN640" s="401"/>
      <c r="BO640" s="400"/>
      <c r="BP640" s="400"/>
      <c r="BQ640" s="400"/>
      <c r="BR640" s="72"/>
      <c r="BS640" s="411"/>
    </row>
    <row r="641" spans="1:71" ht="15" customHeight="1" x14ac:dyDescent="0.15">
      <c r="A641" s="419"/>
      <c r="B641" s="405"/>
      <c r="C641" s="405"/>
      <c r="D641" s="405"/>
      <c r="E641" s="405"/>
      <c r="F641" s="420"/>
      <c r="G641" s="421"/>
      <c r="H641" s="442"/>
      <c r="I641" s="406"/>
      <c r="J641" s="407"/>
      <c r="K641" s="408"/>
      <c r="L641" s="409"/>
      <c r="M641" s="409"/>
      <c r="N641" s="410" t="str">
        <f t="shared" si="20"/>
        <v>CAT à compléter</v>
      </c>
      <c r="O641" s="739"/>
      <c r="P641" s="863"/>
      <c r="Q641" s="730" t="str">
        <f t="shared" si="21"/>
        <v>CAT à compléter</v>
      </c>
      <c r="R641" s="740"/>
      <c r="S641" s="740"/>
      <c r="T641" s="740"/>
      <c r="U641" s="740"/>
      <c r="V641" s="740"/>
      <c r="W641" s="740"/>
      <c r="X641" s="740"/>
      <c r="Y641" s="740"/>
      <c r="Z641" s="740"/>
      <c r="AA641" s="740"/>
      <c r="AB641" s="423"/>
      <c r="AC641" s="418"/>
      <c r="AD641" s="418"/>
      <c r="AE641" s="418"/>
      <c r="AF641" s="422"/>
      <c r="AG641" s="425"/>
      <c r="AH641" s="417"/>
      <c r="AI641" s="415"/>
      <c r="AJ641" s="415"/>
      <c r="AK641" s="428"/>
      <c r="AL641" s="397"/>
      <c r="AM641" s="416"/>
      <c r="AN641" s="412"/>
      <c r="AO641" s="72"/>
      <c r="AP641" s="414"/>
      <c r="AQ641" s="430"/>
      <c r="AR641" s="400"/>
      <c r="AS641" s="413"/>
      <c r="AT641" s="413"/>
      <c r="AU641" s="412"/>
      <c r="AV641" s="412"/>
      <c r="AW641" s="399"/>
      <c r="AX641" s="72"/>
      <c r="AY641" s="398"/>
      <c r="AZ641" s="400"/>
      <c r="BA641" s="72"/>
      <c r="BB641" s="404"/>
      <c r="BC641" s="404"/>
      <c r="BD641" s="404"/>
      <c r="BE641" s="404"/>
      <c r="BF641" s="404"/>
      <c r="BG641" s="404"/>
      <c r="BH641" s="403"/>
      <c r="BI641" s="403"/>
      <c r="BJ641" s="403"/>
      <c r="BK641" s="402"/>
      <c r="BL641" s="402"/>
      <c r="BM641" s="402"/>
      <c r="BN641" s="401"/>
      <c r="BO641" s="400"/>
      <c r="BP641" s="400"/>
      <c r="BQ641" s="400"/>
      <c r="BR641" s="72"/>
      <c r="BS641" s="411"/>
    </row>
    <row r="642" spans="1:71" ht="15" customHeight="1" x14ac:dyDescent="0.15">
      <c r="A642" s="419"/>
      <c r="B642" s="405"/>
      <c r="C642" s="405"/>
      <c r="D642" s="405"/>
      <c r="E642" s="405"/>
      <c r="F642" s="420"/>
      <c r="G642" s="421"/>
      <c r="H642" s="442"/>
      <c r="I642" s="406"/>
      <c r="J642" s="407"/>
      <c r="K642" s="408"/>
      <c r="L642" s="409"/>
      <c r="M642" s="409"/>
      <c r="N642" s="410" t="str">
        <f t="shared" ref="N642:N705" si="22">VLOOKUP(L642,CAT_JOUEUR,2,FALSE)</f>
        <v>CAT à compléter</v>
      </c>
      <c r="O642" s="739"/>
      <c r="P642" s="863"/>
      <c r="Q642" s="730" t="str">
        <f t="shared" ref="Q642:Q705" si="23">VLOOKUP(O642,CAT_JOUEUR,2,FALSE)</f>
        <v>CAT à compléter</v>
      </c>
      <c r="R642" s="740"/>
      <c r="S642" s="740"/>
      <c r="T642" s="740"/>
      <c r="U642" s="740"/>
      <c r="V642" s="740"/>
      <c r="W642" s="740"/>
      <c r="X642" s="740"/>
      <c r="Y642" s="740"/>
      <c r="Z642" s="740"/>
      <c r="AA642" s="740"/>
      <c r="AB642" s="423"/>
      <c r="AC642" s="418"/>
      <c r="AD642" s="418"/>
      <c r="AE642" s="418"/>
      <c r="AF642" s="422"/>
      <c r="AG642" s="425"/>
      <c r="AH642" s="417"/>
      <c r="AI642" s="415"/>
      <c r="AJ642" s="415"/>
      <c r="AK642" s="428"/>
      <c r="AL642" s="397"/>
      <c r="AM642" s="416"/>
      <c r="AN642" s="412"/>
      <c r="AO642" s="72"/>
      <c r="AP642" s="414"/>
      <c r="AQ642" s="430"/>
      <c r="AR642" s="400"/>
      <c r="AS642" s="413"/>
      <c r="AT642" s="413"/>
      <c r="AU642" s="412"/>
      <c r="AV642" s="412"/>
      <c r="AW642" s="399"/>
      <c r="AX642" s="72"/>
      <c r="AY642" s="398"/>
      <c r="AZ642" s="400"/>
      <c r="BA642" s="72"/>
      <c r="BB642" s="404"/>
      <c r="BC642" s="404"/>
      <c r="BD642" s="404"/>
      <c r="BE642" s="404"/>
      <c r="BF642" s="404"/>
      <c r="BG642" s="404"/>
      <c r="BH642" s="403"/>
      <c r="BI642" s="403"/>
      <c r="BJ642" s="403"/>
      <c r="BK642" s="402"/>
      <c r="BL642" s="402"/>
      <c r="BM642" s="402"/>
      <c r="BN642" s="401"/>
      <c r="BO642" s="400"/>
      <c r="BP642" s="400"/>
      <c r="BQ642" s="400"/>
      <c r="BR642" s="72"/>
      <c r="BS642" s="411"/>
    </row>
    <row r="643" spans="1:71" ht="15" customHeight="1" x14ac:dyDescent="0.15">
      <c r="A643" s="419"/>
      <c r="B643" s="405"/>
      <c r="C643" s="405"/>
      <c r="D643" s="405"/>
      <c r="E643" s="405"/>
      <c r="F643" s="420"/>
      <c r="G643" s="421"/>
      <c r="H643" s="442"/>
      <c r="I643" s="406"/>
      <c r="J643" s="407"/>
      <c r="K643" s="408"/>
      <c r="L643" s="409"/>
      <c r="M643" s="409"/>
      <c r="N643" s="410" t="str">
        <f t="shared" si="22"/>
        <v>CAT à compléter</v>
      </c>
      <c r="O643" s="739"/>
      <c r="P643" s="863"/>
      <c r="Q643" s="730" t="str">
        <f t="shared" si="23"/>
        <v>CAT à compléter</v>
      </c>
      <c r="R643" s="740"/>
      <c r="S643" s="740"/>
      <c r="T643" s="740"/>
      <c r="U643" s="740"/>
      <c r="V643" s="740"/>
      <c r="W643" s="740"/>
      <c r="X643" s="740"/>
      <c r="Y643" s="740"/>
      <c r="Z643" s="740"/>
      <c r="AA643" s="740"/>
      <c r="AB643" s="423"/>
      <c r="AC643" s="418"/>
      <c r="AD643" s="418"/>
      <c r="AE643" s="418"/>
      <c r="AF643" s="422"/>
      <c r="AG643" s="425"/>
      <c r="AH643" s="417"/>
      <c r="AI643" s="415"/>
      <c r="AJ643" s="415"/>
      <c r="AK643" s="428"/>
      <c r="AL643" s="397"/>
      <c r="AM643" s="416"/>
      <c r="AN643" s="412"/>
      <c r="AO643" s="72"/>
      <c r="AP643" s="414"/>
      <c r="AQ643" s="430"/>
      <c r="AR643" s="400"/>
      <c r="AS643" s="413"/>
      <c r="AT643" s="413"/>
      <c r="AU643" s="412"/>
      <c r="AV643" s="412"/>
      <c r="AW643" s="399"/>
      <c r="AX643" s="72"/>
      <c r="AY643" s="398"/>
      <c r="AZ643" s="400"/>
      <c r="BA643" s="72"/>
      <c r="BB643" s="404"/>
      <c r="BC643" s="404"/>
      <c r="BD643" s="404"/>
      <c r="BE643" s="404"/>
      <c r="BF643" s="404"/>
      <c r="BG643" s="404"/>
      <c r="BH643" s="403"/>
      <c r="BI643" s="403"/>
      <c r="BJ643" s="403"/>
      <c r="BK643" s="402"/>
      <c r="BL643" s="402"/>
      <c r="BM643" s="402"/>
      <c r="BN643" s="401"/>
      <c r="BO643" s="400"/>
      <c r="BP643" s="400"/>
      <c r="BQ643" s="400"/>
      <c r="BR643" s="72"/>
      <c r="BS643" s="411"/>
    </row>
    <row r="644" spans="1:71" ht="15" customHeight="1" x14ac:dyDescent="0.15">
      <c r="A644" s="419"/>
      <c r="B644" s="405"/>
      <c r="C644" s="405"/>
      <c r="D644" s="405"/>
      <c r="E644" s="405"/>
      <c r="F644" s="420"/>
      <c r="G644" s="421"/>
      <c r="H644" s="442"/>
      <c r="I644" s="406"/>
      <c r="J644" s="407"/>
      <c r="K644" s="408"/>
      <c r="L644" s="409"/>
      <c r="M644" s="409"/>
      <c r="N644" s="410" t="str">
        <f t="shared" si="22"/>
        <v>CAT à compléter</v>
      </c>
      <c r="O644" s="739"/>
      <c r="P644" s="863"/>
      <c r="Q644" s="730" t="str">
        <f t="shared" si="23"/>
        <v>CAT à compléter</v>
      </c>
      <c r="R644" s="740"/>
      <c r="S644" s="740"/>
      <c r="T644" s="740"/>
      <c r="U644" s="740"/>
      <c r="V644" s="740"/>
      <c r="W644" s="740"/>
      <c r="X644" s="740"/>
      <c r="Y644" s="740"/>
      <c r="Z644" s="740"/>
      <c r="AA644" s="740"/>
      <c r="AB644" s="423"/>
      <c r="AC644" s="418"/>
      <c r="AD644" s="418"/>
      <c r="AE644" s="418"/>
      <c r="AF644" s="422"/>
      <c r="AG644" s="425"/>
      <c r="AH644" s="417"/>
      <c r="AI644" s="415"/>
      <c r="AJ644" s="415"/>
      <c r="AK644" s="428"/>
      <c r="AL644" s="397"/>
      <c r="AM644" s="416"/>
      <c r="AN644" s="412"/>
      <c r="AO644" s="72"/>
      <c r="AP644" s="414"/>
      <c r="AQ644" s="430"/>
      <c r="AR644" s="400"/>
      <c r="AS644" s="413"/>
      <c r="AT644" s="413"/>
      <c r="AU644" s="412"/>
      <c r="AV644" s="412"/>
      <c r="AW644" s="399"/>
      <c r="AX644" s="72"/>
      <c r="AY644" s="398"/>
      <c r="AZ644" s="400"/>
      <c r="BA644" s="72"/>
      <c r="BB644" s="404"/>
      <c r="BC644" s="404"/>
      <c r="BD644" s="404"/>
      <c r="BE644" s="404"/>
      <c r="BF644" s="404"/>
      <c r="BG644" s="404"/>
      <c r="BH644" s="403"/>
      <c r="BI644" s="403"/>
      <c r="BJ644" s="403"/>
      <c r="BK644" s="402"/>
      <c r="BL644" s="402"/>
      <c r="BM644" s="402"/>
      <c r="BN644" s="401"/>
      <c r="BO644" s="400"/>
      <c r="BP644" s="400"/>
      <c r="BQ644" s="400"/>
      <c r="BR644" s="72"/>
      <c r="BS644" s="411"/>
    </row>
    <row r="645" spans="1:71" ht="15" customHeight="1" x14ac:dyDescent="0.15">
      <c r="A645" s="419"/>
      <c r="B645" s="405"/>
      <c r="C645" s="405"/>
      <c r="D645" s="405"/>
      <c r="E645" s="405"/>
      <c r="F645" s="420"/>
      <c r="G645" s="421"/>
      <c r="H645" s="442"/>
      <c r="I645" s="406"/>
      <c r="J645" s="407"/>
      <c r="K645" s="408"/>
      <c r="L645" s="409"/>
      <c r="M645" s="409"/>
      <c r="N645" s="410" t="str">
        <f t="shared" si="22"/>
        <v>CAT à compléter</v>
      </c>
      <c r="O645" s="739"/>
      <c r="P645" s="863"/>
      <c r="Q645" s="730" t="str">
        <f t="shared" si="23"/>
        <v>CAT à compléter</v>
      </c>
      <c r="R645" s="740"/>
      <c r="S645" s="740"/>
      <c r="T645" s="740"/>
      <c r="U645" s="740"/>
      <c r="V645" s="740"/>
      <c r="W645" s="740"/>
      <c r="X645" s="740"/>
      <c r="Y645" s="740"/>
      <c r="Z645" s="740"/>
      <c r="AA645" s="740"/>
      <c r="AB645" s="423"/>
      <c r="AC645" s="418"/>
      <c r="AD645" s="418"/>
      <c r="AE645" s="418"/>
      <c r="AF645" s="422"/>
      <c r="AG645" s="425"/>
      <c r="AH645" s="417"/>
      <c r="AI645" s="415"/>
      <c r="AJ645" s="415"/>
      <c r="AK645" s="428"/>
      <c r="AL645" s="397"/>
      <c r="AM645" s="416"/>
      <c r="AN645" s="412"/>
      <c r="AO645" s="72"/>
      <c r="AP645" s="414"/>
      <c r="AQ645" s="430"/>
      <c r="AR645" s="400"/>
      <c r="AS645" s="413"/>
      <c r="AT645" s="413"/>
      <c r="AU645" s="412"/>
      <c r="AV645" s="412"/>
      <c r="AW645" s="399"/>
      <c r="AX645" s="72"/>
      <c r="AY645" s="398"/>
      <c r="AZ645" s="400"/>
      <c r="BA645" s="72"/>
      <c r="BB645" s="404"/>
      <c r="BC645" s="404"/>
      <c r="BD645" s="404"/>
      <c r="BE645" s="404"/>
      <c r="BF645" s="404"/>
      <c r="BG645" s="404"/>
      <c r="BH645" s="403"/>
      <c r="BI645" s="403"/>
      <c r="BJ645" s="403"/>
      <c r="BK645" s="402"/>
      <c r="BL645" s="402"/>
      <c r="BM645" s="402"/>
      <c r="BN645" s="401"/>
      <c r="BO645" s="400"/>
      <c r="BP645" s="400"/>
      <c r="BQ645" s="400"/>
      <c r="BR645" s="72"/>
      <c r="BS645" s="411"/>
    </row>
    <row r="646" spans="1:71" ht="15" customHeight="1" x14ac:dyDescent="0.15">
      <c r="A646" s="419"/>
      <c r="B646" s="405"/>
      <c r="C646" s="405"/>
      <c r="D646" s="405"/>
      <c r="E646" s="405"/>
      <c r="F646" s="420"/>
      <c r="G646" s="421"/>
      <c r="H646" s="442"/>
      <c r="I646" s="406"/>
      <c r="J646" s="407"/>
      <c r="K646" s="408"/>
      <c r="L646" s="409"/>
      <c r="M646" s="409"/>
      <c r="N646" s="410" t="str">
        <f t="shared" si="22"/>
        <v>CAT à compléter</v>
      </c>
      <c r="O646" s="739"/>
      <c r="P646" s="863"/>
      <c r="Q646" s="730" t="str">
        <f t="shared" si="23"/>
        <v>CAT à compléter</v>
      </c>
      <c r="R646" s="740"/>
      <c r="S646" s="740"/>
      <c r="T646" s="740"/>
      <c r="U646" s="740" t="s">
        <v>252</v>
      </c>
      <c r="V646" s="740"/>
      <c r="W646" s="740"/>
      <c r="X646" s="740"/>
      <c r="Y646" s="740"/>
      <c r="Z646" s="740"/>
      <c r="AA646" s="740"/>
      <c r="AB646" s="423"/>
      <c r="AC646" s="418"/>
      <c r="AD646" s="418"/>
      <c r="AE646" s="418"/>
      <c r="AF646" s="422"/>
      <c r="AG646" s="425"/>
      <c r="AH646" s="417"/>
      <c r="AI646" s="415"/>
      <c r="AJ646" s="415"/>
      <c r="AK646" s="428"/>
      <c r="AL646" s="397"/>
      <c r="AM646" s="416"/>
      <c r="AN646" s="412"/>
      <c r="AO646" s="72"/>
      <c r="AP646" s="414"/>
      <c r="AQ646" s="430"/>
      <c r="AR646" s="400"/>
      <c r="AS646" s="413"/>
      <c r="AT646" s="413"/>
      <c r="AU646" s="412"/>
      <c r="AV646" s="412"/>
      <c r="AW646" s="399"/>
      <c r="AX646" s="72"/>
      <c r="AY646" s="398"/>
      <c r="AZ646" s="400"/>
      <c r="BA646" s="72"/>
      <c r="BB646" s="404"/>
      <c r="BC646" s="404"/>
      <c r="BD646" s="404"/>
      <c r="BE646" s="404"/>
      <c r="BF646" s="404"/>
      <c r="BG646" s="404"/>
      <c r="BH646" s="403"/>
      <c r="BI646" s="403"/>
      <c r="BJ646" s="403"/>
      <c r="BK646" s="402"/>
      <c r="BL646" s="402"/>
      <c r="BM646" s="402"/>
      <c r="BN646" s="401"/>
      <c r="BO646" s="400"/>
      <c r="BP646" s="400"/>
      <c r="BQ646" s="400"/>
      <c r="BR646" s="72"/>
      <c r="BS646" s="411"/>
    </row>
    <row r="647" spans="1:71" ht="15" customHeight="1" x14ac:dyDescent="0.15">
      <c r="A647" s="419"/>
      <c r="B647" s="405"/>
      <c r="C647" s="405"/>
      <c r="D647" s="405"/>
      <c r="E647" s="405"/>
      <c r="F647" s="420"/>
      <c r="G647" s="421"/>
      <c r="H647" s="442"/>
      <c r="I647" s="406"/>
      <c r="J647" s="407"/>
      <c r="K647" s="408"/>
      <c r="L647" s="409"/>
      <c r="M647" s="409"/>
      <c r="N647" s="410" t="str">
        <f t="shared" si="22"/>
        <v>CAT à compléter</v>
      </c>
      <c r="O647" s="739"/>
      <c r="P647" s="863"/>
      <c r="Q647" s="730" t="str">
        <f t="shared" si="23"/>
        <v>CAT à compléter</v>
      </c>
      <c r="R647" s="740"/>
      <c r="S647" s="740"/>
      <c r="T647" s="740"/>
      <c r="U647" s="740"/>
      <c r="V647" s="740"/>
      <c r="W647" s="740"/>
      <c r="X647" s="740"/>
      <c r="Y647" s="740"/>
      <c r="Z647" s="740"/>
      <c r="AA647" s="740"/>
      <c r="AB647" s="423"/>
      <c r="AC647" s="418"/>
      <c r="AD647" s="418"/>
      <c r="AE647" s="418"/>
      <c r="AF647" s="422"/>
      <c r="AG647" s="425"/>
      <c r="AH647" s="417"/>
      <c r="AI647" s="415"/>
      <c r="AJ647" s="415"/>
      <c r="AK647" s="428"/>
      <c r="AL647" s="397"/>
      <c r="AM647" s="416"/>
      <c r="AN647" s="412"/>
      <c r="AO647" s="72"/>
      <c r="AP647" s="414"/>
      <c r="AQ647" s="430"/>
      <c r="AR647" s="400"/>
      <c r="AS647" s="413"/>
      <c r="AT647" s="413"/>
      <c r="AU647" s="412"/>
      <c r="AV647" s="412"/>
      <c r="AW647" s="399"/>
      <c r="AX647" s="72"/>
      <c r="AY647" s="398"/>
      <c r="AZ647" s="400"/>
      <c r="BA647" s="72"/>
      <c r="BB647" s="404"/>
      <c r="BC647" s="404"/>
      <c r="BD647" s="404"/>
      <c r="BE647" s="404"/>
      <c r="BF647" s="404"/>
      <c r="BG647" s="404"/>
      <c r="BH647" s="403"/>
      <c r="BI647" s="403"/>
      <c r="BJ647" s="403"/>
      <c r="BK647" s="402"/>
      <c r="BL647" s="402"/>
      <c r="BM647" s="402"/>
      <c r="BN647" s="401"/>
      <c r="BO647" s="400"/>
      <c r="BP647" s="400"/>
      <c r="BQ647" s="400"/>
      <c r="BR647" s="72"/>
      <c r="BS647" s="411"/>
    </row>
    <row r="648" spans="1:71" ht="15" customHeight="1" x14ac:dyDescent="0.15">
      <c r="A648" s="419"/>
      <c r="B648" s="405"/>
      <c r="C648" s="405"/>
      <c r="D648" s="405"/>
      <c r="E648" s="405"/>
      <c r="F648" s="420"/>
      <c r="G648" s="421"/>
      <c r="H648" s="442"/>
      <c r="I648" s="406"/>
      <c r="J648" s="407"/>
      <c r="K648" s="408"/>
      <c r="L648" s="409"/>
      <c r="M648" s="409"/>
      <c r="N648" s="410" t="str">
        <f t="shared" si="22"/>
        <v>CAT à compléter</v>
      </c>
      <c r="O648" s="739"/>
      <c r="P648" s="863"/>
      <c r="Q648" s="730" t="str">
        <f t="shared" si="23"/>
        <v>CAT à compléter</v>
      </c>
      <c r="R648" s="740"/>
      <c r="S648" s="740"/>
      <c r="T648" s="740"/>
      <c r="U648" s="740"/>
      <c r="V648" s="740"/>
      <c r="W648" s="740"/>
      <c r="X648" s="740"/>
      <c r="Y648" s="740"/>
      <c r="Z648" s="740"/>
      <c r="AA648" s="740"/>
      <c r="AB648" s="423"/>
      <c r="AC648" s="418"/>
      <c r="AD648" s="418"/>
      <c r="AE648" s="418"/>
      <c r="AF648" s="422"/>
      <c r="AG648" s="425"/>
      <c r="AH648" s="417"/>
      <c r="AI648" s="415"/>
      <c r="AJ648" s="415"/>
      <c r="AK648" s="428"/>
      <c r="AL648" s="397"/>
      <c r="AM648" s="416"/>
      <c r="AN648" s="412"/>
      <c r="AO648" s="72"/>
      <c r="AP648" s="414"/>
      <c r="AQ648" s="430"/>
      <c r="AR648" s="400"/>
      <c r="AS648" s="413"/>
      <c r="AT648" s="413"/>
      <c r="AU648" s="412"/>
      <c r="AV648" s="412"/>
      <c r="AW648" s="399"/>
      <c r="AX648" s="72"/>
      <c r="AY648" s="398"/>
      <c r="AZ648" s="400"/>
      <c r="BA648" s="72"/>
      <c r="BB648" s="404"/>
      <c r="BC648" s="404"/>
      <c r="BD648" s="404"/>
      <c r="BE648" s="404"/>
      <c r="BF648" s="404"/>
      <c r="BG648" s="404"/>
      <c r="BH648" s="403"/>
      <c r="BI648" s="403"/>
      <c r="BJ648" s="403"/>
      <c r="BK648" s="402"/>
      <c r="BL648" s="402"/>
      <c r="BM648" s="402"/>
      <c r="BN648" s="401"/>
      <c r="BO648" s="400"/>
      <c r="BP648" s="400"/>
      <c r="BQ648" s="400"/>
      <c r="BR648" s="72"/>
      <c r="BS648" s="411"/>
    </row>
    <row r="649" spans="1:71" ht="15" customHeight="1" x14ac:dyDescent="0.15">
      <c r="A649" s="419"/>
      <c r="B649" s="405"/>
      <c r="C649" s="405"/>
      <c r="D649" s="405"/>
      <c r="E649" s="405"/>
      <c r="F649" s="420"/>
      <c r="G649" s="421"/>
      <c r="H649" s="442"/>
      <c r="I649" s="406"/>
      <c r="J649" s="407"/>
      <c r="K649" s="408"/>
      <c r="L649" s="409"/>
      <c r="M649" s="409"/>
      <c r="N649" s="410" t="str">
        <f t="shared" si="22"/>
        <v>CAT à compléter</v>
      </c>
      <c r="O649" s="739"/>
      <c r="P649" s="863"/>
      <c r="Q649" s="730" t="str">
        <f t="shared" si="23"/>
        <v>CAT à compléter</v>
      </c>
      <c r="R649" s="740"/>
      <c r="S649" s="740"/>
      <c r="T649" s="740"/>
      <c r="U649" s="740"/>
      <c r="V649" s="740"/>
      <c r="W649" s="740"/>
      <c r="X649" s="740"/>
      <c r="Y649" s="740"/>
      <c r="Z649" s="740"/>
      <c r="AA649" s="740"/>
      <c r="AB649" s="423"/>
      <c r="AC649" s="418"/>
      <c r="AD649" s="418"/>
      <c r="AE649" s="418"/>
      <c r="AF649" s="422"/>
      <c r="AG649" s="425"/>
      <c r="AH649" s="417"/>
      <c r="AI649" s="415"/>
      <c r="AJ649" s="415"/>
      <c r="AK649" s="428"/>
      <c r="AL649" s="397"/>
      <c r="AM649" s="416"/>
      <c r="AN649" s="412"/>
      <c r="AO649" s="72"/>
      <c r="AP649" s="414"/>
      <c r="AQ649" s="430"/>
      <c r="AR649" s="400"/>
      <c r="AS649" s="413"/>
      <c r="AT649" s="413"/>
      <c r="AU649" s="412"/>
      <c r="AV649" s="412"/>
      <c r="AW649" s="399"/>
      <c r="AX649" s="72"/>
      <c r="AY649" s="398"/>
      <c r="AZ649" s="400"/>
      <c r="BA649" s="72"/>
      <c r="BB649" s="404"/>
      <c r="BC649" s="404"/>
      <c r="BD649" s="404"/>
      <c r="BE649" s="404"/>
      <c r="BF649" s="404"/>
      <c r="BG649" s="404"/>
      <c r="BH649" s="403"/>
      <c r="BI649" s="403"/>
      <c r="BJ649" s="403"/>
      <c r="BK649" s="402"/>
      <c r="BL649" s="402"/>
      <c r="BM649" s="402"/>
      <c r="BN649" s="401"/>
      <c r="BO649" s="400"/>
      <c r="BP649" s="400"/>
      <c r="BQ649" s="400"/>
      <c r="BR649" s="72"/>
      <c r="BS649" s="411"/>
    </row>
    <row r="650" spans="1:71" ht="15" customHeight="1" x14ac:dyDescent="0.15">
      <c r="A650" s="419"/>
      <c r="B650" s="405"/>
      <c r="C650" s="405"/>
      <c r="D650" s="405"/>
      <c r="E650" s="405"/>
      <c r="F650" s="420"/>
      <c r="G650" s="421"/>
      <c r="H650" s="442"/>
      <c r="I650" s="406"/>
      <c r="J650" s="407"/>
      <c r="K650" s="408"/>
      <c r="L650" s="409"/>
      <c r="M650" s="409"/>
      <c r="N650" s="410" t="str">
        <f t="shared" si="22"/>
        <v>CAT à compléter</v>
      </c>
      <c r="O650" s="739"/>
      <c r="P650" s="863"/>
      <c r="Q650" s="730" t="str">
        <f t="shared" si="23"/>
        <v>CAT à compléter</v>
      </c>
      <c r="R650" s="740"/>
      <c r="S650" s="740"/>
      <c r="T650" s="740"/>
      <c r="U650" s="740"/>
      <c r="V650" s="740"/>
      <c r="W650" s="740"/>
      <c r="X650" s="740"/>
      <c r="Y650" s="740"/>
      <c r="Z650" s="740"/>
      <c r="AA650" s="740"/>
      <c r="AB650" s="423"/>
      <c r="AC650" s="418"/>
      <c r="AD650" s="418"/>
      <c r="AE650" s="418"/>
      <c r="AF650" s="422"/>
      <c r="AG650" s="425"/>
      <c r="AH650" s="417"/>
      <c r="AI650" s="415"/>
      <c r="AJ650" s="415"/>
      <c r="AK650" s="428"/>
      <c r="AL650" s="397"/>
      <c r="AM650" s="416"/>
      <c r="AN650" s="412"/>
      <c r="AO650" s="72"/>
      <c r="AP650" s="414"/>
      <c r="AQ650" s="430"/>
      <c r="AR650" s="400"/>
      <c r="AS650" s="413"/>
      <c r="AT650" s="413"/>
      <c r="AU650" s="412"/>
      <c r="AV650" s="412"/>
      <c r="AW650" s="399"/>
      <c r="AX650" s="72"/>
      <c r="AY650" s="398"/>
      <c r="AZ650" s="400"/>
      <c r="BA650" s="72"/>
      <c r="BB650" s="404"/>
      <c r="BC650" s="404"/>
      <c r="BD650" s="404"/>
      <c r="BE650" s="404"/>
      <c r="BF650" s="404"/>
      <c r="BG650" s="404"/>
      <c r="BH650" s="403"/>
      <c r="BI650" s="403"/>
      <c r="BJ650" s="403"/>
      <c r="BK650" s="402"/>
      <c r="BL650" s="402"/>
      <c r="BM650" s="402"/>
      <c r="BN650" s="401"/>
      <c r="BO650" s="400"/>
      <c r="BP650" s="400"/>
      <c r="BQ650" s="400"/>
      <c r="BR650" s="72"/>
      <c r="BS650" s="411"/>
    </row>
    <row r="651" spans="1:71" ht="15" customHeight="1" x14ac:dyDescent="0.15">
      <c r="A651" s="419"/>
      <c r="B651" s="405"/>
      <c r="C651" s="405"/>
      <c r="D651" s="405"/>
      <c r="E651" s="405"/>
      <c r="F651" s="420"/>
      <c r="G651" s="421"/>
      <c r="H651" s="442"/>
      <c r="I651" s="406"/>
      <c r="J651" s="407"/>
      <c r="K651" s="408"/>
      <c r="L651" s="409"/>
      <c r="M651" s="409"/>
      <c r="N651" s="410" t="str">
        <f t="shared" si="22"/>
        <v>CAT à compléter</v>
      </c>
      <c r="O651" s="739"/>
      <c r="P651" s="863"/>
      <c r="Q651" s="730" t="str">
        <f t="shared" si="23"/>
        <v>CAT à compléter</v>
      </c>
      <c r="R651" s="740"/>
      <c r="S651" s="740"/>
      <c r="T651" s="740"/>
      <c r="U651" s="740"/>
      <c r="V651" s="740"/>
      <c r="W651" s="740"/>
      <c r="X651" s="740"/>
      <c r="Y651" s="740"/>
      <c r="Z651" s="740"/>
      <c r="AA651" s="740"/>
      <c r="AB651" s="423"/>
      <c r="AC651" s="418"/>
      <c r="AD651" s="418"/>
      <c r="AE651" s="418"/>
      <c r="AF651" s="422"/>
      <c r="AG651" s="425"/>
      <c r="AH651" s="417"/>
      <c r="AI651" s="415"/>
      <c r="AJ651" s="415"/>
      <c r="AK651" s="428"/>
      <c r="AL651" s="397"/>
      <c r="AM651" s="416"/>
      <c r="AN651" s="412"/>
      <c r="AO651" s="72"/>
      <c r="AP651" s="414"/>
      <c r="AQ651" s="430"/>
      <c r="AR651" s="400"/>
      <c r="AS651" s="413"/>
      <c r="AT651" s="413"/>
      <c r="AU651" s="412"/>
      <c r="AV651" s="412"/>
      <c r="AW651" s="399"/>
      <c r="AX651" s="72"/>
      <c r="AY651" s="398"/>
      <c r="AZ651" s="400"/>
      <c r="BA651" s="72"/>
      <c r="BB651" s="404"/>
      <c r="BC651" s="404"/>
      <c r="BD651" s="404"/>
      <c r="BE651" s="404"/>
      <c r="BF651" s="404"/>
      <c r="BG651" s="404"/>
      <c r="BH651" s="403"/>
      <c r="BI651" s="403"/>
      <c r="BJ651" s="403"/>
      <c r="BK651" s="402"/>
      <c r="BL651" s="402"/>
      <c r="BM651" s="402"/>
      <c r="BN651" s="401"/>
      <c r="BO651" s="400"/>
      <c r="BP651" s="400"/>
      <c r="BQ651" s="400"/>
      <c r="BR651" s="72"/>
      <c r="BS651" s="411"/>
    </row>
    <row r="652" spans="1:71" ht="15" customHeight="1" x14ac:dyDescent="0.15">
      <c r="A652" s="419"/>
      <c r="B652" s="405"/>
      <c r="C652" s="405"/>
      <c r="D652" s="405"/>
      <c r="E652" s="405"/>
      <c r="F652" s="420"/>
      <c r="G652" s="421"/>
      <c r="H652" s="442"/>
      <c r="I652" s="406"/>
      <c r="J652" s="407"/>
      <c r="K652" s="408"/>
      <c r="L652" s="409"/>
      <c r="M652" s="409"/>
      <c r="N652" s="410" t="str">
        <f t="shared" si="22"/>
        <v>CAT à compléter</v>
      </c>
      <c r="O652" s="739"/>
      <c r="P652" s="863"/>
      <c r="Q652" s="730" t="str">
        <f t="shared" si="23"/>
        <v>CAT à compléter</v>
      </c>
      <c r="R652" s="740"/>
      <c r="S652" s="740"/>
      <c r="T652" s="740"/>
      <c r="U652" s="740"/>
      <c r="V652" s="740"/>
      <c r="W652" s="740"/>
      <c r="X652" s="740"/>
      <c r="Y652" s="740"/>
      <c r="Z652" s="740"/>
      <c r="AA652" s="740"/>
      <c r="AB652" s="423"/>
      <c r="AC652" s="418"/>
      <c r="AD652" s="418"/>
      <c r="AE652" s="418"/>
      <c r="AF652" s="422"/>
      <c r="AG652" s="425"/>
      <c r="AH652" s="417"/>
      <c r="AI652" s="415"/>
      <c r="AJ652" s="415"/>
      <c r="AK652" s="428"/>
      <c r="AL652" s="397"/>
      <c r="AM652" s="416"/>
      <c r="AN652" s="412"/>
      <c r="AO652" s="72"/>
      <c r="AP652" s="414"/>
      <c r="AQ652" s="430"/>
      <c r="AR652" s="400"/>
      <c r="AS652" s="413"/>
      <c r="AT652" s="413"/>
      <c r="AU652" s="412"/>
      <c r="AV652" s="412"/>
      <c r="AW652" s="399"/>
      <c r="AX652" s="72"/>
      <c r="AY652" s="398"/>
      <c r="AZ652" s="400"/>
      <c r="BA652" s="72"/>
      <c r="BB652" s="404"/>
      <c r="BC652" s="404"/>
      <c r="BD652" s="404"/>
      <c r="BE652" s="404"/>
      <c r="BF652" s="404"/>
      <c r="BG652" s="404"/>
      <c r="BH652" s="403"/>
      <c r="BI652" s="403"/>
      <c r="BJ652" s="403"/>
      <c r="BK652" s="402"/>
      <c r="BL652" s="402"/>
      <c r="BM652" s="402"/>
      <c r="BN652" s="401"/>
      <c r="BO652" s="400"/>
      <c r="BP652" s="400"/>
      <c r="BQ652" s="400"/>
      <c r="BR652" s="72"/>
      <c r="BS652" s="411"/>
    </row>
    <row r="653" spans="1:71" ht="15" customHeight="1" x14ac:dyDescent="0.15">
      <c r="A653" s="419"/>
      <c r="B653" s="405"/>
      <c r="C653" s="405"/>
      <c r="D653" s="405"/>
      <c r="E653" s="405"/>
      <c r="F653" s="420"/>
      <c r="G653" s="421"/>
      <c r="H653" s="442"/>
      <c r="I653" s="406"/>
      <c r="J653" s="407"/>
      <c r="K653" s="408"/>
      <c r="L653" s="409"/>
      <c r="M653" s="409"/>
      <c r="N653" s="410" t="str">
        <f t="shared" si="22"/>
        <v>CAT à compléter</v>
      </c>
      <c r="O653" s="739"/>
      <c r="P653" s="863"/>
      <c r="Q653" s="730" t="str">
        <f t="shared" si="23"/>
        <v>CAT à compléter</v>
      </c>
      <c r="R653" s="740"/>
      <c r="S653" s="740"/>
      <c r="T653" s="740"/>
      <c r="U653" s="740"/>
      <c r="V653" s="740"/>
      <c r="W653" s="740"/>
      <c r="X653" s="740"/>
      <c r="Y653" s="740"/>
      <c r="Z653" s="740"/>
      <c r="AA653" s="740"/>
      <c r="AB653" s="423"/>
      <c r="AC653" s="418"/>
      <c r="AD653" s="418"/>
      <c r="AE653" s="418"/>
      <c r="AF653" s="422"/>
      <c r="AG653" s="425"/>
      <c r="AH653" s="417"/>
      <c r="AI653" s="415"/>
      <c r="AJ653" s="415"/>
      <c r="AK653" s="428"/>
      <c r="AL653" s="397"/>
      <c r="AM653" s="416"/>
      <c r="AN653" s="412"/>
      <c r="AO653" s="72"/>
      <c r="AP653" s="414"/>
      <c r="AQ653" s="430"/>
      <c r="AR653" s="400"/>
      <c r="AS653" s="413"/>
      <c r="AT653" s="413"/>
      <c r="AU653" s="412"/>
      <c r="AV653" s="412"/>
      <c r="AW653" s="399"/>
      <c r="AX653" s="72"/>
      <c r="AY653" s="398"/>
      <c r="AZ653" s="400"/>
      <c r="BA653" s="72"/>
      <c r="BB653" s="404"/>
      <c r="BC653" s="404"/>
      <c r="BD653" s="404"/>
      <c r="BE653" s="404"/>
      <c r="BF653" s="404"/>
      <c r="BG653" s="404"/>
      <c r="BH653" s="403"/>
      <c r="BI653" s="403"/>
      <c r="BJ653" s="403"/>
      <c r="BK653" s="402"/>
      <c r="BL653" s="402"/>
      <c r="BM653" s="402"/>
      <c r="BN653" s="401"/>
      <c r="BO653" s="400"/>
      <c r="BP653" s="400"/>
      <c r="BQ653" s="400"/>
      <c r="BR653" s="72"/>
      <c r="BS653" s="411"/>
    </row>
    <row r="654" spans="1:71" ht="15" customHeight="1" x14ac:dyDescent="0.15">
      <c r="A654" s="419"/>
      <c r="B654" s="405"/>
      <c r="C654" s="405"/>
      <c r="D654" s="405"/>
      <c r="E654" s="405"/>
      <c r="F654" s="420"/>
      <c r="G654" s="421"/>
      <c r="H654" s="442"/>
      <c r="I654" s="406"/>
      <c r="J654" s="407"/>
      <c r="K654" s="408"/>
      <c r="L654" s="409"/>
      <c r="M654" s="409"/>
      <c r="N654" s="410" t="str">
        <f t="shared" si="22"/>
        <v>CAT à compléter</v>
      </c>
      <c r="O654" s="739"/>
      <c r="P654" s="863"/>
      <c r="Q654" s="730" t="str">
        <f t="shared" si="23"/>
        <v>CAT à compléter</v>
      </c>
      <c r="R654" s="740"/>
      <c r="S654" s="740"/>
      <c r="T654" s="740"/>
      <c r="U654" s="740"/>
      <c r="V654" s="740"/>
      <c r="W654" s="740"/>
      <c r="X654" s="740"/>
      <c r="Y654" s="740"/>
      <c r="Z654" s="740"/>
      <c r="AA654" s="740"/>
      <c r="AB654" s="423"/>
      <c r="AC654" s="418"/>
      <c r="AD654" s="418"/>
      <c r="AE654" s="418"/>
      <c r="AF654" s="422"/>
      <c r="AG654" s="425"/>
      <c r="AH654" s="417"/>
      <c r="AI654" s="415"/>
      <c r="AJ654" s="415"/>
      <c r="AK654" s="428"/>
      <c r="AL654" s="397"/>
      <c r="AM654" s="416"/>
      <c r="AN654" s="412"/>
      <c r="AO654" s="72"/>
      <c r="AP654" s="414"/>
      <c r="AQ654" s="430"/>
      <c r="AR654" s="400"/>
      <c r="AS654" s="413"/>
      <c r="AT654" s="413"/>
      <c r="AU654" s="412"/>
      <c r="AV654" s="412"/>
      <c r="AW654" s="399"/>
      <c r="AX654" s="72"/>
      <c r="AY654" s="398"/>
      <c r="AZ654" s="400"/>
      <c r="BA654" s="72"/>
      <c r="BB654" s="404"/>
      <c r="BC654" s="404"/>
      <c r="BD654" s="404"/>
      <c r="BE654" s="404"/>
      <c r="BF654" s="404"/>
      <c r="BG654" s="404"/>
      <c r="BH654" s="403"/>
      <c r="BI654" s="403"/>
      <c r="BJ654" s="403"/>
      <c r="BK654" s="402"/>
      <c r="BL654" s="402"/>
      <c r="BM654" s="402"/>
      <c r="BN654" s="401"/>
      <c r="BO654" s="400"/>
      <c r="BP654" s="400"/>
      <c r="BQ654" s="400"/>
      <c r="BR654" s="72"/>
      <c r="BS654" s="411"/>
    </row>
    <row r="655" spans="1:71" ht="15" customHeight="1" x14ac:dyDescent="0.15">
      <c r="A655" s="419"/>
      <c r="B655" s="405"/>
      <c r="C655" s="405"/>
      <c r="D655" s="405"/>
      <c r="E655" s="405"/>
      <c r="F655" s="420"/>
      <c r="G655" s="421"/>
      <c r="H655" s="442"/>
      <c r="I655" s="406"/>
      <c r="J655" s="407"/>
      <c r="K655" s="408"/>
      <c r="L655" s="409"/>
      <c r="M655" s="409"/>
      <c r="N655" s="410" t="str">
        <f t="shared" si="22"/>
        <v>CAT à compléter</v>
      </c>
      <c r="O655" s="739"/>
      <c r="P655" s="863"/>
      <c r="Q655" s="730" t="str">
        <f t="shared" si="23"/>
        <v>CAT à compléter</v>
      </c>
      <c r="R655" s="740"/>
      <c r="S655" s="740"/>
      <c r="T655" s="740"/>
      <c r="U655" s="740"/>
      <c r="V655" s="740"/>
      <c r="W655" s="740"/>
      <c r="X655" s="740"/>
      <c r="Y655" s="740"/>
      <c r="Z655" s="740"/>
      <c r="AA655" s="740"/>
      <c r="AB655" s="423"/>
      <c r="AC655" s="418"/>
      <c r="AD655" s="418"/>
      <c r="AE655" s="418"/>
      <c r="AF655" s="422"/>
      <c r="AG655" s="425"/>
      <c r="AH655" s="417"/>
      <c r="AI655" s="415"/>
      <c r="AJ655" s="415"/>
      <c r="AK655" s="428"/>
      <c r="AL655" s="397"/>
      <c r="AM655" s="416"/>
      <c r="AN655" s="412"/>
      <c r="AO655" s="72"/>
      <c r="AP655" s="414"/>
      <c r="AQ655" s="430"/>
      <c r="AR655" s="400"/>
      <c r="AS655" s="413"/>
      <c r="AT655" s="413"/>
      <c r="AU655" s="412"/>
      <c r="AV655" s="412"/>
      <c r="AW655" s="399"/>
      <c r="AX655" s="72"/>
      <c r="AY655" s="398"/>
      <c r="AZ655" s="400"/>
      <c r="BA655" s="72"/>
      <c r="BB655" s="404"/>
      <c r="BC655" s="404"/>
      <c r="BD655" s="404"/>
      <c r="BE655" s="404"/>
      <c r="BF655" s="404"/>
      <c r="BG655" s="404"/>
      <c r="BH655" s="403"/>
      <c r="BI655" s="403"/>
      <c r="BJ655" s="403"/>
      <c r="BK655" s="402"/>
      <c r="BL655" s="402"/>
      <c r="BM655" s="402"/>
      <c r="BN655" s="401"/>
      <c r="BO655" s="400"/>
      <c r="BP655" s="400"/>
      <c r="BQ655" s="400"/>
      <c r="BR655" s="72"/>
      <c r="BS655" s="411"/>
    </row>
    <row r="656" spans="1:71" ht="15" customHeight="1" x14ac:dyDescent="0.15">
      <c r="A656" s="419"/>
      <c r="B656" s="405"/>
      <c r="C656" s="405"/>
      <c r="D656" s="405"/>
      <c r="E656" s="405"/>
      <c r="F656" s="420"/>
      <c r="G656" s="421"/>
      <c r="H656" s="442"/>
      <c r="I656" s="406"/>
      <c r="J656" s="407"/>
      <c r="K656" s="408"/>
      <c r="L656" s="409"/>
      <c r="M656" s="409"/>
      <c r="N656" s="410" t="str">
        <f t="shared" si="22"/>
        <v>CAT à compléter</v>
      </c>
      <c r="O656" s="739"/>
      <c r="P656" s="863"/>
      <c r="Q656" s="730" t="str">
        <f t="shared" si="23"/>
        <v>CAT à compléter</v>
      </c>
      <c r="R656" s="740"/>
      <c r="S656" s="740"/>
      <c r="T656" s="740"/>
      <c r="U656" s="740"/>
      <c r="V656" s="740"/>
      <c r="W656" s="740"/>
      <c r="X656" s="740"/>
      <c r="Y656" s="740"/>
      <c r="Z656" s="740"/>
      <c r="AA656" s="740"/>
      <c r="AB656" s="423"/>
      <c r="AC656" s="418"/>
      <c r="AD656" s="418"/>
      <c r="AE656" s="418"/>
      <c r="AF656" s="422"/>
      <c r="AG656" s="425"/>
      <c r="AH656" s="417"/>
      <c r="AI656" s="415"/>
      <c r="AJ656" s="415"/>
      <c r="AK656" s="428"/>
      <c r="AL656" s="397"/>
      <c r="AM656" s="416"/>
      <c r="AN656" s="412"/>
      <c r="AO656" s="72"/>
      <c r="AP656" s="414"/>
      <c r="AQ656" s="430"/>
      <c r="AR656" s="400"/>
      <c r="AS656" s="413"/>
      <c r="AT656" s="413"/>
      <c r="AU656" s="412"/>
      <c r="AV656" s="412"/>
      <c r="AW656" s="399"/>
      <c r="AX656" s="72"/>
      <c r="AY656" s="398"/>
      <c r="AZ656" s="400"/>
      <c r="BA656" s="72"/>
      <c r="BB656" s="404"/>
      <c r="BC656" s="404"/>
      <c r="BD656" s="404"/>
      <c r="BE656" s="404"/>
      <c r="BF656" s="404"/>
      <c r="BG656" s="404"/>
      <c r="BH656" s="403"/>
      <c r="BI656" s="403"/>
      <c r="BJ656" s="403"/>
      <c r="BK656" s="402"/>
      <c r="BL656" s="402"/>
      <c r="BM656" s="402"/>
      <c r="BN656" s="401"/>
      <c r="BO656" s="400"/>
      <c r="BP656" s="400"/>
      <c r="BQ656" s="400"/>
      <c r="BR656" s="72"/>
      <c r="BS656" s="411"/>
    </row>
    <row r="657" spans="1:71" ht="15" customHeight="1" x14ac:dyDescent="0.15">
      <c r="A657" s="419"/>
      <c r="B657" s="405"/>
      <c r="C657" s="405"/>
      <c r="D657" s="405"/>
      <c r="E657" s="405"/>
      <c r="F657" s="420"/>
      <c r="G657" s="421"/>
      <c r="H657" s="442"/>
      <c r="I657" s="406"/>
      <c r="J657" s="407"/>
      <c r="K657" s="408"/>
      <c r="L657" s="409"/>
      <c r="M657" s="409"/>
      <c r="N657" s="410" t="str">
        <f t="shared" si="22"/>
        <v>CAT à compléter</v>
      </c>
      <c r="O657" s="739"/>
      <c r="P657" s="863"/>
      <c r="Q657" s="730" t="str">
        <f t="shared" si="23"/>
        <v>CAT à compléter</v>
      </c>
      <c r="R657" s="740"/>
      <c r="S657" s="740"/>
      <c r="T657" s="740"/>
      <c r="U657" s="740"/>
      <c r="V657" s="740"/>
      <c r="W657" s="740"/>
      <c r="X657" s="740"/>
      <c r="Y657" s="740"/>
      <c r="Z657" s="740"/>
      <c r="AA657" s="740"/>
      <c r="AB657" s="423"/>
      <c r="AC657" s="418"/>
      <c r="AD657" s="418"/>
      <c r="AE657" s="418"/>
      <c r="AF657" s="422"/>
      <c r="AG657" s="425"/>
      <c r="AH657" s="417"/>
      <c r="AI657" s="415"/>
      <c r="AJ657" s="415"/>
      <c r="AK657" s="428"/>
      <c r="AL657" s="397"/>
      <c r="AM657" s="416"/>
      <c r="AN657" s="412" t="s">
        <v>252</v>
      </c>
      <c r="AO657" s="72"/>
      <c r="AP657" s="414"/>
      <c r="AQ657" s="430"/>
      <c r="AR657" s="400"/>
      <c r="AS657" s="413"/>
      <c r="AT657" s="413"/>
      <c r="AU657" s="412"/>
      <c r="AV657" s="412"/>
      <c r="AW657" s="399"/>
      <c r="AX657" s="72"/>
      <c r="AY657" s="398"/>
      <c r="AZ657" s="400"/>
      <c r="BA657" s="72"/>
      <c r="BB657" s="404"/>
      <c r="BC657" s="404"/>
      <c r="BD657" s="404"/>
      <c r="BE657" s="404"/>
      <c r="BF657" s="404"/>
      <c r="BG657" s="404"/>
      <c r="BH657" s="403"/>
      <c r="BI657" s="403"/>
      <c r="BJ657" s="403"/>
      <c r="BK657" s="402"/>
      <c r="BL657" s="402"/>
      <c r="BM657" s="402"/>
      <c r="BN657" s="401"/>
      <c r="BO657" s="400"/>
      <c r="BP657" s="400"/>
      <c r="BQ657" s="400"/>
      <c r="BR657" s="72"/>
      <c r="BS657" s="411"/>
    </row>
    <row r="658" spans="1:71" ht="15" customHeight="1" x14ac:dyDescent="0.15">
      <c r="A658" s="419"/>
      <c r="B658" s="405"/>
      <c r="C658" s="405"/>
      <c r="D658" s="405"/>
      <c r="E658" s="405"/>
      <c r="F658" s="420"/>
      <c r="G658" s="421"/>
      <c r="H658" s="442"/>
      <c r="I658" s="406"/>
      <c r="J658" s="407"/>
      <c r="K658" s="408"/>
      <c r="L658" s="409"/>
      <c r="M658" s="409"/>
      <c r="N658" s="410" t="str">
        <f t="shared" si="22"/>
        <v>CAT à compléter</v>
      </c>
      <c r="O658" s="739"/>
      <c r="P658" s="863"/>
      <c r="Q658" s="730" t="str">
        <f t="shared" si="23"/>
        <v>CAT à compléter</v>
      </c>
      <c r="R658" s="740"/>
      <c r="S658" s="740"/>
      <c r="T658" s="740"/>
      <c r="U658" s="740"/>
      <c r="V658" s="740"/>
      <c r="W658" s="740"/>
      <c r="X658" s="740"/>
      <c r="Y658" s="740"/>
      <c r="Z658" s="740"/>
      <c r="AA658" s="740"/>
      <c r="AB658" s="423"/>
      <c r="AC658" s="418"/>
      <c r="AD658" s="418"/>
      <c r="AE658" s="418"/>
      <c r="AF658" s="422"/>
      <c r="AG658" s="425"/>
      <c r="AH658" s="417"/>
      <c r="AI658" s="415"/>
      <c r="AJ658" s="415"/>
      <c r="AK658" s="428"/>
      <c r="AL658" s="397"/>
      <c r="AM658" s="416"/>
      <c r="AN658" s="412"/>
      <c r="AO658" s="72"/>
      <c r="AP658" s="414"/>
      <c r="AQ658" s="430"/>
      <c r="AR658" s="400"/>
      <c r="AS658" s="413"/>
      <c r="AT658" s="413"/>
      <c r="AU658" s="412"/>
      <c r="AV658" s="412"/>
      <c r="AW658" s="399"/>
      <c r="AX658" s="72"/>
      <c r="AY658" s="398"/>
      <c r="AZ658" s="400"/>
      <c r="BA658" s="72"/>
      <c r="BB658" s="404"/>
      <c r="BC658" s="404"/>
      <c r="BD658" s="404"/>
      <c r="BE658" s="404"/>
      <c r="BF658" s="404"/>
      <c r="BG658" s="404"/>
      <c r="BH658" s="403"/>
      <c r="BI658" s="403"/>
      <c r="BJ658" s="403"/>
      <c r="BK658" s="402"/>
      <c r="BL658" s="402"/>
      <c r="BM658" s="402"/>
      <c r="BN658" s="401"/>
      <c r="BO658" s="400"/>
      <c r="BP658" s="400"/>
      <c r="BQ658" s="400"/>
      <c r="BR658" s="72"/>
      <c r="BS658" s="411"/>
    </row>
    <row r="659" spans="1:71" ht="15" customHeight="1" x14ac:dyDescent="0.15">
      <c r="A659" s="419"/>
      <c r="B659" s="405"/>
      <c r="C659" s="405"/>
      <c r="D659" s="405"/>
      <c r="E659" s="405"/>
      <c r="F659" s="420"/>
      <c r="G659" s="421"/>
      <c r="H659" s="442"/>
      <c r="I659" s="406"/>
      <c r="J659" s="407"/>
      <c r="K659" s="408"/>
      <c r="L659" s="409"/>
      <c r="M659" s="409"/>
      <c r="N659" s="410" t="str">
        <f t="shared" si="22"/>
        <v>CAT à compléter</v>
      </c>
      <c r="O659" s="739"/>
      <c r="P659" s="863"/>
      <c r="Q659" s="730" t="str">
        <f t="shared" si="23"/>
        <v>CAT à compléter</v>
      </c>
      <c r="R659" s="740"/>
      <c r="S659" s="740"/>
      <c r="T659" s="740"/>
      <c r="U659" s="740"/>
      <c r="V659" s="740"/>
      <c r="W659" s="740"/>
      <c r="X659" s="740"/>
      <c r="Y659" s="740"/>
      <c r="Z659" s="740"/>
      <c r="AA659" s="740"/>
      <c r="AB659" s="423"/>
      <c r="AC659" s="418"/>
      <c r="AD659" s="418"/>
      <c r="AE659" s="418"/>
      <c r="AF659" s="422"/>
      <c r="AG659" s="425"/>
      <c r="AH659" s="417"/>
      <c r="AI659" s="415"/>
      <c r="AJ659" s="415"/>
      <c r="AK659" s="428"/>
      <c r="AL659" s="397"/>
      <c r="AM659" s="416"/>
      <c r="AN659" s="412"/>
      <c r="AO659" s="72"/>
      <c r="AP659" s="414"/>
      <c r="AQ659" s="430"/>
      <c r="AR659" s="400"/>
      <c r="AS659" s="413"/>
      <c r="AT659" s="413"/>
      <c r="AU659" s="412"/>
      <c r="AV659" s="412"/>
      <c r="AW659" s="399"/>
      <c r="AX659" s="72"/>
      <c r="AY659" s="398"/>
      <c r="AZ659" s="400"/>
      <c r="BA659" s="72"/>
      <c r="BB659" s="404"/>
      <c r="BC659" s="404"/>
      <c r="BD659" s="404"/>
      <c r="BE659" s="404"/>
      <c r="BF659" s="404"/>
      <c r="BG659" s="404"/>
      <c r="BH659" s="403"/>
      <c r="BI659" s="403"/>
      <c r="BJ659" s="403"/>
      <c r="BK659" s="402"/>
      <c r="BL659" s="402"/>
      <c r="BM659" s="402"/>
      <c r="BN659" s="401"/>
      <c r="BO659" s="400"/>
      <c r="BP659" s="400"/>
      <c r="BQ659" s="400"/>
      <c r="BR659" s="72"/>
      <c r="BS659" s="411"/>
    </row>
    <row r="660" spans="1:71" ht="15" customHeight="1" x14ac:dyDescent="0.15">
      <c r="A660" s="419"/>
      <c r="B660" s="405"/>
      <c r="C660" s="405"/>
      <c r="D660" s="405"/>
      <c r="E660" s="405"/>
      <c r="F660" s="420"/>
      <c r="G660" s="421"/>
      <c r="H660" s="442"/>
      <c r="I660" s="406"/>
      <c r="J660" s="407"/>
      <c r="K660" s="408"/>
      <c r="L660" s="409"/>
      <c r="M660" s="409"/>
      <c r="N660" s="410" t="str">
        <f t="shared" si="22"/>
        <v>CAT à compléter</v>
      </c>
      <c r="O660" s="739"/>
      <c r="P660" s="863"/>
      <c r="Q660" s="730" t="str">
        <f t="shared" si="23"/>
        <v>CAT à compléter</v>
      </c>
      <c r="R660" s="740"/>
      <c r="S660" s="740"/>
      <c r="T660" s="740"/>
      <c r="U660" s="740"/>
      <c r="V660" s="740"/>
      <c r="W660" s="740"/>
      <c r="X660" s="740"/>
      <c r="Y660" s="740"/>
      <c r="Z660" s="740"/>
      <c r="AA660" s="740"/>
      <c r="AB660" s="423"/>
      <c r="AC660" s="418"/>
      <c r="AD660" s="418"/>
      <c r="AE660" s="418"/>
      <c r="AF660" s="422"/>
      <c r="AG660" s="425"/>
      <c r="AH660" s="417"/>
      <c r="AI660" s="415"/>
      <c r="AJ660" s="415"/>
      <c r="AK660" s="428"/>
      <c r="AL660" s="397"/>
      <c r="AM660" s="416"/>
      <c r="AN660" s="412"/>
      <c r="AO660" s="72"/>
      <c r="AP660" s="414"/>
      <c r="AQ660" s="430"/>
      <c r="AR660" s="400"/>
      <c r="AS660" s="413"/>
      <c r="AT660" s="413"/>
      <c r="AU660" s="412"/>
      <c r="AV660" s="412"/>
      <c r="AW660" s="399"/>
      <c r="AX660" s="72"/>
      <c r="AY660" s="398"/>
      <c r="AZ660" s="400"/>
      <c r="BA660" s="72"/>
      <c r="BB660" s="404"/>
      <c r="BC660" s="404"/>
      <c r="BD660" s="404"/>
      <c r="BE660" s="404"/>
      <c r="BF660" s="404"/>
      <c r="BG660" s="404"/>
      <c r="BH660" s="403"/>
      <c r="BI660" s="403"/>
      <c r="BJ660" s="403"/>
      <c r="BK660" s="402"/>
      <c r="BL660" s="402"/>
      <c r="BM660" s="402"/>
      <c r="BN660" s="401"/>
      <c r="BO660" s="400"/>
      <c r="BP660" s="400"/>
      <c r="BQ660" s="400"/>
      <c r="BR660" s="72"/>
      <c r="BS660" s="411"/>
    </row>
    <row r="661" spans="1:71" ht="15" customHeight="1" x14ac:dyDescent="0.15">
      <c r="A661" s="419"/>
      <c r="B661" s="405"/>
      <c r="C661" s="405"/>
      <c r="D661" s="405"/>
      <c r="E661" s="405"/>
      <c r="F661" s="420"/>
      <c r="G661" s="421"/>
      <c r="H661" s="442"/>
      <c r="I661" s="406"/>
      <c r="J661" s="407"/>
      <c r="K661" s="408"/>
      <c r="L661" s="409"/>
      <c r="M661" s="409"/>
      <c r="N661" s="410" t="str">
        <f t="shared" si="22"/>
        <v>CAT à compléter</v>
      </c>
      <c r="O661" s="739"/>
      <c r="P661" s="863"/>
      <c r="Q661" s="730" t="str">
        <f t="shared" si="23"/>
        <v>CAT à compléter</v>
      </c>
      <c r="R661" s="740"/>
      <c r="S661" s="740"/>
      <c r="T661" s="740"/>
      <c r="U661" s="740"/>
      <c r="V661" s="740"/>
      <c r="W661" s="740"/>
      <c r="X661" s="740"/>
      <c r="Y661" s="740"/>
      <c r="Z661" s="740"/>
      <c r="AA661" s="740"/>
      <c r="AB661" s="423"/>
      <c r="AC661" s="418"/>
      <c r="AD661" s="418"/>
      <c r="AE661" s="418"/>
      <c r="AF661" s="422"/>
      <c r="AG661" s="425"/>
      <c r="AH661" s="417"/>
      <c r="AI661" s="415"/>
      <c r="AJ661" s="415"/>
      <c r="AK661" s="428"/>
      <c r="AL661" s="397"/>
      <c r="AM661" s="416"/>
      <c r="AN661" s="412"/>
      <c r="AO661" s="72"/>
      <c r="AP661" s="414"/>
      <c r="AQ661" s="430"/>
      <c r="AR661" s="400"/>
      <c r="AS661" s="413"/>
      <c r="AT661" s="413"/>
      <c r="AU661" s="412"/>
      <c r="AV661" s="412"/>
      <c r="AW661" s="399"/>
      <c r="AX661" s="72"/>
      <c r="AY661" s="398"/>
      <c r="AZ661" s="400"/>
      <c r="BA661" s="72"/>
      <c r="BB661" s="404"/>
      <c r="BC661" s="404"/>
      <c r="BD661" s="404"/>
      <c r="BE661" s="404"/>
      <c r="BF661" s="404"/>
      <c r="BG661" s="404"/>
      <c r="BH661" s="403"/>
      <c r="BI661" s="403"/>
      <c r="BJ661" s="403"/>
      <c r="BK661" s="402"/>
      <c r="BL661" s="402"/>
      <c r="BM661" s="402"/>
      <c r="BN661" s="401"/>
      <c r="BO661" s="400"/>
      <c r="BP661" s="400"/>
      <c r="BQ661" s="400"/>
      <c r="BR661" s="72"/>
      <c r="BS661" s="411"/>
    </row>
    <row r="662" spans="1:71" ht="15" customHeight="1" x14ac:dyDescent="0.15">
      <c r="A662" s="419"/>
      <c r="B662" s="405"/>
      <c r="C662" s="405"/>
      <c r="D662" s="405"/>
      <c r="E662" s="405"/>
      <c r="F662" s="420"/>
      <c r="G662" s="421"/>
      <c r="H662" s="442"/>
      <c r="I662" s="406"/>
      <c r="J662" s="407"/>
      <c r="K662" s="408"/>
      <c r="L662" s="409"/>
      <c r="M662" s="409"/>
      <c r="N662" s="410" t="str">
        <f t="shared" si="22"/>
        <v>CAT à compléter</v>
      </c>
      <c r="O662" s="739"/>
      <c r="P662" s="863"/>
      <c r="Q662" s="730" t="str">
        <f t="shared" si="23"/>
        <v>CAT à compléter</v>
      </c>
      <c r="R662" s="740"/>
      <c r="S662" s="740"/>
      <c r="T662" s="740"/>
      <c r="U662" s="740"/>
      <c r="V662" s="740"/>
      <c r="W662" s="740"/>
      <c r="X662" s="740"/>
      <c r="Y662" s="740"/>
      <c r="Z662" s="740"/>
      <c r="AA662" s="740"/>
      <c r="AB662" s="423"/>
      <c r="AC662" s="418"/>
      <c r="AD662" s="418"/>
      <c r="AE662" s="418"/>
      <c r="AF662" s="422"/>
      <c r="AG662" s="425"/>
      <c r="AH662" s="417"/>
      <c r="AI662" s="415"/>
      <c r="AJ662" s="415"/>
      <c r="AK662" s="428"/>
      <c r="AL662" s="397"/>
      <c r="AM662" s="416"/>
      <c r="AN662" s="412"/>
      <c r="AO662" s="72"/>
      <c r="AP662" s="414"/>
      <c r="AQ662" s="430"/>
      <c r="AR662" s="400"/>
      <c r="AS662" s="413"/>
      <c r="AT662" s="413"/>
      <c r="AU662" s="412"/>
      <c r="AV662" s="412"/>
      <c r="AW662" s="399"/>
      <c r="AX662" s="72"/>
      <c r="AY662" s="398"/>
      <c r="AZ662" s="400"/>
      <c r="BA662" s="72"/>
      <c r="BB662" s="404"/>
      <c r="BC662" s="404"/>
      <c r="BD662" s="404"/>
      <c r="BE662" s="404"/>
      <c r="BF662" s="404"/>
      <c r="BG662" s="404"/>
      <c r="BH662" s="403"/>
      <c r="BI662" s="403"/>
      <c r="BJ662" s="403"/>
      <c r="BK662" s="402"/>
      <c r="BL662" s="402"/>
      <c r="BM662" s="402"/>
      <c r="BN662" s="401"/>
      <c r="BO662" s="400"/>
      <c r="BP662" s="400"/>
      <c r="BQ662" s="400"/>
      <c r="BR662" s="72"/>
      <c r="BS662" s="411"/>
    </row>
    <row r="663" spans="1:71" ht="15" customHeight="1" x14ac:dyDescent="0.15">
      <c r="A663" s="419"/>
      <c r="B663" s="405"/>
      <c r="C663" s="405"/>
      <c r="D663" s="405"/>
      <c r="E663" s="405"/>
      <c r="F663" s="420"/>
      <c r="G663" s="421"/>
      <c r="H663" s="442"/>
      <c r="I663" s="406"/>
      <c r="J663" s="407"/>
      <c r="K663" s="408"/>
      <c r="L663" s="409"/>
      <c r="M663" s="409"/>
      <c r="N663" s="410" t="str">
        <f t="shared" si="22"/>
        <v>CAT à compléter</v>
      </c>
      <c r="O663" s="739"/>
      <c r="P663" s="863"/>
      <c r="Q663" s="730" t="str">
        <f t="shared" si="23"/>
        <v>CAT à compléter</v>
      </c>
      <c r="R663" s="740"/>
      <c r="S663" s="740"/>
      <c r="T663" s="740"/>
      <c r="U663" s="740"/>
      <c r="V663" s="740"/>
      <c r="W663" s="740"/>
      <c r="X663" s="740"/>
      <c r="Y663" s="740"/>
      <c r="Z663" s="740"/>
      <c r="AA663" s="740"/>
      <c r="AB663" s="423"/>
      <c r="AC663" s="418"/>
      <c r="AD663" s="418"/>
      <c r="AE663" s="418"/>
      <c r="AF663" s="422"/>
      <c r="AG663" s="425"/>
      <c r="AH663" s="417"/>
      <c r="AI663" s="415"/>
      <c r="AJ663" s="415"/>
      <c r="AK663" s="428"/>
      <c r="AL663" s="397"/>
      <c r="AM663" s="416"/>
      <c r="AN663" s="412"/>
      <c r="AO663" s="72"/>
      <c r="AP663" s="414"/>
      <c r="AQ663" s="430"/>
      <c r="AR663" s="400"/>
      <c r="AS663" s="413"/>
      <c r="AT663" s="413"/>
      <c r="AU663" s="412"/>
      <c r="AV663" s="412"/>
      <c r="AW663" s="399"/>
      <c r="AX663" s="72"/>
      <c r="AY663" s="398"/>
      <c r="AZ663" s="400"/>
      <c r="BA663" s="72"/>
      <c r="BB663" s="404"/>
      <c r="BC663" s="404"/>
      <c r="BD663" s="404"/>
      <c r="BE663" s="404"/>
      <c r="BF663" s="404"/>
      <c r="BG663" s="404"/>
      <c r="BH663" s="403"/>
      <c r="BI663" s="403"/>
      <c r="BJ663" s="403"/>
      <c r="BK663" s="402"/>
      <c r="BL663" s="402"/>
      <c r="BM663" s="402"/>
      <c r="BN663" s="401"/>
      <c r="BO663" s="400"/>
      <c r="BP663" s="400"/>
      <c r="BQ663" s="400"/>
      <c r="BR663" s="72"/>
      <c r="BS663" s="411"/>
    </row>
    <row r="664" spans="1:71" ht="15" customHeight="1" x14ac:dyDescent="0.15">
      <c r="A664" s="419"/>
      <c r="B664" s="405"/>
      <c r="C664" s="405"/>
      <c r="D664" s="405"/>
      <c r="E664" s="405"/>
      <c r="F664" s="420"/>
      <c r="G664" s="421"/>
      <c r="H664" s="442"/>
      <c r="I664" s="406"/>
      <c r="J664" s="407"/>
      <c r="K664" s="408"/>
      <c r="L664" s="409"/>
      <c r="M664" s="409"/>
      <c r="N664" s="410" t="str">
        <f t="shared" si="22"/>
        <v>CAT à compléter</v>
      </c>
      <c r="O664" s="739"/>
      <c r="P664" s="863"/>
      <c r="Q664" s="730" t="str">
        <f t="shared" si="23"/>
        <v>CAT à compléter</v>
      </c>
      <c r="R664" s="740"/>
      <c r="S664" s="740"/>
      <c r="T664" s="740"/>
      <c r="U664" s="740"/>
      <c r="V664" s="740"/>
      <c r="W664" s="740"/>
      <c r="X664" s="740"/>
      <c r="Y664" s="740"/>
      <c r="Z664" s="740"/>
      <c r="AA664" s="740"/>
      <c r="AB664" s="423"/>
      <c r="AC664" s="418"/>
      <c r="AD664" s="418"/>
      <c r="AE664" s="418"/>
      <c r="AF664" s="422"/>
      <c r="AG664" s="425"/>
      <c r="AH664" s="417"/>
      <c r="AI664" s="415"/>
      <c r="AJ664" s="415"/>
      <c r="AK664" s="428"/>
      <c r="AL664" s="397"/>
      <c r="AM664" s="416"/>
      <c r="AN664" s="412"/>
      <c r="AO664" s="72"/>
      <c r="AP664" s="414"/>
      <c r="AQ664" s="430"/>
      <c r="AR664" s="400"/>
      <c r="AS664" s="413"/>
      <c r="AT664" s="413"/>
      <c r="AU664" s="412"/>
      <c r="AV664" s="412"/>
      <c r="AW664" s="399"/>
      <c r="AX664" s="72"/>
      <c r="AY664" s="398"/>
      <c r="AZ664" s="400"/>
      <c r="BA664" s="72"/>
      <c r="BB664" s="404"/>
      <c r="BC664" s="404"/>
      <c r="BD664" s="404"/>
      <c r="BE664" s="404"/>
      <c r="BF664" s="404"/>
      <c r="BG664" s="404"/>
      <c r="BH664" s="403"/>
      <c r="BI664" s="403"/>
      <c r="BJ664" s="403"/>
      <c r="BK664" s="402"/>
      <c r="BL664" s="402"/>
      <c r="BM664" s="402"/>
      <c r="BN664" s="401"/>
      <c r="BO664" s="400"/>
      <c r="BP664" s="400"/>
      <c r="BQ664" s="400"/>
      <c r="BR664" s="72"/>
      <c r="BS664" s="411"/>
    </row>
    <row r="665" spans="1:71" ht="15" customHeight="1" x14ac:dyDescent="0.15">
      <c r="A665" s="419"/>
      <c r="B665" s="405"/>
      <c r="C665" s="405"/>
      <c r="D665" s="405"/>
      <c r="E665" s="405"/>
      <c r="F665" s="420"/>
      <c r="G665" s="421"/>
      <c r="H665" s="442"/>
      <c r="I665" s="406"/>
      <c r="J665" s="407"/>
      <c r="K665" s="408"/>
      <c r="L665" s="409"/>
      <c r="M665" s="409"/>
      <c r="N665" s="410" t="str">
        <f t="shared" si="22"/>
        <v>CAT à compléter</v>
      </c>
      <c r="O665" s="739"/>
      <c r="P665" s="863"/>
      <c r="Q665" s="730" t="str">
        <f t="shared" si="23"/>
        <v>CAT à compléter</v>
      </c>
      <c r="R665" s="740"/>
      <c r="S665" s="740"/>
      <c r="T665" s="740"/>
      <c r="U665" s="740"/>
      <c r="V665" s="740"/>
      <c r="W665" s="740"/>
      <c r="X665" s="740"/>
      <c r="Y665" s="740"/>
      <c r="Z665" s="740"/>
      <c r="AA665" s="740"/>
      <c r="AB665" s="423"/>
      <c r="AC665" s="418"/>
      <c r="AD665" s="418"/>
      <c r="AE665" s="418"/>
      <c r="AF665" s="422"/>
      <c r="AG665" s="425"/>
      <c r="AH665" s="417"/>
      <c r="AI665" s="415"/>
      <c r="AJ665" s="415"/>
      <c r="AK665" s="428"/>
      <c r="AL665" s="397"/>
      <c r="AM665" s="416"/>
      <c r="AN665" s="412"/>
      <c r="AO665" s="72"/>
      <c r="AP665" s="414"/>
      <c r="AQ665" s="430"/>
      <c r="AR665" s="400"/>
      <c r="AS665" s="413"/>
      <c r="AT665" s="413"/>
      <c r="AU665" s="412"/>
      <c r="AV665" s="412"/>
      <c r="AW665" s="399"/>
      <c r="AX665" s="72"/>
      <c r="AY665" s="398"/>
      <c r="AZ665" s="400"/>
      <c r="BA665" s="72"/>
      <c r="BB665" s="404"/>
      <c r="BC665" s="404"/>
      <c r="BD665" s="404"/>
      <c r="BE665" s="404"/>
      <c r="BF665" s="404"/>
      <c r="BG665" s="404"/>
      <c r="BH665" s="403"/>
      <c r="BI665" s="403"/>
      <c r="BJ665" s="403"/>
      <c r="BK665" s="402"/>
      <c r="BL665" s="402"/>
      <c r="BM665" s="402"/>
      <c r="BN665" s="401"/>
      <c r="BO665" s="400"/>
      <c r="BP665" s="400"/>
      <c r="BQ665" s="400"/>
      <c r="BR665" s="72"/>
      <c r="BS665" s="411"/>
    </row>
    <row r="666" spans="1:71" ht="15" customHeight="1" x14ac:dyDescent="0.15">
      <c r="A666" s="419"/>
      <c r="B666" s="405"/>
      <c r="C666" s="405"/>
      <c r="D666" s="405"/>
      <c r="E666" s="405"/>
      <c r="F666" s="420"/>
      <c r="G666" s="421"/>
      <c r="H666" s="442"/>
      <c r="I666" s="406"/>
      <c r="J666" s="407"/>
      <c r="K666" s="408"/>
      <c r="L666" s="409"/>
      <c r="M666" s="409"/>
      <c r="N666" s="410" t="str">
        <f t="shared" si="22"/>
        <v>CAT à compléter</v>
      </c>
      <c r="O666" s="739"/>
      <c r="P666" s="863"/>
      <c r="Q666" s="730" t="str">
        <f t="shared" si="23"/>
        <v>CAT à compléter</v>
      </c>
      <c r="R666" s="740"/>
      <c r="S666" s="740"/>
      <c r="T666" s="740"/>
      <c r="U666" s="740"/>
      <c r="V666" s="740"/>
      <c r="W666" s="740"/>
      <c r="X666" s="740"/>
      <c r="Y666" s="740"/>
      <c r="Z666" s="740"/>
      <c r="AA666" s="740"/>
      <c r="AB666" s="423"/>
      <c r="AC666" s="418"/>
      <c r="AD666" s="418"/>
      <c r="AE666" s="418"/>
      <c r="AF666" s="422"/>
      <c r="AG666" s="425"/>
      <c r="AH666" s="417"/>
      <c r="AI666" s="415"/>
      <c r="AJ666" s="415"/>
      <c r="AK666" s="428"/>
      <c r="AL666" s="397"/>
      <c r="AM666" s="416"/>
      <c r="AN666" s="412"/>
      <c r="AO666" s="72"/>
      <c r="AP666" s="414"/>
      <c r="AQ666" s="430"/>
      <c r="AR666" s="400"/>
      <c r="AS666" s="413"/>
      <c r="AT666" s="413"/>
      <c r="AU666" s="412"/>
      <c r="AV666" s="412"/>
      <c r="AW666" s="399"/>
      <c r="AX666" s="72"/>
      <c r="AY666" s="398"/>
      <c r="AZ666" s="400"/>
      <c r="BA666" s="72"/>
      <c r="BB666" s="404"/>
      <c r="BC666" s="404"/>
      <c r="BD666" s="404"/>
      <c r="BE666" s="404"/>
      <c r="BF666" s="404"/>
      <c r="BG666" s="404"/>
      <c r="BH666" s="403"/>
      <c r="BI666" s="403"/>
      <c r="BJ666" s="403"/>
      <c r="BK666" s="402"/>
      <c r="BL666" s="402"/>
      <c r="BM666" s="402"/>
      <c r="BN666" s="401"/>
      <c r="BO666" s="400"/>
      <c r="BP666" s="400"/>
      <c r="BQ666" s="400"/>
      <c r="BR666" s="72"/>
      <c r="BS666" s="411"/>
    </row>
    <row r="667" spans="1:71" ht="15" customHeight="1" x14ac:dyDescent="0.15">
      <c r="A667" s="419"/>
      <c r="B667" s="405"/>
      <c r="C667" s="405"/>
      <c r="D667" s="405"/>
      <c r="E667" s="405"/>
      <c r="F667" s="420"/>
      <c r="G667" s="421"/>
      <c r="H667" s="442"/>
      <c r="I667" s="406"/>
      <c r="J667" s="407"/>
      <c r="K667" s="408"/>
      <c r="L667" s="409"/>
      <c r="M667" s="409"/>
      <c r="N667" s="410" t="str">
        <f t="shared" si="22"/>
        <v>CAT à compléter</v>
      </c>
      <c r="O667" s="739"/>
      <c r="P667" s="863"/>
      <c r="Q667" s="730" t="str">
        <f t="shared" si="23"/>
        <v>CAT à compléter</v>
      </c>
      <c r="R667" s="740"/>
      <c r="S667" s="740"/>
      <c r="T667" s="740"/>
      <c r="U667" s="740"/>
      <c r="V667" s="740"/>
      <c r="W667" s="740"/>
      <c r="X667" s="740"/>
      <c r="Y667" s="740"/>
      <c r="Z667" s="740"/>
      <c r="AA667" s="740"/>
      <c r="AB667" s="423"/>
      <c r="AC667" s="418"/>
      <c r="AD667" s="418"/>
      <c r="AE667" s="418"/>
      <c r="AF667" s="422"/>
      <c r="AG667" s="425"/>
      <c r="AH667" s="417"/>
      <c r="AI667" s="415"/>
      <c r="AJ667" s="415"/>
      <c r="AK667" s="428"/>
      <c r="AL667" s="397"/>
      <c r="AM667" s="416"/>
      <c r="AN667" s="412"/>
      <c r="AO667" s="72"/>
      <c r="AP667" s="414"/>
      <c r="AQ667" s="430"/>
      <c r="AR667" s="400"/>
      <c r="AS667" s="413"/>
      <c r="AT667" s="413"/>
      <c r="AU667" s="412"/>
      <c r="AV667" s="412"/>
      <c r="AW667" s="399"/>
      <c r="AX667" s="72"/>
      <c r="AY667" s="398"/>
      <c r="AZ667" s="400"/>
      <c r="BA667" s="72"/>
      <c r="BB667" s="404"/>
      <c r="BC667" s="404"/>
      <c r="BD667" s="404"/>
      <c r="BE667" s="404"/>
      <c r="BF667" s="404"/>
      <c r="BG667" s="404"/>
      <c r="BH667" s="403"/>
      <c r="BI667" s="403"/>
      <c r="BJ667" s="403"/>
      <c r="BK667" s="402"/>
      <c r="BL667" s="402"/>
      <c r="BM667" s="402"/>
      <c r="BN667" s="401"/>
      <c r="BO667" s="400"/>
      <c r="BP667" s="400"/>
      <c r="BQ667" s="400"/>
      <c r="BR667" s="72"/>
      <c r="BS667" s="411"/>
    </row>
    <row r="668" spans="1:71" ht="15" customHeight="1" x14ac:dyDescent="0.15">
      <c r="A668" s="419"/>
      <c r="B668" s="405"/>
      <c r="C668" s="405"/>
      <c r="D668" s="405"/>
      <c r="E668" s="405"/>
      <c r="F668" s="420"/>
      <c r="G668" s="421"/>
      <c r="H668" s="442"/>
      <c r="I668" s="406"/>
      <c r="J668" s="407"/>
      <c r="K668" s="408"/>
      <c r="L668" s="409"/>
      <c r="M668" s="409"/>
      <c r="N668" s="410" t="str">
        <f t="shared" si="22"/>
        <v>CAT à compléter</v>
      </c>
      <c r="O668" s="739"/>
      <c r="P668" s="863"/>
      <c r="Q668" s="730" t="str">
        <f t="shared" si="23"/>
        <v>CAT à compléter</v>
      </c>
      <c r="R668" s="740"/>
      <c r="S668" s="740"/>
      <c r="T668" s="740"/>
      <c r="U668" s="740"/>
      <c r="V668" s="740"/>
      <c r="W668" s="740"/>
      <c r="X668" s="740"/>
      <c r="Y668" s="740"/>
      <c r="Z668" s="740"/>
      <c r="AA668" s="740"/>
      <c r="AB668" s="423"/>
      <c r="AC668" s="418"/>
      <c r="AD668" s="418"/>
      <c r="AE668" s="418"/>
      <c r="AF668" s="422"/>
      <c r="AG668" s="425"/>
      <c r="AH668" s="417"/>
      <c r="AI668" s="415"/>
      <c r="AJ668" s="415"/>
      <c r="AK668" s="428"/>
      <c r="AL668" s="397"/>
      <c r="AM668" s="416"/>
      <c r="AN668" s="412"/>
      <c r="AO668" s="72"/>
      <c r="AP668" s="414"/>
      <c r="AQ668" s="430"/>
      <c r="AR668" s="400"/>
      <c r="AS668" s="413"/>
      <c r="AT668" s="413"/>
      <c r="AU668" s="412"/>
      <c r="AV668" s="412"/>
      <c r="AW668" s="399"/>
      <c r="AX668" s="72"/>
      <c r="AY668" s="398"/>
      <c r="AZ668" s="400"/>
      <c r="BA668" s="72"/>
      <c r="BB668" s="404"/>
      <c r="BC668" s="404"/>
      <c r="BD668" s="404"/>
      <c r="BE668" s="404"/>
      <c r="BF668" s="404"/>
      <c r="BG668" s="404"/>
      <c r="BH668" s="403"/>
      <c r="BI668" s="403"/>
      <c r="BJ668" s="403"/>
      <c r="BK668" s="402"/>
      <c r="BL668" s="402"/>
      <c r="BM668" s="402"/>
      <c r="BN668" s="401"/>
      <c r="BO668" s="400"/>
      <c r="BP668" s="400"/>
      <c r="BQ668" s="400"/>
      <c r="BR668" s="72"/>
      <c r="BS668" s="411"/>
    </row>
    <row r="669" spans="1:71" ht="15" customHeight="1" x14ac:dyDescent="0.15">
      <c r="A669" s="419"/>
      <c r="B669" s="405"/>
      <c r="C669" s="405"/>
      <c r="D669" s="405"/>
      <c r="E669" s="405"/>
      <c r="F669" s="420"/>
      <c r="G669" s="421"/>
      <c r="H669" s="442"/>
      <c r="I669" s="406"/>
      <c r="J669" s="407"/>
      <c r="K669" s="408"/>
      <c r="L669" s="409"/>
      <c r="M669" s="409"/>
      <c r="N669" s="410" t="str">
        <f t="shared" si="22"/>
        <v>CAT à compléter</v>
      </c>
      <c r="O669" s="739"/>
      <c r="P669" s="863"/>
      <c r="Q669" s="730" t="str">
        <f t="shared" si="23"/>
        <v>CAT à compléter</v>
      </c>
      <c r="R669" s="740"/>
      <c r="S669" s="740"/>
      <c r="T669" s="740"/>
      <c r="U669" s="740"/>
      <c r="V669" s="740"/>
      <c r="W669" s="740"/>
      <c r="X669" s="740"/>
      <c r="Y669" s="740"/>
      <c r="Z669" s="740"/>
      <c r="AA669" s="740"/>
      <c r="AB669" s="423"/>
      <c r="AC669" s="418"/>
      <c r="AD669" s="418"/>
      <c r="AE669" s="418"/>
      <c r="AF669" s="422"/>
      <c r="AG669" s="425"/>
      <c r="AH669" s="417"/>
      <c r="AI669" s="415"/>
      <c r="AJ669" s="415"/>
      <c r="AK669" s="428"/>
      <c r="AL669" s="397"/>
      <c r="AM669" s="416"/>
      <c r="AN669" s="412"/>
      <c r="AO669" s="72"/>
      <c r="AP669" s="414"/>
      <c r="AQ669" s="430"/>
      <c r="AR669" s="400"/>
      <c r="AS669" s="413"/>
      <c r="AT669" s="413"/>
      <c r="AU669" s="412"/>
      <c r="AV669" s="412"/>
      <c r="AW669" s="399"/>
      <c r="AX669" s="72"/>
      <c r="AY669" s="398"/>
      <c r="AZ669" s="400"/>
      <c r="BA669" s="72"/>
      <c r="BB669" s="404"/>
      <c r="BC669" s="404"/>
      <c r="BD669" s="404"/>
      <c r="BE669" s="404"/>
      <c r="BF669" s="404"/>
      <c r="BG669" s="404"/>
      <c r="BH669" s="403"/>
      <c r="BI669" s="403"/>
      <c r="BJ669" s="403"/>
      <c r="BK669" s="402"/>
      <c r="BL669" s="402"/>
      <c r="BM669" s="402"/>
      <c r="BN669" s="401"/>
      <c r="BO669" s="400"/>
      <c r="BP669" s="400"/>
      <c r="BQ669" s="400"/>
      <c r="BR669" s="72"/>
      <c r="BS669" s="411"/>
    </row>
    <row r="670" spans="1:71" ht="15" customHeight="1" x14ac:dyDescent="0.15">
      <c r="A670" s="419"/>
      <c r="B670" s="405"/>
      <c r="C670" s="405"/>
      <c r="D670" s="405"/>
      <c r="E670" s="405"/>
      <c r="F670" s="420"/>
      <c r="G670" s="421"/>
      <c r="H670" s="442"/>
      <c r="I670" s="406"/>
      <c r="J670" s="407"/>
      <c r="K670" s="408"/>
      <c r="L670" s="409"/>
      <c r="M670" s="409"/>
      <c r="N670" s="410" t="str">
        <f t="shared" si="22"/>
        <v>CAT à compléter</v>
      </c>
      <c r="O670" s="739"/>
      <c r="P670" s="863"/>
      <c r="Q670" s="730" t="str">
        <f t="shared" si="23"/>
        <v>CAT à compléter</v>
      </c>
      <c r="R670" s="740"/>
      <c r="S670" s="740"/>
      <c r="T670" s="740"/>
      <c r="U670" s="740"/>
      <c r="V670" s="740"/>
      <c r="W670" s="740"/>
      <c r="X670" s="740"/>
      <c r="Y670" s="740"/>
      <c r="Z670" s="740"/>
      <c r="AA670" s="740"/>
      <c r="AB670" s="423"/>
      <c r="AC670" s="418"/>
      <c r="AD670" s="418"/>
      <c r="AE670" s="418"/>
      <c r="AF670" s="422"/>
      <c r="AG670" s="425"/>
      <c r="AH670" s="417"/>
      <c r="AI670" s="415"/>
      <c r="AJ670" s="415"/>
      <c r="AK670" s="428"/>
      <c r="AL670" s="397"/>
      <c r="AM670" s="416"/>
      <c r="AN670" s="412"/>
      <c r="AO670" s="72"/>
      <c r="AP670" s="414"/>
      <c r="AQ670" s="430"/>
      <c r="AR670" s="400"/>
      <c r="AS670" s="413"/>
      <c r="AT670" s="413"/>
      <c r="AU670" s="412"/>
      <c r="AV670" s="412"/>
      <c r="AW670" s="399"/>
      <c r="AX670" s="72"/>
      <c r="AY670" s="398"/>
      <c r="AZ670" s="400"/>
      <c r="BA670" s="72"/>
      <c r="BB670" s="404"/>
      <c r="BC670" s="404"/>
      <c r="BD670" s="404"/>
      <c r="BE670" s="404"/>
      <c r="BF670" s="404"/>
      <c r="BG670" s="404"/>
      <c r="BH670" s="403"/>
      <c r="BI670" s="403"/>
      <c r="BJ670" s="403"/>
      <c r="BK670" s="402"/>
      <c r="BL670" s="402"/>
      <c r="BM670" s="402"/>
      <c r="BN670" s="401"/>
      <c r="BO670" s="400"/>
      <c r="BP670" s="400"/>
      <c r="BQ670" s="400"/>
      <c r="BR670" s="72"/>
      <c r="BS670" s="411"/>
    </row>
    <row r="671" spans="1:71" ht="15" customHeight="1" x14ac:dyDescent="0.15">
      <c r="A671" s="419"/>
      <c r="B671" s="405"/>
      <c r="C671" s="405"/>
      <c r="D671" s="405"/>
      <c r="E671" s="405"/>
      <c r="F671" s="420"/>
      <c r="G671" s="421"/>
      <c r="H671" s="442"/>
      <c r="I671" s="406"/>
      <c r="J671" s="407"/>
      <c r="K671" s="408"/>
      <c r="L671" s="409"/>
      <c r="M671" s="409"/>
      <c r="N671" s="410" t="str">
        <f t="shared" si="22"/>
        <v>CAT à compléter</v>
      </c>
      <c r="O671" s="739"/>
      <c r="P671" s="863"/>
      <c r="Q671" s="730" t="str">
        <f t="shared" si="23"/>
        <v>CAT à compléter</v>
      </c>
      <c r="R671" s="740"/>
      <c r="S671" s="740"/>
      <c r="T671" s="740"/>
      <c r="U671" s="740"/>
      <c r="V671" s="740"/>
      <c r="W671" s="740"/>
      <c r="X671" s="740"/>
      <c r="Y671" s="740"/>
      <c r="Z671" s="740"/>
      <c r="AA671" s="740"/>
      <c r="AB671" s="423"/>
      <c r="AC671" s="418"/>
      <c r="AD671" s="418"/>
      <c r="AE671" s="418"/>
      <c r="AF671" s="422"/>
      <c r="AG671" s="425"/>
      <c r="AH671" s="417"/>
      <c r="AI671" s="415"/>
      <c r="AJ671" s="415"/>
      <c r="AK671" s="428"/>
      <c r="AL671" s="397"/>
      <c r="AM671" s="416"/>
      <c r="AN671" s="412"/>
      <c r="AO671" s="72"/>
      <c r="AP671" s="414"/>
      <c r="AQ671" s="430"/>
      <c r="AR671" s="400"/>
      <c r="AS671" s="413"/>
      <c r="AT671" s="413"/>
      <c r="AU671" s="412"/>
      <c r="AV671" s="412"/>
      <c r="AW671" s="399"/>
      <c r="AX671" s="72"/>
      <c r="AY671" s="398"/>
      <c r="AZ671" s="400"/>
      <c r="BA671" s="72"/>
      <c r="BB671" s="404"/>
      <c r="BC671" s="404"/>
      <c r="BD671" s="404"/>
      <c r="BE671" s="404"/>
      <c r="BF671" s="404"/>
      <c r="BG671" s="404"/>
      <c r="BH671" s="403"/>
      <c r="BI671" s="403"/>
      <c r="BJ671" s="403"/>
      <c r="BK671" s="402"/>
      <c r="BL671" s="402"/>
      <c r="BM671" s="402"/>
      <c r="BN671" s="401"/>
      <c r="BO671" s="400"/>
      <c r="BP671" s="400"/>
      <c r="BQ671" s="400"/>
      <c r="BR671" s="72"/>
      <c r="BS671" s="411"/>
    </row>
    <row r="672" spans="1:71" ht="15" customHeight="1" x14ac:dyDescent="0.15">
      <c r="A672" s="419"/>
      <c r="B672" s="405"/>
      <c r="C672" s="405"/>
      <c r="D672" s="405"/>
      <c r="E672" s="405"/>
      <c r="F672" s="420"/>
      <c r="G672" s="421"/>
      <c r="H672" s="442"/>
      <c r="I672" s="406"/>
      <c r="J672" s="407"/>
      <c r="K672" s="408"/>
      <c r="L672" s="409"/>
      <c r="M672" s="409"/>
      <c r="N672" s="410" t="str">
        <f t="shared" si="22"/>
        <v>CAT à compléter</v>
      </c>
      <c r="O672" s="739"/>
      <c r="P672" s="863"/>
      <c r="Q672" s="730" t="str">
        <f t="shared" si="23"/>
        <v>CAT à compléter</v>
      </c>
      <c r="R672" s="740"/>
      <c r="S672" s="740"/>
      <c r="T672" s="740"/>
      <c r="U672" s="740"/>
      <c r="V672" s="740"/>
      <c r="W672" s="740"/>
      <c r="X672" s="740"/>
      <c r="Y672" s="740"/>
      <c r="Z672" s="740"/>
      <c r="AA672" s="740"/>
      <c r="AB672" s="423"/>
      <c r="AC672" s="418"/>
      <c r="AD672" s="418"/>
      <c r="AE672" s="418"/>
      <c r="AF672" s="422"/>
      <c r="AG672" s="425"/>
      <c r="AH672" s="417"/>
      <c r="AI672" s="415"/>
      <c r="AJ672" s="415"/>
      <c r="AK672" s="428"/>
      <c r="AL672" s="397"/>
      <c r="AM672" s="416"/>
      <c r="AN672" s="412"/>
      <c r="AO672" s="72"/>
      <c r="AP672" s="414"/>
      <c r="AQ672" s="430"/>
      <c r="AR672" s="400"/>
      <c r="AS672" s="413"/>
      <c r="AT672" s="413"/>
      <c r="AU672" s="412"/>
      <c r="AV672" s="412"/>
      <c r="AW672" s="399"/>
      <c r="AX672" s="72"/>
      <c r="AY672" s="398"/>
      <c r="AZ672" s="400"/>
      <c r="BA672" s="72"/>
      <c r="BB672" s="404"/>
      <c r="BC672" s="404"/>
      <c r="BD672" s="404"/>
      <c r="BE672" s="404"/>
      <c r="BF672" s="404"/>
      <c r="BG672" s="404"/>
      <c r="BH672" s="403"/>
      <c r="BI672" s="403"/>
      <c r="BJ672" s="403"/>
      <c r="BK672" s="402"/>
      <c r="BL672" s="402"/>
      <c r="BM672" s="402"/>
      <c r="BN672" s="401"/>
      <c r="BO672" s="400"/>
      <c r="BP672" s="400"/>
      <c r="BQ672" s="400"/>
      <c r="BR672" s="72"/>
      <c r="BS672" s="411"/>
    </row>
    <row r="673" spans="1:71" ht="15" customHeight="1" x14ac:dyDescent="0.15">
      <c r="A673" s="419"/>
      <c r="B673" s="405"/>
      <c r="C673" s="405"/>
      <c r="D673" s="405"/>
      <c r="E673" s="405"/>
      <c r="F673" s="420"/>
      <c r="G673" s="421"/>
      <c r="H673" s="442"/>
      <c r="I673" s="406"/>
      <c r="J673" s="407"/>
      <c r="K673" s="408"/>
      <c r="L673" s="409"/>
      <c r="M673" s="409"/>
      <c r="N673" s="410" t="str">
        <f t="shared" si="22"/>
        <v>CAT à compléter</v>
      </c>
      <c r="O673" s="739"/>
      <c r="P673" s="863"/>
      <c r="Q673" s="730" t="str">
        <f t="shared" si="23"/>
        <v>CAT à compléter</v>
      </c>
      <c r="R673" s="740"/>
      <c r="S673" s="740"/>
      <c r="T673" s="740"/>
      <c r="U673" s="740"/>
      <c r="V673" s="740"/>
      <c r="W673" s="740"/>
      <c r="X673" s="740"/>
      <c r="Y673" s="740"/>
      <c r="Z673" s="740"/>
      <c r="AA673" s="740"/>
      <c r="AB673" s="423"/>
      <c r="AC673" s="418"/>
      <c r="AD673" s="418"/>
      <c r="AE673" s="418"/>
      <c r="AF673" s="422"/>
      <c r="AG673" s="425"/>
      <c r="AH673" s="417"/>
      <c r="AI673" s="415"/>
      <c r="AJ673" s="415"/>
      <c r="AK673" s="428"/>
      <c r="AL673" s="397"/>
      <c r="AM673" s="416"/>
      <c r="AN673" s="412"/>
      <c r="AO673" s="72"/>
      <c r="AP673" s="414"/>
      <c r="AQ673" s="430"/>
      <c r="AR673" s="400"/>
      <c r="AS673" s="413"/>
      <c r="AT673" s="413"/>
      <c r="AU673" s="412"/>
      <c r="AV673" s="412"/>
      <c r="AW673" s="399"/>
      <c r="AX673" s="72"/>
      <c r="AY673" s="398"/>
      <c r="AZ673" s="400"/>
      <c r="BA673" s="72"/>
      <c r="BB673" s="404"/>
      <c r="BC673" s="404"/>
      <c r="BD673" s="404"/>
      <c r="BE673" s="404"/>
      <c r="BF673" s="404"/>
      <c r="BG673" s="404"/>
      <c r="BH673" s="403"/>
      <c r="BI673" s="403"/>
      <c r="BJ673" s="403"/>
      <c r="BK673" s="402"/>
      <c r="BL673" s="402"/>
      <c r="BM673" s="402"/>
      <c r="BN673" s="401"/>
      <c r="BO673" s="400"/>
      <c r="BP673" s="400"/>
      <c r="BQ673" s="400"/>
      <c r="BR673" s="72"/>
      <c r="BS673" s="411"/>
    </row>
    <row r="674" spans="1:71" ht="15" customHeight="1" x14ac:dyDescent="0.15">
      <c r="A674" s="419"/>
      <c r="B674" s="405"/>
      <c r="C674" s="405"/>
      <c r="D674" s="405"/>
      <c r="E674" s="405"/>
      <c r="F674" s="420"/>
      <c r="G674" s="421"/>
      <c r="H674" s="442"/>
      <c r="I674" s="406"/>
      <c r="J674" s="407"/>
      <c r="K674" s="408"/>
      <c r="L674" s="409"/>
      <c r="M674" s="409"/>
      <c r="N674" s="410" t="str">
        <f t="shared" si="22"/>
        <v>CAT à compléter</v>
      </c>
      <c r="O674" s="739"/>
      <c r="P674" s="863"/>
      <c r="Q674" s="730" t="str">
        <f t="shared" si="23"/>
        <v>CAT à compléter</v>
      </c>
      <c r="R674" s="740"/>
      <c r="S674" s="740"/>
      <c r="T674" s="740"/>
      <c r="U674" s="740"/>
      <c r="V674" s="740"/>
      <c r="W674" s="740"/>
      <c r="X674" s="740"/>
      <c r="Y674" s="740"/>
      <c r="Z674" s="740"/>
      <c r="AA674" s="740"/>
      <c r="AB674" s="423"/>
      <c r="AC674" s="418"/>
      <c r="AD674" s="418"/>
      <c r="AE674" s="418"/>
      <c r="AF674" s="422"/>
      <c r="AG674" s="425"/>
      <c r="AH674" s="417"/>
      <c r="AI674" s="415"/>
      <c r="AJ674" s="415"/>
      <c r="AK674" s="428"/>
      <c r="AL674" s="397"/>
      <c r="AM674" s="416"/>
      <c r="AN674" s="412"/>
      <c r="AO674" s="72"/>
      <c r="AP674" s="414"/>
      <c r="AQ674" s="430"/>
      <c r="AR674" s="400"/>
      <c r="AS674" s="413"/>
      <c r="AT674" s="413"/>
      <c r="AU674" s="412"/>
      <c r="AV674" s="412"/>
      <c r="AW674" s="399"/>
      <c r="AX674" s="72"/>
      <c r="AY674" s="398"/>
      <c r="AZ674" s="400"/>
      <c r="BA674" s="72"/>
      <c r="BB674" s="404"/>
      <c r="BC674" s="404"/>
      <c r="BD674" s="404"/>
      <c r="BE674" s="404"/>
      <c r="BF674" s="404"/>
      <c r="BG674" s="404"/>
      <c r="BH674" s="403"/>
      <c r="BI674" s="403"/>
      <c r="BJ674" s="403"/>
      <c r="BK674" s="402"/>
      <c r="BL674" s="402"/>
      <c r="BM674" s="402"/>
      <c r="BN674" s="401"/>
      <c r="BO674" s="400"/>
      <c r="BP674" s="400"/>
      <c r="BQ674" s="400"/>
      <c r="BR674" s="72"/>
      <c r="BS674" s="411"/>
    </row>
    <row r="675" spans="1:71" ht="15" customHeight="1" x14ac:dyDescent="0.15">
      <c r="A675" s="419"/>
      <c r="B675" s="405"/>
      <c r="C675" s="405"/>
      <c r="D675" s="405"/>
      <c r="E675" s="405"/>
      <c r="F675" s="420"/>
      <c r="G675" s="421"/>
      <c r="H675" s="442"/>
      <c r="I675" s="406"/>
      <c r="J675" s="407"/>
      <c r="K675" s="408"/>
      <c r="L675" s="409"/>
      <c r="M675" s="409"/>
      <c r="N675" s="410" t="str">
        <f t="shared" si="22"/>
        <v>CAT à compléter</v>
      </c>
      <c r="O675" s="739"/>
      <c r="P675" s="863"/>
      <c r="Q675" s="730" t="str">
        <f t="shared" si="23"/>
        <v>CAT à compléter</v>
      </c>
      <c r="R675" s="740"/>
      <c r="S675" s="740"/>
      <c r="T675" s="740"/>
      <c r="U675" s="740"/>
      <c r="V675" s="740"/>
      <c r="W675" s="740"/>
      <c r="X675" s="740"/>
      <c r="Y675" s="740"/>
      <c r="Z675" s="740"/>
      <c r="AA675" s="740"/>
      <c r="AB675" s="423"/>
      <c r="AC675" s="418"/>
      <c r="AD675" s="418"/>
      <c r="AE675" s="418"/>
      <c r="AF675" s="422"/>
      <c r="AG675" s="425"/>
      <c r="AH675" s="417"/>
      <c r="AI675" s="415"/>
      <c r="AJ675" s="415"/>
      <c r="AK675" s="428"/>
      <c r="AL675" s="397"/>
      <c r="AM675" s="416"/>
      <c r="AN675" s="412"/>
      <c r="AO675" s="72"/>
      <c r="AP675" s="414"/>
      <c r="AQ675" s="430"/>
      <c r="AR675" s="400"/>
      <c r="AS675" s="413"/>
      <c r="AT675" s="413"/>
      <c r="AU675" s="412"/>
      <c r="AV675" s="412"/>
      <c r="AW675" s="399"/>
      <c r="AX675" s="72"/>
      <c r="AY675" s="398"/>
      <c r="AZ675" s="400"/>
      <c r="BA675" s="72"/>
      <c r="BB675" s="404"/>
      <c r="BC675" s="404"/>
      <c r="BD675" s="404"/>
      <c r="BE675" s="404"/>
      <c r="BF675" s="404"/>
      <c r="BG675" s="404"/>
      <c r="BH675" s="403"/>
      <c r="BI675" s="403"/>
      <c r="BJ675" s="403"/>
      <c r="BK675" s="402"/>
      <c r="BL675" s="402"/>
      <c r="BM675" s="402"/>
      <c r="BN675" s="401"/>
      <c r="BO675" s="400"/>
      <c r="BP675" s="400"/>
      <c r="BQ675" s="400"/>
      <c r="BR675" s="72"/>
      <c r="BS675" s="411"/>
    </row>
    <row r="676" spans="1:71" ht="15" customHeight="1" x14ac:dyDescent="0.15">
      <c r="A676" s="419"/>
      <c r="B676" s="405"/>
      <c r="C676" s="405"/>
      <c r="D676" s="405"/>
      <c r="E676" s="405"/>
      <c r="F676" s="420"/>
      <c r="G676" s="421"/>
      <c r="H676" s="442"/>
      <c r="I676" s="406"/>
      <c r="J676" s="407"/>
      <c r="K676" s="408"/>
      <c r="L676" s="409"/>
      <c r="M676" s="409"/>
      <c r="N676" s="410" t="str">
        <f t="shared" si="22"/>
        <v>CAT à compléter</v>
      </c>
      <c r="O676" s="739"/>
      <c r="P676" s="863"/>
      <c r="Q676" s="730" t="str">
        <f t="shared" si="23"/>
        <v>CAT à compléter</v>
      </c>
      <c r="R676" s="740"/>
      <c r="S676" s="740"/>
      <c r="T676" s="740"/>
      <c r="U676" s="740"/>
      <c r="V676" s="740"/>
      <c r="W676" s="740"/>
      <c r="X676" s="740"/>
      <c r="Y676" s="740"/>
      <c r="Z676" s="740"/>
      <c r="AA676" s="740"/>
      <c r="AB676" s="423"/>
      <c r="AC676" s="418"/>
      <c r="AD676" s="418"/>
      <c r="AE676" s="418"/>
      <c r="AF676" s="422"/>
      <c r="AG676" s="425"/>
      <c r="AH676" s="417"/>
      <c r="AI676" s="415"/>
      <c r="AJ676" s="415"/>
      <c r="AK676" s="428"/>
      <c r="AL676" s="397"/>
      <c r="AM676" s="416"/>
      <c r="AN676" s="412"/>
      <c r="AO676" s="72"/>
      <c r="AP676" s="414"/>
      <c r="AQ676" s="430"/>
      <c r="AR676" s="400"/>
      <c r="AS676" s="413"/>
      <c r="AT676" s="413"/>
      <c r="AU676" s="412"/>
      <c r="AV676" s="412"/>
      <c r="AW676" s="399"/>
      <c r="AX676" s="72"/>
      <c r="AY676" s="398"/>
      <c r="AZ676" s="400"/>
      <c r="BA676" s="72"/>
      <c r="BB676" s="404"/>
      <c r="BC676" s="404"/>
      <c r="BD676" s="404"/>
      <c r="BE676" s="404"/>
      <c r="BF676" s="404"/>
      <c r="BG676" s="404"/>
      <c r="BH676" s="403"/>
      <c r="BI676" s="403"/>
      <c r="BJ676" s="403"/>
      <c r="BK676" s="402"/>
      <c r="BL676" s="402"/>
      <c r="BM676" s="402"/>
      <c r="BN676" s="401"/>
      <c r="BO676" s="400"/>
      <c r="BP676" s="400"/>
      <c r="BQ676" s="400"/>
      <c r="BR676" s="72"/>
      <c r="BS676" s="411"/>
    </row>
    <row r="677" spans="1:71" ht="15" customHeight="1" x14ac:dyDescent="0.15">
      <c r="A677" s="419"/>
      <c r="B677" s="405"/>
      <c r="C677" s="405"/>
      <c r="D677" s="405"/>
      <c r="E677" s="405"/>
      <c r="F677" s="420"/>
      <c r="G677" s="421"/>
      <c r="H677" s="442"/>
      <c r="I677" s="406"/>
      <c r="J677" s="407"/>
      <c r="K677" s="408"/>
      <c r="L677" s="409"/>
      <c r="M677" s="409"/>
      <c r="N677" s="410" t="str">
        <f t="shared" si="22"/>
        <v>CAT à compléter</v>
      </c>
      <c r="O677" s="739"/>
      <c r="P677" s="863"/>
      <c r="Q677" s="730" t="str">
        <f t="shared" si="23"/>
        <v>CAT à compléter</v>
      </c>
      <c r="R677" s="740"/>
      <c r="S677" s="740"/>
      <c r="T677" s="740"/>
      <c r="U677" s="740"/>
      <c r="V677" s="740"/>
      <c r="W677" s="740"/>
      <c r="X677" s="740"/>
      <c r="Y677" s="740"/>
      <c r="Z677" s="740"/>
      <c r="AA677" s="740"/>
      <c r="AB677" s="423"/>
      <c r="AC677" s="418"/>
      <c r="AD677" s="418"/>
      <c r="AE677" s="418"/>
      <c r="AF677" s="422"/>
      <c r="AG677" s="425"/>
      <c r="AH677" s="417"/>
      <c r="AI677" s="415"/>
      <c r="AJ677" s="415"/>
      <c r="AK677" s="428"/>
      <c r="AL677" s="397"/>
      <c r="AM677" s="416"/>
      <c r="AN677" s="412"/>
      <c r="AO677" s="72"/>
      <c r="AP677" s="414"/>
      <c r="AQ677" s="430"/>
      <c r="AR677" s="400"/>
      <c r="AS677" s="413"/>
      <c r="AT677" s="413"/>
      <c r="AU677" s="412"/>
      <c r="AV677" s="412"/>
      <c r="AW677" s="399"/>
      <c r="AX677" s="72"/>
      <c r="AY677" s="398"/>
      <c r="AZ677" s="400"/>
      <c r="BA677" s="72"/>
      <c r="BB677" s="404"/>
      <c r="BC677" s="404"/>
      <c r="BD677" s="404"/>
      <c r="BE677" s="404"/>
      <c r="BF677" s="404"/>
      <c r="BG677" s="404"/>
      <c r="BH677" s="403"/>
      <c r="BI677" s="403"/>
      <c r="BJ677" s="403"/>
      <c r="BK677" s="402"/>
      <c r="BL677" s="402"/>
      <c r="BM677" s="402"/>
      <c r="BN677" s="401"/>
      <c r="BO677" s="400"/>
      <c r="BP677" s="400"/>
      <c r="BQ677" s="400"/>
      <c r="BR677" s="72"/>
      <c r="BS677" s="411"/>
    </row>
    <row r="678" spans="1:71" ht="15" customHeight="1" x14ac:dyDescent="0.15">
      <c r="A678" s="419"/>
      <c r="B678" s="405"/>
      <c r="C678" s="405"/>
      <c r="D678" s="405"/>
      <c r="E678" s="405"/>
      <c r="F678" s="420"/>
      <c r="G678" s="421"/>
      <c r="H678" s="442"/>
      <c r="I678" s="406"/>
      <c r="J678" s="407"/>
      <c r="K678" s="408"/>
      <c r="L678" s="409"/>
      <c r="M678" s="409"/>
      <c r="N678" s="410" t="str">
        <f t="shared" si="22"/>
        <v>CAT à compléter</v>
      </c>
      <c r="O678" s="739"/>
      <c r="P678" s="863"/>
      <c r="Q678" s="730" t="str">
        <f t="shared" si="23"/>
        <v>CAT à compléter</v>
      </c>
      <c r="R678" s="740"/>
      <c r="S678" s="740"/>
      <c r="T678" s="740"/>
      <c r="U678" s="740"/>
      <c r="V678" s="740"/>
      <c r="W678" s="740"/>
      <c r="X678" s="740"/>
      <c r="Y678" s="740"/>
      <c r="Z678" s="740"/>
      <c r="AA678" s="740"/>
      <c r="AB678" s="423"/>
      <c r="AC678" s="418"/>
      <c r="AD678" s="418"/>
      <c r="AE678" s="418"/>
      <c r="AF678" s="422"/>
      <c r="AG678" s="425"/>
      <c r="AH678" s="417"/>
      <c r="AI678" s="415"/>
      <c r="AJ678" s="415"/>
      <c r="AK678" s="428"/>
      <c r="AL678" s="397"/>
      <c r="AM678" s="416"/>
      <c r="AN678" s="412"/>
      <c r="AO678" s="72"/>
      <c r="AP678" s="414"/>
      <c r="AQ678" s="430"/>
      <c r="AR678" s="400"/>
      <c r="AS678" s="413"/>
      <c r="AT678" s="413"/>
      <c r="AU678" s="412"/>
      <c r="AV678" s="412"/>
      <c r="AW678" s="399"/>
      <c r="AX678" s="72"/>
      <c r="AY678" s="398"/>
      <c r="AZ678" s="400"/>
      <c r="BA678" s="72"/>
      <c r="BB678" s="404"/>
      <c r="BC678" s="404"/>
      <c r="BD678" s="404"/>
      <c r="BE678" s="404"/>
      <c r="BF678" s="404"/>
      <c r="BG678" s="404"/>
      <c r="BH678" s="403"/>
      <c r="BI678" s="403"/>
      <c r="BJ678" s="403"/>
      <c r="BK678" s="402"/>
      <c r="BL678" s="402"/>
      <c r="BM678" s="402"/>
      <c r="BN678" s="401"/>
      <c r="BO678" s="400"/>
      <c r="BP678" s="400"/>
      <c r="BQ678" s="400"/>
      <c r="BR678" s="72"/>
      <c r="BS678" s="411"/>
    </row>
    <row r="679" spans="1:71" ht="15" customHeight="1" x14ac:dyDescent="0.15">
      <c r="A679" s="419"/>
      <c r="B679" s="405"/>
      <c r="C679" s="405"/>
      <c r="D679" s="405"/>
      <c r="E679" s="405"/>
      <c r="F679" s="420"/>
      <c r="G679" s="421"/>
      <c r="H679" s="442"/>
      <c r="I679" s="406"/>
      <c r="J679" s="407"/>
      <c r="K679" s="408"/>
      <c r="L679" s="409"/>
      <c r="M679" s="409"/>
      <c r="N679" s="410" t="str">
        <f t="shared" si="22"/>
        <v>CAT à compléter</v>
      </c>
      <c r="O679" s="739"/>
      <c r="P679" s="863"/>
      <c r="Q679" s="730" t="str">
        <f t="shared" si="23"/>
        <v>CAT à compléter</v>
      </c>
      <c r="R679" s="740"/>
      <c r="S679" s="740"/>
      <c r="T679" s="740"/>
      <c r="U679" s="740"/>
      <c r="V679" s="740"/>
      <c r="W679" s="740"/>
      <c r="X679" s="740"/>
      <c r="Y679" s="740"/>
      <c r="Z679" s="740"/>
      <c r="AA679" s="740"/>
      <c r="AB679" s="423"/>
      <c r="AC679" s="418"/>
      <c r="AD679" s="418"/>
      <c r="AE679" s="418"/>
      <c r="AF679" s="422"/>
      <c r="AG679" s="425"/>
      <c r="AH679" s="417"/>
      <c r="AI679" s="415"/>
      <c r="AJ679" s="415"/>
      <c r="AK679" s="428"/>
      <c r="AL679" s="397"/>
      <c r="AM679" s="416"/>
      <c r="AN679" s="412"/>
      <c r="AO679" s="72"/>
      <c r="AP679" s="414"/>
      <c r="AQ679" s="430"/>
      <c r="AR679" s="400"/>
      <c r="AS679" s="413"/>
      <c r="AT679" s="413"/>
      <c r="AU679" s="412"/>
      <c r="AV679" s="412"/>
      <c r="AW679" s="399"/>
      <c r="AX679" s="72"/>
      <c r="AY679" s="398"/>
      <c r="AZ679" s="400"/>
      <c r="BA679" s="72"/>
      <c r="BB679" s="404"/>
      <c r="BC679" s="404"/>
      <c r="BD679" s="404"/>
      <c r="BE679" s="404"/>
      <c r="BF679" s="404"/>
      <c r="BG679" s="404"/>
      <c r="BH679" s="403"/>
      <c r="BI679" s="403"/>
      <c r="BJ679" s="403"/>
      <c r="BK679" s="402"/>
      <c r="BL679" s="402"/>
      <c r="BM679" s="402"/>
      <c r="BN679" s="401"/>
      <c r="BO679" s="400"/>
      <c r="BP679" s="400"/>
      <c r="BQ679" s="400"/>
      <c r="BR679" s="72"/>
      <c r="BS679" s="411"/>
    </row>
    <row r="680" spans="1:71" ht="15" customHeight="1" x14ac:dyDescent="0.15">
      <c r="A680" s="419"/>
      <c r="B680" s="405"/>
      <c r="C680" s="405"/>
      <c r="D680" s="405"/>
      <c r="E680" s="405"/>
      <c r="F680" s="420"/>
      <c r="G680" s="421"/>
      <c r="H680" s="442"/>
      <c r="I680" s="406"/>
      <c r="J680" s="407"/>
      <c r="K680" s="408"/>
      <c r="L680" s="409"/>
      <c r="M680" s="409"/>
      <c r="N680" s="410" t="str">
        <f t="shared" si="22"/>
        <v>CAT à compléter</v>
      </c>
      <c r="O680" s="739"/>
      <c r="P680" s="863"/>
      <c r="Q680" s="730" t="str">
        <f t="shared" si="23"/>
        <v>CAT à compléter</v>
      </c>
      <c r="R680" s="740"/>
      <c r="S680" s="740"/>
      <c r="T680" s="740"/>
      <c r="U680" s="740"/>
      <c r="V680" s="740"/>
      <c r="W680" s="740"/>
      <c r="X680" s="740"/>
      <c r="Y680" s="740"/>
      <c r="Z680" s="740"/>
      <c r="AA680" s="740"/>
      <c r="AB680" s="423"/>
      <c r="AC680" s="418"/>
      <c r="AD680" s="418"/>
      <c r="AE680" s="418"/>
      <c r="AF680" s="422"/>
      <c r="AG680" s="425"/>
      <c r="AH680" s="417"/>
      <c r="AI680" s="415"/>
      <c r="AJ680" s="415"/>
      <c r="AK680" s="428"/>
      <c r="AL680" s="397"/>
      <c r="AM680" s="416"/>
      <c r="AN680" s="412"/>
      <c r="AO680" s="72"/>
      <c r="AP680" s="414"/>
      <c r="AQ680" s="430"/>
      <c r="AR680" s="400"/>
      <c r="AS680" s="413"/>
      <c r="AT680" s="413"/>
      <c r="AU680" s="412"/>
      <c r="AV680" s="412"/>
      <c r="AW680" s="399"/>
      <c r="AX680" s="72"/>
      <c r="AY680" s="398"/>
      <c r="AZ680" s="400"/>
      <c r="BA680" s="72"/>
      <c r="BB680" s="404"/>
      <c r="BC680" s="404"/>
      <c r="BD680" s="404"/>
      <c r="BE680" s="404"/>
      <c r="BF680" s="404"/>
      <c r="BG680" s="404"/>
      <c r="BH680" s="403"/>
      <c r="BI680" s="403"/>
      <c r="BJ680" s="403"/>
      <c r="BK680" s="402"/>
      <c r="BL680" s="402"/>
      <c r="BM680" s="402"/>
      <c r="BN680" s="401"/>
      <c r="BO680" s="400"/>
      <c r="BP680" s="400"/>
      <c r="BQ680" s="400"/>
      <c r="BR680" s="72"/>
      <c r="BS680" s="411"/>
    </row>
    <row r="681" spans="1:71" ht="15" customHeight="1" x14ac:dyDescent="0.15">
      <c r="A681" s="419"/>
      <c r="B681" s="405"/>
      <c r="C681" s="405"/>
      <c r="D681" s="405"/>
      <c r="E681" s="405"/>
      <c r="F681" s="420"/>
      <c r="G681" s="421"/>
      <c r="H681" s="442"/>
      <c r="I681" s="406"/>
      <c r="J681" s="407"/>
      <c r="K681" s="408"/>
      <c r="L681" s="409"/>
      <c r="M681" s="409"/>
      <c r="N681" s="410" t="str">
        <f t="shared" si="22"/>
        <v>CAT à compléter</v>
      </c>
      <c r="O681" s="739"/>
      <c r="P681" s="863"/>
      <c r="Q681" s="730" t="str">
        <f t="shared" si="23"/>
        <v>CAT à compléter</v>
      </c>
      <c r="R681" s="740"/>
      <c r="S681" s="740"/>
      <c r="T681" s="740"/>
      <c r="U681" s="740"/>
      <c r="V681" s="740"/>
      <c r="W681" s="740"/>
      <c r="X681" s="740"/>
      <c r="Y681" s="740"/>
      <c r="Z681" s="740"/>
      <c r="AA681" s="740"/>
      <c r="AB681" s="423"/>
      <c r="AC681" s="418"/>
      <c r="AD681" s="418"/>
      <c r="AE681" s="418"/>
      <c r="AF681" s="422"/>
      <c r="AG681" s="425"/>
      <c r="AH681" s="417"/>
      <c r="AI681" s="415"/>
      <c r="AJ681" s="415"/>
      <c r="AK681" s="428"/>
      <c r="AL681" s="397"/>
      <c r="AM681" s="416"/>
      <c r="AN681" s="412"/>
      <c r="AO681" s="72"/>
      <c r="AP681" s="414"/>
      <c r="AQ681" s="430"/>
      <c r="AR681" s="400"/>
      <c r="AS681" s="413"/>
      <c r="AT681" s="413"/>
      <c r="AU681" s="412"/>
      <c r="AV681" s="412"/>
      <c r="AW681" s="399"/>
      <c r="AX681" s="72"/>
      <c r="AY681" s="398"/>
      <c r="AZ681" s="400"/>
      <c r="BA681" s="72"/>
      <c r="BB681" s="404"/>
      <c r="BC681" s="404"/>
      <c r="BD681" s="404"/>
      <c r="BE681" s="404"/>
      <c r="BF681" s="404"/>
      <c r="BG681" s="404"/>
      <c r="BH681" s="403"/>
      <c r="BI681" s="403"/>
      <c r="BJ681" s="403"/>
      <c r="BK681" s="402"/>
      <c r="BL681" s="402"/>
      <c r="BM681" s="402"/>
      <c r="BN681" s="401"/>
      <c r="BO681" s="400"/>
      <c r="BP681" s="400"/>
      <c r="BQ681" s="400"/>
      <c r="BR681" s="72"/>
      <c r="BS681" s="411"/>
    </row>
    <row r="682" spans="1:71" ht="15" customHeight="1" x14ac:dyDescent="0.15">
      <c r="A682" s="419"/>
      <c r="B682" s="405"/>
      <c r="C682" s="405"/>
      <c r="D682" s="405"/>
      <c r="E682" s="405"/>
      <c r="F682" s="420"/>
      <c r="G682" s="421"/>
      <c r="H682" s="442"/>
      <c r="I682" s="406"/>
      <c r="J682" s="407"/>
      <c r="K682" s="408"/>
      <c r="L682" s="409"/>
      <c r="M682" s="409"/>
      <c r="N682" s="410" t="str">
        <f t="shared" si="22"/>
        <v>CAT à compléter</v>
      </c>
      <c r="O682" s="739"/>
      <c r="P682" s="863"/>
      <c r="Q682" s="730" t="str">
        <f t="shared" si="23"/>
        <v>CAT à compléter</v>
      </c>
      <c r="R682" s="740"/>
      <c r="S682" s="740"/>
      <c r="T682" s="740"/>
      <c r="U682" s="740"/>
      <c r="V682" s="740"/>
      <c r="W682" s="740"/>
      <c r="X682" s="740"/>
      <c r="Y682" s="740"/>
      <c r="Z682" s="740"/>
      <c r="AA682" s="740"/>
      <c r="AB682" s="423"/>
      <c r="AC682" s="418"/>
      <c r="AD682" s="418"/>
      <c r="AE682" s="418"/>
      <c r="AF682" s="422"/>
      <c r="AG682" s="425"/>
      <c r="AH682" s="417"/>
      <c r="AI682" s="415"/>
      <c r="AJ682" s="415"/>
      <c r="AK682" s="428"/>
      <c r="AL682" s="397"/>
      <c r="AM682" s="416"/>
      <c r="AN682" s="412"/>
      <c r="AO682" s="72"/>
      <c r="AP682" s="414"/>
      <c r="AQ682" s="430"/>
      <c r="AR682" s="400"/>
      <c r="AS682" s="413"/>
      <c r="AT682" s="413"/>
      <c r="AU682" s="412"/>
      <c r="AV682" s="412"/>
      <c r="AW682" s="399"/>
      <c r="AX682" s="72"/>
      <c r="AY682" s="398"/>
      <c r="AZ682" s="400"/>
      <c r="BA682" s="72"/>
      <c r="BB682" s="404"/>
      <c r="BC682" s="404"/>
      <c r="BD682" s="404"/>
      <c r="BE682" s="404"/>
      <c r="BF682" s="404"/>
      <c r="BG682" s="404"/>
      <c r="BH682" s="403"/>
      <c r="BI682" s="403"/>
      <c r="BJ682" s="403"/>
      <c r="BK682" s="402"/>
      <c r="BL682" s="402"/>
      <c r="BM682" s="402"/>
      <c r="BN682" s="401"/>
      <c r="BO682" s="400"/>
      <c r="BP682" s="400"/>
      <c r="BQ682" s="400"/>
      <c r="BR682" s="72"/>
      <c r="BS682" s="411"/>
    </row>
    <row r="683" spans="1:71" ht="15" customHeight="1" x14ac:dyDescent="0.15">
      <c r="A683" s="419"/>
      <c r="B683" s="405"/>
      <c r="C683" s="405"/>
      <c r="D683" s="405"/>
      <c r="E683" s="405"/>
      <c r="F683" s="420"/>
      <c r="G683" s="421"/>
      <c r="H683" s="442"/>
      <c r="I683" s="406"/>
      <c r="J683" s="407"/>
      <c r="K683" s="408"/>
      <c r="L683" s="409"/>
      <c r="M683" s="409"/>
      <c r="N683" s="410" t="str">
        <f t="shared" si="22"/>
        <v>CAT à compléter</v>
      </c>
      <c r="O683" s="739"/>
      <c r="P683" s="863"/>
      <c r="Q683" s="730" t="str">
        <f t="shared" si="23"/>
        <v>CAT à compléter</v>
      </c>
      <c r="R683" s="740"/>
      <c r="S683" s="740"/>
      <c r="T683" s="740"/>
      <c r="U683" s="740"/>
      <c r="V683" s="740"/>
      <c r="W683" s="740"/>
      <c r="X683" s="740"/>
      <c r="Y683" s="740"/>
      <c r="Z683" s="740"/>
      <c r="AA683" s="740"/>
      <c r="AB683" s="423"/>
      <c r="AC683" s="418"/>
      <c r="AD683" s="418"/>
      <c r="AE683" s="418"/>
      <c r="AF683" s="422"/>
      <c r="AG683" s="425"/>
      <c r="AH683" s="417"/>
      <c r="AI683" s="415"/>
      <c r="AJ683" s="415"/>
      <c r="AK683" s="428"/>
      <c r="AL683" s="397"/>
      <c r="AM683" s="416"/>
      <c r="AN683" s="412"/>
      <c r="AO683" s="72"/>
      <c r="AP683" s="414"/>
      <c r="AQ683" s="430"/>
      <c r="AR683" s="400"/>
      <c r="AS683" s="413"/>
      <c r="AT683" s="413"/>
      <c r="AU683" s="412"/>
      <c r="AV683" s="412"/>
      <c r="AW683" s="399"/>
      <c r="AX683" s="72"/>
      <c r="AY683" s="398"/>
      <c r="AZ683" s="400"/>
      <c r="BA683" s="72"/>
      <c r="BB683" s="404"/>
      <c r="BC683" s="404"/>
      <c r="BD683" s="404"/>
      <c r="BE683" s="404"/>
      <c r="BF683" s="404"/>
      <c r="BG683" s="404"/>
      <c r="BH683" s="403"/>
      <c r="BI683" s="403"/>
      <c r="BJ683" s="403"/>
      <c r="BK683" s="402"/>
      <c r="BL683" s="402"/>
      <c r="BM683" s="402"/>
      <c r="BN683" s="401"/>
      <c r="BO683" s="400"/>
      <c r="BP683" s="400"/>
      <c r="BQ683" s="400"/>
      <c r="BR683" s="72"/>
      <c r="BS683" s="411"/>
    </row>
    <row r="684" spans="1:71" ht="15" customHeight="1" x14ac:dyDescent="0.15">
      <c r="A684" s="419"/>
      <c r="B684" s="405"/>
      <c r="C684" s="405"/>
      <c r="D684" s="405"/>
      <c r="E684" s="405"/>
      <c r="F684" s="420"/>
      <c r="G684" s="421"/>
      <c r="H684" s="442"/>
      <c r="I684" s="406"/>
      <c r="J684" s="407"/>
      <c r="K684" s="408"/>
      <c r="L684" s="409"/>
      <c r="M684" s="409"/>
      <c r="N684" s="410" t="str">
        <f t="shared" si="22"/>
        <v>CAT à compléter</v>
      </c>
      <c r="O684" s="739"/>
      <c r="P684" s="863"/>
      <c r="Q684" s="730" t="str">
        <f t="shared" si="23"/>
        <v>CAT à compléter</v>
      </c>
      <c r="R684" s="740"/>
      <c r="S684" s="740"/>
      <c r="T684" s="740"/>
      <c r="U684" s="740"/>
      <c r="V684" s="740"/>
      <c r="W684" s="740"/>
      <c r="X684" s="740"/>
      <c r="Y684" s="740"/>
      <c r="Z684" s="740"/>
      <c r="AA684" s="740"/>
      <c r="AB684" s="423"/>
      <c r="AC684" s="418"/>
      <c r="AD684" s="418"/>
      <c r="AE684" s="418"/>
      <c r="AF684" s="422"/>
      <c r="AG684" s="425"/>
      <c r="AH684" s="417"/>
      <c r="AI684" s="415"/>
      <c r="AJ684" s="415"/>
      <c r="AK684" s="428"/>
      <c r="AL684" s="397"/>
      <c r="AM684" s="416"/>
      <c r="AN684" s="412"/>
      <c r="AO684" s="72"/>
      <c r="AP684" s="414"/>
      <c r="AQ684" s="430"/>
      <c r="AR684" s="400"/>
      <c r="AS684" s="413"/>
      <c r="AT684" s="413"/>
      <c r="AU684" s="412"/>
      <c r="AV684" s="412"/>
      <c r="AW684" s="399"/>
      <c r="AX684" s="72"/>
      <c r="AY684" s="398"/>
      <c r="AZ684" s="400"/>
      <c r="BA684" s="72"/>
      <c r="BB684" s="404"/>
      <c r="BC684" s="404"/>
      <c r="BD684" s="404"/>
      <c r="BE684" s="404"/>
      <c r="BF684" s="404"/>
      <c r="BG684" s="404"/>
      <c r="BH684" s="403"/>
      <c r="BI684" s="403"/>
      <c r="BJ684" s="403"/>
      <c r="BK684" s="402"/>
      <c r="BL684" s="402"/>
      <c r="BM684" s="402"/>
      <c r="BN684" s="401"/>
      <c r="BO684" s="400"/>
      <c r="BP684" s="400"/>
      <c r="BQ684" s="400"/>
      <c r="BR684" s="72"/>
      <c r="BS684" s="411"/>
    </row>
    <row r="685" spans="1:71" ht="15" customHeight="1" x14ac:dyDescent="0.15">
      <c r="A685" s="419"/>
      <c r="B685" s="405"/>
      <c r="C685" s="405"/>
      <c r="D685" s="405"/>
      <c r="E685" s="405"/>
      <c r="F685" s="420"/>
      <c r="G685" s="421"/>
      <c r="H685" s="442"/>
      <c r="I685" s="406"/>
      <c r="J685" s="407"/>
      <c r="K685" s="408"/>
      <c r="L685" s="409"/>
      <c r="M685" s="409"/>
      <c r="N685" s="410" t="str">
        <f t="shared" si="22"/>
        <v>CAT à compléter</v>
      </c>
      <c r="O685" s="739"/>
      <c r="P685" s="863"/>
      <c r="Q685" s="730" t="str">
        <f t="shared" si="23"/>
        <v>CAT à compléter</v>
      </c>
      <c r="R685" s="740"/>
      <c r="S685" s="740"/>
      <c r="T685" s="740"/>
      <c r="U685" s="740"/>
      <c r="V685" s="740"/>
      <c r="W685" s="740"/>
      <c r="X685" s="740"/>
      <c r="Y685" s="740"/>
      <c r="Z685" s="740"/>
      <c r="AA685" s="740"/>
      <c r="AB685" s="423"/>
      <c r="AC685" s="418"/>
      <c r="AD685" s="418"/>
      <c r="AE685" s="418"/>
      <c r="AF685" s="422"/>
      <c r="AG685" s="425"/>
      <c r="AH685" s="417"/>
      <c r="AI685" s="415"/>
      <c r="AJ685" s="415"/>
      <c r="AK685" s="428"/>
      <c r="AL685" s="397"/>
      <c r="AM685" s="416"/>
      <c r="AN685" s="412"/>
      <c r="AO685" s="72"/>
      <c r="AP685" s="414"/>
      <c r="AQ685" s="430"/>
      <c r="AR685" s="400"/>
      <c r="AS685" s="413"/>
      <c r="AT685" s="413"/>
      <c r="AU685" s="412"/>
      <c r="AV685" s="412"/>
      <c r="AW685" s="399"/>
      <c r="AX685" s="72"/>
      <c r="AY685" s="398"/>
      <c r="AZ685" s="400"/>
      <c r="BA685" s="72"/>
      <c r="BB685" s="404"/>
      <c r="BC685" s="404"/>
      <c r="BD685" s="404"/>
      <c r="BE685" s="404"/>
      <c r="BF685" s="404"/>
      <c r="BG685" s="404"/>
      <c r="BH685" s="403"/>
      <c r="BI685" s="403"/>
      <c r="BJ685" s="403"/>
      <c r="BK685" s="402"/>
      <c r="BL685" s="402"/>
      <c r="BM685" s="402"/>
      <c r="BN685" s="401"/>
      <c r="BO685" s="400"/>
      <c r="BP685" s="400"/>
      <c r="BQ685" s="400"/>
      <c r="BR685" s="72"/>
      <c r="BS685" s="411"/>
    </row>
    <row r="686" spans="1:71" ht="15" customHeight="1" x14ac:dyDescent="0.15">
      <c r="A686" s="419"/>
      <c r="B686" s="405"/>
      <c r="C686" s="405"/>
      <c r="D686" s="405"/>
      <c r="E686" s="405"/>
      <c r="F686" s="420"/>
      <c r="G686" s="421"/>
      <c r="H686" s="442"/>
      <c r="I686" s="406"/>
      <c r="J686" s="407"/>
      <c r="K686" s="408"/>
      <c r="L686" s="409"/>
      <c r="M686" s="409"/>
      <c r="N686" s="410" t="str">
        <f t="shared" si="22"/>
        <v>CAT à compléter</v>
      </c>
      <c r="O686" s="739"/>
      <c r="P686" s="863"/>
      <c r="Q686" s="730" t="str">
        <f t="shared" si="23"/>
        <v>CAT à compléter</v>
      </c>
      <c r="R686" s="740"/>
      <c r="S686" s="740"/>
      <c r="T686" s="740"/>
      <c r="U686" s="740"/>
      <c r="V686" s="740"/>
      <c r="W686" s="740"/>
      <c r="X686" s="740"/>
      <c r="Y686" s="740"/>
      <c r="Z686" s="740"/>
      <c r="AA686" s="740"/>
      <c r="AB686" s="423"/>
      <c r="AC686" s="418"/>
      <c r="AD686" s="418"/>
      <c r="AE686" s="418"/>
      <c r="AF686" s="422"/>
      <c r="AG686" s="425"/>
      <c r="AH686" s="417"/>
      <c r="AI686" s="415"/>
      <c r="AJ686" s="415"/>
      <c r="AK686" s="428"/>
      <c r="AL686" s="397"/>
      <c r="AM686" s="416"/>
      <c r="AN686" s="412"/>
      <c r="AO686" s="72"/>
      <c r="AP686" s="414"/>
      <c r="AQ686" s="430"/>
      <c r="AR686" s="400"/>
      <c r="AS686" s="413"/>
      <c r="AT686" s="413"/>
      <c r="AU686" s="412"/>
      <c r="AV686" s="412"/>
      <c r="AW686" s="399"/>
      <c r="AX686" s="72"/>
      <c r="AY686" s="398"/>
      <c r="AZ686" s="400"/>
      <c r="BA686" s="72"/>
      <c r="BB686" s="404"/>
      <c r="BC686" s="404"/>
      <c r="BD686" s="404"/>
      <c r="BE686" s="404"/>
      <c r="BF686" s="404"/>
      <c r="BG686" s="404"/>
      <c r="BH686" s="403"/>
      <c r="BI686" s="403"/>
      <c r="BJ686" s="403"/>
      <c r="BK686" s="402"/>
      <c r="BL686" s="402"/>
      <c r="BM686" s="402"/>
      <c r="BN686" s="401"/>
      <c r="BO686" s="400"/>
      <c r="BP686" s="400"/>
      <c r="BQ686" s="400"/>
      <c r="BR686" s="72"/>
      <c r="BS686" s="411"/>
    </row>
    <row r="687" spans="1:71" ht="15" customHeight="1" x14ac:dyDescent="0.15">
      <c r="A687" s="419"/>
      <c r="B687" s="405"/>
      <c r="C687" s="405"/>
      <c r="D687" s="405"/>
      <c r="E687" s="405"/>
      <c r="F687" s="420"/>
      <c r="G687" s="421"/>
      <c r="H687" s="442"/>
      <c r="I687" s="406"/>
      <c r="J687" s="407"/>
      <c r="K687" s="408"/>
      <c r="L687" s="409"/>
      <c r="M687" s="409"/>
      <c r="N687" s="410" t="str">
        <f t="shared" si="22"/>
        <v>CAT à compléter</v>
      </c>
      <c r="O687" s="739"/>
      <c r="P687" s="863"/>
      <c r="Q687" s="730" t="str">
        <f t="shared" si="23"/>
        <v>CAT à compléter</v>
      </c>
      <c r="R687" s="740"/>
      <c r="S687" s="740"/>
      <c r="T687" s="740"/>
      <c r="U687" s="740"/>
      <c r="V687" s="740"/>
      <c r="W687" s="740"/>
      <c r="X687" s="740"/>
      <c r="Y687" s="740"/>
      <c r="Z687" s="740"/>
      <c r="AA687" s="740"/>
      <c r="AB687" s="423"/>
      <c r="AC687" s="418"/>
      <c r="AD687" s="418"/>
      <c r="AE687" s="418"/>
      <c r="AF687" s="422"/>
      <c r="AG687" s="425"/>
      <c r="AH687" s="417"/>
      <c r="AI687" s="415"/>
      <c r="AJ687" s="415"/>
      <c r="AK687" s="428"/>
      <c r="AL687" s="397"/>
      <c r="AM687" s="416"/>
      <c r="AN687" s="412"/>
      <c r="AO687" s="72"/>
      <c r="AP687" s="414"/>
      <c r="AQ687" s="430"/>
      <c r="AR687" s="400"/>
      <c r="AS687" s="413"/>
      <c r="AT687" s="413"/>
      <c r="AU687" s="412"/>
      <c r="AV687" s="412"/>
      <c r="AW687" s="399"/>
      <c r="AX687" s="72"/>
      <c r="AY687" s="398"/>
      <c r="AZ687" s="400"/>
      <c r="BA687" s="72"/>
      <c r="BB687" s="404"/>
      <c r="BC687" s="404"/>
      <c r="BD687" s="404"/>
      <c r="BE687" s="404"/>
      <c r="BF687" s="404"/>
      <c r="BG687" s="404"/>
      <c r="BH687" s="403"/>
      <c r="BI687" s="403"/>
      <c r="BJ687" s="403"/>
      <c r="BK687" s="402"/>
      <c r="BL687" s="402"/>
      <c r="BM687" s="402"/>
      <c r="BN687" s="401"/>
      <c r="BO687" s="400"/>
      <c r="BP687" s="400"/>
      <c r="BQ687" s="400"/>
      <c r="BR687" s="72"/>
      <c r="BS687" s="411"/>
    </row>
    <row r="688" spans="1:71" ht="15" customHeight="1" x14ac:dyDescent="0.15">
      <c r="A688" s="419"/>
      <c r="B688" s="405"/>
      <c r="C688" s="405"/>
      <c r="D688" s="405"/>
      <c r="E688" s="405"/>
      <c r="F688" s="420"/>
      <c r="G688" s="421"/>
      <c r="H688" s="442"/>
      <c r="I688" s="406"/>
      <c r="J688" s="407"/>
      <c r="K688" s="408"/>
      <c r="L688" s="409"/>
      <c r="M688" s="409"/>
      <c r="N688" s="410" t="str">
        <f t="shared" si="22"/>
        <v>CAT à compléter</v>
      </c>
      <c r="O688" s="739"/>
      <c r="P688" s="863"/>
      <c r="Q688" s="730" t="str">
        <f t="shared" si="23"/>
        <v>CAT à compléter</v>
      </c>
      <c r="R688" s="740"/>
      <c r="S688" s="740"/>
      <c r="T688" s="740"/>
      <c r="U688" s="740"/>
      <c r="V688" s="740"/>
      <c r="W688" s="740"/>
      <c r="X688" s="740"/>
      <c r="Y688" s="740"/>
      <c r="Z688" s="740"/>
      <c r="AA688" s="740"/>
      <c r="AB688" s="423"/>
      <c r="AC688" s="418"/>
      <c r="AD688" s="418"/>
      <c r="AE688" s="418"/>
      <c r="AF688" s="422"/>
      <c r="AG688" s="425"/>
      <c r="AH688" s="417"/>
      <c r="AI688" s="415"/>
      <c r="AJ688" s="415"/>
      <c r="AK688" s="428"/>
      <c r="AL688" s="397"/>
      <c r="AM688" s="416"/>
      <c r="AN688" s="412"/>
      <c r="AO688" s="72"/>
      <c r="AP688" s="414"/>
      <c r="AQ688" s="430"/>
      <c r="AR688" s="400"/>
      <c r="AS688" s="413"/>
      <c r="AT688" s="413"/>
      <c r="AU688" s="412"/>
      <c r="AV688" s="412"/>
      <c r="AW688" s="399"/>
      <c r="AX688" s="72"/>
      <c r="AY688" s="398"/>
      <c r="AZ688" s="400"/>
      <c r="BA688" s="72"/>
      <c r="BB688" s="404"/>
      <c r="BC688" s="404"/>
      <c r="BD688" s="404"/>
      <c r="BE688" s="404"/>
      <c r="BF688" s="404"/>
      <c r="BG688" s="404"/>
      <c r="BH688" s="403"/>
      <c r="BI688" s="403"/>
      <c r="BJ688" s="403"/>
      <c r="BK688" s="402"/>
      <c r="BL688" s="402"/>
      <c r="BM688" s="402"/>
      <c r="BN688" s="401"/>
      <c r="BO688" s="400"/>
      <c r="BP688" s="400"/>
      <c r="BQ688" s="400"/>
      <c r="BR688" s="72"/>
      <c r="BS688" s="411"/>
    </row>
    <row r="689" spans="1:71" ht="15" customHeight="1" x14ac:dyDescent="0.15">
      <c r="A689" s="419"/>
      <c r="B689" s="405"/>
      <c r="C689" s="405"/>
      <c r="D689" s="405"/>
      <c r="E689" s="405"/>
      <c r="F689" s="420"/>
      <c r="G689" s="421"/>
      <c r="H689" s="442"/>
      <c r="I689" s="406"/>
      <c r="J689" s="407"/>
      <c r="K689" s="408"/>
      <c r="L689" s="409"/>
      <c r="M689" s="409"/>
      <c r="N689" s="410" t="str">
        <f t="shared" si="22"/>
        <v>CAT à compléter</v>
      </c>
      <c r="O689" s="739"/>
      <c r="P689" s="863"/>
      <c r="Q689" s="730" t="str">
        <f t="shared" si="23"/>
        <v>CAT à compléter</v>
      </c>
      <c r="R689" s="740"/>
      <c r="S689" s="740"/>
      <c r="T689" s="740"/>
      <c r="U689" s="740"/>
      <c r="V689" s="740"/>
      <c r="W689" s="740"/>
      <c r="X689" s="740"/>
      <c r="Y689" s="740"/>
      <c r="Z689" s="740"/>
      <c r="AA689" s="740"/>
      <c r="AB689" s="423"/>
      <c r="AC689" s="418"/>
      <c r="AD689" s="418"/>
      <c r="AE689" s="418"/>
      <c r="AF689" s="422"/>
      <c r="AG689" s="425"/>
      <c r="AH689" s="417"/>
      <c r="AI689" s="415"/>
      <c r="AJ689" s="415"/>
      <c r="AK689" s="428"/>
      <c r="AL689" s="397"/>
      <c r="AM689" s="416"/>
      <c r="AN689" s="412"/>
      <c r="AO689" s="72"/>
      <c r="AP689" s="414"/>
      <c r="AQ689" s="430"/>
      <c r="AR689" s="400"/>
      <c r="AS689" s="413"/>
      <c r="AT689" s="413"/>
      <c r="AU689" s="412"/>
      <c r="AV689" s="412"/>
      <c r="AW689" s="399"/>
      <c r="AX689" s="72"/>
      <c r="AY689" s="398"/>
      <c r="AZ689" s="400"/>
      <c r="BA689" s="72"/>
      <c r="BB689" s="404"/>
      <c r="BC689" s="404"/>
      <c r="BD689" s="404"/>
      <c r="BE689" s="404"/>
      <c r="BF689" s="404"/>
      <c r="BG689" s="404"/>
      <c r="BH689" s="403"/>
      <c r="BI689" s="403"/>
      <c r="BJ689" s="403"/>
      <c r="BK689" s="402"/>
      <c r="BL689" s="402"/>
      <c r="BM689" s="402"/>
      <c r="BN689" s="401"/>
      <c r="BO689" s="400"/>
      <c r="BP689" s="400"/>
      <c r="BQ689" s="400"/>
      <c r="BR689" s="72"/>
      <c r="BS689" s="411"/>
    </row>
    <row r="690" spans="1:71" ht="15" customHeight="1" x14ac:dyDescent="0.15">
      <c r="A690" s="419"/>
      <c r="B690" s="405"/>
      <c r="C690" s="405"/>
      <c r="D690" s="405"/>
      <c r="E690" s="405"/>
      <c r="F690" s="420"/>
      <c r="G690" s="421"/>
      <c r="H690" s="442"/>
      <c r="I690" s="406"/>
      <c r="J690" s="407"/>
      <c r="K690" s="408"/>
      <c r="L690" s="409"/>
      <c r="M690" s="409"/>
      <c r="N690" s="410" t="str">
        <f t="shared" si="22"/>
        <v>CAT à compléter</v>
      </c>
      <c r="O690" s="739"/>
      <c r="P690" s="863"/>
      <c r="Q690" s="730" t="str">
        <f t="shared" si="23"/>
        <v>CAT à compléter</v>
      </c>
      <c r="R690" s="740"/>
      <c r="S690" s="740"/>
      <c r="T690" s="740"/>
      <c r="U690" s="740"/>
      <c r="V690" s="740"/>
      <c r="W690" s="740"/>
      <c r="X690" s="740"/>
      <c r="Y690" s="740"/>
      <c r="Z690" s="740"/>
      <c r="AA690" s="740"/>
      <c r="AB690" s="423"/>
      <c r="AC690" s="418"/>
      <c r="AD690" s="418"/>
      <c r="AE690" s="418"/>
      <c r="AF690" s="422"/>
      <c r="AG690" s="425"/>
      <c r="AH690" s="417"/>
      <c r="AI690" s="415"/>
      <c r="AJ690" s="415"/>
      <c r="AK690" s="428"/>
      <c r="AL690" s="397"/>
      <c r="AM690" s="416"/>
      <c r="AN690" s="412"/>
      <c r="AO690" s="72"/>
      <c r="AP690" s="414"/>
      <c r="AQ690" s="430"/>
      <c r="AR690" s="400"/>
      <c r="AS690" s="413"/>
      <c r="AT690" s="413"/>
      <c r="AU690" s="412"/>
      <c r="AV690" s="412"/>
      <c r="AW690" s="399"/>
      <c r="AX690" s="72"/>
      <c r="AY690" s="398"/>
      <c r="AZ690" s="400"/>
      <c r="BA690" s="72"/>
      <c r="BB690" s="404"/>
      <c r="BC690" s="404"/>
      <c r="BD690" s="404"/>
      <c r="BE690" s="404"/>
      <c r="BF690" s="404"/>
      <c r="BG690" s="404"/>
      <c r="BH690" s="403"/>
      <c r="BI690" s="403"/>
      <c r="BJ690" s="403"/>
      <c r="BK690" s="402"/>
      <c r="BL690" s="402"/>
      <c r="BM690" s="402"/>
      <c r="BN690" s="401"/>
      <c r="BO690" s="400"/>
      <c r="BP690" s="400"/>
      <c r="BQ690" s="400"/>
      <c r="BR690" s="72"/>
      <c r="BS690" s="411"/>
    </row>
    <row r="691" spans="1:71" ht="15" customHeight="1" x14ac:dyDescent="0.15">
      <c r="A691" s="419"/>
      <c r="B691" s="405"/>
      <c r="C691" s="405"/>
      <c r="D691" s="405"/>
      <c r="E691" s="405"/>
      <c r="F691" s="420"/>
      <c r="G691" s="421"/>
      <c r="H691" s="442"/>
      <c r="I691" s="406"/>
      <c r="J691" s="407"/>
      <c r="K691" s="408"/>
      <c r="L691" s="409"/>
      <c r="M691" s="409"/>
      <c r="N691" s="410" t="str">
        <f t="shared" si="22"/>
        <v>CAT à compléter</v>
      </c>
      <c r="O691" s="739"/>
      <c r="P691" s="863"/>
      <c r="Q691" s="730" t="str">
        <f t="shared" si="23"/>
        <v>CAT à compléter</v>
      </c>
      <c r="R691" s="740"/>
      <c r="S691" s="740"/>
      <c r="T691" s="740"/>
      <c r="U691" s="740"/>
      <c r="V691" s="740"/>
      <c r="W691" s="740"/>
      <c r="X691" s="740"/>
      <c r="Y691" s="740"/>
      <c r="Z691" s="740"/>
      <c r="AA691" s="740"/>
      <c r="AB691" s="423"/>
      <c r="AC691" s="418"/>
      <c r="AD691" s="418"/>
      <c r="AE691" s="418"/>
      <c r="AF691" s="422"/>
      <c r="AG691" s="425"/>
      <c r="AH691" s="417"/>
      <c r="AI691" s="415"/>
      <c r="AJ691" s="415"/>
      <c r="AK691" s="428"/>
      <c r="AL691" s="397"/>
      <c r="AM691" s="416"/>
      <c r="AN691" s="412"/>
      <c r="AO691" s="72"/>
      <c r="AP691" s="414"/>
      <c r="AQ691" s="430"/>
      <c r="AR691" s="400"/>
      <c r="AS691" s="413"/>
      <c r="AT691" s="413"/>
      <c r="AU691" s="412"/>
      <c r="AV691" s="412"/>
      <c r="AW691" s="399"/>
      <c r="AX691" s="72"/>
      <c r="AY691" s="398"/>
      <c r="AZ691" s="400"/>
      <c r="BA691" s="72"/>
      <c r="BB691" s="404"/>
      <c r="BC691" s="404"/>
      <c r="BD691" s="404"/>
      <c r="BE691" s="404"/>
      <c r="BF691" s="404"/>
      <c r="BG691" s="404"/>
      <c r="BH691" s="403"/>
      <c r="BI691" s="403"/>
      <c r="BJ691" s="403"/>
      <c r="BK691" s="402"/>
      <c r="BL691" s="402"/>
      <c r="BM691" s="402"/>
      <c r="BN691" s="401"/>
      <c r="BO691" s="400"/>
      <c r="BP691" s="400"/>
      <c r="BQ691" s="400"/>
      <c r="BR691" s="72"/>
      <c r="BS691" s="411"/>
    </row>
    <row r="692" spans="1:71" ht="15" customHeight="1" x14ac:dyDescent="0.15">
      <c r="A692" s="419"/>
      <c r="B692" s="405"/>
      <c r="C692" s="405"/>
      <c r="D692" s="405"/>
      <c r="E692" s="405"/>
      <c r="F692" s="420"/>
      <c r="G692" s="421"/>
      <c r="H692" s="442"/>
      <c r="I692" s="406"/>
      <c r="J692" s="407"/>
      <c r="K692" s="408"/>
      <c r="L692" s="409"/>
      <c r="M692" s="409"/>
      <c r="N692" s="410" t="str">
        <f t="shared" si="22"/>
        <v>CAT à compléter</v>
      </c>
      <c r="O692" s="739"/>
      <c r="P692" s="863"/>
      <c r="Q692" s="730" t="str">
        <f t="shared" si="23"/>
        <v>CAT à compléter</v>
      </c>
      <c r="R692" s="740"/>
      <c r="S692" s="740"/>
      <c r="T692" s="740"/>
      <c r="U692" s="740"/>
      <c r="V692" s="740"/>
      <c r="W692" s="740"/>
      <c r="X692" s="740"/>
      <c r="Y692" s="740"/>
      <c r="Z692" s="740"/>
      <c r="AA692" s="740"/>
      <c r="AB692" s="423"/>
      <c r="AC692" s="418"/>
      <c r="AD692" s="418"/>
      <c r="AE692" s="418"/>
      <c r="AF692" s="422"/>
      <c r="AG692" s="425"/>
      <c r="AH692" s="417"/>
      <c r="AI692" s="415"/>
      <c r="AJ692" s="415"/>
      <c r="AK692" s="428"/>
      <c r="AL692" s="397"/>
      <c r="AM692" s="416"/>
      <c r="AN692" s="412"/>
      <c r="AO692" s="72"/>
      <c r="AP692" s="414"/>
      <c r="AQ692" s="430"/>
      <c r="AR692" s="400"/>
      <c r="AS692" s="413"/>
      <c r="AT692" s="413"/>
      <c r="AU692" s="412"/>
      <c r="AV692" s="412"/>
      <c r="AW692" s="399"/>
      <c r="AX692" s="72"/>
      <c r="AY692" s="398"/>
      <c r="AZ692" s="400"/>
      <c r="BA692" s="72"/>
      <c r="BB692" s="404"/>
      <c r="BC692" s="404"/>
      <c r="BD692" s="404"/>
      <c r="BE692" s="404"/>
      <c r="BF692" s="404"/>
      <c r="BG692" s="404"/>
      <c r="BH692" s="403"/>
      <c r="BI692" s="403"/>
      <c r="BJ692" s="403"/>
      <c r="BK692" s="402"/>
      <c r="BL692" s="402"/>
      <c r="BM692" s="402"/>
      <c r="BN692" s="401"/>
      <c r="BO692" s="400"/>
      <c r="BP692" s="400"/>
      <c r="BQ692" s="400"/>
      <c r="BR692" s="72"/>
      <c r="BS692" s="411"/>
    </row>
    <row r="693" spans="1:71" ht="15" customHeight="1" x14ac:dyDescent="0.15">
      <c r="A693" s="419"/>
      <c r="B693" s="405"/>
      <c r="C693" s="405"/>
      <c r="D693" s="405"/>
      <c r="E693" s="405"/>
      <c r="F693" s="420"/>
      <c r="G693" s="421"/>
      <c r="H693" s="442"/>
      <c r="I693" s="406"/>
      <c r="J693" s="407"/>
      <c r="K693" s="408"/>
      <c r="L693" s="409"/>
      <c r="M693" s="409"/>
      <c r="N693" s="410" t="str">
        <f t="shared" si="22"/>
        <v>CAT à compléter</v>
      </c>
      <c r="O693" s="739"/>
      <c r="P693" s="863"/>
      <c r="Q693" s="730" t="str">
        <f t="shared" si="23"/>
        <v>CAT à compléter</v>
      </c>
      <c r="R693" s="740"/>
      <c r="S693" s="740"/>
      <c r="T693" s="740"/>
      <c r="U693" s="740"/>
      <c r="V693" s="740"/>
      <c r="W693" s="740"/>
      <c r="X693" s="740"/>
      <c r="Y693" s="740"/>
      <c r="Z693" s="740"/>
      <c r="AA693" s="740"/>
      <c r="AB693" s="423"/>
      <c r="AC693" s="418"/>
      <c r="AD693" s="418"/>
      <c r="AE693" s="418"/>
      <c r="AF693" s="422"/>
      <c r="AG693" s="425"/>
      <c r="AH693" s="417"/>
      <c r="AI693" s="415"/>
      <c r="AJ693" s="415"/>
      <c r="AK693" s="428"/>
      <c r="AL693" s="397"/>
      <c r="AM693" s="416"/>
      <c r="AN693" s="412"/>
      <c r="AO693" s="72"/>
      <c r="AP693" s="414"/>
      <c r="AQ693" s="430"/>
      <c r="AR693" s="400"/>
      <c r="AS693" s="413"/>
      <c r="AT693" s="413"/>
      <c r="AU693" s="412"/>
      <c r="AV693" s="412"/>
      <c r="AW693" s="399"/>
      <c r="AX693" s="72"/>
      <c r="AY693" s="398"/>
      <c r="AZ693" s="400"/>
      <c r="BA693" s="72"/>
      <c r="BB693" s="404"/>
      <c r="BC693" s="404"/>
      <c r="BD693" s="404"/>
      <c r="BE693" s="404"/>
      <c r="BF693" s="404"/>
      <c r="BG693" s="404"/>
      <c r="BH693" s="403"/>
      <c r="BI693" s="403"/>
      <c r="BJ693" s="403"/>
      <c r="BK693" s="402"/>
      <c r="BL693" s="402"/>
      <c r="BM693" s="402"/>
      <c r="BN693" s="401"/>
      <c r="BO693" s="400"/>
      <c r="BP693" s="400"/>
      <c r="BQ693" s="400"/>
      <c r="BR693" s="72"/>
      <c r="BS693" s="411"/>
    </row>
    <row r="694" spans="1:71" ht="15" customHeight="1" x14ac:dyDescent="0.15">
      <c r="A694" s="419"/>
      <c r="B694" s="405"/>
      <c r="C694" s="405"/>
      <c r="D694" s="405"/>
      <c r="E694" s="405"/>
      <c r="F694" s="420"/>
      <c r="G694" s="421"/>
      <c r="H694" s="442"/>
      <c r="I694" s="406"/>
      <c r="J694" s="407"/>
      <c r="K694" s="408"/>
      <c r="L694" s="409"/>
      <c r="M694" s="409"/>
      <c r="N694" s="410" t="str">
        <f t="shared" si="22"/>
        <v>CAT à compléter</v>
      </c>
      <c r="O694" s="739"/>
      <c r="P694" s="863"/>
      <c r="Q694" s="730" t="str">
        <f t="shared" si="23"/>
        <v>CAT à compléter</v>
      </c>
      <c r="R694" s="740"/>
      <c r="S694" s="740"/>
      <c r="T694" s="740"/>
      <c r="U694" s="740"/>
      <c r="V694" s="740"/>
      <c r="W694" s="740"/>
      <c r="X694" s="740"/>
      <c r="Y694" s="740"/>
      <c r="Z694" s="740"/>
      <c r="AA694" s="740"/>
      <c r="AB694" s="423"/>
      <c r="AC694" s="418"/>
      <c r="AD694" s="418"/>
      <c r="AE694" s="418"/>
      <c r="AF694" s="422"/>
      <c r="AG694" s="425"/>
      <c r="AH694" s="417"/>
      <c r="AI694" s="415"/>
      <c r="AJ694" s="415"/>
      <c r="AK694" s="428"/>
      <c r="AL694" s="397"/>
      <c r="AM694" s="416"/>
      <c r="AN694" s="412"/>
      <c r="AO694" s="72"/>
      <c r="AP694" s="414"/>
      <c r="AQ694" s="430"/>
      <c r="AR694" s="400"/>
      <c r="AS694" s="413"/>
      <c r="AT694" s="413"/>
      <c r="AU694" s="412"/>
      <c r="AV694" s="412"/>
      <c r="AW694" s="399"/>
      <c r="AX694" s="72"/>
      <c r="AY694" s="398"/>
      <c r="AZ694" s="400"/>
      <c r="BA694" s="72"/>
      <c r="BB694" s="404"/>
      <c r="BC694" s="404"/>
      <c r="BD694" s="404"/>
      <c r="BE694" s="404"/>
      <c r="BF694" s="404"/>
      <c r="BG694" s="404"/>
      <c r="BH694" s="403"/>
      <c r="BI694" s="403"/>
      <c r="BJ694" s="403"/>
      <c r="BK694" s="402"/>
      <c r="BL694" s="402"/>
      <c r="BM694" s="402"/>
      <c r="BN694" s="401"/>
      <c r="BO694" s="400"/>
      <c r="BP694" s="400"/>
      <c r="BQ694" s="400"/>
      <c r="BR694" s="72"/>
      <c r="BS694" s="411"/>
    </row>
    <row r="695" spans="1:71" ht="15" customHeight="1" x14ac:dyDescent="0.15">
      <c r="A695" s="419"/>
      <c r="B695" s="405"/>
      <c r="C695" s="405"/>
      <c r="D695" s="405"/>
      <c r="E695" s="405"/>
      <c r="F695" s="420"/>
      <c r="G695" s="421"/>
      <c r="H695" s="442"/>
      <c r="I695" s="406"/>
      <c r="J695" s="407"/>
      <c r="K695" s="408"/>
      <c r="L695" s="409"/>
      <c r="M695" s="409"/>
      <c r="N695" s="410" t="str">
        <f t="shared" si="22"/>
        <v>CAT à compléter</v>
      </c>
      <c r="O695" s="739"/>
      <c r="P695" s="863"/>
      <c r="Q695" s="730" t="str">
        <f t="shared" si="23"/>
        <v>CAT à compléter</v>
      </c>
      <c r="R695" s="740"/>
      <c r="S695" s="740"/>
      <c r="T695" s="740"/>
      <c r="U695" s="740"/>
      <c r="V695" s="740"/>
      <c r="W695" s="740"/>
      <c r="X695" s="740"/>
      <c r="Y695" s="740"/>
      <c r="Z695" s="740"/>
      <c r="AA695" s="740"/>
      <c r="AB695" s="423"/>
      <c r="AC695" s="418"/>
      <c r="AD695" s="418"/>
      <c r="AE695" s="418"/>
      <c r="AF695" s="422"/>
      <c r="AG695" s="425"/>
      <c r="AH695" s="417"/>
      <c r="AI695" s="415"/>
      <c r="AJ695" s="415"/>
      <c r="AK695" s="428"/>
      <c r="AL695" s="397"/>
      <c r="AM695" s="416"/>
      <c r="AN695" s="412"/>
      <c r="AO695" s="72"/>
      <c r="AP695" s="414"/>
      <c r="AQ695" s="430"/>
      <c r="AR695" s="400"/>
      <c r="AS695" s="413"/>
      <c r="AT695" s="413"/>
      <c r="AU695" s="412"/>
      <c r="AV695" s="412"/>
      <c r="AW695" s="399"/>
      <c r="AX695" s="72"/>
      <c r="AY695" s="398"/>
      <c r="AZ695" s="400"/>
      <c r="BA695" s="72"/>
      <c r="BB695" s="404"/>
      <c r="BC695" s="404"/>
      <c r="BD695" s="404"/>
      <c r="BE695" s="404"/>
      <c r="BF695" s="404"/>
      <c r="BG695" s="404"/>
      <c r="BH695" s="403"/>
      <c r="BI695" s="403"/>
      <c r="BJ695" s="403"/>
      <c r="BK695" s="402"/>
      <c r="BL695" s="402"/>
      <c r="BM695" s="402"/>
      <c r="BN695" s="401"/>
      <c r="BO695" s="400"/>
      <c r="BP695" s="400"/>
      <c r="BQ695" s="400"/>
      <c r="BR695" s="72"/>
      <c r="BS695" s="411"/>
    </row>
    <row r="696" spans="1:71" ht="15" customHeight="1" x14ac:dyDescent="0.15">
      <c r="A696" s="419"/>
      <c r="B696" s="405"/>
      <c r="C696" s="405"/>
      <c r="D696" s="405"/>
      <c r="E696" s="405"/>
      <c r="F696" s="420"/>
      <c r="G696" s="421"/>
      <c r="H696" s="442"/>
      <c r="I696" s="406"/>
      <c r="J696" s="407"/>
      <c r="K696" s="408"/>
      <c r="L696" s="409"/>
      <c r="M696" s="409"/>
      <c r="N696" s="410" t="str">
        <f t="shared" si="22"/>
        <v>CAT à compléter</v>
      </c>
      <c r="O696" s="739"/>
      <c r="P696" s="863"/>
      <c r="Q696" s="730" t="str">
        <f t="shared" si="23"/>
        <v>CAT à compléter</v>
      </c>
      <c r="R696" s="740"/>
      <c r="S696" s="740"/>
      <c r="T696" s="740"/>
      <c r="U696" s="740"/>
      <c r="V696" s="740"/>
      <c r="W696" s="740"/>
      <c r="X696" s="740"/>
      <c r="Y696" s="740"/>
      <c r="Z696" s="740"/>
      <c r="AA696" s="740"/>
      <c r="AB696" s="423"/>
      <c r="AC696" s="418"/>
      <c r="AD696" s="418"/>
      <c r="AE696" s="418"/>
      <c r="AF696" s="422"/>
      <c r="AG696" s="425"/>
      <c r="AH696" s="417"/>
      <c r="AI696" s="415"/>
      <c r="AJ696" s="415"/>
      <c r="AK696" s="428"/>
      <c r="AL696" s="397"/>
      <c r="AM696" s="416"/>
      <c r="AN696" s="412"/>
      <c r="AO696" s="72"/>
      <c r="AP696" s="414"/>
      <c r="AQ696" s="430"/>
      <c r="AR696" s="400"/>
      <c r="AS696" s="413"/>
      <c r="AT696" s="413"/>
      <c r="AU696" s="412"/>
      <c r="AV696" s="412"/>
      <c r="AW696" s="399"/>
      <c r="AX696" s="72"/>
      <c r="AY696" s="398"/>
      <c r="AZ696" s="400"/>
      <c r="BA696" s="72"/>
      <c r="BB696" s="404"/>
      <c r="BC696" s="404"/>
      <c r="BD696" s="404"/>
      <c r="BE696" s="404"/>
      <c r="BF696" s="404"/>
      <c r="BG696" s="404"/>
      <c r="BH696" s="403"/>
      <c r="BI696" s="403"/>
      <c r="BJ696" s="403"/>
      <c r="BK696" s="402"/>
      <c r="BL696" s="402"/>
      <c r="BM696" s="402"/>
      <c r="BN696" s="401"/>
      <c r="BO696" s="400"/>
      <c r="BP696" s="400"/>
      <c r="BQ696" s="400"/>
      <c r="BR696" s="72"/>
      <c r="BS696" s="411"/>
    </row>
    <row r="697" spans="1:71" ht="15" customHeight="1" x14ac:dyDescent="0.15">
      <c r="A697" s="419"/>
      <c r="B697" s="405"/>
      <c r="C697" s="405"/>
      <c r="D697" s="405"/>
      <c r="E697" s="405"/>
      <c r="F697" s="420"/>
      <c r="G697" s="421"/>
      <c r="H697" s="442"/>
      <c r="I697" s="406"/>
      <c r="J697" s="407"/>
      <c r="K697" s="408"/>
      <c r="L697" s="409"/>
      <c r="M697" s="409"/>
      <c r="N697" s="410" t="str">
        <f t="shared" si="22"/>
        <v>CAT à compléter</v>
      </c>
      <c r="O697" s="739"/>
      <c r="P697" s="863"/>
      <c r="Q697" s="730" t="str">
        <f t="shared" si="23"/>
        <v>CAT à compléter</v>
      </c>
      <c r="R697" s="740"/>
      <c r="S697" s="740"/>
      <c r="T697" s="740"/>
      <c r="U697" s="740"/>
      <c r="V697" s="740"/>
      <c r="W697" s="740"/>
      <c r="X697" s="740"/>
      <c r="Y697" s="740"/>
      <c r="Z697" s="740"/>
      <c r="AA697" s="740"/>
      <c r="AB697" s="423"/>
      <c r="AC697" s="418"/>
      <c r="AD697" s="418"/>
      <c r="AE697" s="418"/>
      <c r="AF697" s="422"/>
      <c r="AG697" s="425"/>
      <c r="AH697" s="417"/>
      <c r="AI697" s="415"/>
      <c r="AJ697" s="415"/>
      <c r="AK697" s="428"/>
      <c r="AL697" s="397"/>
      <c r="AM697" s="416"/>
      <c r="AN697" s="412"/>
      <c r="AO697" s="72"/>
      <c r="AP697" s="414"/>
      <c r="AQ697" s="430"/>
      <c r="AR697" s="400"/>
      <c r="AS697" s="413"/>
      <c r="AT697" s="413"/>
      <c r="AU697" s="412"/>
      <c r="AV697" s="412"/>
      <c r="AW697" s="399"/>
      <c r="AX697" s="72"/>
      <c r="AY697" s="398"/>
      <c r="AZ697" s="400"/>
      <c r="BA697" s="72"/>
      <c r="BB697" s="404"/>
      <c r="BC697" s="404"/>
      <c r="BD697" s="404"/>
      <c r="BE697" s="404"/>
      <c r="BF697" s="404"/>
      <c r="BG697" s="404"/>
      <c r="BH697" s="403"/>
      <c r="BI697" s="403"/>
      <c r="BJ697" s="403"/>
      <c r="BK697" s="402"/>
      <c r="BL697" s="402"/>
      <c r="BM697" s="402"/>
      <c r="BN697" s="401"/>
      <c r="BO697" s="400"/>
      <c r="BP697" s="400"/>
      <c r="BQ697" s="400"/>
      <c r="BR697" s="72"/>
      <c r="BS697" s="411"/>
    </row>
    <row r="698" spans="1:71" ht="15" customHeight="1" x14ac:dyDescent="0.15">
      <c r="A698" s="419"/>
      <c r="B698" s="405"/>
      <c r="C698" s="405"/>
      <c r="D698" s="405"/>
      <c r="E698" s="405"/>
      <c r="F698" s="420"/>
      <c r="G698" s="421"/>
      <c r="H698" s="442"/>
      <c r="I698" s="406"/>
      <c r="J698" s="407"/>
      <c r="K698" s="408"/>
      <c r="L698" s="409"/>
      <c r="M698" s="409"/>
      <c r="N698" s="410" t="str">
        <f t="shared" si="22"/>
        <v>CAT à compléter</v>
      </c>
      <c r="O698" s="739"/>
      <c r="P698" s="863"/>
      <c r="Q698" s="730" t="str">
        <f t="shared" si="23"/>
        <v>CAT à compléter</v>
      </c>
      <c r="R698" s="740"/>
      <c r="S698" s="740"/>
      <c r="T698" s="740"/>
      <c r="U698" s="740"/>
      <c r="V698" s="740"/>
      <c r="W698" s="740"/>
      <c r="X698" s="740"/>
      <c r="Y698" s="740"/>
      <c r="Z698" s="740"/>
      <c r="AA698" s="740"/>
      <c r="AB698" s="423"/>
      <c r="AC698" s="418"/>
      <c r="AD698" s="418"/>
      <c r="AE698" s="418"/>
      <c r="AF698" s="422"/>
      <c r="AG698" s="425"/>
      <c r="AH698" s="417"/>
      <c r="AI698" s="415"/>
      <c r="AJ698" s="415"/>
      <c r="AK698" s="428"/>
      <c r="AL698" s="397"/>
      <c r="AM698" s="416"/>
      <c r="AN698" s="412"/>
      <c r="AO698" s="72"/>
      <c r="AP698" s="414"/>
      <c r="AQ698" s="430"/>
      <c r="AR698" s="400"/>
      <c r="AS698" s="413"/>
      <c r="AT698" s="413"/>
      <c r="AU698" s="412"/>
      <c r="AV698" s="412"/>
      <c r="AW698" s="399"/>
      <c r="AX698" s="72"/>
      <c r="AY698" s="398"/>
      <c r="AZ698" s="400"/>
      <c r="BA698" s="72"/>
      <c r="BB698" s="404"/>
      <c r="BC698" s="404"/>
      <c r="BD698" s="404"/>
      <c r="BE698" s="404"/>
      <c r="BF698" s="404"/>
      <c r="BG698" s="404"/>
      <c r="BH698" s="403"/>
      <c r="BI698" s="403"/>
      <c r="BJ698" s="403"/>
      <c r="BK698" s="402"/>
      <c r="BL698" s="402"/>
      <c r="BM698" s="402"/>
      <c r="BN698" s="401"/>
      <c r="BO698" s="400"/>
      <c r="BP698" s="400"/>
      <c r="BQ698" s="400"/>
      <c r="BR698" s="72"/>
      <c r="BS698" s="411"/>
    </row>
    <row r="699" spans="1:71" ht="15" customHeight="1" x14ac:dyDescent="0.15">
      <c r="A699" s="419"/>
      <c r="B699" s="405"/>
      <c r="C699" s="405"/>
      <c r="D699" s="405"/>
      <c r="E699" s="405"/>
      <c r="F699" s="420"/>
      <c r="G699" s="421"/>
      <c r="H699" s="442"/>
      <c r="I699" s="406"/>
      <c r="J699" s="407"/>
      <c r="K699" s="408"/>
      <c r="L699" s="409"/>
      <c r="M699" s="409"/>
      <c r="N699" s="410" t="str">
        <f t="shared" si="22"/>
        <v>CAT à compléter</v>
      </c>
      <c r="O699" s="739"/>
      <c r="P699" s="863"/>
      <c r="Q699" s="730" t="str">
        <f t="shared" si="23"/>
        <v>CAT à compléter</v>
      </c>
      <c r="R699" s="740"/>
      <c r="S699" s="740"/>
      <c r="T699" s="740"/>
      <c r="U699" s="740"/>
      <c r="V699" s="740"/>
      <c r="W699" s="740"/>
      <c r="X699" s="740"/>
      <c r="Y699" s="740"/>
      <c r="Z699" s="740"/>
      <c r="AA699" s="740"/>
      <c r="AB699" s="423"/>
      <c r="AC699" s="418"/>
      <c r="AD699" s="418"/>
      <c r="AE699" s="418"/>
      <c r="AF699" s="422"/>
      <c r="AG699" s="425"/>
      <c r="AH699" s="417"/>
      <c r="AI699" s="415"/>
      <c r="AJ699" s="415"/>
      <c r="AK699" s="428"/>
      <c r="AL699" s="397"/>
      <c r="AM699" s="416"/>
      <c r="AN699" s="412"/>
      <c r="AO699" s="72"/>
      <c r="AP699" s="414"/>
      <c r="AQ699" s="430"/>
      <c r="AR699" s="400"/>
      <c r="AS699" s="413"/>
      <c r="AT699" s="413"/>
      <c r="AU699" s="412"/>
      <c r="AV699" s="412"/>
      <c r="AW699" s="399"/>
      <c r="AX699" s="72"/>
      <c r="AY699" s="398"/>
      <c r="AZ699" s="400"/>
      <c r="BA699" s="72"/>
      <c r="BB699" s="404"/>
      <c r="BC699" s="404"/>
      <c r="BD699" s="404"/>
      <c r="BE699" s="404"/>
      <c r="BF699" s="404"/>
      <c r="BG699" s="404"/>
      <c r="BH699" s="403"/>
      <c r="BI699" s="403"/>
      <c r="BJ699" s="403"/>
      <c r="BK699" s="402"/>
      <c r="BL699" s="402"/>
      <c r="BM699" s="402"/>
      <c r="BN699" s="401"/>
      <c r="BO699" s="400"/>
      <c r="BP699" s="400"/>
      <c r="BQ699" s="400"/>
      <c r="BR699" s="72"/>
      <c r="BS699" s="411"/>
    </row>
    <row r="700" spans="1:71" ht="15" customHeight="1" x14ac:dyDescent="0.15">
      <c r="A700" s="419"/>
      <c r="B700" s="405"/>
      <c r="C700" s="405"/>
      <c r="D700" s="405"/>
      <c r="E700" s="405"/>
      <c r="F700" s="420"/>
      <c r="G700" s="421"/>
      <c r="H700" s="442"/>
      <c r="I700" s="406"/>
      <c r="J700" s="407"/>
      <c r="K700" s="408"/>
      <c r="L700" s="409"/>
      <c r="M700" s="409"/>
      <c r="N700" s="410" t="str">
        <f t="shared" si="22"/>
        <v>CAT à compléter</v>
      </c>
      <c r="O700" s="739"/>
      <c r="P700" s="863"/>
      <c r="Q700" s="730" t="str">
        <f t="shared" si="23"/>
        <v>CAT à compléter</v>
      </c>
      <c r="R700" s="740"/>
      <c r="S700" s="740"/>
      <c r="T700" s="740"/>
      <c r="U700" s="740"/>
      <c r="V700" s="740"/>
      <c r="W700" s="740"/>
      <c r="X700" s="740"/>
      <c r="Y700" s="740"/>
      <c r="Z700" s="740"/>
      <c r="AA700" s="740"/>
      <c r="AB700" s="423"/>
      <c r="AC700" s="418"/>
      <c r="AD700" s="418"/>
      <c r="AE700" s="418"/>
      <c r="AF700" s="422"/>
      <c r="AG700" s="425"/>
      <c r="AH700" s="417"/>
      <c r="AI700" s="415"/>
      <c r="AJ700" s="415"/>
      <c r="AK700" s="428"/>
      <c r="AL700" s="397"/>
      <c r="AM700" s="416"/>
      <c r="AN700" s="412"/>
      <c r="AO700" s="72"/>
      <c r="AP700" s="414"/>
      <c r="AQ700" s="430"/>
      <c r="AR700" s="400"/>
      <c r="AS700" s="413"/>
      <c r="AT700" s="413"/>
      <c r="AU700" s="412"/>
      <c r="AV700" s="412"/>
      <c r="AW700" s="399"/>
      <c r="AX700" s="72"/>
      <c r="AY700" s="398"/>
      <c r="AZ700" s="400"/>
      <c r="BA700" s="72"/>
      <c r="BB700" s="404"/>
      <c r="BC700" s="404"/>
      <c r="BD700" s="404"/>
      <c r="BE700" s="404"/>
      <c r="BF700" s="404"/>
      <c r="BG700" s="404"/>
      <c r="BH700" s="403"/>
      <c r="BI700" s="403"/>
      <c r="BJ700" s="403"/>
      <c r="BK700" s="402"/>
      <c r="BL700" s="402"/>
      <c r="BM700" s="402"/>
      <c r="BN700" s="401"/>
      <c r="BO700" s="400"/>
      <c r="BP700" s="400"/>
      <c r="BQ700" s="400"/>
      <c r="BR700" s="72"/>
      <c r="BS700" s="411"/>
    </row>
    <row r="701" spans="1:71" ht="15" customHeight="1" x14ac:dyDescent="0.15">
      <c r="A701" s="419"/>
      <c r="B701" s="405"/>
      <c r="C701" s="405"/>
      <c r="D701" s="405"/>
      <c r="E701" s="405"/>
      <c r="F701" s="420"/>
      <c r="G701" s="421"/>
      <c r="H701" s="442"/>
      <c r="I701" s="406"/>
      <c r="J701" s="407"/>
      <c r="K701" s="408"/>
      <c r="L701" s="409"/>
      <c r="M701" s="409"/>
      <c r="N701" s="410" t="str">
        <f t="shared" si="22"/>
        <v>CAT à compléter</v>
      </c>
      <c r="O701" s="739"/>
      <c r="P701" s="863"/>
      <c r="Q701" s="730" t="str">
        <f t="shared" si="23"/>
        <v>CAT à compléter</v>
      </c>
      <c r="R701" s="740"/>
      <c r="S701" s="740"/>
      <c r="T701" s="740"/>
      <c r="U701" s="740"/>
      <c r="V701" s="740"/>
      <c r="W701" s="740"/>
      <c r="X701" s="740"/>
      <c r="Y701" s="740"/>
      <c r="Z701" s="740"/>
      <c r="AA701" s="740"/>
      <c r="AB701" s="423"/>
      <c r="AC701" s="418"/>
      <c r="AD701" s="418"/>
      <c r="AE701" s="418"/>
      <c r="AF701" s="422"/>
      <c r="AG701" s="425"/>
      <c r="AH701" s="417"/>
      <c r="AI701" s="415"/>
      <c r="AJ701" s="415"/>
      <c r="AK701" s="428"/>
      <c r="AL701" s="397"/>
      <c r="AM701" s="416"/>
      <c r="AN701" s="412"/>
      <c r="AO701" s="72"/>
      <c r="AP701" s="414"/>
      <c r="AQ701" s="430"/>
      <c r="AR701" s="400"/>
      <c r="AS701" s="413"/>
      <c r="AT701" s="413"/>
      <c r="AU701" s="412"/>
      <c r="AV701" s="412"/>
      <c r="AW701" s="399"/>
      <c r="AX701" s="72"/>
      <c r="AY701" s="398"/>
      <c r="AZ701" s="400"/>
      <c r="BA701" s="72"/>
      <c r="BB701" s="404"/>
      <c r="BC701" s="404"/>
      <c r="BD701" s="404"/>
      <c r="BE701" s="404"/>
      <c r="BF701" s="404"/>
      <c r="BG701" s="404"/>
      <c r="BH701" s="403"/>
      <c r="BI701" s="403"/>
      <c r="BJ701" s="403"/>
      <c r="BK701" s="402"/>
      <c r="BL701" s="402"/>
      <c r="BM701" s="402"/>
      <c r="BN701" s="401"/>
      <c r="BO701" s="400"/>
      <c r="BP701" s="400"/>
      <c r="BQ701" s="400"/>
      <c r="BR701" s="72"/>
      <c r="BS701" s="411"/>
    </row>
    <row r="702" spans="1:71" ht="15" customHeight="1" x14ac:dyDescent="0.15">
      <c r="A702" s="419"/>
      <c r="B702" s="405"/>
      <c r="C702" s="405"/>
      <c r="D702" s="405"/>
      <c r="E702" s="405"/>
      <c r="F702" s="420"/>
      <c r="G702" s="421"/>
      <c r="H702" s="442"/>
      <c r="I702" s="406"/>
      <c r="J702" s="407"/>
      <c r="K702" s="408"/>
      <c r="L702" s="409"/>
      <c r="M702" s="409"/>
      <c r="N702" s="410" t="str">
        <f t="shared" si="22"/>
        <v>CAT à compléter</v>
      </c>
      <c r="O702" s="739"/>
      <c r="P702" s="863"/>
      <c r="Q702" s="730" t="str">
        <f t="shared" si="23"/>
        <v>CAT à compléter</v>
      </c>
      <c r="R702" s="740"/>
      <c r="S702" s="740"/>
      <c r="T702" s="740"/>
      <c r="U702" s="740"/>
      <c r="V702" s="740"/>
      <c r="W702" s="740"/>
      <c r="X702" s="740"/>
      <c r="Y702" s="740"/>
      <c r="Z702" s="740"/>
      <c r="AA702" s="740"/>
      <c r="AB702" s="423"/>
      <c r="AC702" s="418"/>
      <c r="AD702" s="418"/>
      <c r="AE702" s="418"/>
      <c r="AF702" s="422"/>
      <c r="AG702" s="425"/>
      <c r="AH702" s="417"/>
      <c r="AI702" s="415"/>
      <c r="AJ702" s="415"/>
      <c r="AK702" s="428"/>
      <c r="AL702" s="397"/>
      <c r="AM702" s="416"/>
      <c r="AN702" s="412"/>
      <c r="AO702" s="72"/>
      <c r="AP702" s="414"/>
      <c r="AQ702" s="430"/>
      <c r="AR702" s="400"/>
      <c r="AS702" s="413"/>
      <c r="AT702" s="413"/>
      <c r="AU702" s="412"/>
      <c r="AV702" s="412"/>
      <c r="AW702" s="399"/>
      <c r="AX702" s="72"/>
      <c r="AY702" s="398"/>
      <c r="AZ702" s="400"/>
      <c r="BA702" s="72"/>
      <c r="BB702" s="404"/>
      <c r="BC702" s="404"/>
      <c r="BD702" s="404"/>
      <c r="BE702" s="404"/>
      <c r="BF702" s="404"/>
      <c r="BG702" s="404"/>
      <c r="BH702" s="403"/>
      <c r="BI702" s="403"/>
      <c r="BJ702" s="403"/>
      <c r="BK702" s="402"/>
      <c r="BL702" s="402"/>
      <c r="BM702" s="402"/>
      <c r="BN702" s="401"/>
      <c r="BO702" s="400"/>
      <c r="BP702" s="400"/>
      <c r="BQ702" s="400"/>
      <c r="BR702" s="72"/>
      <c r="BS702" s="411"/>
    </row>
    <row r="703" spans="1:71" ht="15" customHeight="1" x14ac:dyDescent="0.15">
      <c r="A703" s="419"/>
      <c r="B703" s="405"/>
      <c r="C703" s="405"/>
      <c r="D703" s="405"/>
      <c r="E703" s="405"/>
      <c r="F703" s="420"/>
      <c r="G703" s="421"/>
      <c r="H703" s="442"/>
      <c r="I703" s="406"/>
      <c r="J703" s="407"/>
      <c r="K703" s="408"/>
      <c r="L703" s="409"/>
      <c r="M703" s="409"/>
      <c r="N703" s="410" t="str">
        <f t="shared" si="22"/>
        <v>CAT à compléter</v>
      </c>
      <c r="O703" s="739"/>
      <c r="P703" s="863"/>
      <c r="Q703" s="730" t="str">
        <f t="shared" si="23"/>
        <v>CAT à compléter</v>
      </c>
      <c r="R703" s="740"/>
      <c r="S703" s="740"/>
      <c r="T703" s="740"/>
      <c r="U703" s="740"/>
      <c r="V703" s="740"/>
      <c r="W703" s="740"/>
      <c r="X703" s="740"/>
      <c r="Y703" s="740"/>
      <c r="Z703" s="740"/>
      <c r="AA703" s="740"/>
      <c r="AB703" s="423"/>
      <c r="AC703" s="418"/>
      <c r="AD703" s="418"/>
      <c r="AE703" s="418"/>
      <c r="AF703" s="422"/>
      <c r="AG703" s="425"/>
      <c r="AH703" s="417"/>
      <c r="AI703" s="415"/>
      <c r="AJ703" s="415"/>
      <c r="AK703" s="428"/>
      <c r="AL703" s="397"/>
      <c r="AM703" s="416"/>
      <c r="AN703" s="412"/>
      <c r="AO703" s="72"/>
      <c r="AP703" s="414"/>
      <c r="AQ703" s="430"/>
      <c r="AR703" s="400"/>
      <c r="AS703" s="413"/>
      <c r="AT703" s="413"/>
      <c r="AU703" s="412"/>
      <c r="AV703" s="412"/>
      <c r="AW703" s="399"/>
      <c r="AX703" s="72"/>
      <c r="AY703" s="398"/>
      <c r="AZ703" s="400"/>
      <c r="BA703" s="72"/>
      <c r="BB703" s="404"/>
      <c r="BC703" s="404"/>
      <c r="BD703" s="404"/>
      <c r="BE703" s="404"/>
      <c r="BF703" s="404"/>
      <c r="BG703" s="404"/>
      <c r="BH703" s="403"/>
      <c r="BI703" s="403"/>
      <c r="BJ703" s="403"/>
      <c r="BK703" s="402"/>
      <c r="BL703" s="402"/>
      <c r="BM703" s="402"/>
      <c r="BN703" s="401"/>
      <c r="BO703" s="400"/>
      <c r="BP703" s="400"/>
      <c r="BQ703" s="400"/>
      <c r="BR703" s="72"/>
      <c r="BS703" s="411"/>
    </row>
    <row r="704" spans="1:71" ht="15" customHeight="1" x14ac:dyDescent="0.15">
      <c r="A704" s="419"/>
      <c r="B704" s="405"/>
      <c r="C704" s="405"/>
      <c r="D704" s="405"/>
      <c r="E704" s="405"/>
      <c r="F704" s="420"/>
      <c r="G704" s="421"/>
      <c r="H704" s="442"/>
      <c r="I704" s="406"/>
      <c r="J704" s="407"/>
      <c r="K704" s="408"/>
      <c r="L704" s="409"/>
      <c r="M704" s="409"/>
      <c r="N704" s="410" t="str">
        <f t="shared" si="22"/>
        <v>CAT à compléter</v>
      </c>
      <c r="O704" s="739"/>
      <c r="P704" s="863"/>
      <c r="Q704" s="730" t="str">
        <f t="shared" si="23"/>
        <v>CAT à compléter</v>
      </c>
      <c r="R704" s="740"/>
      <c r="S704" s="740"/>
      <c r="T704" s="740"/>
      <c r="U704" s="740"/>
      <c r="V704" s="740"/>
      <c r="W704" s="740"/>
      <c r="X704" s="740"/>
      <c r="Y704" s="740"/>
      <c r="Z704" s="740"/>
      <c r="AA704" s="740"/>
      <c r="AB704" s="423"/>
      <c r="AC704" s="418"/>
      <c r="AD704" s="418"/>
      <c r="AE704" s="418"/>
      <c r="AF704" s="422"/>
      <c r="AG704" s="425"/>
      <c r="AH704" s="417"/>
      <c r="AI704" s="415"/>
      <c r="AJ704" s="415"/>
      <c r="AK704" s="428"/>
      <c r="AL704" s="397"/>
      <c r="AM704" s="416"/>
      <c r="AN704" s="412"/>
      <c r="AO704" s="72"/>
      <c r="AP704" s="414"/>
      <c r="AQ704" s="430"/>
      <c r="AR704" s="400"/>
      <c r="AS704" s="413"/>
      <c r="AT704" s="413"/>
      <c r="AU704" s="412"/>
      <c r="AV704" s="412"/>
      <c r="AW704" s="399"/>
      <c r="AX704" s="72"/>
      <c r="AY704" s="398"/>
      <c r="AZ704" s="400"/>
      <c r="BA704" s="72"/>
      <c r="BB704" s="404"/>
      <c r="BC704" s="404"/>
      <c r="BD704" s="404"/>
      <c r="BE704" s="404"/>
      <c r="BF704" s="404"/>
      <c r="BG704" s="404"/>
      <c r="BH704" s="403"/>
      <c r="BI704" s="403"/>
      <c r="BJ704" s="403"/>
      <c r="BK704" s="402"/>
      <c r="BL704" s="402"/>
      <c r="BM704" s="402"/>
      <c r="BN704" s="401"/>
      <c r="BO704" s="400"/>
      <c r="BP704" s="400"/>
      <c r="BQ704" s="400"/>
      <c r="BR704" s="72"/>
      <c r="BS704" s="411"/>
    </row>
    <row r="705" spans="1:71" ht="15" customHeight="1" x14ac:dyDescent="0.15">
      <c r="A705" s="419"/>
      <c r="B705" s="405"/>
      <c r="C705" s="405"/>
      <c r="D705" s="405"/>
      <c r="E705" s="405"/>
      <c r="F705" s="420"/>
      <c r="G705" s="421"/>
      <c r="H705" s="442"/>
      <c r="I705" s="406"/>
      <c r="J705" s="407"/>
      <c r="K705" s="408"/>
      <c r="L705" s="409"/>
      <c r="M705" s="409"/>
      <c r="N705" s="410" t="str">
        <f t="shared" si="22"/>
        <v>CAT à compléter</v>
      </c>
      <c r="O705" s="739"/>
      <c r="P705" s="863"/>
      <c r="Q705" s="730" t="str">
        <f t="shared" si="23"/>
        <v>CAT à compléter</v>
      </c>
      <c r="R705" s="740"/>
      <c r="S705" s="740"/>
      <c r="T705" s="740"/>
      <c r="U705" s="740"/>
      <c r="V705" s="740"/>
      <c r="W705" s="740"/>
      <c r="X705" s="740"/>
      <c r="Y705" s="740"/>
      <c r="Z705" s="740"/>
      <c r="AA705" s="740"/>
      <c r="AB705" s="423"/>
      <c r="AC705" s="418"/>
      <c r="AD705" s="418"/>
      <c r="AE705" s="418"/>
      <c r="AF705" s="422"/>
      <c r="AG705" s="425"/>
      <c r="AH705" s="417"/>
      <c r="AI705" s="415"/>
      <c r="AJ705" s="415"/>
      <c r="AK705" s="428"/>
      <c r="AL705" s="397"/>
      <c r="AM705" s="416"/>
      <c r="AN705" s="412"/>
      <c r="AO705" s="72"/>
      <c r="AP705" s="414"/>
      <c r="AQ705" s="430"/>
      <c r="AR705" s="400"/>
      <c r="AS705" s="413"/>
      <c r="AT705" s="413"/>
      <c r="AU705" s="412"/>
      <c r="AV705" s="412"/>
      <c r="AW705" s="399"/>
      <c r="AX705" s="72"/>
      <c r="AY705" s="398"/>
      <c r="AZ705" s="400"/>
      <c r="BA705" s="72"/>
      <c r="BB705" s="404"/>
      <c r="BC705" s="404"/>
      <c r="BD705" s="404"/>
      <c r="BE705" s="404"/>
      <c r="BF705" s="404"/>
      <c r="BG705" s="404"/>
      <c r="BH705" s="403"/>
      <c r="BI705" s="403"/>
      <c r="BJ705" s="403"/>
      <c r="BK705" s="402"/>
      <c r="BL705" s="402"/>
      <c r="BM705" s="402"/>
      <c r="BN705" s="401"/>
      <c r="BO705" s="400"/>
      <c r="BP705" s="400"/>
      <c r="BQ705" s="400"/>
      <c r="BR705" s="72"/>
      <c r="BS705" s="411"/>
    </row>
    <row r="706" spans="1:71" ht="15" customHeight="1" x14ac:dyDescent="0.15">
      <c r="A706" s="419"/>
      <c r="B706" s="405"/>
      <c r="C706" s="405"/>
      <c r="D706" s="405"/>
      <c r="E706" s="405"/>
      <c r="F706" s="420"/>
      <c r="G706" s="421"/>
      <c r="H706" s="442"/>
      <c r="I706" s="406"/>
      <c r="J706" s="407"/>
      <c r="K706" s="408"/>
      <c r="L706" s="409"/>
      <c r="M706" s="409"/>
      <c r="N706" s="410" t="str">
        <f t="shared" ref="N706:N761" si="24">VLOOKUP(L706,CAT_JOUEUR,2,FALSE)</f>
        <v>CAT à compléter</v>
      </c>
      <c r="O706" s="739"/>
      <c r="P706" s="863"/>
      <c r="Q706" s="730" t="str">
        <f t="shared" ref="Q706:Q761" si="25">VLOOKUP(O706,CAT_JOUEUR,2,FALSE)</f>
        <v>CAT à compléter</v>
      </c>
      <c r="R706" s="740"/>
      <c r="S706" s="740"/>
      <c r="T706" s="740"/>
      <c r="U706" s="740"/>
      <c r="V706" s="740"/>
      <c r="W706" s="740"/>
      <c r="X706" s="740"/>
      <c r="Y706" s="740"/>
      <c r="Z706" s="740"/>
      <c r="AA706" s="740"/>
      <c r="AB706" s="423"/>
      <c r="AC706" s="418"/>
      <c r="AD706" s="418"/>
      <c r="AE706" s="418"/>
      <c r="AF706" s="422"/>
      <c r="AG706" s="425"/>
      <c r="AH706" s="417"/>
      <c r="AI706" s="415"/>
      <c r="AJ706" s="415"/>
      <c r="AK706" s="428"/>
      <c r="AL706" s="397"/>
      <c r="AM706" s="416"/>
      <c r="AN706" s="412"/>
      <c r="AO706" s="72"/>
      <c r="AP706" s="414"/>
      <c r="AQ706" s="430"/>
      <c r="AR706" s="400"/>
      <c r="AS706" s="413"/>
      <c r="AT706" s="413"/>
      <c r="AU706" s="412"/>
      <c r="AV706" s="412"/>
      <c r="AW706" s="399"/>
      <c r="AX706" s="72"/>
      <c r="AY706" s="398"/>
      <c r="AZ706" s="400"/>
      <c r="BA706" s="72"/>
      <c r="BB706" s="404"/>
      <c r="BC706" s="404"/>
      <c r="BD706" s="404"/>
      <c r="BE706" s="404"/>
      <c r="BF706" s="404"/>
      <c r="BG706" s="404"/>
      <c r="BH706" s="403"/>
      <c r="BI706" s="403"/>
      <c r="BJ706" s="403"/>
      <c r="BK706" s="402"/>
      <c r="BL706" s="402"/>
      <c r="BM706" s="402"/>
      <c r="BN706" s="401"/>
      <c r="BO706" s="400"/>
      <c r="BP706" s="400"/>
      <c r="BQ706" s="400"/>
      <c r="BR706" s="72"/>
      <c r="BS706" s="411"/>
    </row>
    <row r="707" spans="1:71" ht="15" customHeight="1" x14ac:dyDescent="0.15">
      <c r="A707" s="419"/>
      <c r="B707" s="405"/>
      <c r="C707" s="405"/>
      <c r="D707" s="405"/>
      <c r="E707" s="405"/>
      <c r="F707" s="420"/>
      <c r="G707" s="421"/>
      <c r="H707" s="442"/>
      <c r="I707" s="406"/>
      <c r="J707" s="407"/>
      <c r="K707" s="408"/>
      <c r="L707" s="409"/>
      <c r="M707" s="409"/>
      <c r="N707" s="410" t="str">
        <f t="shared" si="24"/>
        <v>CAT à compléter</v>
      </c>
      <c r="O707" s="739"/>
      <c r="P707" s="863"/>
      <c r="Q707" s="730" t="str">
        <f t="shared" si="25"/>
        <v>CAT à compléter</v>
      </c>
      <c r="R707" s="740"/>
      <c r="S707" s="740"/>
      <c r="T707" s="740"/>
      <c r="U707" s="740"/>
      <c r="V707" s="740"/>
      <c r="W707" s="740"/>
      <c r="X707" s="740"/>
      <c r="Y707" s="740"/>
      <c r="Z707" s="740"/>
      <c r="AA707" s="740"/>
      <c r="AB707" s="423"/>
      <c r="AC707" s="418"/>
      <c r="AD707" s="418"/>
      <c r="AE707" s="418"/>
      <c r="AF707" s="422"/>
      <c r="AG707" s="425"/>
      <c r="AH707" s="417"/>
      <c r="AI707" s="415"/>
      <c r="AJ707" s="415"/>
      <c r="AK707" s="428"/>
      <c r="AL707" s="397"/>
      <c r="AM707" s="416"/>
      <c r="AN707" s="412"/>
      <c r="AO707" s="72"/>
      <c r="AP707" s="414"/>
      <c r="AQ707" s="430"/>
      <c r="AR707" s="400"/>
      <c r="AS707" s="413"/>
      <c r="AT707" s="413"/>
      <c r="AU707" s="412"/>
      <c r="AV707" s="412"/>
      <c r="AW707" s="399"/>
      <c r="AX707" s="72"/>
      <c r="AY707" s="398"/>
      <c r="AZ707" s="400"/>
      <c r="BA707" s="72"/>
      <c r="BB707" s="404"/>
      <c r="BC707" s="404"/>
      <c r="BD707" s="404"/>
      <c r="BE707" s="404"/>
      <c r="BF707" s="404"/>
      <c r="BG707" s="404"/>
      <c r="BH707" s="403"/>
      <c r="BI707" s="403"/>
      <c r="BJ707" s="403"/>
      <c r="BK707" s="402"/>
      <c r="BL707" s="402"/>
      <c r="BM707" s="402"/>
      <c r="BN707" s="401"/>
      <c r="BO707" s="400"/>
      <c r="BP707" s="400"/>
      <c r="BQ707" s="400"/>
      <c r="BR707" s="72"/>
      <c r="BS707" s="411"/>
    </row>
    <row r="708" spans="1:71" ht="15" customHeight="1" x14ac:dyDescent="0.15">
      <c r="A708" s="419"/>
      <c r="B708" s="405"/>
      <c r="C708" s="405"/>
      <c r="D708" s="405"/>
      <c r="E708" s="405"/>
      <c r="F708" s="420"/>
      <c r="G708" s="421"/>
      <c r="H708" s="442"/>
      <c r="I708" s="406"/>
      <c r="J708" s="407"/>
      <c r="K708" s="408"/>
      <c r="L708" s="409"/>
      <c r="M708" s="409"/>
      <c r="N708" s="410" t="str">
        <f t="shared" si="24"/>
        <v>CAT à compléter</v>
      </c>
      <c r="O708" s="739"/>
      <c r="P708" s="863"/>
      <c r="Q708" s="730" t="str">
        <f t="shared" si="25"/>
        <v>CAT à compléter</v>
      </c>
      <c r="R708" s="740"/>
      <c r="S708" s="740"/>
      <c r="T708" s="740"/>
      <c r="U708" s="740"/>
      <c r="V708" s="740"/>
      <c r="W708" s="740"/>
      <c r="X708" s="740"/>
      <c r="Y708" s="740"/>
      <c r="Z708" s="740"/>
      <c r="AA708" s="740"/>
      <c r="AB708" s="423"/>
      <c r="AC708" s="418"/>
      <c r="AD708" s="418"/>
      <c r="AE708" s="418"/>
      <c r="AF708" s="422"/>
      <c r="AG708" s="425"/>
      <c r="AH708" s="417"/>
      <c r="AI708" s="415"/>
      <c r="AJ708" s="415"/>
      <c r="AK708" s="428"/>
      <c r="AL708" s="397"/>
      <c r="AM708" s="416"/>
      <c r="AN708" s="412"/>
      <c r="AO708" s="72"/>
      <c r="AP708" s="414"/>
      <c r="AQ708" s="430"/>
      <c r="AR708" s="400"/>
      <c r="AS708" s="413"/>
      <c r="AT708" s="413"/>
      <c r="AU708" s="412"/>
      <c r="AV708" s="412"/>
      <c r="AW708" s="399"/>
      <c r="AX708" s="72"/>
      <c r="AY708" s="398"/>
      <c r="AZ708" s="400"/>
      <c r="BA708" s="72"/>
      <c r="BB708" s="404"/>
      <c r="BC708" s="404"/>
      <c r="BD708" s="404"/>
      <c r="BE708" s="404"/>
      <c r="BF708" s="404"/>
      <c r="BG708" s="404"/>
      <c r="BH708" s="403"/>
      <c r="BI708" s="403"/>
      <c r="BJ708" s="403"/>
      <c r="BK708" s="402"/>
      <c r="BL708" s="402"/>
      <c r="BM708" s="402"/>
      <c r="BN708" s="401"/>
      <c r="BO708" s="400"/>
      <c r="BP708" s="400"/>
      <c r="BQ708" s="400"/>
      <c r="BR708" s="72"/>
      <c r="BS708" s="411"/>
    </row>
    <row r="709" spans="1:71" ht="15" customHeight="1" x14ac:dyDescent="0.15">
      <c r="A709" s="419"/>
      <c r="B709" s="405"/>
      <c r="C709" s="405"/>
      <c r="D709" s="405"/>
      <c r="E709" s="405"/>
      <c r="F709" s="420"/>
      <c r="G709" s="421"/>
      <c r="H709" s="442"/>
      <c r="I709" s="406"/>
      <c r="J709" s="407"/>
      <c r="K709" s="408"/>
      <c r="L709" s="409"/>
      <c r="M709" s="409"/>
      <c r="N709" s="410" t="str">
        <f t="shared" si="24"/>
        <v>CAT à compléter</v>
      </c>
      <c r="O709" s="739"/>
      <c r="P709" s="863"/>
      <c r="Q709" s="730" t="str">
        <f t="shared" si="25"/>
        <v>CAT à compléter</v>
      </c>
      <c r="R709" s="740"/>
      <c r="S709" s="740"/>
      <c r="T709" s="740"/>
      <c r="U709" s="740"/>
      <c r="V709" s="740"/>
      <c r="W709" s="740"/>
      <c r="X709" s="740"/>
      <c r="Y709" s="740"/>
      <c r="Z709" s="740"/>
      <c r="AA709" s="740"/>
      <c r="AB709" s="423"/>
      <c r="AC709" s="418"/>
      <c r="AD709" s="418"/>
      <c r="AE709" s="418"/>
      <c r="AF709" s="422"/>
      <c r="AG709" s="425"/>
      <c r="AH709" s="417"/>
      <c r="AI709" s="415"/>
      <c r="AJ709" s="415"/>
      <c r="AK709" s="428"/>
      <c r="AL709" s="397"/>
      <c r="AM709" s="416"/>
      <c r="AN709" s="412"/>
      <c r="AO709" s="72"/>
      <c r="AP709" s="414"/>
      <c r="AQ709" s="430"/>
      <c r="AR709" s="400"/>
      <c r="AS709" s="413"/>
      <c r="AT709" s="413"/>
      <c r="AU709" s="412"/>
      <c r="AV709" s="412"/>
      <c r="AW709" s="399"/>
      <c r="AX709" s="72"/>
      <c r="AY709" s="398"/>
      <c r="AZ709" s="400"/>
      <c r="BA709" s="72"/>
      <c r="BB709" s="404"/>
      <c r="BC709" s="404"/>
      <c r="BD709" s="404"/>
      <c r="BE709" s="404"/>
      <c r="BF709" s="404"/>
      <c r="BG709" s="404"/>
      <c r="BH709" s="403"/>
      <c r="BI709" s="403"/>
      <c r="BJ709" s="403"/>
      <c r="BK709" s="402"/>
      <c r="BL709" s="402"/>
      <c r="BM709" s="402"/>
      <c r="BN709" s="401"/>
      <c r="BO709" s="400"/>
      <c r="BP709" s="400"/>
      <c r="BQ709" s="400"/>
      <c r="BR709" s="72"/>
      <c r="BS709" s="411"/>
    </row>
    <row r="710" spans="1:71" ht="15" customHeight="1" x14ac:dyDescent="0.15">
      <c r="A710" s="419"/>
      <c r="B710" s="405"/>
      <c r="C710" s="405"/>
      <c r="D710" s="405"/>
      <c r="E710" s="405"/>
      <c r="F710" s="420"/>
      <c r="G710" s="421"/>
      <c r="H710" s="442"/>
      <c r="I710" s="406"/>
      <c r="J710" s="407"/>
      <c r="K710" s="408"/>
      <c r="L710" s="409"/>
      <c r="M710" s="409"/>
      <c r="N710" s="410" t="str">
        <f t="shared" si="24"/>
        <v>CAT à compléter</v>
      </c>
      <c r="O710" s="739"/>
      <c r="P710" s="863"/>
      <c r="Q710" s="730" t="str">
        <f t="shared" si="25"/>
        <v>CAT à compléter</v>
      </c>
      <c r="R710" s="740"/>
      <c r="S710" s="740"/>
      <c r="T710" s="740"/>
      <c r="U710" s="740"/>
      <c r="V710" s="740"/>
      <c r="W710" s="740"/>
      <c r="X710" s="740"/>
      <c r="Y710" s="740"/>
      <c r="Z710" s="740"/>
      <c r="AA710" s="740"/>
      <c r="AB710" s="423"/>
      <c r="AC710" s="418"/>
      <c r="AD710" s="418"/>
      <c r="AE710" s="418"/>
      <c r="AF710" s="422"/>
      <c r="AG710" s="425"/>
      <c r="AH710" s="417"/>
      <c r="AI710" s="415"/>
      <c r="AJ710" s="415"/>
      <c r="AK710" s="428"/>
      <c r="AL710" s="397"/>
      <c r="AM710" s="416"/>
      <c r="AN710" s="412"/>
      <c r="AO710" s="72"/>
      <c r="AP710" s="414"/>
      <c r="AQ710" s="430"/>
      <c r="AR710" s="400"/>
      <c r="AS710" s="413"/>
      <c r="AT710" s="413"/>
      <c r="AU710" s="412"/>
      <c r="AV710" s="412"/>
      <c r="AW710" s="399"/>
      <c r="AX710" s="72"/>
      <c r="AY710" s="398"/>
      <c r="AZ710" s="400"/>
      <c r="BA710" s="72"/>
      <c r="BB710" s="404"/>
      <c r="BC710" s="404"/>
      <c r="BD710" s="404"/>
      <c r="BE710" s="404"/>
      <c r="BF710" s="404"/>
      <c r="BG710" s="404"/>
      <c r="BH710" s="403"/>
      <c r="BI710" s="403"/>
      <c r="BJ710" s="403"/>
      <c r="BK710" s="402"/>
      <c r="BL710" s="402"/>
      <c r="BM710" s="402"/>
      <c r="BN710" s="401"/>
      <c r="BO710" s="400"/>
      <c r="BP710" s="400"/>
      <c r="BQ710" s="400"/>
      <c r="BR710" s="72"/>
      <c r="BS710" s="411"/>
    </row>
    <row r="711" spans="1:71" ht="15" customHeight="1" x14ac:dyDescent="0.15">
      <c r="A711" s="419"/>
      <c r="B711" s="405"/>
      <c r="C711" s="405"/>
      <c r="D711" s="405"/>
      <c r="E711" s="405"/>
      <c r="F711" s="420"/>
      <c r="G711" s="421"/>
      <c r="H711" s="442"/>
      <c r="I711" s="406"/>
      <c r="J711" s="407"/>
      <c r="K711" s="408"/>
      <c r="L711" s="409"/>
      <c r="M711" s="409"/>
      <c r="N711" s="410" t="str">
        <f t="shared" si="24"/>
        <v>CAT à compléter</v>
      </c>
      <c r="O711" s="739"/>
      <c r="P711" s="863"/>
      <c r="Q711" s="730" t="str">
        <f t="shared" si="25"/>
        <v>CAT à compléter</v>
      </c>
      <c r="R711" s="740"/>
      <c r="S711" s="740"/>
      <c r="T711" s="740"/>
      <c r="U711" s="740"/>
      <c r="V711" s="740"/>
      <c r="W711" s="740"/>
      <c r="X711" s="740"/>
      <c r="Y711" s="740"/>
      <c r="Z711" s="740"/>
      <c r="AA711" s="740"/>
      <c r="AB711" s="423"/>
      <c r="AC711" s="418"/>
      <c r="AD711" s="418"/>
      <c r="AE711" s="418"/>
      <c r="AF711" s="422"/>
      <c r="AG711" s="425"/>
      <c r="AH711" s="417"/>
      <c r="AI711" s="415"/>
      <c r="AJ711" s="415"/>
      <c r="AK711" s="428"/>
      <c r="AL711" s="397"/>
      <c r="AM711" s="416"/>
      <c r="AN711" s="412"/>
      <c r="AO711" s="72"/>
      <c r="AP711" s="414"/>
      <c r="AQ711" s="430"/>
      <c r="AR711" s="400"/>
      <c r="AS711" s="413"/>
      <c r="AT711" s="413"/>
      <c r="AU711" s="412"/>
      <c r="AV711" s="412"/>
      <c r="AW711" s="399"/>
      <c r="AX711" s="72"/>
      <c r="AY711" s="398"/>
      <c r="AZ711" s="400"/>
      <c r="BA711" s="72"/>
      <c r="BB711" s="404"/>
      <c r="BC711" s="404"/>
      <c r="BD711" s="404"/>
      <c r="BE711" s="404"/>
      <c r="BF711" s="404"/>
      <c r="BG711" s="404"/>
      <c r="BH711" s="403"/>
      <c r="BI711" s="403"/>
      <c r="BJ711" s="403"/>
      <c r="BK711" s="402"/>
      <c r="BL711" s="402"/>
      <c r="BM711" s="402"/>
      <c r="BN711" s="401"/>
      <c r="BO711" s="400"/>
      <c r="BP711" s="400"/>
      <c r="BQ711" s="400"/>
      <c r="BR711" s="72"/>
      <c r="BS711" s="411"/>
    </row>
    <row r="712" spans="1:71" ht="15" customHeight="1" x14ac:dyDescent="0.15">
      <c r="A712" s="419"/>
      <c r="B712" s="405"/>
      <c r="C712" s="405"/>
      <c r="D712" s="405"/>
      <c r="E712" s="405"/>
      <c r="F712" s="420"/>
      <c r="G712" s="421"/>
      <c r="H712" s="442"/>
      <c r="I712" s="406"/>
      <c r="J712" s="407"/>
      <c r="K712" s="408"/>
      <c r="L712" s="409"/>
      <c r="M712" s="409"/>
      <c r="N712" s="410" t="str">
        <f t="shared" si="24"/>
        <v>CAT à compléter</v>
      </c>
      <c r="O712" s="739"/>
      <c r="P712" s="863"/>
      <c r="Q712" s="730" t="str">
        <f t="shared" si="25"/>
        <v>CAT à compléter</v>
      </c>
      <c r="R712" s="740"/>
      <c r="S712" s="740"/>
      <c r="T712" s="740"/>
      <c r="U712" s="740"/>
      <c r="V712" s="740"/>
      <c r="W712" s="740"/>
      <c r="X712" s="740"/>
      <c r="Y712" s="740"/>
      <c r="Z712" s="740"/>
      <c r="AA712" s="740"/>
      <c r="AB712" s="423"/>
      <c r="AC712" s="418"/>
      <c r="AD712" s="418"/>
      <c r="AE712" s="418"/>
      <c r="AF712" s="422"/>
      <c r="AG712" s="425"/>
      <c r="AH712" s="417"/>
      <c r="AI712" s="415"/>
      <c r="AJ712" s="415"/>
      <c r="AK712" s="428"/>
      <c r="AL712" s="397"/>
      <c r="AM712" s="416"/>
      <c r="AN712" s="412"/>
      <c r="AO712" s="72"/>
      <c r="AP712" s="414"/>
      <c r="AQ712" s="430"/>
      <c r="AR712" s="400"/>
      <c r="AS712" s="413"/>
      <c r="AT712" s="413"/>
      <c r="AU712" s="412"/>
      <c r="AV712" s="412"/>
      <c r="AW712" s="399"/>
      <c r="AX712" s="72"/>
      <c r="AY712" s="398"/>
      <c r="AZ712" s="400"/>
      <c r="BA712" s="72"/>
      <c r="BB712" s="404"/>
      <c r="BC712" s="404"/>
      <c r="BD712" s="404"/>
      <c r="BE712" s="404"/>
      <c r="BF712" s="404"/>
      <c r="BG712" s="404"/>
      <c r="BH712" s="403"/>
      <c r="BI712" s="403"/>
      <c r="BJ712" s="403"/>
      <c r="BK712" s="402"/>
      <c r="BL712" s="402"/>
      <c r="BM712" s="402"/>
      <c r="BN712" s="401"/>
      <c r="BO712" s="400"/>
      <c r="BP712" s="400"/>
      <c r="BQ712" s="400"/>
      <c r="BR712" s="72"/>
      <c r="BS712" s="411"/>
    </row>
    <row r="713" spans="1:71" ht="15" customHeight="1" x14ac:dyDescent="0.15">
      <c r="A713" s="419"/>
      <c r="B713" s="405"/>
      <c r="C713" s="405"/>
      <c r="D713" s="405"/>
      <c r="E713" s="405"/>
      <c r="F713" s="420"/>
      <c r="G713" s="421"/>
      <c r="H713" s="442"/>
      <c r="I713" s="406"/>
      <c r="J713" s="407"/>
      <c r="K713" s="408"/>
      <c r="L713" s="409"/>
      <c r="M713" s="409"/>
      <c r="N713" s="410" t="str">
        <f t="shared" si="24"/>
        <v>CAT à compléter</v>
      </c>
      <c r="O713" s="739"/>
      <c r="P713" s="863"/>
      <c r="Q713" s="730" t="str">
        <f t="shared" si="25"/>
        <v>CAT à compléter</v>
      </c>
      <c r="R713" s="740"/>
      <c r="S713" s="740"/>
      <c r="T713" s="740"/>
      <c r="U713" s="740"/>
      <c r="V713" s="740"/>
      <c r="W713" s="740"/>
      <c r="X713" s="740"/>
      <c r="Y713" s="740"/>
      <c r="Z713" s="740"/>
      <c r="AA713" s="740"/>
      <c r="AB713" s="423"/>
      <c r="AC713" s="418"/>
      <c r="AD713" s="418"/>
      <c r="AE713" s="418"/>
      <c r="AF713" s="422"/>
      <c r="AG713" s="425"/>
      <c r="AH713" s="417"/>
      <c r="AI713" s="415"/>
      <c r="AJ713" s="415"/>
      <c r="AK713" s="428"/>
      <c r="AL713" s="397"/>
      <c r="AM713" s="416"/>
      <c r="AN713" s="412"/>
      <c r="AO713" s="72"/>
      <c r="AP713" s="414"/>
      <c r="AQ713" s="430"/>
      <c r="AR713" s="400"/>
      <c r="AS713" s="413"/>
      <c r="AT713" s="413"/>
      <c r="AU713" s="412"/>
      <c r="AV713" s="412"/>
      <c r="AW713" s="399"/>
      <c r="AX713" s="72"/>
      <c r="AY713" s="398"/>
      <c r="AZ713" s="400"/>
      <c r="BA713" s="72"/>
      <c r="BB713" s="404"/>
      <c r="BC713" s="404"/>
      <c r="BD713" s="404"/>
      <c r="BE713" s="404"/>
      <c r="BF713" s="404"/>
      <c r="BG713" s="404"/>
      <c r="BH713" s="403"/>
      <c r="BI713" s="403"/>
      <c r="BJ713" s="403"/>
      <c r="BK713" s="402"/>
      <c r="BL713" s="402"/>
      <c r="BM713" s="402"/>
      <c r="BN713" s="401"/>
      <c r="BO713" s="400"/>
      <c r="BP713" s="400"/>
      <c r="BQ713" s="400"/>
      <c r="BR713" s="72"/>
      <c r="BS713" s="411"/>
    </row>
    <row r="714" spans="1:71" ht="15" customHeight="1" x14ac:dyDescent="0.15">
      <c r="A714" s="419"/>
      <c r="B714" s="405"/>
      <c r="C714" s="405"/>
      <c r="D714" s="405"/>
      <c r="E714" s="405"/>
      <c r="F714" s="420"/>
      <c r="G714" s="421"/>
      <c r="H714" s="442"/>
      <c r="I714" s="406"/>
      <c r="J714" s="407"/>
      <c r="K714" s="408"/>
      <c r="L714" s="409"/>
      <c r="M714" s="409"/>
      <c r="N714" s="410" t="str">
        <f t="shared" si="24"/>
        <v>CAT à compléter</v>
      </c>
      <c r="O714" s="739"/>
      <c r="P714" s="863"/>
      <c r="Q714" s="730" t="str">
        <f t="shared" si="25"/>
        <v>CAT à compléter</v>
      </c>
      <c r="R714" s="740"/>
      <c r="S714" s="740"/>
      <c r="T714" s="740"/>
      <c r="U714" s="740"/>
      <c r="V714" s="740"/>
      <c r="W714" s="740"/>
      <c r="X714" s="740"/>
      <c r="Y714" s="740"/>
      <c r="Z714" s="740"/>
      <c r="AA714" s="740"/>
      <c r="AB714" s="423"/>
      <c r="AC714" s="418"/>
      <c r="AD714" s="418"/>
      <c r="AE714" s="418"/>
      <c r="AF714" s="422"/>
      <c r="AG714" s="425"/>
      <c r="AH714" s="417"/>
      <c r="AI714" s="415"/>
      <c r="AJ714" s="415"/>
      <c r="AK714" s="428"/>
      <c r="AL714" s="397"/>
      <c r="AM714" s="416"/>
      <c r="AN714" s="412"/>
      <c r="AO714" s="72"/>
      <c r="AP714" s="414"/>
      <c r="AQ714" s="430"/>
      <c r="AR714" s="400"/>
      <c r="AS714" s="413"/>
      <c r="AT714" s="413"/>
      <c r="AU714" s="412"/>
      <c r="AV714" s="412"/>
      <c r="AW714" s="399"/>
      <c r="AX714" s="72"/>
      <c r="AY714" s="398"/>
      <c r="AZ714" s="400"/>
      <c r="BA714" s="72"/>
      <c r="BB714" s="404"/>
      <c r="BC714" s="404"/>
      <c r="BD714" s="404"/>
      <c r="BE714" s="404"/>
      <c r="BF714" s="404"/>
      <c r="BG714" s="404"/>
      <c r="BH714" s="403"/>
      <c r="BI714" s="403"/>
      <c r="BJ714" s="403"/>
      <c r="BK714" s="402"/>
      <c r="BL714" s="402"/>
      <c r="BM714" s="402"/>
      <c r="BN714" s="401"/>
      <c r="BO714" s="400"/>
      <c r="BP714" s="400"/>
      <c r="BQ714" s="400"/>
      <c r="BR714" s="72"/>
      <c r="BS714" s="411"/>
    </row>
    <row r="715" spans="1:71" ht="15" customHeight="1" x14ac:dyDescent="0.15">
      <c r="A715" s="419"/>
      <c r="B715" s="405"/>
      <c r="C715" s="405"/>
      <c r="D715" s="405"/>
      <c r="E715" s="405"/>
      <c r="F715" s="420"/>
      <c r="G715" s="421"/>
      <c r="H715" s="442"/>
      <c r="I715" s="406"/>
      <c r="J715" s="407"/>
      <c r="K715" s="408"/>
      <c r="L715" s="409"/>
      <c r="M715" s="409"/>
      <c r="N715" s="410" t="str">
        <f t="shared" si="24"/>
        <v>CAT à compléter</v>
      </c>
      <c r="O715" s="739"/>
      <c r="P715" s="863"/>
      <c r="Q715" s="730" t="str">
        <f t="shared" si="25"/>
        <v>CAT à compléter</v>
      </c>
      <c r="R715" s="740"/>
      <c r="S715" s="740"/>
      <c r="T715" s="740"/>
      <c r="U715" s="740"/>
      <c r="V715" s="740"/>
      <c r="W715" s="740"/>
      <c r="X715" s="740"/>
      <c r="Y715" s="740"/>
      <c r="Z715" s="740"/>
      <c r="AA715" s="740"/>
      <c r="AB715" s="423"/>
      <c r="AC715" s="418"/>
      <c r="AD715" s="418"/>
      <c r="AE715" s="418"/>
      <c r="AF715" s="422"/>
      <c r="AG715" s="425"/>
      <c r="AH715" s="417"/>
      <c r="AI715" s="415"/>
      <c r="AJ715" s="415"/>
      <c r="AK715" s="428"/>
      <c r="AL715" s="397"/>
      <c r="AM715" s="416"/>
      <c r="AN715" s="412"/>
      <c r="AO715" s="72"/>
      <c r="AP715" s="414"/>
      <c r="AQ715" s="430"/>
      <c r="AR715" s="400"/>
      <c r="AS715" s="413"/>
      <c r="AT715" s="413"/>
      <c r="AU715" s="412"/>
      <c r="AV715" s="412"/>
      <c r="AW715" s="399"/>
      <c r="AX715" s="72"/>
      <c r="AY715" s="398"/>
      <c r="AZ715" s="400"/>
      <c r="BA715" s="72"/>
      <c r="BB715" s="404"/>
      <c r="BC715" s="404"/>
      <c r="BD715" s="404"/>
      <c r="BE715" s="404"/>
      <c r="BF715" s="404"/>
      <c r="BG715" s="404"/>
      <c r="BH715" s="403"/>
      <c r="BI715" s="403"/>
      <c r="BJ715" s="403"/>
      <c r="BK715" s="402"/>
      <c r="BL715" s="402"/>
      <c r="BM715" s="402"/>
      <c r="BN715" s="401"/>
      <c r="BO715" s="400"/>
      <c r="BP715" s="400"/>
      <c r="BQ715" s="400"/>
      <c r="BR715" s="72"/>
      <c r="BS715" s="411"/>
    </row>
    <row r="716" spans="1:71" ht="15" customHeight="1" x14ac:dyDescent="0.15">
      <c r="A716" s="419"/>
      <c r="B716" s="405"/>
      <c r="C716" s="405"/>
      <c r="D716" s="405"/>
      <c r="E716" s="405"/>
      <c r="F716" s="420"/>
      <c r="G716" s="421"/>
      <c r="H716" s="442"/>
      <c r="I716" s="406"/>
      <c r="J716" s="407"/>
      <c r="K716" s="408"/>
      <c r="L716" s="409"/>
      <c r="M716" s="409"/>
      <c r="N716" s="410" t="str">
        <f t="shared" si="24"/>
        <v>CAT à compléter</v>
      </c>
      <c r="O716" s="739"/>
      <c r="P716" s="863"/>
      <c r="Q716" s="730" t="str">
        <f t="shared" si="25"/>
        <v>CAT à compléter</v>
      </c>
      <c r="R716" s="740"/>
      <c r="S716" s="740"/>
      <c r="T716" s="740"/>
      <c r="U716" s="740"/>
      <c r="V716" s="740"/>
      <c r="W716" s="740"/>
      <c r="X716" s="740"/>
      <c r="Y716" s="740"/>
      <c r="Z716" s="740"/>
      <c r="AA716" s="740"/>
      <c r="AB716" s="423"/>
      <c r="AC716" s="418"/>
      <c r="AD716" s="418"/>
      <c r="AE716" s="418"/>
      <c r="AF716" s="422"/>
      <c r="AG716" s="425"/>
      <c r="AH716" s="417"/>
      <c r="AI716" s="415"/>
      <c r="AJ716" s="415"/>
      <c r="AK716" s="428"/>
      <c r="AL716" s="397"/>
      <c r="AM716" s="416"/>
      <c r="AN716" s="412"/>
      <c r="AO716" s="72"/>
      <c r="AP716" s="414"/>
      <c r="AQ716" s="430"/>
      <c r="AR716" s="400"/>
      <c r="AS716" s="413"/>
      <c r="AT716" s="413"/>
      <c r="AU716" s="412"/>
      <c r="AV716" s="412"/>
      <c r="AW716" s="399"/>
      <c r="AX716" s="72"/>
      <c r="AY716" s="398"/>
      <c r="AZ716" s="400"/>
      <c r="BA716" s="72"/>
      <c r="BB716" s="404"/>
      <c r="BC716" s="404"/>
      <c r="BD716" s="404"/>
      <c r="BE716" s="404"/>
      <c r="BF716" s="404"/>
      <c r="BG716" s="404"/>
      <c r="BH716" s="403"/>
      <c r="BI716" s="403"/>
      <c r="BJ716" s="403"/>
      <c r="BK716" s="402"/>
      <c r="BL716" s="402"/>
      <c r="BM716" s="402"/>
      <c r="BN716" s="401"/>
      <c r="BO716" s="400"/>
      <c r="BP716" s="400"/>
      <c r="BQ716" s="400"/>
      <c r="BR716" s="72"/>
      <c r="BS716" s="411"/>
    </row>
    <row r="717" spans="1:71" ht="15" customHeight="1" x14ac:dyDescent="0.15">
      <c r="A717" s="419"/>
      <c r="B717" s="405"/>
      <c r="C717" s="405"/>
      <c r="D717" s="405"/>
      <c r="E717" s="405"/>
      <c r="F717" s="420"/>
      <c r="G717" s="421"/>
      <c r="H717" s="442"/>
      <c r="I717" s="406"/>
      <c r="J717" s="407"/>
      <c r="K717" s="408"/>
      <c r="L717" s="409"/>
      <c r="M717" s="409"/>
      <c r="N717" s="410" t="str">
        <f t="shared" si="24"/>
        <v>CAT à compléter</v>
      </c>
      <c r="O717" s="739"/>
      <c r="P717" s="863"/>
      <c r="Q717" s="730" t="str">
        <f t="shared" si="25"/>
        <v>CAT à compléter</v>
      </c>
      <c r="R717" s="740"/>
      <c r="S717" s="740"/>
      <c r="T717" s="740"/>
      <c r="U717" s="740"/>
      <c r="V717" s="740"/>
      <c r="W717" s="740"/>
      <c r="X717" s="740"/>
      <c r="Y717" s="740"/>
      <c r="Z717" s="740"/>
      <c r="AA717" s="740"/>
      <c r="AB717" s="423"/>
      <c r="AC717" s="418"/>
      <c r="AD717" s="418"/>
      <c r="AE717" s="418"/>
      <c r="AF717" s="422"/>
      <c r="AG717" s="425"/>
      <c r="AH717" s="417"/>
      <c r="AI717" s="415"/>
      <c r="AJ717" s="415"/>
      <c r="AK717" s="428"/>
      <c r="AL717" s="397"/>
      <c r="AM717" s="416"/>
      <c r="AN717" s="412"/>
      <c r="AO717" s="72"/>
      <c r="AP717" s="414"/>
      <c r="AQ717" s="430"/>
      <c r="AR717" s="400"/>
      <c r="AS717" s="413"/>
      <c r="AT717" s="413"/>
      <c r="AU717" s="412"/>
      <c r="AV717" s="412"/>
      <c r="AW717" s="399"/>
      <c r="AX717" s="72"/>
      <c r="AY717" s="398"/>
      <c r="AZ717" s="400"/>
      <c r="BA717" s="72"/>
      <c r="BB717" s="404"/>
      <c r="BC717" s="404"/>
      <c r="BD717" s="404"/>
      <c r="BE717" s="404"/>
      <c r="BF717" s="404"/>
      <c r="BG717" s="404"/>
      <c r="BH717" s="403"/>
      <c r="BI717" s="403"/>
      <c r="BJ717" s="403"/>
      <c r="BK717" s="402"/>
      <c r="BL717" s="402"/>
      <c r="BM717" s="402"/>
      <c r="BN717" s="401"/>
      <c r="BO717" s="400"/>
      <c r="BP717" s="400"/>
      <c r="BQ717" s="400"/>
      <c r="BR717" s="72"/>
      <c r="BS717" s="411"/>
    </row>
    <row r="718" spans="1:71" ht="15" customHeight="1" x14ac:dyDescent="0.15">
      <c r="A718" s="419"/>
      <c r="B718" s="405"/>
      <c r="C718" s="405"/>
      <c r="D718" s="405"/>
      <c r="E718" s="405"/>
      <c r="F718" s="420"/>
      <c r="G718" s="421"/>
      <c r="H718" s="442"/>
      <c r="I718" s="406"/>
      <c r="J718" s="407"/>
      <c r="K718" s="408"/>
      <c r="L718" s="409"/>
      <c r="M718" s="409"/>
      <c r="N718" s="410" t="str">
        <f t="shared" si="24"/>
        <v>CAT à compléter</v>
      </c>
      <c r="O718" s="739"/>
      <c r="P718" s="863"/>
      <c r="Q718" s="730" t="str">
        <f t="shared" si="25"/>
        <v>CAT à compléter</v>
      </c>
      <c r="R718" s="740"/>
      <c r="S718" s="740"/>
      <c r="T718" s="740"/>
      <c r="U718" s="740"/>
      <c r="V718" s="740"/>
      <c r="W718" s="740"/>
      <c r="X718" s="740"/>
      <c r="Y718" s="740"/>
      <c r="Z718" s="740"/>
      <c r="AA718" s="740"/>
      <c r="AB718" s="423"/>
      <c r="AC718" s="418"/>
      <c r="AD718" s="418"/>
      <c r="AE718" s="418"/>
      <c r="AF718" s="422"/>
      <c r="AG718" s="425"/>
      <c r="AH718" s="417"/>
      <c r="AI718" s="415"/>
      <c r="AJ718" s="415"/>
      <c r="AK718" s="428"/>
      <c r="AL718" s="397"/>
      <c r="AM718" s="416"/>
      <c r="AN718" s="412"/>
      <c r="AO718" s="72"/>
      <c r="AP718" s="414"/>
      <c r="AQ718" s="430"/>
      <c r="AR718" s="400"/>
      <c r="AS718" s="413"/>
      <c r="AT718" s="413"/>
      <c r="AU718" s="412"/>
      <c r="AV718" s="412"/>
      <c r="AW718" s="399"/>
      <c r="AX718" s="72"/>
      <c r="AY718" s="398"/>
      <c r="AZ718" s="400"/>
      <c r="BA718" s="72"/>
      <c r="BB718" s="404"/>
      <c r="BC718" s="404"/>
      <c r="BD718" s="404"/>
      <c r="BE718" s="404"/>
      <c r="BF718" s="404"/>
      <c r="BG718" s="404"/>
      <c r="BH718" s="403"/>
      <c r="BI718" s="403"/>
      <c r="BJ718" s="403"/>
      <c r="BK718" s="402"/>
      <c r="BL718" s="402"/>
      <c r="BM718" s="402"/>
      <c r="BN718" s="401"/>
      <c r="BO718" s="400"/>
      <c r="BP718" s="400"/>
      <c r="BQ718" s="400"/>
      <c r="BR718" s="72"/>
      <c r="BS718" s="411"/>
    </row>
    <row r="719" spans="1:71" ht="15" customHeight="1" x14ac:dyDescent="0.15">
      <c r="A719" s="419"/>
      <c r="B719" s="405"/>
      <c r="C719" s="405"/>
      <c r="D719" s="405"/>
      <c r="E719" s="405"/>
      <c r="F719" s="420"/>
      <c r="G719" s="421"/>
      <c r="H719" s="442"/>
      <c r="I719" s="406"/>
      <c r="J719" s="407"/>
      <c r="K719" s="408"/>
      <c r="L719" s="409"/>
      <c r="M719" s="409"/>
      <c r="N719" s="410" t="str">
        <f t="shared" si="24"/>
        <v>CAT à compléter</v>
      </c>
      <c r="O719" s="739"/>
      <c r="P719" s="863"/>
      <c r="Q719" s="730" t="str">
        <f t="shared" si="25"/>
        <v>CAT à compléter</v>
      </c>
      <c r="R719" s="740"/>
      <c r="S719" s="740"/>
      <c r="T719" s="740"/>
      <c r="U719" s="740"/>
      <c r="V719" s="740"/>
      <c r="W719" s="740"/>
      <c r="X719" s="740"/>
      <c r="Y719" s="740"/>
      <c r="Z719" s="740"/>
      <c r="AA719" s="740"/>
      <c r="AB719" s="423"/>
      <c r="AC719" s="418"/>
      <c r="AD719" s="418"/>
      <c r="AE719" s="418"/>
      <c r="AF719" s="422"/>
      <c r="AG719" s="425"/>
      <c r="AH719" s="417"/>
      <c r="AI719" s="415"/>
      <c r="AJ719" s="415"/>
      <c r="AK719" s="428"/>
      <c r="AL719" s="397"/>
      <c r="AM719" s="416"/>
      <c r="AN719" s="412"/>
      <c r="AO719" s="72"/>
      <c r="AP719" s="414"/>
      <c r="AQ719" s="430"/>
      <c r="AR719" s="400"/>
      <c r="AS719" s="413"/>
      <c r="AT719" s="413"/>
      <c r="AU719" s="412"/>
      <c r="AV719" s="412"/>
      <c r="AW719" s="399"/>
      <c r="AX719" s="72"/>
      <c r="AY719" s="398"/>
      <c r="AZ719" s="400"/>
      <c r="BA719" s="72"/>
      <c r="BB719" s="404"/>
      <c r="BC719" s="404"/>
      <c r="BD719" s="404"/>
      <c r="BE719" s="404"/>
      <c r="BF719" s="404"/>
      <c r="BG719" s="404"/>
      <c r="BH719" s="403"/>
      <c r="BI719" s="403"/>
      <c r="BJ719" s="403"/>
      <c r="BK719" s="402"/>
      <c r="BL719" s="402"/>
      <c r="BM719" s="402"/>
      <c r="BN719" s="401"/>
      <c r="BO719" s="400"/>
      <c r="BP719" s="400"/>
      <c r="BQ719" s="400"/>
      <c r="BR719" s="72"/>
      <c r="BS719" s="411"/>
    </row>
    <row r="720" spans="1:71" ht="15" customHeight="1" x14ac:dyDescent="0.15">
      <c r="A720" s="419"/>
      <c r="B720" s="405"/>
      <c r="C720" s="405"/>
      <c r="D720" s="405"/>
      <c r="E720" s="405"/>
      <c r="F720" s="420"/>
      <c r="G720" s="421"/>
      <c r="H720" s="442"/>
      <c r="I720" s="406"/>
      <c r="J720" s="407"/>
      <c r="K720" s="408"/>
      <c r="L720" s="409"/>
      <c r="M720" s="409"/>
      <c r="N720" s="410" t="str">
        <f t="shared" si="24"/>
        <v>CAT à compléter</v>
      </c>
      <c r="O720" s="739"/>
      <c r="P720" s="863"/>
      <c r="Q720" s="730" t="str">
        <f t="shared" si="25"/>
        <v>CAT à compléter</v>
      </c>
      <c r="R720" s="740"/>
      <c r="S720" s="740"/>
      <c r="T720" s="740"/>
      <c r="U720" s="740"/>
      <c r="V720" s="740"/>
      <c r="W720" s="740"/>
      <c r="X720" s="740"/>
      <c r="Y720" s="740"/>
      <c r="Z720" s="740"/>
      <c r="AA720" s="740"/>
      <c r="AB720" s="423"/>
      <c r="AC720" s="418"/>
      <c r="AD720" s="418"/>
      <c r="AE720" s="418"/>
      <c r="AF720" s="422"/>
      <c r="AG720" s="425"/>
      <c r="AH720" s="417"/>
      <c r="AI720" s="415"/>
      <c r="AJ720" s="415"/>
      <c r="AK720" s="428"/>
      <c r="AL720" s="397"/>
      <c r="AM720" s="416"/>
      <c r="AN720" s="412"/>
      <c r="AO720" s="72"/>
      <c r="AP720" s="414"/>
      <c r="AQ720" s="430"/>
      <c r="AR720" s="400"/>
      <c r="AS720" s="413"/>
      <c r="AT720" s="413"/>
      <c r="AU720" s="412"/>
      <c r="AV720" s="412"/>
      <c r="AW720" s="399"/>
      <c r="AX720" s="72"/>
      <c r="AY720" s="398"/>
      <c r="AZ720" s="400"/>
      <c r="BA720" s="72"/>
      <c r="BB720" s="404"/>
      <c r="BC720" s="404"/>
      <c r="BD720" s="404"/>
      <c r="BE720" s="404"/>
      <c r="BF720" s="404"/>
      <c r="BG720" s="404"/>
      <c r="BH720" s="403"/>
      <c r="BI720" s="403"/>
      <c r="BJ720" s="403"/>
      <c r="BK720" s="402"/>
      <c r="BL720" s="402"/>
      <c r="BM720" s="402"/>
      <c r="BN720" s="401"/>
      <c r="BO720" s="400"/>
      <c r="BP720" s="400"/>
      <c r="BQ720" s="400"/>
      <c r="BR720" s="72"/>
      <c r="BS720" s="411"/>
    </row>
    <row r="721" spans="1:71" ht="15" customHeight="1" x14ac:dyDescent="0.15">
      <c r="A721" s="419"/>
      <c r="B721" s="405"/>
      <c r="C721" s="405"/>
      <c r="D721" s="405"/>
      <c r="E721" s="405"/>
      <c r="F721" s="420"/>
      <c r="G721" s="421"/>
      <c r="H721" s="442"/>
      <c r="I721" s="406"/>
      <c r="J721" s="407"/>
      <c r="K721" s="408"/>
      <c r="L721" s="409"/>
      <c r="M721" s="409"/>
      <c r="N721" s="410" t="str">
        <f t="shared" si="24"/>
        <v>CAT à compléter</v>
      </c>
      <c r="O721" s="739"/>
      <c r="P721" s="863"/>
      <c r="Q721" s="730" t="str">
        <f t="shared" si="25"/>
        <v>CAT à compléter</v>
      </c>
      <c r="R721" s="740"/>
      <c r="S721" s="740"/>
      <c r="T721" s="740"/>
      <c r="U721" s="740"/>
      <c r="V721" s="740"/>
      <c r="W721" s="740"/>
      <c r="X721" s="740"/>
      <c r="Y721" s="740"/>
      <c r="Z721" s="740"/>
      <c r="AA721" s="740"/>
      <c r="AB721" s="423"/>
      <c r="AC721" s="418"/>
      <c r="AD721" s="418"/>
      <c r="AE721" s="418"/>
      <c r="AF721" s="422"/>
      <c r="AG721" s="425"/>
      <c r="AH721" s="417"/>
      <c r="AI721" s="415"/>
      <c r="AJ721" s="415"/>
      <c r="AK721" s="428"/>
      <c r="AL721" s="397"/>
      <c r="AM721" s="416"/>
      <c r="AN721" s="412"/>
      <c r="AO721" s="72"/>
      <c r="AP721" s="414"/>
      <c r="AQ721" s="430"/>
      <c r="AR721" s="400"/>
      <c r="AS721" s="413"/>
      <c r="AT721" s="413"/>
      <c r="AU721" s="412"/>
      <c r="AV721" s="412"/>
      <c r="AW721" s="399"/>
      <c r="AX721" s="72"/>
      <c r="AY721" s="398"/>
      <c r="AZ721" s="400"/>
      <c r="BA721" s="72"/>
      <c r="BB721" s="404"/>
      <c r="BC721" s="404"/>
      <c r="BD721" s="404"/>
      <c r="BE721" s="404"/>
      <c r="BF721" s="404"/>
      <c r="BG721" s="404"/>
      <c r="BH721" s="403"/>
      <c r="BI721" s="403"/>
      <c r="BJ721" s="403"/>
      <c r="BK721" s="402"/>
      <c r="BL721" s="402"/>
      <c r="BM721" s="402"/>
      <c r="BN721" s="401"/>
      <c r="BO721" s="400"/>
      <c r="BP721" s="400"/>
      <c r="BQ721" s="400"/>
      <c r="BR721" s="72"/>
      <c r="BS721" s="411"/>
    </row>
    <row r="722" spans="1:71" ht="15" customHeight="1" x14ac:dyDescent="0.15">
      <c r="A722" s="419"/>
      <c r="B722" s="405"/>
      <c r="C722" s="405"/>
      <c r="D722" s="405"/>
      <c r="E722" s="405"/>
      <c r="F722" s="420"/>
      <c r="G722" s="421"/>
      <c r="H722" s="442"/>
      <c r="I722" s="406"/>
      <c r="J722" s="407"/>
      <c r="K722" s="408"/>
      <c r="L722" s="409"/>
      <c r="M722" s="409"/>
      <c r="N722" s="410" t="str">
        <f t="shared" si="24"/>
        <v>CAT à compléter</v>
      </c>
      <c r="O722" s="739"/>
      <c r="P722" s="863"/>
      <c r="Q722" s="730" t="str">
        <f t="shared" si="25"/>
        <v>CAT à compléter</v>
      </c>
      <c r="R722" s="740"/>
      <c r="S722" s="740"/>
      <c r="T722" s="740"/>
      <c r="U722" s="740"/>
      <c r="V722" s="740"/>
      <c r="W722" s="740"/>
      <c r="X722" s="740"/>
      <c r="Y722" s="740"/>
      <c r="Z722" s="740"/>
      <c r="AA722" s="740"/>
      <c r="AB722" s="423"/>
      <c r="AC722" s="418"/>
      <c r="AD722" s="418"/>
      <c r="AE722" s="418"/>
      <c r="AF722" s="422"/>
      <c r="AG722" s="425"/>
      <c r="AH722" s="417"/>
      <c r="AI722" s="415"/>
      <c r="AJ722" s="415"/>
      <c r="AK722" s="428"/>
      <c r="AL722" s="397"/>
      <c r="AM722" s="416"/>
      <c r="AN722" s="412"/>
      <c r="AO722" s="72"/>
      <c r="AP722" s="414"/>
      <c r="AQ722" s="430"/>
      <c r="AR722" s="400"/>
      <c r="AS722" s="413"/>
      <c r="AT722" s="413"/>
      <c r="AU722" s="412"/>
      <c r="AV722" s="412"/>
      <c r="AW722" s="399"/>
      <c r="AX722" s="72"/>
      <c r="AY722" s="398"/>
      <c r="AZ722" s="400"/>
      <c r="BA722" s="72"/>
      <c r="BB722" s="404"/>
      <c r="BC722" s="404"/>
      <c r="BD722" s="404"/>
      <c r="BE722" s="404"/>
      <c r="BF722" s="404"/>
      <c r="BG722" s="404"/>
      <c r="BH722" s="403"/>
      <c r="BI722" s="403"/>
      <c r="BJ722" s="403"/>
      <c r="BK722" s="402"/>
      <c r="BL722" s="402"/>
      <c r="BM722" s="402"/>
      <c r="BN722" s="401"/>
      <c r="BO722" s="400"/>
      <c r="BP722" s="400"/>
      <c r="BQ722" s="400"/>
      <c r="BR722" s="72"/>
      <c r="BS722" s="411"/>
    </row>
    <row r="723" spans="1:71" ht="15" customHeight="1" x14ac:dyDescent="0.15">
      <c r="A723" s="419"/>
      <c r="B723" s="405"/>
      <c r="C723" s="405"/>
      <c r="D723" s="405"/>
      <c r="E723" s="405"/>
      <c r="F723" s="420"/>
      <c r="G723" s="421"/>
      <c r="H723" s="442"/>
      <c r="I723" s="406"/>
      <c r="J723" s="407"/>
      <c r="K723" s="408"/>
      <c r="L723" s="409"/>
      <c r="M723" s="409"/>
      <c r="N723" s="410" t="str">
        <f t="shared" si="24"/>
        <v>CAT à compléter</v>
      </c>
      <c r="O723" s="739"/>
      <c r="P723" s="863"/>
      <c r="Q723" s="730" t="str">
        <f t="shared" si="25"/>
        <v>CAT à compléter</v>
      </c>
      <c r="R723" s="740"/>
      <c r="S723" s="740"/>
      <c r="T723" s="740"/>
      <c r="U723" s="740"/>
      <c r="V723" s="740"/>
      <c r="W723" s="740"/>
      <c r="X723" s="740"/>
      <c r="Y723" s="740"/>
      <c r="Z723" s="740"/>
      <c r="AA723" s="740"/>
      <c r="AB723" s="423"/>
      <c r="AC723" s="418"/>
      <c r="AD723" s="418"/>
      <c r="AE723" s="418"/>
      <c r="AF723" s="422"/>
      <c r="AG723" s="425"/>
      <c r="AH723" s="417"/>
      <c r="AI723" s="415"/>
      <c r="AJ723" s="415"/>
      <c r="AK723" s="428"/>
      <c r="AL723" s="397"/>
      <c r="AM723" s="416"/>
      <c r="AN723" s="412"/>
      <c r="AO723" s="72"/>
      <c r="AP723" s="414"/>
      <c r="AQ723" s="430"/>
      <c r="AR723" s="400"/>
      <c r="AS723" s="413"/>
      <c r="AT723" s="413"/>
      <c r="AU723" s="412"/>
      <c r="AV723" s="412"/>
      <c r="AW723" s="399"/>
      <c r="AX723" s="72"/>
      <c r="AY723" s="398"/>
      <c r="AZ723" s="400"/>
      <c r="BA723" s="72"/>
      <c r="BB723" s="404"/>
      <c r="BC723" s="404"/>
      <c r="BD723" s="404"/>
      <c r="BE723" s="404"/>
      <c r="BF723" s="404"/>
      <c r="BG723" s="404"/>
      <c r="BH723" s="403"/>
      <c r="BI723" s="403"/>
      <c r="BJ723" s="403"/>
      <c r="BK723" s="402"/>
      <c r="BL723" s="402"/>
      <c r="BM723" s="402"/>
      <c r="BN723" s="401"/>
      <c r="BO723" s="400"/>
      <c r="BP723" s="400"/>
      <c r="BQ723" s="400"/>
      <c r="BR723" s="72"/>
      <c r="BS723" s="411"/>
    </row>
    <row r="724" spans="1:71" ht="15" customHeight="1" x14ac:dyDescent="0.15">
      <c r="A724" s="419"/>
      <c r="B724" s="405"/>
      <c r="C724" s="405"/>
      <c r="D724" s="405"/>
      <c r="E724" s="405"/>
      <c r="F724" s="420"/>
      <c r="G724" s="421"/>
      <c r="H724" s="442"/>
      <c r="I724" s="406"/>
      <c r="J724" s="407"/>
      <c r="K724" s="408"/>
      <c r="L724" s="409"/>
      <c r="M724" s="409"/>
      <c r="N724" s="410" t="str">
        <f t="shared" si="24"/>
        <v>CAT à compléter</v>
      </c>
      <c r="O724" s="739"/>
      <c r="P724" s="863"/>
      <c r="Q724" s="730" t="str">
        <f t="shared" si="25"/>
        <v>CAT à compléter</v>
      </c>
      <c r="R724" s="740"/>
      <c r="S724" s="740"/>
      <c r="T724" s="740"/>
      <c r="U724" s="740"/>
      <c r="V724" s="740"/>
      <c r="W724" s="740"/>
      <c r="X724" s="740"/>
      <c r="Y724" s="740"/>
      <c r="Z724" s="740"/>
      <c r="AA724" s="740"/>
      <c r="AB724" s="423"/>
      <c r="AC724" s="418"/>
      <c r="AD724" s="418"/>
      <c r="AE724" s="418"/>
      <c r="AF724" s="422"/>
      <c r="AG724" s="425"/>
      <c r="AH724" s="417"/>
      <c r="AI724" s="415"/>
      <c r="AJ724" s="415"/>
      <c r="AK724" s="428"/>
      <c r="AL724" s="397"/>
      <c r="AM724" s="416"/>
      <c r="AN724" s="412"/>
      <c r="AO724" s="72"/>
      <c r="AP724" s="414"/>
      <c r="AQ724" s="430"/>
      <c r="AR724" s="400"/>
      <c r="AS724" s="413"/>
      <c r="AT724" s="413"/>
      <c r="AU724" s="412"/>
      <c r="AV724" s="412"/>
      <c r="AW724" s="399"/>
      <c r="AX724" s="72"/>
      <c r="AY724" s="398"/>
      <c r="AZ724" s="400"/>
      <c r="BA724" s="72"/>
      <c r="BB724" s="404"/>
      <c r="BC724" s="404"/>
      <c r="BD724" s="404"/>
      <c r="BE724" s="404"/>
      <c r="BF724" s="404"/>
      <c r="BG724" s="404"/>
      <c r="BH724" s="403"/>
      <c r="BI724" s="403"/>
      <c r="BJ724" s="403"/>
      <c r="BK724" s="402"/>
      <c r="BL724" s="402"/>
      <c r="BM724" s="402"/>
      <c r="BN724" s="401"/>
      <c r="BO724" s="400"/>
      <c r="BP724" s="400"/>
      <c r="BQ724" s="400"/>
      <c r="BR724" s="72"/>
      <c r="BS724" s="411"/>
    </row>
    <row r="725" spans="1:71" ht="15" customHeight="1" x14ac:dyDescent="0.15">
      <c r="A725" s="419"/>
      <c r="B725" s="405"/>
      <c r="C725" s="405"/>
      <c r="D725" s="405"/>
      <c r="E725" s="405"/>
      <c r="F725" s="420"/>
      <c r="G725" s="421"/>
      <c r="H725" s="442"/>
      <c r="I725" s="406"/>
      <c r="J725" s="407"/>
      <c r="K725" s="408"/>
      <c r="L725" s="409"/>
      <c r="M725" s="409"/>
      <c r="N725" s="410" t="str">
        <f t="shared" si="24"/>
        <v>CAT à compléter</v>
      </c>
      <c r="O725" s="739"/>
      <c r="P725" s="863"/>
      <c r="Q725" s="730" t="str">
        <f t="shared" si="25"/>
        <v>CAT à compléter</v>
      </c>
      <c r="R725" s="740"/>
      <c r="S725" s="740"/>
      <c r="T725" s="740"/>
      <c r="U725" s="740"/>
      <c r="V725" s="740"/>
      <c r="W725" s="740"/>
      <c r="X725" s="740"/>
      <c r="Y725" s="740"/>
      <c r="Z725" s="740"/>
      <c r="AA725" s="740"/>
      <c r="AB725" s="423"/>
      <c r="AC725" s="418"/>
      <c r="AD725" s="418"/>
      <c r="AE725" s="418"/>
      <c r="AF725" s="422"/>
      <c r="AG725" s="425"/>
      <c r="AH725" s="417"/>
      <c r="AI725" s="415"/>
      <c r="AJ725" s="415"/>
      <c r="AK725" s="428"/>
      <c r="AL725" s="397"/>
      <c r="AM725" s="416"/>
      <c r="AN725" s="412"/>
      <c r="AO725" s="72"/>
      <c r="AP725" s="414"/>
      <c r="AQ725" s="430"/>
      <c r="AR725" s="400"/>
      <c r="AS725" s="413"/>
      <c r="AT725" s="413"/>
      <c r="AU725" s="412"/>
      <c r="AV725" s="412"/>
      <c r="AW725" s="399"/>
      <c r="AX725" s="72"/>
      <c r="AY725" s="398"/>
      <c r="AZ725" s="400"/>
      <c r="BA725" s="72"/>
      <c r="BB725" s="404"/>
      <c r="BC725" s="404"/>
      <c r="BD725" s="404"/>
      <c r="BE725" s="404"/>
      <c r="BF725" s="404"/>
      <c r="BG725" s="404"/>
      <c r="BH725" s="403"/>
      <c r="BI725" s="403"/>
      <c r="BJ725" s="403"/>
      <c r="BK725" s="402"/>
      <c r="BL725" s="402"/>
      <c r="BM725" s="402"/>
      <c r="BN725" s="401"/>
      <c r="BO725" s="400"/>
      <c r="BP725" s="400"/>
      <c r="BQ725" s="400"/>
      <c r="BR725" s="72"/>
      <c r="BS725" s="411"/>
    </row>
    <row r="726" spans="1:71" ht="15" customHeight="1" x14ac:dyDescent="0.15">
      <c r="A726" s="419"/>
      <c r="B726" s="405"/>
      <c r="C726" s="405"/>
      <c r="D726" s="405"/>
      <c r="E726" s="405"/>
      <c r="F726" s="420"/>
      <c r="G726" s="421"/>
      <c r="H726" s="442"/>
      <c r="I726" s="406"/>
      <c r="J726" s="407"/>
      <c r="K726" s="408"/>
      <c r="L726" s="409"/>
      <c r="M726" s="409"/>
      <c r="N726" s="410" t="str">
        <f t="shared" si="24"/>
        <v>CAT à compléter</v>
      </c>
      <c r="O726" s="739"/>
      <c r="P726" s="863"/>
      <c r="Q726" s="730" t="str">
        <f t="shared" si="25"/>
        <v>CAT à compléter</v>
      </c>
      <c r="R726" s="740"/>
      <c r="S726" s="740"/>
      <c r="T726" s="740"/>
      <c r="U726" s="740"/>
      <c r="V726" s="740"/>
      <c r="W726" s="740"/>
      <c r="X726" s="740"/>
      <c r="Y726" s="740"/>
      <c r="Z726" s="740"/>
      <c r="AA726" s="740"/>
      <c r="AB726" s="423"/>
      <c r="AC726" s="418"/>
      <c r="AD726" s="418"/>
      <c r="AE726" s="418"/>
      <c r="AF726" s="422"/>
      <c r="AG726" s="425"/>
      <c r="AH726" s="417"/>
      <c r="AI726" s="415"/>
      <c r="AJ726" s="415"/>
      <c r="AK726" s="428"/>
      <c r="AL726" s="397"/>
      <c r="AM726" s="416"/>
      <c r="AN726" s="412"/>
      <c r="AO726" s="72"/>
      <c r="AP726" s="414"/>
      <c r="AQ726" s="430"/>
      <c r="AR726" s="400"/>
      <c r="AS726" s="413"/>
      <c r="AT726" s="413"/>
      <c r="AU726" s="412"/>
      <c r="AV726" s="412"/>
      <c r="AW726" s="399"/>
      <c r="AX726" s="72"/>
      <c r="AY726" s="398"/>
      <c r="AZ726" s="400"/>
      <c r="BA726" s="72"/>
      <c r="BB726" s="404"/>
      <c r="BC726" s="404"/>
      <c r="BD726" s="404"/>
      <c r="BE726" s="404"/>
      <c r="BF726" s="404"/>
      <c r="BG726" s="404"/>
      <c r="BH726" s="403"/>
      <c r="BI726" s="403"/>
      <c r="BJ726" s="403"/>
      <c r="BK726" s="402"/>
      <c r="BL726" s="402"/>
      <c r="BM726" s="402"/>
      <c r="BN726" s="401"/>
      <c r="BO726" s="400"/>
      <c r="BP726" s="400"/>
      <c r="BQ726" s="400"/>
      <c r="BR726" s="72"/>
      <c r="BS726" s="411"/>
    </row>
    <row r="727" spans="1:71" ht="15" customHeight="1" x14ac:dyDescent="0.15">
      <c r="A727" s="419"/>
      <c r="B727" s="405"/>
      <c r="C727" s="405"/>
      <c r="D727" s="405"/>
      <c r="E727" s="405"/>
      <c r="F727" s="420"/>
      <c r="G727" s="421"/>
      <c r="H727" s="442"/>
      <c r="I727" s="406"/>
      <c r="J727" s="407"/>
      <c r="K727" s="408"/>
      <c r="L727" s="409"/>
      <c r="M727" s="409"/>
      <c r="N727" s="410" t="str">
        <f t="shared" si="24"/>
        <v>CAT à compléter</v>
      </c>
      <c r="O727" s="739"/>
      <c r="P727" s="863"/>
      <c r="Q727" s="730" t="str">
        <f t="shared" si="25"/>
        <v>CAT à compléter</v>
      </c>
      <c r="R727" s="740"/>
      <c r="S727" s="740"/>
      <c r="T727" s="740"/>
      <c r="U727" s="740"/>
      <c r="V727" s="740"/>
      <c r="W727" s="740"/>
      <c r="X727" s="740"/>
      <c r="Y727" s="740"/>
      <c r="Z727" s="740"/>
      <c r="AA727" s="740"/>
      <c r="AB727" s="423"/>
      <c r="AC727" s="418"/>
      <c r="AD727" s="418"/>
      <c r="AE727" s="418"/>
      <c r="AF727" s="422"/>
      <c r="AG727" s="425"/>
      <c r="AH727" s="417"/>
      <c r="AI727" s="415"/>
      <c r="AJ727" s="415"/>
      <c r="AK727" s="428"/>
      <c r="AL727" s="397"/>
      <c r="AM727" s="416"/>
      <c r="AN727" s="412"/>
      <c r="AO727" s="72"/>
      <c r="AP727" s="414"/>
      <c r="AQ727" s="430"/>
      <c r="AR727" s="400"/>
      <c r="AS727" s="413"/>
      <c r="AT727" s="413"/>
      <c r="AU727" s="412"/>
      <c r="AV727" s="412"/>
      <c r="AW727" s="399"/>
      <c r="AX727" s="72"/>
      <c r="AY727" s="398"/>
      <c r="AZ727" s="400"/>
      <c r="BA727" s="72"/>
      <c r="BB727" s="404"/>
      <c r="BC727" s="404"/>
      <c r="BD727" s="404"/>
      <c r="BE727" s="404"/>
      <c r="BF727" s="404"/>
      <c r="BG727" s="404"/>
      <c r="BH727" s="403"/>
      <c r="BI727" s="403"/>
      <c r="BJ727" s="403"/>
      <c r="BK727" s="402"/>
      <c r="BL727" s="402"/>
      <c r="BM727" s="402"/>
      <c r="BN727" s="401"/>
      <c r="BO727" s="400"/>
      <c r="BP727" s="400"/>
      <c r="BQ727" s="400"/>
      <c r="BR727" s="72"/>
      <c r="BS727" s="411"/>
    </row>
    <row r="728" spans="1:71" ht="15" customHeight="1" x14ac:dyDescent="0.15">
      <c r="A728" s="419"/>
      <c r="B728" s="405"/>
      <c r="C728" s="405"/>
      <c r="D728" s="405"/>
      <c r="E728" s="405"/>
      <c r="F728" s="420"/>
      <c r="G728" s="421"/>
      <c r="H728" s="442"/>
      <c r="I728" s="406"/>
      <c r="J728" s="407"/>
      <c r="K728" s="408"/>
      <c r="L728" s="409"/>
      <c r="M728" s="409"/>
      <c r="N728" s="410" t="str">
        <f t="shared" si="24"/>
        <v>CAT à compléter</v>
      </c>
      <c r="O728" s="739"/>
      <c r="P728" s="863"/>
      <c r="Q728" s="730" t="str">
        <f t="shared" si="25"/>
        <v>CAT à compléter</v>
      </c>
      <c r="R728" s="740"/>
      <c r="S728" s="740"/>
      <c r="T728" s="740"/>
      <c r="U728" s="740"/>
      <c r="V728" s="740"/>
      <c r="W728" s="740"/>
      <c r="X728" s="740"/>
      <c r="Y728" s="740"/>
      <c r="Z728" s="740"/>
      <c r="AA728" s="740"/>
      <c r="AB728" s="423"/>
      <c r="AC728" s="418"/>
      <c r="AD728" s="418"/>
      <c r="AE728" s="418"/>
      <c r="AF728" s="422"/>
      <c r="AG728" s="425"/>
      <c r="AH728" s="417"/>
      <c r="AI728" s="415"/>
      <c r="AJ728" s="415"/>
      <c r="AK728" s="428"/>
      <c r="AL728" s="397"/>
      <c r="AM728" s="416"/>
      <c r="AN728" s="412"/>
      <c r="AO728" s="72"/>
      <c r="AP728" s="414"/>
      <c r="AQ728" s="430"/>
      <c r="AR728" s="400"/>
      <c r="AS728" s="413"/>
      <c r="AT728" s="413"/>
      <c r="AU728" s="412"/>
      <c r="AV728" s="412"/>
      <c r="AW728" s="399"/>
      <c r="AX728" s="72"/>
      <c r="AY728" s="398"/>
      <c r="AZ728" s="400"/>
      <c r="BA728" s="72"/>
      <c r="BB728" s="404"/>
      <c r="BC728" s="404"/>
      <c r="BD728" s="404"/>
      <c r="BE728" s="404"/>
      <c r="BF728" s="404"/>
      <c r="BG728" s="404"/>
      <c r="BH728" s="403"/>
      <c r="BI728" s="403"/>
      <c r="BJ728" s="403"/>
      <c r="BK728" s="402"/>
      <c r="BL728" s="402"/>
      <c r="BM728" s="402"/>
      <c r="BN728" s="401"/>
      <c r="BO728" s="400"/>
      <c r="BP728" s="400"/>
      <c r="BQ728" s="400"/>
      <c r="BR728" s="72"/>
      <c r="BS728" s="411"/>
    </row>
    <row r="729" spans="1:71" ht="15" customHeight="1" x14ac:dyDescent="0.15">
      <c r="A729" s="419"/>
      <c r="B729" s="405"/>
      <c r="C729" s="405"/>
      <c r="D729" s="405"/>
      <c r="E729" s="405"/>
      <c r="F729" s="420"/>
      <c r="G729" s="421"/>
      <c r="H729" s="442"/>
      <c r="I729" s="406"/>
      <c r="J729" s="407"/>
      <c r="K729" s="408"/>
      <c r="L729" s="409"/>
      <c r="M729" s="409"/>
      <c r="N729" s="410" t="str">
        <f t="shared" si="24"/>
        <v>CAT à compléter</v>
      </c>
      <c r="O729" s="739"/>
      <c r="P729" s="863"/>
      <c r="Q729" s="730" t="str">
        <f t="shared" si="25"/>
        <v>CAT à compléter</v>
      </c>
      <c r="R729" s="740"/>
      <c r="S729" s="740"/>
      <c r="T729" s="740"/>
      <c r="U729" s="740"/>
      <c r="V729" s="740"/>
      <c r="W729" s="740"/>
      <c r="X729" s="740"/>
      <c r="Y729" s="740"/>
      <c r="Z729" s="740"/>
      <c r="AA729" s="740"/>
      <c r="AB729" s="423"/>
      <c r="AC729" s="418"/>
      <c r="AD729" s="418"/>
      <c r="AE729" s="418"/>
      <c r="AF729" s="422"/>
      <c r="AG729" s="425"/>
      <c r="AH729" s="417"/>
      <c r="AI729" s="415"/>
      <c r="AJ729" s="415"/>
      <c r="AK729" s="428"/>
      <c r="AL729" s="397"/>
      <c r="AM729" s="416"/>
      <c r="AN729" s="412"/>
      <c r="AO729" s="72"/>
      <c r="AP729" s="414"/>
      <c r="AQ729" s="430"/>
      <c r="AR729" s="400"/>
      <c r="AS729" s="413"/>
      <c r="AT729" s="413"/>
      <c r="AU729" s="412"/>
      <c r="AV729" s="412"/>
      <c r="AW729" s="399"/>
      <c r="AX729" s="72"/>
      <c r="AY729" s="398"/>
      <c r="AZ729" s="400"/>
      <c r="BA729" s="72"/>
      <c r="BB729" s="404"/>
      <c r="BC729" s="404"/>
      <c r="BD729" s="404"/>
      <c r="BE729" s="404"/>
      <c r="BF729" s="404"/>
      <c r="BG729" s="404"/>
      <c r="BH729" s="403"/>
      <c r="BI729" s="403"/>
      <c r="BJ729" s="403"/>
      <c r="BK729" s="402"/>
      <c r="BL729" s="402"/>
      <c r="BM729" s="402"/>
      <c r="BN729" s="401"/>
      <c r="BO729" s="400"/>
      <c r="BP729" s="400"/>
      <c r="BQ729" s="400"/>
      <c r="BR729" s="72"/>
      <c r="BS729" s="411"/>
    </row>
    <row r="730" spans="1:71" ht="15" customHeight="1" x14ac:dyDescent="0.15">
      <c r="A730" s="419"/>
      <c r="B730" s="405"/>
      <c r="C730" s="405"/>
      <c r="D730" s="405"/>
      <c r="E730" s="405"/>
      <c r="F730" s="420"/>
      <c r="G730" s="421"/>
      <c r="H730" s="442"/>
      <c r="I730" s="406"/>
      <c r="J730" s="407"/>
      <c r="K730" s="408"/>
      <c r="L730" s="409"/>
      <c r="M730" s="409"/>
      <c r="N730" s="410" t="str">
        <f t="shared" si="24"/>
        <v>CAT à compléter</v>
      </c>
      <c r="O730" s="739"/>
      <c r="P730" s="863"/>
      <c r="Q730" s="730" t="str">
        <f t="shared" si="25"/>
        <v>CAT à compléter</v>
      </c>
      <c r="R730" s="740"/>
      <c r="S730" s="740"/>
      <c r="T730" s="740"/>
      <c r="U730" s="740"/>
      <c r="V730" s="740"/>
      <c r="W730" s="740"/>
      <c r="X730" s="740"/>
      <c r="Y730" s="740"/>
      <c r="Z730" s="740"/>
      <c r="AA730" s="740"/>
      <c r="AB730" s="423"/>
      <c r="AC730" s="418"/>
      <c r="AD730" s="418"/>
      <c r="AE730" s="418"/>
      <c r="AF730" s="422"/>
      <c r="AG730" s="425"/>
      <c r="AH730" s="417"/>
      <c r="AI730" s="415"/>
      <c r="AJ730" s="415"/>
      <c r="AK730" s="428"/>
      <c r="AL730" s="397"/>
      <c r="AM730" s="416"/>
      <c r="AN730" s="412"/>
      <c r="AO730" s="72"/>
      <c r="AP730" s="414"/>
      <c r="AQ730" s="430"/>
      <c r="AR730" s="400"/>
      <c r="AS730" s="413"/>
      <c r="AT730" s="413"/>
      <c r="AU730" s="412"/>
      <c r="AV730" s="412"/>
      <c r="AW730" s="399"/>
      <c r="AX730" s="72"/>
      <c r="AY730" s="398"/>
      <c r="AZ730" s="400"/>
      <c r="BA730" s="72"/>
      <c r="BB730" s="404"/>
      <c r="BC730" s="404"/>
      <c r="BD730" s="404"/>
      <c r="BE730" s="404"/>
      <c r="BF730" s="404"/>
      <c r="BG730" s="404"/>
      <c r="BH730" s="403"/>
      <c r="BI730" s="403"/>
      <c r="BJ730" s="403"/>
      <c r="BK730" s="402"/>
      <c r="BL730" s="402"/>
      <c r="BM730" s="402"/>
      <c r="BN730" s="401"/>
      <c r="BO730" s="400"/>
      <c r="BP730" s="400"/>
      <c r="BQ730" s="400"/>
      <c r="BR730" s="72"/>
      <c r="BS730" s="411"/>
    </row>
    <row r="731" spans="1:71" ht="15" customHeight="1" x14ac:dyDescent="0.15">
      <c r="A731" s="419"/>
      <c r="B731" s="405"/>
      <c r="C731" s="405"/>
      <c r="D731" s="405"/>
      <c r="E731" s="405"/>
      <c r="F731" s="420"/>
      <c r="G731" s="421"/>
      <c r="H731" s="442"/>
      <c r="I731" s="406"/>
      <c r="J731" s="407"/>
      <c r="K731" s="408"/>
      <c r="L731" s="409"/>
      <c r="M731" s="409"/>
      <c r="N731" s="410" t="str">
        <f t="shared" si="24"/>
        <v>CAT à compléter</v>
      </c>
      <c r="O731" s="739"/>
      <c r="P731" s="863"/>
      <c r="Q731" s="730" t="str">
        <f t="shared" si="25"/>
        <v>CAT à compléter</v>
      </c>
      <c r="R731" s="740"/>
      <c r="S731" s="740"/>
      <c r="T731" s="740"/>
      <c r="U731" s="740"/>
      <c r="V731" s="740"/>
      <c r="W731" s="740"/>
      <c r="X731" s="740"/>
      <c r="Y731" s="740"/>
      <c r="Z731" s="740"/>
      <c r="AA731" s="740"/>
      <c r="AB731" s="423"/>
      <c r="AC731" s="418"/>
      <c r="AD731" s="418"/>
      <c r="AE731" s="418"/>
      <c r="AF731" s="422"/>
      <c r="AG731" s="425"/>
      <c r="AH731" s="417"/>
      <c r="AI731" s="415"/>
      <c r="AJ731" s="415"/>
      <c r="AK731" s="428"/>
      <c r="AL731" s="397"/>
      <c r="AM731" s="416"/>
      <c r="AN731" s="412"/>
      <c r="AO731" s="72"/>
      <c r="AP731" s="414"/>
      <c r="AQ731" s="430"/>
      <c r="AR731" s="400"/>
      <c r="AS731" s="413"/>
      <c r="AT731" s="413"/>
      <c r="AU731" s="412"/>
      <c r="AV731" s="412"/>
      <c r="AW731" s="399"/>
      <c r="AX731" s="72"/>
      <c r="AY731" s="398"/>
      <c r="AZ731" s="400"/>
      <c r="BA731" s="72"/>
      <c r="BB731" s="404"/>
      <c r="BC731" s="404"/>
      <c r="BD731" s="404"/>
      <c r="BE731" s="404"/>
      <c r="BF731" s="404"/>
      <c r="BG731" s="404"/>
      <c r="BH731" s="403"/>
      <c r="BI731" s="403"/>
      <c r="BJ731" s="403"/>
      <c r="BK731" s="402"/>
      <c r="BL731" s="402"/>
      <c r="BM731" s="402"/>
      <c r="BN731" s="401"/>
      <c r="BO731" s="400"/>
      <c r="BP731" s="400"/>
      <c r="BQ731" s="400"/>
      <c r="BR731" s="72"/>
      <c r="BS731" s="411"/>
    </row>
    <row r="732" spans="1:71" ht="15" customHeight="1" x14ac:dyDescent="0.15">
      <c r="A732" s="419"/>
      <c r="B732" s="405"/>
      <c r="C732" s="405"/>
      <c r="D732" s="405"/>
      <c r="E732" s="405"/>
      <c r="F732" s="420"/>
      <c r="G732" s="421"/>
      <c r="H732" s="442"/>
      <c r="I732" s="406"/>
      <c r="J732" s="407"/>
      <c r="K732" s="408"/>
      <c r="L732" s="409"/>
      <c r="M732" s="409"/>
      <c r="N732" s="410" t="str">
        <f t="shared" si="24"/>
        <v>CAT à compléter</v>
      </c>
      <c r="O732" s="739"/>
      <c r="P732" s="863"/>
      <c r="Q732" s="730" t="str">
        <f t="shared" si="25"/>
        <v>CAT à compléter</v>
      </c>
      <c r="R732" s="740"/>
      <c r="S732" s="740"/>
      <c r="T732" s="740"/>
      <c r="U732" s="740"/>
      <c r="V732" s="740"/>
      <c r="W732" s="740"/>
      <c r="X732" s="740"/>
      <c r="Y732" s="740"/>
      <c r="Z732" s="740"/>
      <c r="AA732" s="740"/>
      <c r="AB732" s="423"/>
      <c r="AC732" s="418"/>
      <c r="AD732" s="418"/>
      <c r="AE732" s="418"/>
      <c r="AF732" s="422"/>
      <c r="AG732" s="425"/>
      <c r="AH732" s="417"/>
      <c r="AI732" s="415"/>
      <c r="AJ732" s="415"/>
      <c r="AK732" s="428"/>
      <c r="AL732" s="397"/>
      <c r="AM732" s="416"/>
      <c r="AN732" s="412"/>
      <c r="AO732" s="72"/>
      <c r="AP732" s="414"/>
      <c r="AQ732" s="430"/>
      <c r="AR732" s="400"/>
      <c r="AS732" s="413"/>
      <c r="AT732" s="413"/>
      <c r="AU732" s="412"/>
      <c r="AV732" s="412"/>
      <c r="AW732" s="399"/>
      <c r="AX732" s="72"/>
      <c r="AY732" s="398"/>
      <c r="AZ732" s="400"/>
      <c r="BA732" s="72"/>
      <c r="BB732" s="404"/>
      <c r="BC732" s="404"/>
      <c r="BD732" s="404"/>
      <c r="BE732" s="404"/>
      <c r="BF732" s="404"/>
      <c r="BG732" s="404"/>
      <c r="BH732" s="403"/>
      <c r="BI732" s="403"/>
      <c r="BJ732" s="403"/>
      <c r="BK732" s="402"/>
      <c r="BL732" s="402"/>
      <c r="BM732" s="402"/>
      <c r="BN732" s="401"/>
      <c r="BO732" s="400"/>
      <c r="BP732" s="400"/>
      <c r="BQ732" s="400"/>
      <c r="BR732" s="72"/>
      <c r="BS732" s="411"/>
    </row>
    <row r="733" spans="1:71" ht="15" customHeight="1" x14ac:dyDescent="0.15">
      <c r="A733" s="419"/>
      <c r="B733" s="405"/>
      <c r="C733" s="405"/>
      <c r="D733" s="405"/>
      <c r="E733" s="405"/>
      <c r="F733" s="420"/>
      <c r="G733" s="421"/>
      <c r="H733" s="442"/>
      <c r="I733" s="406"/>
      <c r="J733" s="407"/>
      <c r="K733" s="408"/>
      <c r="L733" s="409"/>
      <c r="M733" s="409"/>
      <c r="N733" s="410" t="str">
        <f t="shared" si="24"/>
        <v>CAT à compléter</v>
      </c>
      <c r="O733" s="739"/>
      <c r="P733" s="863"/>
      <c r="Q733" s="730" t="str">
        <f t="shared" si="25"/>
        <v>CAT à compléter</v>
      </c>
      <c r="R733" s="740"/>
      <c r="S733" s="740"/>
      <c r="T733" s="740"/>
      <c r="U733" s="740"/>
      <c r="V733" s="740"/>
      <c r="W733" s="740"/>
      <c r="X733" s="740"/>
      <c r="Y733" s="740"/>
      <c r="Z733" s="740"/>
      <c r="AA733" s="740"/>
      <c r="AB733" s="423"/>
      <c r="AC733" s="418"/>
      <c r="AD733" s="418"/>
      <c r="AE733" s="418"/>
      <c r="AF733" s="422"/>
      <c r="AG733" s="425"/>
      <c r="AH733" s="417"/>
      <c r="AI733" s="415"/>
      <c r="AJ733" s="415"/>
      <c r="AK733" s="428"/>
      <c r="AL733" s="397"/>
      <c r="AM733" s="416"/>
      <c r="AN733" s="412"/>
      <c r="AO733" s="72"/>
      <c r="AP733" s="414"/>
      <c r="AQ733" s="430"/>
      <c r="AR733" s="400"/>
      <c r="AS733" s="413"/>
      <c r="AT733" s="413"/>
      <c r="AU733" s="412"/>
      <c r="AV733" s="412"/>
      <c r="AW733" s="399"/>
      <c r="AX733" s="72"/>
      <c r="AY733" s="398"/>
      <c r="AZ733" s="400"/>
      <c r="BA733" s="72"/>
      <c r="BB733" s="404"/>
      <c r="BC733" s="404"/>
      <c r="BD733" s="404"/>
      <c r="BE733" s="404"/>
      <c r="BF733" s="404"/>
      <c r="BG733" s="404"/>
      <c r="BH733" s="403"/>
      <c r="BI733" s="403"/>
      <c r="BJ733" s="403"/>
      <c r="BK733" s="402"/>
      <c r="BL733" s="402"/>
      <c r="BM733" s="402"/>
      <c r="BN733" s="401"/>
      <c r="BO733" s="400"/>
      <c r="BP733" s="400"/>
      <c r="BQ733" s="400"/>
      <c r="BR733" s="72"/>
      <c r="BS733" s="411"/>
    </row>
    <row r="734" spans="1:71" ht="15" customHeight="1" x14ac:dyDescent="0.15">
      <c r="A734" s="419"/>
      <c r="B734" s="405"/>
      <c r="C734" s="405"/>
      <c r="D734" s="405"/>
      <c r="E734" s="405"/>
      <c r="F734" s="420"/>
      <c r="G734" s="421"/>
      <c r="H734" s="442"/>
      <c r="I734" s="406"/>
      <c r="J734" s="407"/>
      <c r="K734" s="408"/>
      <c r="L734" s="409"/>
      <c r="M734" s="409"/>
      <c r="N734" s="410" t="str">
        <f t="shared" si="24"/>
        <v>CAT à compléter</v>
      </c>
      <c r="O734" s="739"/>
      <c r="P734" s="863"/>
      <c r="Q734" s="730" t="str">
        <f t="shared" si="25"/>
        <v>CAT à compléter</v>
      </c>
      <c r="R734" s="740"/>
      <c r="S734" s="740"/>
      <c r="T734" s="740"/>
      <c r="U734" s="740"/>
      <c r="V734" s="740"/>
      <c r="W734" s="740"/>
      <c r="X734" s="740"/>
      <c r="Y734" s="740"/>
      <c r="Z734" s="740"/>
      <c r="AA734" s="740"/>
      <c r="AB734" s="423"/>
      <c r="AC734" s="418"/>
      <c r="AD734" s="418"/>
      <c r="AE734" s="418"/>
      <c r="AF734" s="422"/>
      <c r="AG734" s="425"/>
      <c r="AH734" s="417"/>
      <c r="AI734" s="415"/>
      <c r="AJ734" s="415"/>
      <c r="AK734" s="428"/>
      <c r="AL734" s="397"/>
      <c r="AM734" s="416"/>
      <c r="AN734" s="412"/>
      <c r="AO734" s="72"/>
      <c r="AP734" s="414"/>
      <c r="AQ734" s="430"/>
      <c r="AR734" s="400"/>
      <c r="AS734" s="413"/>
      <c r="AT734" s="413"/>
      <c r="AU734" s="412"/>
      <c r="AV734" s="412"/>
      <c r="AW734" s="399"/>
      <c r="AX734" s="72"/>
      <c r="AY734" s="398"/>
      <c r="AZ734" s="400"/>
      <c r="BA734" s="72"/>
      <c r="BB734" s="404"/>
      <c r="BC734" s="404"/>
      <c r="BD734" s="404"/>
      <c r="BE734" s="404"/>
      <c r="BF734" s="404"/>
      <c r="BG734" s="404"/>
      <c r="BH734" s="403"/>
      <c r="BI734" s="403"/>
      <c r="BJ734" s="403"/>
      <c r="BK734" s="402"/>
      <c r="BL734" s="402"/>
      <c r="BM734" s="402"/>
      <c r="BN734" s="401"/>
      <c r="BO734" s="400"/>
      <c r="BP734" s="400"/>
      <c r="BQ734" s="400"/>
      <c r="BR734" s="72"/>
      <c r="BS734" s="411"/>
    </row>
    <row r="735" spans="1:71" ht="15" customHeight="1" x14ac:dyDescent="0.15">
      <c r="A735" s="419"/>
      <c r="B735" s="405"/>
      <c r="C735" s="405"/>
      <c r="D735" s="405"/>
      <c r="E735" s="405"/>
      <c r="F735" s="420"/>
      <c r="G735" s="421"/>
      <c r="H735" s="442"/>
      <c r="I735" s="406"/>
      <c r="J735" s="407"/>
      <c r="K735" s="408"/>
      <c r="L735" s="409"/>
      <c r="M735" s="409"/>
      <c r="N735" s="410" t="str">
        <f t="shared" si="24"/>
        <v>CAT à compléter</v>
      </c>
      <c r="O735" s="739"/>
      <c r="P735" s="863"/>
      <c r="Q735" s="730" t="str">
        <f t="shared" si="25"/>
        <v>CAT à compléter</v>
      </c>
      <c r="R735" s="740"/>
      <c r="S735" s="740"/>
      <c r="T735" s="740"/>
      <c r="U735" s="740"/>
      <c r="V735" s="740"/>
      <c r="W735" s="740"/>
      <c r="X735" s="740"/>
      <c r="Y735" s="740"/>
      <c r="Z735" s="740"/>
      <c r="AA735" s="740"/>
      <c r="AB735" s="423"/>
      <c r="AC735" s="418"/>
      <c r="AD735" s="418"/>
      <c r="AE735" s="418"/>
      <c r="AF735" s="422"/>
      <c r="AG735" s="425"/>
      <c r="AH735" s="417"/>
      <c r="AI735" s="415"/>
      <c r="AJ735" s="415"/>
      <c r="AK735" s="428"/>
      <c r="AL735" s="397"/>
      <c r="AM735" s="416"/>
      <c r="AN735" s="412"/>
      <c r="AO735" s="72"/>
      <c r="AP735" s="414"/>
      <c r="AQ735" s="430"/>
      <c r="AR735" s="400"/>
      <c r="AS735" s="413"/>
      <c r="AT735" s="413"/>
      <c r="AU735" s="412"/>
      <c r="AV735" s="412"/>
      <c r="AW735" s="399"/>
      <c r="AX735" s="72"/>
      <c r="AY735" s="398"/>
      <c r="AZ735" s="400"/>
      <c r="BA735" s="72"/>
      <c r="BB735" s="404"/>
      <c r="BC735" s="404"/>
      <c r="BD735" s="404"/>
      <c r="BE735" s="404"/>
      <c r="BF735" s="404"/>
      <c r="BG735" s="404"/>
      <c r="BH735" s="403"/>
      <c r="BI735" s="403"/>
      <c r="BJ735" s="403"/>
      <c r="BK735" s="402"/>
      <c r="BL735" s="402"/>
      <c r="BM735" s="402"/>
      <c r="BN735" s="401"/>
      <c r="BO735" s="400"/>
      <c r="BP735" s="400"/>
      <c r="BQ735" s="400"/>
      <c r="BR735" s="72"/>
      <c r="BS735" s="411"/>
    </row>
    <row r="736" spans="1:71" ht="15" customHeight="1" x14ac:dyDescent="0.15">
      <c r="A736" s="419"/>
      <c r="B736" s="405"/>
      <c r="C736" s="405"/>
      <c r="D736" s="405"/>
      <c r="E736" s="405"/>
      <c r="F736" s="420"/>
      <c r="G736" s="421"/>
      <c r="H736" s="442"/>
      <c r="I736" s="406"/>
      <c r="J736" s="407"/>
      <c r="K736" s="408"/>
      <c r="L736" s="409"/>
      <c r="M736" s="409"/>
      <c r="N736" s="410" t="str">
        <f t="shared" si="24"/>
        <v>CAT à compléter</v>
      </c>
      <c r="O736" s="739"/>
      <c r="P736" s="863"/>
      <c r="Q736" s="730" t="str">
        <f t="shared" si="25"/>
        <v>CAT à compléter</v>
      </c>
      <c r="R736" s="740"/>
      <c r="S736" s="740"/>
      <c r="T736" s="740"/>
      <c r="U736" s="740"/>
      <c r="V736" s="740"/>
      <c r="W736" s="740"/>
      <c r="X736" s="740"/>
      <c r="Y736" s="740"/>
      <c r="Z736" s="740"/>
      <c r="AA736" s="740"/>
      <c r="AB736" s="423"/>
      <c r="AC736" s="418"/>
      <c r="AD736" s="418"/>
      <c r="AE736" s="418"/>
      <c r="AF736" s="422"/>
      <c r="AG736" s="425"/>
      <c r="AH736" s="417"/>
      <c r="AI736" s="415"/>
      <c r="AJ736" s="415"/>
      <c r="AK736" s="428"/>
      <c r="AL736" s="397"/>
      <c r="AM736" s="416"/>
      <c r="AN736" s="412"/>
      <c r="AO736" s="72"/>
      <c r="AP736" s="414"/>
      <c r="AQ736" s="430"/>
      <c r="AR736" s="400"/>
      <c r="AS736" s="413"/>
      <c r="AT736" s="413"/>
      <c r="AU736" s="412"/>
      <c r="AV736" s="412"/>
      <c r="AW736" s="399"/>
      <c r="AX736" s="72"/>
      <c r="AY736" s="398"/>
      <c r="AZ736" s="400"/>
      <c r="BA736" s="72"/>
      <c r="BB736" s="404"/>
      <c r="BC736" s="404"/>
      <c r="BD736" s="404"/>
      <c r="BE736" s="404"/>
      <c r="BF736" s="404"/>
      <c r="BG736" s="404"/>
      <c r="BH736" s="403"/>
      <c r="BI736" s="403"/>
      <c r="BJ736" s="403"/>
      <c r="BK736" s="402"/>
      <c r="BL736" s="402"/>
      <c r="BM736" s="402"/>
      <c r="BN736" s="401"/>
      <c r="BO736" s="400"/>
      <c r="BP736" s="400"/>
      <c r="BQ736" s="400"/>
      <c r="BR736" s="72"/>
      <c r="BS736" s="411"/>
    </row>
    <row r="737" spans="1:71" ht="15" customHeight="1" x14ac:dyDescent="0.15">
      <c r="A737" s="419"/>
      <c r="B737" s="405"/>
      <c r="C737" s="405"/>
      <c r="D737" s="405"/>
      <c r="E737" s="405"/>
      <c r="F737" s="420"/>
      <c r="G737" s="421"/>
      <c r="H737" s="442"/>
      <c r="I737" s="406"/>
      <c r="J737" s="407"/>
      <c r="K737" s="408"/>
      <c r="L737" s="409"/>
      <c r="M737" s="409"/>
      <c r="N737" s="410" t="str">
        <f t="shared" si="24"/>
        <v>CAT à compléter</v>
      </c>
      <c r="O737" s="739"/>
      <c r="P737" s="863"/>
      <c r="Q737" s="730" t="str">
        <f t="shared" si="25"/>
        <v>CAT à compléter</v>
      </c>
      <c r="R737" s="740"/>
      <c r="S737" s="740"/>
      <c r="T737" s="740"/>
      <c r="U737" s="740"/>
      <c r="V737" s="740"/>
      <c r="W737" s="740"/>
      <c r="X737" s="740"/>
      <c r="Y737" s="740"/>
      <c r="Z737" s="740"/>
      <c r="AA737" s="740"/>
      <c r="AB737" s="423"/>
      <c r="AC737" s="418"/>
      <c r="AD737" s="418"/>
      <c r="AE737" s="418"/>
      <c r="AF737" s="422"/>
      <c r="AG737" s="425"/>
      <c r="AH737" s="417"/>
      <c r="AI737" s="415"/>
      <c r="AJ737" s="415"/>
      <c r="AK737" s="428"/>
      <c r="AL737" s="397"/>
      <c r="AM737" s="416"/>
      <c r="AN737" s="412"/>
      <c r="AO737" s="72"/>
      <c r="AP737" s="414"/>
      <c r="AQ737" s="430"/>
      <c r="AR737" s="400"/>
      <c r="AS737" s="413"/>
      <c r="AT737" s="413"/>
      <c r="AU737" s="412"/>
      <c r="AV737" s="412"/>
      <c r="AW737" s="399"/>
      <c r="AX737" s="72"/>
      <c r="AY737" s="398"/>
      <c r="AZ737" s="400"/>
      <c r="BA737" s="72"/>
      <c r="BB737" s="404"/>
      <c r="BC737" s="404"/>
      <c r="BD737" s="404"/>
      <c r="BE737" s="404"/>
      <c r="BF737" s="404"/>
      <c r="BG737" s="404"/>
      <c r="BH737" s="403"/>
      <c r="BI737" s="403"/>
      <c r="BJ737" s="403"/>
      <c r="BK737" s="402"/>
      <c r="BL737" s="402"/>
      <c r="BM737" s="402"/>
      <c r="BN737" s="401"/>
      <c r="BO737" s="400"/>
      <c r="BP737" s="400"/>
      <c r="BQ737" s="400"/>
      <c r="BR737" s="72"/>
      <c r="BS737" s="411"/>
    </row>
    <row r="738" spans="1:71" ht="15" customHeight="1" x14ac:dyDescent="0.15">
      <c r="A738" s="419"/>
      <c r="B738" s="405"/>
      <c r="C738" s="405"/>
      <c r="D738" s="405"/>
      <c r="E738" s="405"/>
      <c r="F738" s="420"/>
      <c r="G738" s="421"/>
      <c r="H738" s="442"/>
      <c r="I738" s="406"/>
      <c r="J738" s="407"/>
      <c r="K738" s="408"/>
      <c r="L738" s="409"/>
      <c r="M738" s="409"/>
      <c r="N738" s="410" t="str">
        <f t="shared" si="24"/>
        <v>CAT à compléter</v>
      </c>
      <c r="O738" s="739"/>
      <c r="P738" s="863"/>
      <c r="Q738" s="730" t="str">
        <f t="shared" si="25"/>
        <v>CAT à compléter</v>
      </c>
      <c r="R738" s="740"/>
      <c r="S738" s="740"/>
      <c r="T738" s="740"/>
      <c r="U738" s="740"/>
      <c r="V738" s="740"/>
      <c r="W738" s="740"/>
      <c r="X738" s="740"/>
      <c r="Y738" s="740"/>
      <c r="Z738" s="740"/>
      <c r="AA738" s="740"/>
      <c r="AB738" s="423"/>
      <c r="AC738" s="418"/>
      <c r="AD738" s="418"/>
      <c r="AE738" s="418"/>
      <c r="AF738" s="422"/>
      <c r="AG738" s="425"/>
      <c r="AH738" s="417"/>
      <c r="AI738" s="415"/>
      <c r="AJ738" s="415"/>
      <c r="AK738" s="428"/>
      <c r="AL738" s="397"/>
      <c r="AM738" s="416"/>
      <c r="AN738" s="412"/>
      <c r="AO738" s="72"/>
      <c r="AP738" s="414"/>
      <c r="AQ738" s="430"/>
      <c r="AR738" s="400"/>
      <c r="AS738" s="413"/>
      <c r="AT738" s="413"/>
      <c r="AU738" s="412"/>
      <c r="AV738" s="412"/>
      <c r="AW738" s="399"/>
      <c r="AX738" s="72"/>
      <c r="AY738" s="398"/>
      <c r="AZ738" s="400"/>
      <c r="BA738" s="72"/>
      <c r="BB738" s="404"/>
      <c r="BC738" s="404"/>
      <c r="BD738" s="404"/>
      <c r="BE738" s="404"/>
      <c r="BF738" s="404"/>
      <c r="BG738" s="404"/>
      <c r="BH738" s="403"/>
      <c r="BI738" s="403"/>
      <c r="BJ738" s="403"/>
      <c r="BK738" s="402"/>
      <c r="BL738" s="402"/>
      <c r="BM738" s="402"/>
      <c r="BN738" s="401"/>
      <c r="BO738" s="400"/>
      <c r="BP738" s="400"/>
      <c r="BQ738" s="400"/>
      <c r="BR738" s="72"/>
      <c r="BS738" s="411"/>
    </row>
    <row r="739" spans="1:71" ht="15" customHeight="1" x14ac:dyDescent="0.15">
      <c r="A739" s="419"/>
      <c r="B739" s="405"/>
      <c r="C739" s="405"/>
      <c r="D739" s="405"/>
      <c r="E739" s="405"/>
      <c r="F739" s="420"/>
      <c r="G739" s="421"/>
      <c r="H739" s="442"/>
      <c r="I739" s="406"/>
      <c r="J739" s="407"/>
      <c r="K739" s="408"/>
      <c r="L739" s="409"/>
      <c r="M739" s="409"/>
      <c r="N739" s="410" t="str">
        <f t="shared" si="24"/>
        <v>CAT à compléter</v>
      </c>
      <c r="O739" s="739"/>
      <c r="P739" s="863"/>
      <c r="Q739" s="730" t="str">
        <f t="shared" si="25"/>
        <v>CAT à compléter</v>
      </c>
      <c r="R739" s="740"/>
      <c r="S739" s="740"/>
      <c r="T739" s="740"/>
      <c r="U739" s="740"/>
      <c r="V739" s="740"/>
      <c r="W739" s="740"/>
      <c r="X739" s="740"/>
      <c r="Y739" s="740"/>
      <c r="Z739" s="740"/>
      <c r="AA739" s="740"/>
      <c r="AB739" s="423"/>
      <c r="AC739" s="418"/>
      <c r="AD739" s="418"/>
      <c r="AE739" s="418"/>
      <c r="AF739" s="422"/>
      <c r="AG739" s="425"/>
      <c r="AH739" s="417"/>
      <c r="AI739" s="415"/>
      <c r="AJ739" s="415"/>
      <c r="AK739" s="428"/>
      <c r="AL739" s="397"/>
      <c r="AM739" s="416"/>
      <c r="AN739" s="412"/>
      <c r="AO739" s="72"/>
      <c r="AP739" s="414"/>
      <c r="AQ739" s="430"/>
      <c r="AR739" s="400"/>
      <c r="AS739" s="413"/>
      <c r="AT739" s="413"/>
      <c r="AU739" s="412"/>
      <c r="AV739" s="412"/>
      <c r="AW739" s="399"/>
      <c r="AX739" s="72"/>
      <c r="AY739" s="398"/>
      <c r="AZ739" s="400"/>
      <c r="BA739" s="72"/>
      <c r="BB739" s="404"/>
      <c r="BC739" s="404"/>
      <c r="BD739" s="404"/>
      <c r="BE739" s="404"/>
      <c r="BF739" s="404"/>
      <c r="BG739" s="404"/>
      <c r="BH739" s="403"/>
      <c r="BI739" s="403"/>
      <c r="BJ739" s="403"/>
      <c r="BK739" s="402"/>
      <c r="BL739" s="402"/>
      <c r="BM739" s="402"/>
      <c r="BN739" s="401"/>
      <c r="BO739" s="400"/>
      <c r="BP739" s="400"/>
      <c r="BQ739" s="400"/>
      <c r="BR739" s="72"/>
      <c r="BS739" s="411"/>
    </row>
    <row r="740" spans="1:71" ht="15" customHeight="1" x14ac:dyDescent="0.15">
      <c r="A740" s="419"/>
      <c r="B740" s="405"/>
      <c r="C740" s="405"/>
      <c r="D740" s="405"/>
      <c r="E740" s="405"/>
      <c r="F740" s="420"/>
      <c r="G740" s="421"/>
      <c r="H740" s="442"/>
      <c r="I740" s="406"/>
      <c r="J740" s="407"/>
      <c r="K740" s="408"/>
      <c r="L740" s="409"/>
      <c r="M740" s="409"/>
      <c r="N740" s="410" t="str">
        <f t="shared" si="24"/>
        <v>CAT à compléter</v>
      </c>
      <c r="O740" s="739"/>
      <c r="P740" s="863"/>
      <c r="Q740" s="730" t="str">
        <f t="shared" si="25"/>
        <v>CAT à compléter</v>
      </c>
      <c r="R740" s="740"/>
      <c r="S740" s="740"/>
      <c r="T740" s="740"/>
      <c r="U740" s="740"/>
      <c r="V740" s="740"/>
      <c r="W740" s="740"/>
      <c r="X740" s="740"/>
      <c r="Y740" s="740"/>
      <c r="Z740" s="740"/>
      <c r="AA740" s="740"/>
      <c r="AB740" s="423"/>
      <c r="AC740" s="418"/>
      <c r="AD740" s="418"/>
      <c r="AE740" s="418"/>
      <c r="AF740" s="422"/>
      <c r="AG740" s="425"/>
      <c r="AH740" s="417"/>
      <c r="AI740" s="415"/>
      <c r="AJ740" s="415"/>
      <c r="AK740" s="428"/>
      <c r="AL740" s="397"/>
      <c r="AM740" s="416"/>
      <c r="AN740" s="412"/>
      <c r="AO740" s="72"/>
      <c r="AP740" s="414"/>
      <c r="AQ740" s="430"/>
      <c r="AR740" s="400"/>
      <c r="AS740" s="413"/>
      <c r="AT740" s="413"/>
      <c r="AU740" s="412"/>
      <c r="AV740" s="412"/>
      <c r="AW740" s="399"/>
      <c r="AX740" s="72"/>
      <c r="AY740" s="398"/>
      <c r="AZ740" s="400"/>
      <c r="BA740" s="72"/>
      <c r="BB740" s="404"/>
      <c r="BC740" s="404"/>
      <c r="BD740" s="404"/>
      <c r="BE740" s="404"/>
      <c r="BF740" s="404"/>
      <c r="BG740" s="404"/>
      <c r="BH740" s="403"/>
      <c r="BI740" s="403"/>
      <c r="BJ740" s="403"/>
      <c r="BK740" s="402"/>
      <c r="BL740" s="402"/>
      <c r="BM740" s="402"/>
      <c r="BN740" s="401"/>
      <c r="BO740" s="400"/>
      <c r="BP740" s="400"/>
      <c r="BQ740" s="400"/>
      <c r="BR740" s="72"/>
      <c r="BS740" s="411"/>
    </row>
    <row r="741" spans="1:71" ht="15" customHeight="1" x14ac:dyDescent="0.15">
      <c r="A741" s="419"/>
      <c r="B741" s="405"/>
      <c r="C741" s="405"/>
      <c r="D741" s="405"/>
      <c r="E741" s="405"/>
      <c r="F741" s="420"/>
      <c r="G741" s="421"/>
      <c r="H741" s="442"/>
      <c r="I741" s="406"/>
      <c r="J741" s="407"/>
      <c r="K741" s="408"/>
      <c r="L741" s="409"/>
      <c r="M741" s="409"/>
      <c r="N741" s="410" t="str">
        <f t="shared" si="24"/>
        <v>CAT à compléter</v>
      </c>
      <c r="O741" s="739"/>
      <c r="P741" s="863"/>
      <c r="Q741" s="730" t="str">
        <f t="shared" si="25"/>
        <v>CAT à compléter</v>
      </c>
      <c r="R741" s="740"/>
      <c r="S741" s="740"/>
      <c r="T741" s="740"/>
      <c r="U741" s="740"/>
      <c r="V741" s="740"/>
      <c r="W741" s="740"/>
      <c r="X741" s="740"/>
      <c r="Y741" s="740"/>
      <c r="Z741" s="740"/>
      <c r="AA741" s="740"/>
      <c r="AB741" s="423"/>
      <c r="AC741" s="418"/>
      <c r="AD741" s="418"/>
      <c r="AE741" s="418"/>
      <c r="AF741" s="422"/>
      <c r="AG741" s="425"/>
      <c r="AH741" s="417"/>
      <c r="AI741" s="415"/>
      <c r="AJ741" s="415"/>
      <c r="AK741" s="428"/>
      <c r="AL741" s="397"/>
      <c r="AM741" s="416"/>
      <c r="AN741" s="412"/>
      <c r="AO741" s="72"/>
      <c r="AP741" s="414"/>
      <c r="AQ741" s="430"/>
      <c r="AR741" s="400"/>
      <c r="AS741" s="413"/>
      <c r="AT741" s="413"/>
      <c r="AU741" s="412"/>
      <c r="AV741" s="412"/>
      <c r="AW741" s="399"/>
      <c r="AX741" s="72"/>
      <c r="AY741" s="398"/>
      <c r="AZ741" s="400"/>
      <c r="BA741" s="72"/>
      <c r="BB741" s="404"/>
      <c r="BC741" s="404"/>
      <c r="BD741" s="404"/>
      <c r="BE741" s="404"/>
      <c r="BF741" s="404"/>
      <c r="BG741" s="404"/>
      <c r="BH741" s="403"/>
      <c r="BI741" s="403"/>
      <c r="BJ741" s="403"/>
      <c r="BK741" s="402"/>
      <c r="BL741" s="402"/>
      <c r="BM741" s="402"/>
      <c r="BN741" s="401"/>
      <c r="BO741" s="400"/>
      <c r="BP741" s="400"/>
      <c r="BQ741" s="400"/>
      <c r="BR741" s="72"/>
      <c r="BS741" s="411"/>
    </row>
    <row r="742" spans="1:71" ht="15" customHeight="1" x14ac:dyDescent="0.15">
      <c r="A742" s="419"/>
      <c r="B742" s="405"/>
      <c r="C742" s="405"/>
      <c r="D742" s="405"/>
      <c r="E742" s="405"/>
      <c r="F742" s="420"/>
      <c r="G742" s="421"/>
      <c r="H742" s="442"/>
      <c r="I742" s="406"/>
      <c r="J742" s="407"/>
      <c r="K742" s="408"/>
      <c r="L742" s="409"/>
      <c r="M742" s="409"/>
      <c r="N742" s="410" t="str">
        <f t="shared" si="24"/>
        <v>CAT à compléter</v>
      </c>
      <c r="O742" s="739"/>
      <c r="P742" s="863"/>
      <c r="Q742" s="730" t="str">
        <f t="shared" si="25"/>
        <v>CAT à compléter</v>
      </c>
      <c r="R742" s="740"/>
      <c r="S742" s="740"/>
      <c r="T742" s="740"/>
      <c r="U742" s="740"/>
      <c r="V742" s="740"/>
      <c r="W742" s="740"/>
      <c r="X742" s="740"/>
      <c r="Y742" s="740"/>
      <c r="Z742" s="740"/>
      <c r="AA742" s="740"/>
      <c r="AB742" s="423"/>
      <c r="AC742" s="418"/>
      <c r="AD742" s="418"/>
      <c r="AE742" s="418"/>
      <c r="AF742" s="422"/>
      <c r="AG742" s="425"/>
      <c r="AH742" s="417"/>
      <c r="AI742" s="415"/>
      <c r="AJ742" s="415"/>
      <c r="AK742" s="428"/>
      <c r="AL742" s="397"/>
      <c r="AM742" s="416"/>
      <c r="AN742" s="412"/>
      <c r="AO742" s="72"/>
      <c r="AP742" s="414"/>
      <c r="AQ742" s="430"/>
      <c r="AR742" s="400"/>
      <c r="AS742" s="413"/>
      <c r="AT742" s="413"/>
      <c r="AU742" s="412"/>
      <c r="AV742" s="412"/>
      <c r="AW742" s="399"/>
      <c r="AX742" s="72"/>
      <c r="AY742" s="398"/>
      <c r="AZ742" s="400"/>
      <c r="BA742" s="72"/>
      <c r="BB742" s="404"/>
      <c r="BC742" s="404"/>
      <c r="BD742" s="404"/>
      <c r="BE742" s="404"/>
      <c r="BF742" s="404"/>
      <c r="BG742" s="404"/>
      <c r="BH742" s="403"/>
      <c r="BI742" s="403"/>
      <c r="BJ742" s="403"/>
      <c r="BK742" s="402"/>
      <c r="BL742" s="402"/>
      <c r="BM742" s="402"/>
      <c r="BN742" s="401"/>
      <c r="BO742" s="400"/>
      <c r="BP742" s="400"/>
      <c r="BQ742" s="400"/>
      <c r="BR742" s="72"/>
      <c r="BS742" s="411"/>
    </row>
    <row r="743" spans="1:71" ht="15" customHeight="1" x14ac:dyDescent="0.15">
      <c r="A743" s="419"/>
      <c r="B743" s="405"/>
      <c r="C743" s="405"/>
      <c r="D743" s="405"/>
      <c r="E743" s="405"/>
      <c r="F743" s="420"/>
      <c r="G743" s="421"/>
      <c r="H743" s="442"/>
      <c r="I743" s="406"/>
      <c r="J743" s="407"/>
      <c r="K743" s="408"/>
      <c r="L743" s="409"/>
      <c r="M743" s="409"/>
      <c r="N743" s="410" t="str">
        <f t="shared" si="24"/>
        <v>CAT à compléter</v>
      </c>
      <c r="O743" s="739"/>
      <c r="P743" s="863"/>
      <c r="Q743" s="730" t="str">
        <f t="shared" si="25"/>
        <v>CAT à compléter</v>
      </c>
      <c r="R743" s="740"/>
      <c r="S743" s="740"/>
      <c r="T743" s="740"/>
      <c r="U743" s="740"/>
      <c r="V743" s="740"/>
      <c r="W743" s="740"/>
      <c r="X743" s="740"/>
      <c r="Y743" s="740"/>
      <c r="Z743" s="740"/>
      <c r="AA743" s="740"/>
      <c r="AB743" s="423"/>
      <c r="AC743" s="418"/>
      <c r="AD743" s="418"/>
      <c r="AE743" s="418"/>
      <c r="AF743" s="422"/>
      <c r="AG743" s="425"/>
      <c r="AH743" s="417"/>
      <c r="AI743" s="415"/>
      <c r="AJ743" s="415"/>
      <c r="AK743" s="428"/>
      <c r="AL743" s="397"/>
      <c r="AM743" s="416"/>
      <c r="AN743" s="412"/>
      <c r="AO743" s="72"/>
      <c r="AP743" s="414"/>
      <c r="AQ743" s="430"/>
      <c r="AR743" s="400"/>
      <c r="AS743" s="413"/>
      <c r="AT743" s="413"/>
      <c r="AU743" s="412"/>
      <c r="AV743" s="412"/>
      <c r="AW743" s="399"/>
      <c r="AX743" s="72"/>
      <c r="AY743" s="398"/>
      <c r="AZ743" s="400"/>
      <c r="BA743" s="72"/>
      <c r="BB743" s="404"/>
      <c r="BC743" s="404"/>
      <c r="BD743" s="404"/>
      <c r="BE743" s="404"/>
      <c r="BF743" s="404"/>
      <c r="BG743" s="404"/>
      <c r="BH743" s="403"/>
      <c r="BI743" s="403"/>
      <c r="BJ743" s="403"/>
      <c r="BK743" s="402"/>
      <c r="BL743" s="402"/>
      <c r="BM743" s="402"/>
      <c r="BN743" s="401"/>
      <c r="BO743" s="400"/>
      <c r="BP743" s="400"/>
      <c r="BQ743" s="400"/>
      <c r="BR743" s="72"/>
      <c r="BS743" s="411"/>
    </row>
    <row r="744" spans="1:71" ht="15" customHeight="1" x14ac:dyDescent="0.15">
      <c r="A744" s="419"/>
      <c r="B744" s="405"/>
      <c r="C744" s="405"/>
      <c r="D744" s="405"/>
      <c r="E744" s="405"/>
      <c r="F744" s="420"/>
      <c r="G744" s="421"/>
      <c r="H744" s="442"/>
      <c r="I744" s="406"/>
      <c r="J744" s="407"/>
      <c r="K744" s="408"/>
      <c r="L744" s="409"/>
      <c r="M744" s="409"/>
      <c r="N744" s="410" t="str">
        <f t="shared" si="24"/>
        <v>CAT à compléter</v>
      </c>
      <c r="O744" s="739"/>
      <c r="P744" s="863"/>
      <c r="Q744" s="730" t="str">
        <f t="shared" si="25"/>
        <v>CAT à compléter</v>
      </c>
      <c r="R744" s="740"/>
      <c r="S744" s="740"/>
      <c r="T744" s="740"/>
      <c r="U744" s="740"/>
      <c r="V744" s="740"/>
      <c r="W744" s="740"/>
      <c r="X744" s="740"/>
      <c r="Y744" s="740"/>
      <c r="Z744" s="740"/>
      <c r="AA744" s="740"/>
      <c r="AB744" s="423"/>
      <c r="AC744" s="418"/>
      <c r="AD744" s="418"/>
      <c r="AE744" s="418"/>
      <c r="AF744" s="422"/>
      <c r="AG744" s="425"/>
      <c r="AH744" s="417"/>
      <c r="AI744" s="415"/>
      <c r="AJ744" s="415"/>
      <c r="AK744" s="428"/>
      <c r="AL744" s="397"/>
      <c r="AM744" s="416"/>
      <c r="AN744" s="412"/>
      <c r="AO744" s="72"/>
      <c r="AP744" s="414"/>
      <c r="AQ744" s="430"/>
      <c r="AR744" s="400"/>
      <c r="AS744" s="413"/>
      <c r="AT744" s="413"/>
      <c r="AU744" s="412"/>
      <c r="AV744" s="412"/>
      <c r="AW744" s="399"/>
      <c r="AX744" s="72"/>
      <c r="AY744" s="398"/>
      <c r="AZ744" s="400"/>
      <c r="BA744" s="72"/>
      <c r="BB744" s="404"/>
      <c r="BC744" s="404"/>
      <c r="BD744" s="404"/>
      <c r="BE744" s="404"/>
      <c r="BF744" s="404"/>
      <c r="BG744" s="404"/>
      <c r="BH744" s="403"/>
      <c r="BI744" s="403"/>
      <c r="BJ744" s="403"/>
      <c r="BK744" s="402"/>
      <c r="BL744" s="402"/>
      <c r="BM744" s="402"/>
      <c r="BN744" s="401"/>
      <c r="BO744" s="400"/>
      <c r="BP744" s="400"/>
      <c r="BQ744" s="400"/>
      <c r="BR744" s="72"/>
      <c r="BS744" s="411"/>
    </row>
    <row r="745" spans="1:71" ht="15" customHeight="1" x14ac:dyDescent="0.15">
      <c r="A745" s="419"/>
      <c r="B745" s="405"/>
      <c r="C745" s="405"/>
      <c r="D745" s="405"/>
      <c r="E745" s="405"/>
      <c r="F745" s="420"/>
      <c r="G745" s="421"/>
      <c r="H745" s="442"/>
      <c r="I745" s="406"/>
      <c r="J745" s="407"/>
      <c r="K745" s="408"/>
      <c r="L745" s="409"/>
      <c r="M745" s="409"/>
      <c r="N745" s="410" t="str">
        <f t="shared" si="24"/>
        <v>CAT à compléter</v>
      </c>
      <c r="O745" s="739"/>
      <c r="P745" s="863"/>
      <c r="Q745" s="730" t="str">
        <f t="shared" si="25"/>
        <v>CAT à compléter</v>
      </c>
      <c r="R745" s="740"/>
      <c r="S745" s="740"/>
      <c r="T745" s="740"/>
      <c r="U745" s="740"/>
      <c r="V745" s="740"/>
      <c r="W745" s="740"/>
      <c r="X745" s="740"/>
      <c r="Y745" s="740"/>
      <c r="Z745" s="740"/>
      <c r="AA745" s="740"/>
      <c r="AB745" s="423"/>
      <c r="AC745" s="418"/>
      <c r="AD745" s="418"/>
      <c r="AE745" s="418"/>
      <c r="AF745" s="422"/>
      <c r="AG745" s="425"/>
      <c r="AH745" s="417"/>
      <c r="AI745" s="415"/>
      <c r="AJ745" s="415"/>
      <c r="AK745" s="428"/>
      <c r="AL745" s="397"/>
      <c r="AM745" s="416"/>
      <c r="AN745" s="412"/>
      <c r="AO745" s="72"/>
      <c r="AP745" s="414"/>
      <c r="AQ745" s="430"/>
      <c r="AR745" s="400"/>
      <c r="AS745" s="413"/>
      <c r="AT745" s="413"/>
      <c r="AU745" s="412"/>
      <c r="AV745" s="412"/>
      <c r="AW745" s="399"/>
      <c r="AX745" s="72"/>
      <c r="AY745" s="398"/>
      <c r="AZ745" s="400"/>
      <c r="BA745" s="72"/>
      <c r="BB745" s="404"/>
      <c r="BC745" s="404"/>
      <c r="BD745" s="404"/>
      <c r="BE745" s="404"/>
      <c r="BF745" s="404"/>
      <c r="BG745" s="404"/>
      <c r="BH745" s="403"/>
      <c r="BI745" s="403"/>
      <c r="BJ745" s="403"/>
      <c r="BK745" s="402"/>
      <c r="BL745" s="402"/>
      <c r="BM745" s="402"/>
      <c r="BN745" s="401"/>
      <c r="BO745" s="400"/>
      <c r="BP745" s="400"/>
      <c r="BQ745" s="400"/>
      <c r="BR745" s="72"/>
      <c r="BS745" s="411"/>
    </row>
    <row r="746" spans="1:71" ht="15" customHeight="1" x14ac:dyDescent="0.15">
      <c r="A746" s="419"/>
      <c r="B746" s="405"/>
      <c r="C746" s="405"/>
      <c r="D746" s="405"/>
      <c r="E746" s="405"/>
      <c r="F746" s="420"/>
      <c r="G746" s="421"/>
      <c r="H746" s="442"/>
      <c r="I746" s="406"/>
      <c r="J746" s="407"/>
      <c r="K746" s="408"/>
      <c r="L746" s="409"/>
      <c r="M746" s="409"/>
      <c r="N746" s="410" t="str">
        <f t="shared" si="24"/>
        <v>CAT à compléter</v>
      </c>
      <c r="O746" s="739"/>
      <c r="P746" s="863"/>
      <c r="Q746" s="730" t="str">
        <f t="shared" si="25"/>
        <v>CAT à compléter</v>
      </c>
      <c r="R746" s="740"/>
      <c r="S746" s="740"/>
      <c r="T746" s="740"/>
      <c r="U746" s="740"/>
      <c r="V746" s="740"/>
      <c r="W746" s="740"/>
      <c r="X746" s="740"/>
      <c r="Y746" s="740"/>
      <c r="Z746" s="740"/>
      <c r="AA746" s="740"/>
      <c r="AB746" s="423"/>
      <c r="AC746" s="418"/>
      <c r="AD746" s="418"/>
      <c r="AE746" s="418"/>
      <c r="AF746" s="422"/>
      <c r="AG746" s="425"/>
      <c r="AH746" s="417"/>
      <c r="AI746" s="415"/>
      <c r="AJ746" s="415"/>
      <c r="AK746" s="428"/>
      <c r="AL746" s="397"/>
      <c r="AM746" s="416"/>
      <c r="AN746" s="412"/>
      <c r="AO746" s="72"/>
      <c r="AP746" s="414"/>
      <c r="AQ746" s="430"/>
      <c r="AR746" s="400"/>
      <c r="AS746" s="413"/>
      <c r="AT746" s="413"/>
      <c r="AU746" s="412"/>
      <c r="AV746" s="412"/>
      <c r="AW746" s="399"/>
      <c r="AX746" s="72"/>
      <c r="AY746" s="398"/>
      <c r="AZ746" s="400"/>
      <c r="BA746" s="72"/>
      <c r="BB746" s="404"/>
      <c r="BC746" s="404"/>
      <c r="BD746" s="404"/>
      <c r="BE746" s="404"/>
      <c r="BF746" s="404"/>
      <c r="BG746" s="404"/>
      <c r="BH746" s="403"/>
      <c r="BI746" s="403"/>
      <c r="BJ746" s="403"/>
      <c r="BK746" s="402"/>
      <c r="BL746" s="402"/>
      <c r="BM746" s="402"/>
      <c r="BN746" s="401"/>
      <c r="BO746" s="400"/>
      <c r="BP746" s="400"/>
      <c r="BQ746" s="400"/>
      <c r="BR746" s="72"/>
      <c r="BS746" s="411"/>
    </row>
    <row r="747" spans="1:71" ht="15" customHeight="1" x14ac:dyDescent="0.15">
      <c r="A747" s="419"/>
      <c r="B747" s="405"/>
      <c r="C747" s="405"/>
      <c r="D747" s="405"/>
      <c r="E747" s="405"/>
      <c r="F747" s="420"/>
      <c r="G747" s="421"/>
      <c r="H747" s="442"/>
      <c r="I747" s="406"/>
      <c r="J747" s="407"/>
      <c r="K747" s="408"/>
      <c r="L747" s="409"/>
      <c r="M747" s="409"/>
      <c r="N747" s="410" t="str">
        <f t="shared" si="24"/>
        <v>CAT à compléter</v>
      </c>
      <c r="O747" s="739"/>
      <c r="P747" s="863"/>
      <c r="Q747" s="730" t="str">
        <f t="shared" si="25"/>
        <v>CAT à compléter</v>
      </c>
      <c r="R747" s="740"/>
      <c r="S747" s="740"/>
      <c r="T747" s="740"/>
      <c r="U747" s="740"/>
      <c r="V747" s="740"/>
      <c r="W747" s="740"/>
      <c r="X747" s="740"/>
      <c r="Y747" s="740"/>
      <c r="Z747" s="740"/>
      <c r="AA747" s="740"/>
      <c r="AB747" s="423"/>
      <c r="AC747" s="418"/>
      <c r="AD747" s="418"/>
      <c r="AE747" s="418"/>
      <c r="AF747" s="422"/>
      <c r="AG747" s="425"/>
      <c r="AH747" s="417"/>
      <c r="AI747" s="415"/>
      <c r="AJ747" s="415"/>
      <c r="AK747" s="428"/>
      <c r="AL747" s="397"/>
      <c r="AM747" s="416"/>
      <c r="AN747" s="412"/>
      <c r="AO747" s="72"/>
      <c r="AP747" s="414"/>
      <c r="AQ747" s="430"/>
      <c r="AR747" s="400"/>
      <c r="AS747" s="413"/>
      <c r="AT747" s="413"/>
      <c r="AU747" s="412"/>
      <c r="AV747" s="412"/>
      <c r="AW747" s="399"/>
      <c r="AX747" s="72"/>
      <c r="AY747" s="398"/>
      <c r="AZ747" s="400"/>
      <c r="BA747" s="72"/>
      <c r="BB747" s="404"/>
      <c r="BC747" s="404"/>
      <c r="BD747" s="404"/>
      <c r="BE747" s="404"/>
      <c r="BF747" s="404"/>
      <c r="BG747" s="404"/>
      <c r="BH747" s="403"/>
      <c r="BI747" s="403"/>
      <c r="BJ747" s="403"/>
      <c r="BK747" s="402"/>
      <c r="BL747" s="402"/>
      <c r="BM747" s="402"/>
      <c r="BN747" s="401"/>
      <c r="BO747" s="400"/>
      <c r="BP747" s="400"/>
      <c r="BQ747" s="400"/>
      <c r="BR747" s="72"/>
      <c r="BS747" s="411"/>
    </row>
    <row r="748" spans="1:71" ht="15" customHeight="1" x14ac:dyDescent="0.15">
      <c r="A748" s="419"/>
      <c r="B748" s="405"/>
      <c r="C748" s="405"/>
      <c r="D748" s="405"/>
      <c r="E748" s="405"/>
      <c r="F748" s="420"/>
      <c r="G748" s="421"/>
      <c r="H748" s="442"/>
      <c r="I748" s="406"/>
      <c r="J748" s="407"/>
      <c r="K748" s="408"/>
      <c r="L748" s="409"/>
      <c r="M748" s="409"/>
      <c r="N748" s="410" t="str">
        <f t="shared" si="24"/>
        <v>CAT à compléter</v>
      </c>
      <c r="O748" s="739"/>
      <c r="P748" s="863"/>
      <c r="Q748" s="730" t="str">
        <f t="shared" si="25"/>
        <v>CAT à compléter</v>
      </c>
      <c r="R748" s="740"/>
      <c r="S748" s="740"/>
      <c r="T748" s="740"/>
      <c r="U748" s="740"/>
      <c r="V748" s="740"/>
      <c r="W748" s="740"/>
      <c r="X748" s="740"/>
      <c r="Y748" s="740"/>
      <c r="Z748" s="740"/>
      <c r="AA748" s="740"/>
      <c r="AB748" s="423"/>
      <c r="AC748" s="418"/>
      <c r="AD748" s="418"/>
      <c r="AE748" s="418"/>
      <c r="AF748" s="422"/>
      <c r="AG748" s="425"/>
      <c r="AH748" s="417"/>
      <c r="AI748" s="415"/>
      <c r="AJ748" s="415"/>
      <c r="AK748" s="428"/>
      <c r="AL748" s="397"/>
      <c r="AM748" s="416"/>
      <c r="AN748" s="412"/>
      <c r="AO748" s="72"/>
      <c r="AP748" s="414"/>
      <c r="AQ748" s="430"/>
      <c r="AR748" s="400"/>
      <c r="AS748" s="413"/>
      <c r="AT748" s="413"/>
      <c r="AU748" s="412"/>
      <c r="AV748" s="412"/>
      <c r="AW748" s="399"/>
      <c r="AX748" s="72"/>
      <c r="AY748" s="398"/>
      <c r="AZ748" s="400"/>
      <c r="BA748" s="72"/>
      <c r="BB748" s="404"/>
      <c r="BC748" s="404"/>
      <c r="BD748" s="404"/>
      <c r="BE748" s="404"/>
      <c r="BF748" s="404"/>
      <c r="BG748" s="404"/>
      <c r="BH748" s="403"/>
      <c r="BI748" s="403"/>
      <c r="BJ748" s="403"/>
      <c r="BK748" s="402"/>
      <c r="BL748" s="402"/>
      <c r="BM748" s="402"/>
      <c r="BN748" s="401"/>
      <c r="BO748" s="400"/>
      <c r="BP748" s="400"/>
      <c r="BQ748" s="400"/>
      <c r="BR748" s="72"/>
      <c r="BS748" s="411"/>
    </row>
    <row r="749" spans="1:71" ht="15" customHeight="1" x14ac:dyDescent="0.15">
      <c r="A749" s="419"/>
      <c r="B749" s="405"/>
      <c r="C749" s="405"/>
      <c r="D749" s="405"/>
      <c r="E749" s="405"/>
      <c r="F749" s="420"/>
      <c r="G749" s="421"/>
      <c r="H749" s="442"/>
      <c r="I749" s="406"/>
      <c r="J749" s="407"/>
      <c r="K749" s="408"/>
      <c r="L749" s="409"/>
      <c r="M749" s="409"/>
      <c r="N749" s="410" t="str">
        <f t="shared" si="24"/>
        <v>CAT à compléter</v>
      </c>
      <c r="O749" s="739"/>
      <c r="P749" s="863"/>
      <c r="Q749" s="730" t="str">
        <f t="shared" si="25"/>
        <v>CAT à compléter</v>
      </c>
      <c r="R749" s="740"/>
      <c r="S749" s="740"/>
      <c r="T749" s="740"/>
      <c r="U749" s="740"/>
      <c r="V749" s="740"/>
      <c r="W749" s="740"/>
      <c r="X749" s="740"/>
      <c r="Y749" s="740"/>
      <c r="Z749" s="740"/>
      <c r="AA749" s="740"/>
      <c r="AB749" s="423"/>
      <c r="AC749" s="418"/>
      <c r="AD749" s="418"/>
      <c r="AE749" s="418"/>
      <c r="AF749" s="422"/>
      <c r="AG749" s="425"/>
      <c r="AH749" s="417"/>
      <c r="AI749" s="415"/>
      <c r="AJ749" s="415"/>
      <c r="AK749" s="428"/>
      <c r="AL749" s="397"/>
      <c r="AM749" s="416"/>
      <c r="AN749" s="412"/>
      <c r="AO749" s="72"/>
      <c r="AP749" s="414"/>
      <c r="AQ749" s="430"/>
      <c r="AR749" s="400"/>
      <c r="AS749" s="413"/>
      <c r="AT749" s="413"/>
      <c r="AU749" s="412"/>
      <c r="AV749" s="412"/>
      <c r="AW749" s="399"/>
      <c r="AX749" s="72"/>
      <c r="AY749" s="398"/>
      <c r="AZ749" s="400"/>
      <c r="BA749" s="72"/>
      <c r="BB749" s="404"/>
      <c r="BC749" s="404"/>
      <c r="BD749" s="404"/>
      <c r="BE749" s="404"/>
      <c r="BF749" s="404"/>
      <c r="BG749" s="404"/>
      <c r="BH749" s="403"/>
      <c r="BI749" s="403"/>
      <c r="BJ749" s="403"/>
      <c r="BK749" s="402"/>
      <c r="BL749" s="402"/>
      <c r="BM749" s="402"/>
      <c r="BN749" s="401"/>
      <c r="BO749" s="400"/>
      <c r="BP749" s="400"/>
      <c r="BQ749" s="400"/>
      <c r="BR749" s="72"/>
      <c r="BS749" s="411"/>
    </row>
    <row r="750" spans="1:71" ht="15" customHeight="1" x14ac:dyDescent="0.15">
      <c r="A750" s="419"/>
      <c r="B750" s="405"/>
      <c r="C750" s="405"/>
      <c r="D750" s="405"/>
      <c r="E750" s="405"/>
      <c r="F750" s="420"/>
      <c r="G750" s="421"/>
      <c r="H750" s="442"/>
      <c r="I750" s="406"/>
      <c r="J750" s="407"/>
      <c r="K750" s="408"/>
      <c r="L750" s="409"/>
      <c r="M750" s="409"/>
      <c r="N750" s="410" t="str">
        <f t="shared" si="24"/>
        <v>CAT à compléter</v>
      </c>
      <c r="O750" s="739"/>
      <c r="P750" s="863"/>
      <c r="Q750" s="730" t="str">
        <f t="shared" si="25"/>
        <v>CAT à compléter</v>
      </c>
      <c r="R750" s="740"/>
      <c r="S750" s="740"/>
      <c r="T750" s="740"/>
      <c r="U750" s="740"/>
      <c r="V750" s="740"/>
      <c r="W750" s="740"/>
      <c r="X750" s="740"/>
      <c r="Y750" s="740"/>
      <c r="Z750" s="740"/>
      <c r="AA750" s="740"/>
      <c r="AB750" s="423"/>
      <c r="AC750" s="418"/>
      <c r="AD750" s="418"/>
      <c r="AE750" s="418"/>
      <c r="AF750" s="422"/>
      <c r="AG750" s="425"/>
      <c r="AH750" s="417"/>
      <c r="AI750" s="415"/>
      <c r="AJ750" s="415"/>
      <c r="AK750" s="428"/>
      <c r="AL750" s="397"/>
      <c r="AM750" s="416"/>
      <c r="AN750" s="412"/>
      <c r="AO750" s="72"/>
      <c r="AP750" s="414"/>
      <c r="AQ750" s="430"/>
      <c r="AR750" s="400"/>
      <c r="AS750" s="413"/>
      <c r="AT750" s="413"/>
      <c r="AU750" s="412"/>
      <c r="AV750" s="412"/>
      <c r="AW750" s="399"/>
      <c r="AX750" s="72"/>
      <c r="AY750" s="398"/>
      <c r="AZ750" s="400"/>
      <c r="BA750" s="72"/>
      <c r="BB750" s="404"/>
      <c r="BC750" s="404"/>
      <c r="BD750" s="404"/>
      <c r="BE750" s="404"/>
      <c r="BF750" s="404"/>
      <c r="BG750" s="404"/>
      <c r="BH750" s="403"/>
      <c r="BI750" s="403"/>
      <c r="BJ750" s="403"/>
      <c r="BK750" s="402"/>
      <c r="BL750" s="402"/>
      <c r="BM750" s="402"/>
      <c r="BN750" s="401"/>
      <c r="BO750" s="400"/>
      <c r="BP750" s="400"/>
      <c r="BQ750" s="400"/>
      <c r="BR750" s="72"/>
      <c r="BS750" s="411"/>
    </row>
    <row r="751" spans="1:71" ht="15" customHeight="1" x14ac:dyDescent="0.15">
      <c r="A751" s="419"/>
      <c r="B751" s="405"/>
      <c r="C751" s="405"/>
      <c r="D751" s="405"/>
      <c r="E751" s="405"/>
      <c r="F751" s="420"/>
      <c r="G751" s="421"/>
      <c r="H751" s="442"/>
      <c r="I751" s="406"/>
      <c r="J751" s="407"/>
      <c r="K751" s="408"/>
      <c r="L751" s="409"/>
      <c r="M751" s="409"/>
      <c r="N751" s="410" t="str">
        <f t="shared" si="24"/>
        <v>CAT à compléter</v>
      </c>
      <c r="O751" s="739"/>
      <c r="P751" s="863"/>
      <c r="Q751" s="730" t="str">
        <f t="shared" si="25"/>
        <v>CAT à compléter</v>
      </c>
      <c r="R751" s="740"/>
      <c r="S751" s="740"/>
      <c r="T751" s="740"/>
      <c r="U751" s="740"/>
      <c r="V751" s="740"/>
      <c r="W751" s="740"/>
      <c r="X751" s="740"/>
      <c r="Y751" s="740"/>
      <c r="Z751" s="740"/>
      <c r="AA751" s="740"/>
      <c r="AB751" s="423"/>
      <c r="AC751" s="418"/>
      <c r="AD751" s="418"/>
      <c r="AE751" s="418"/>
      <c r="AF751" s="422"/>
      <c r="AG751" s="425"/>
      <c r="AH751" s="417"/>
      <c r="AI751" s="415"/>
      <c r="AJ751" s="415"/>
      <c r="AK751" s="428"/>
      <c r="AL751" s="397"/>
      <c r="AM751" s="416"/>
      <c r="AN751" s="412"/>
      <c r="AO751" s="72"/>
      <c r="AP751" s="414"/>
      <c r="AQ751" s="430"/>
      <c r="AR751" s="400"/>
      <c r="AS751" s="413"/>
      <c r="AT751" s="413"/>
      <c r="AU751" s="412"/>
      <c r="AV751" s="412"/>
      <c r="AW751" s="399"/>
      <c r="AX751" s="72"/>
      <c r="AY751" s="398"/>
      <c r="AZ751" s="400"/>
      <c r="BA751" s="72"/>
      <c r="BB751" s="404"/>
      <c r="BC751" s="404"/>
      <c r="BD751" s="404"/>
      <c r="BE751" s="404"/>
      <c r="BF751" s="404"/>
      <c r="BG751" s="404"/>
      <c r="BH751" s="403"/>
      <c r="BI751" s="403"/>
      <c r="BJ751" s="403"/>
      <c r="BK751" s="402"/>
      <c r="BL751" s="402"/>
      <c r="BM751" s="402"/>
      <c r="BN751" s="401"/>
      <c r="BO751" s="400"/>
      <c r="BP751" s="400"/>
      <c r="BQ751" s="400"/>
      <c r="BR751" s="72"/>
      <c r="BS751" s="411"/>
    </row>
    <row r="752" spans="1:71" ht="15" customHeight="1" x14ac:dyDescent="0.15">
      <c r="A752" s="419"/>
      <c r="B752" s="405"/>
      <c r="C752" s="405"/>
      <c r="D752" s="405"/>
      <c r="E752" s="405"/>
      <c r="F752" s="420"/>
      <c r="G752" s="421"/>
      <c r="H752" s="442"/>
      <c r="I752" s="406"/>
      <c r="J752" s="407"/>
      <c r="K752" s="408"/>
      <c r="L752" s="409"/>
      <c r="M752" s="409"/>
      <c r="N752" s="410" t="str">
        <f t="shared" si="24"/>
        <v>CAT à compléter</v>
      </c>
      <c r="O752" s="739"/>
      <c r="P752" s="863"/>
      <c r="Q752" s="730" t="str">
        <f t="shared" si="25"/>
        <v>CAT à compléter</v>
      </c>
      <c r="R752" s="740"/>
      <c r="S752" s="740"/>
      <c r="T752" s="740"/>
      <c r="U752" s="740"/>
      <c r="V752" s="740"/>
      <c r="W752" s="740"/>
      <c r="X752" s="740"/>
      <c r="Y752" s="740"/>
      <c r="Z752" s="740"/>
      <c r="AA752" s="740"/>
      <c r="AB752" s="423"/>
      <c r="AC752" s="418"/>
      <c r="AD752" s="418"/>
      <c r="AE752" s="418"/>
      <c r="AF752" s="422"/>
      <c r="AG752" s="425"/>
      <c r="AH752" s="417"/>
      <c r="AI752" s="415"/>
      <c r="AJ752" s="415"/>
      <c r="AK752" s="428"/>
      <c r="AL752" s="397"/>
      <c r="AM752" s="416"/>
      <c r="AN752" s="412"/>
      <c r="AO752" s="72"/>
      <c r="AP752" s="414"/>
      <c r="AQ752" s="430"/>
      <c r="AR752" s="400"/>
      <c r="AS752" s="413"/>
      <c r="AT752" s="413"/>
      <c r="AU752" s="412"/>
      <c r="AV752" s="412"/>
      <c r="AW752" s="399"/>
      <c r="AX752" s="72"/>
      <c r="AY752" s="398"/>
      <c r="AZ752" s="400"/>
      <c r="BA752" s="72"/>
      <c r="BB752" s="404"/>
      <c r="BC752" s="404"/>
      <c r="BD752" s="404"/>
      <c r="BE752" s="404"/>
      <c r="BF752" s="404"/>
      <c r="BG752" s="404"/>
      <c r="BH752" s="403"/>
      <c r="BI752" s="403"/>
      <c r="BJ752" s="403"/>
      <c r="BK752" s="402"/>
      <c r="BL752" s="402"/>
      <c r="BM752" s="402"/>
      <c r="BN752" s="401"/>
      <c r="BO752" s="400"/>
      <c r="BP752" s="400"/>
      <c r="BQ752" s="400"/>
      <c r="BR752" s="72"/>
      <c r="BS752" s="411"/>
    </row>
    <row r="753" spans="1:71" ht="15" customHeight="1" x14ac:dyDescent="0.15">
      <c r="A753" s="419"/>
      <c r="B753" s="405"/>
      <c r="C753" s="405"/>
      <c r="D753" s="405"/>
      <c r="E753" s="405"/>
      <c r="F753" s="420"/>
      <c r="G753" s="421"/>
      <c r="H753" s="442"/>
      <c r="I753" s="406"/>
      <c r="J753" s="407"/>
      <c r="K753" s="408"/>
      <c r="L753" s="409"/>
      <c r="M753" s="409"/>
      <c r="N753" s="410" t="str">
        <f t="shared" si="24"/>
        <v>CAT à compléter</v>
      </c>
      <c r="O753" s="739"/>
      <c r="P753" s="863"/>
      <c r="Q753" s="730" t="str">
        <f t="shared" si="25"/>
        <v>CAT à compléter</v>
      </c>
      <c r="R753" s="740"/>
      <c r="S753" s="740"/>
      <c r="T753" s="740"/>
      <c r="U753" s="740"/>
      <c r="V753" s="740"/>
      <c r="W753" s="740"/>
      <c r="X753" s="740"/>
      <c r="Y753" s="740"/>
      <c r="Z753" s="740"/>
      <c r="AA753" s="740"/>
      <c r="AB753" s="423"/>
      <c r="AC753" s="418"/>
      <c r="AD753" s="418"/>
      <c r="AE753" s="418"/>
      <c r="AF753" s="422"/>
      <c r="AG753" s="425"/>
      <c r="AH753" s="417"/>
      <c r="AI753" s="415"/>
      <c r="AJ753" s="415"/>
      <c r="AK753" s="428"/>
      <c r="AL753" s="397"/>
      <c r="AM753" s="416"/>
      <c r="AN753" s="412"/>
      <c r="AO753" s="72"/>
      <c r="AP753" s="414"/>
      <c r="AQ753" s="430"/>
      <c r="AR753" s="400"/>
      <c r="AS753" s="413"/>
      <c r="AT753" s="413"/>
      <c r="AU753" s="412"/>
      <c r="AV753" s="412"/>
      <c r="AW753" s="399"/>
      <c r="AX753" s="72"/>
      <c r="AY753" s="398"/>
      <c r="AZ753" s="400"/>
      <c r="BA753" s="72"/>
      <c r="BB753" s="404"/>
      <c r="BC753" s="404"/>
      <c r="BD753" s="404"/>
      <c r="BE753" s="404"/>
      <c r="BF753" s="404"/>
      <c r="BG753" s="404"/>
      <c r="BH753" s="403"/>
      <c r="BI753" s="403"/>
      <c r="BJ753" s="403"/>
      <c r="BK753" s="402"/>
      <c r="BL753" s="402"/>
      <c r="BM753" s="402"/>
      <c r="BN753" s="401"/>
      <c r="BO753" s="400"/>
      <c r="BP753" s="400"/>
      <c r="BQ753" s="400"/>
      <c r="BR753" s="72"/>
      <c r="BS753" s="411"/>
    </row>
    <row r="754" spans="1:71" ht="15" customHeight="1" x14ac:dyDescent="0.15">
      <c r="A754" s="419"/>
      <c r="B754" s="405"/>
      <c r="C754" s="405"/>
      <c r="D754" s="405"/>
      <c r="E754" s="405"/>
      <c r="F754" s="420"/>
      <c r="G754" s="421"/>
      <c r="H754" s="442"/>
      <c r="I754" s="406"/>
      <c r="J754" s="407"/>
      <c r="K754" s="408"/>
      <c r="L754" s="409"/>
      <c r="M754" s="409"/>
      <c r="N754" s="410" t="str">
        <f t="shared" si="24"/>
        <v>CAT à compléter</v>
      </c>
      <c r="O754" s="739"/>
      <c r="P754" s="863"/>
      <c r="Q754" s="730" t="str">
        <f t="shared" si="25"/>
        <v>CAT à compléter</v>
      </c>
      <c r="R754" s="740"/>
      <c r="S754" s="740"/>
      <c r="T754" s="740"/>
      <c r="U754" s="740"/>
      <c r="V754" s="740"/>
      <c r="W754" s="740"/>
      <c r="X754" s="740"/>
      <c r="Y754" s="740"/>
      <c r="Z754" s="740"/>
      <c r="AA754" s="740"/>
      <c r="AB754" s="423"/>
      <c r="AC754" s="418"/>
      <c r="AD754" s="418"/>
      <c r="AE754" s="418"/>
      <c r="AF754" s="422"/>
      <c r="AG754" s="425"/>
      <c r="AH754" s="417"/>
      <c r="AI754" s="415"/>
      <c r="AJ754" s="415"/>
      <c r="AK754" s="428"/>
      <c r="AL754" s="397"/>
      <c r="AM754" s="416"/>
      <c r="AN754" s="412"/>
      <c r="AO754" s="72"/>
      <c r="AP754" s="414"/>
      <c r="AQ754" s="430"/>
      <c r="AR754" s="400"/>
      <c r="AS754" s="413"/>
      <c r="AT754" s="413"/>
      <c r="AU754" s="412"/>
      <c r="AV754" s="412"/>
      <c r="AW754" s="399"/>
      <c r="AX754" s="72"/>
      <c r="AY754" s="398"/>
      <c r="AZ754" s="400"/>
      <c r="BA754" s="72"/>
      <c r="BB754" s="404"/>
      <c r="BC754" s="404"/>
      <c r="BD754" s="404"/>
      <c r="BE754" s="404"/>
      <c r="BF754" s="404"/>
      <c r="BG754" s="404"/>
      <c r="BH754" s="403"/>
      <c r="BI754" s="403"/>
      <c r="BJ754" s="403"/>
      <c r="BK754" s="402"/>
      <c r="BL754" s="402"/>
      <c r="BM754" s="402"/>
      <c r="BN754" s="401"/>
      <c r="BO754" s="400"/>
      <c r="BP754" s="400"/>
      <c r="BQ754" s="400"/>
      <c r="BR754" s="72"/>
      <c r="BS754" s="411"/>
    </row>
    <row r="755" spans="1:71" ht="15" customHeight="1" x14ac:dyDescent="0.15">
      <c r="A755" s="419"/>
      <c r="B755" s="405"/>
      <c r="C755" s="405"/>
      <c r="D755" s="405"/>
      <c r="E755" s="405"/>
      <c r="F755" s="420"/>
      <c r="G755" s="421"/>
      <c r="H755" s="442"/>
      <c r="I755" s="406"/>
      <c r="J755" s="407"/>
      <c r="K755" s="408"/>
      <c r="L755" s="409"/>
      <c r="M755" s="409"/>
      <c r="N755" s="410" t="str">
        <f t="shared" si="24"/>
        <v>CAT à compléter</v>
      </c>
      <c r="O755" s="739"/>
      <c r="P755" s="863"/>
      <c r="Q755" s="730" t="str">
        <f t="shared" si="25"/>
        <v>CAT à compléter</v>
      </c>
      <c r="R755" s="740"/>
      <c r="S755" s="740"/>
      <c r="T755" s="740"/>
      <c r="U755" s="740"/>
      <c r="V755" s="740"/>
      <c r="W755" s="740"/>
      <c r="X755" s="740"/>
      <c r="Y755" s="740"/>
      <c r="Z755" s="740"/>
      <c r="AA755" s="740"/>
      <c r="AB755" s="423"/>
      <c r="AC755" s="418"/>
      <c r="AD755" s="418"/>
      <c r="AE755" s="418"/>
      <c r="AF755" s="422"/>
      <c r="AG755" s="425"/>
      <c r="AH755" s="417"/>
      <c r="AI755" s="415"/>
      <c r="AJ755" s="415"/>
      <c r="AK755" s="428"/>
      <c r="AL755" s="397"/>
      <c r="AM755" s="416"/>
      <c r="AN755" s="412"/>
      <c r="AO755" s="72"/>
      <c r="AP755" s="414"/>
      <c r="AQ755" s="430"/>
      <c r="AR755" s="400"/>
      <c r="AS755" s="413"/>
      <c r="AT755" s="413"/>
      <c r="AU755" s="412"/>
      <c r="AV755" s="412"/>
      <c r="AW755" s="399"/>
      <c r="AX755" s="72"/>
      <c r="AY755" s="398"/>
      <c r="AZ755" s="400"/>
      <c r="BA755" s="72"/>
      <c r="BB755" s="404"/>
      <c r="BC755" s="404"/>
      <c r="BD755" s="404"/>
      <c r="BE755" s="404"/>
      <c r="BF755" s="404"/>
      <c r="BG755" s="404"/>
      <c r="BH755" s="403"/>
      <c r="BI755" s="403"/>
      <c r="BJ755" s="403"/>
      <c r="BK755" s="402"/>
      <c r="BL755" s="402"/>
      <c r="BM755" s="402"/>
      <c r="BN755" s="401"/>
      <c r="BO755" s="400"/>
      <c r="BP755" s="400"/>
      <c r="BQ755" s="400"/>
      <c r="BR755" s="72"/>
      <c r="BS755" s="411"/>
    </row>
    <row r="756" spans="1:71" ht="15" customHeight="1" x14ac:dyDescent="0.15">
      <c r="A756" s="419"/>
      <c r="B756" s="405"/>
      <c r="C756" s="405"/>
      <c r="D756" s="405"/>
      <c r="E756" s="405"/>
      <c r="F756" s="420"/>
      <c r="G756" s="421"/>
      <c r="H756" s="442"/>
      <c r="I756" s="406"/>
      <c r="J756" s="407"/>
      <c r="K756" s="408"/>
      <c r="L756" s="409"/>
      <c r="M756" s="409"/>
      <c r="N756" s="410" t="str">
        <f t="shared" si="24"/>
        <v>CAT à compléter</v>
      </c>
      <c r="O756" s="739"/>
      <c r="P756" s="863"/>
      <c r="Q756" s="730" t="str">
        <f t="shared" si="25"/>
        <v>CAT à compléter</v>
      </c>
      <c r="R756" s="740"/>
      <c r="S756" s="740"/>
      <c r="T756" s="740"/>
      <c r="U756" s="740"/>
      <c r="V756" s="740"/>
      <c r="W756" s="740"/>
      <c r="X756" s="740"/>
      <c r="Y756" s="740"/>
      <c r="Z756" s="740"/>
      <c r="AA756" s="740"/>
      <c r="AB756" s="423"/>
      <c r="AC756" s="418"/>
      <c r="AD756" s="418"/>
      <c r="AE756" s="418"/>
      <c r="AF756" s="422"/>
      <c r="AG756" s="425"/>
      <c r="AH756" s="417"/>
      <c r="AI756" s="415"/>
      <c r="AJ756" s="415"/>
      <c r="AK756" s="428"/>
      <c r="AL756" s="397"/>
      <c r="AM756" s="416"/>
      <c r="AN756" s="412"/>
      <c r="AO756" s="72"/>
      <c r="AP756" s="414"/>
      <c r="AQ756" s="430"/>
      <c r="AR756" s="400"/>
      <c r="AS756" s="413"/>
      <c r="AT756" s="413"/>
      <c r="AU756" s="412"/>
      <c r="AV756" s="412"/>
      <c r="AW756" s="399"/>
      <c r="AX756" s="72"/>
      <c r="AY756" s="398"/>
      <c r="AZ756" s="400"/>
      <c r="BA756" s="72"/>
      <c r="BB756" s="404"/>
      <c r="BC756" s="404"/>
      <c r="BD756" s="404"/>
      <c r="BE756" s="404"/>
      <c r="BF756" s="404"/>
      <c r="BG756" s="404"/>
      <c r="BH756" s="403"/>
      <c r="BI756" s="403"/>
      <c r="BJ756" s="403"/>
      <c r="BK756" s="402"/>
      <c r="BL756" s="402"/>
      <c r="BM756" s="402"/>
      <c r="BN756" s="401"/>
      <c r="BO756" s="400"/>
      <c r="BP756" s="400"/>
      <c r="BQ756" s="400"/>
      <c r="BR756" s="72"/>
      <c r="BS756" s="411"/>
    </row>
    <row r="757" spans="1:71" ht="15" customHeight="1" x14ac:dyDescent="0.15">
      <c r="A757" s="419"/>
      <c r="B757" s="405"/>
      <c r="C757" s="405"/>
      <c r="D757" s="405"/>
      <c r="E757" s="405"/>
      <c r="F757" s="420"/>
      <c r="G757" s="421"/>
      <c r="H757" s="442"/>
      <c r="I757" s="406"/>
      <c r="J757" s="407"/>
      <c r="K757" s="408"/>
      <c r="L757" s="409"/>
      <c r="M757" s="409"/>
      <c r="N757" s="410" t="str">
        <f t="shared" si="24"/>
        <v>CAT à compléter</v>
      </c>
      <c r="O757" s="739"/>
      <c r="P757" s="863"/>
      <c r="Q757" s="730" t="str">
        <f t="shared" si="25"/>
        <v>CAT à compléter</v>
      </c>
      <c r="R757" s="740"/>
      <c r="S757" s="740"/>
      <c r="T757" s="740"/>
      <c r="U757" s="740"/>
      <c r="V757" s="740"/>
      <c r="W757" s="740"/>
      <c r="X757" s="740"/>
      <c r="Y757" s="740"/>
      <c r="Z757" s="740"/>
      <c r="AA757" s="740"/>
      <c r="AB757" s="423"/>
      <c r="AC757" s="418"/>
      <c r="AD757" s="418"/>
      <c r="AE757" s="418"/>
      <c r="AF757" s="422"/>
      <c r="AG757" s="425"/>
      <c r="AH757" s="417"/>
      <c r="AI757" s="415"/>
      <c r="AJ757" s="415"/>
      <c r="AK757" s="428"/>
      <c r="AL757" s="397"/>
      <c r="AM757" s="416"/>
      <c r="AN757" s="412"/>
      <c r="AO757" s="72"/>
      <c r="AP757" s="414"/>
      <c r="AQ757" s="430"/>
      <c r="AR757" s="400"/>
      <c r="AS757" s="413"/>
      <c r="AT757" s="413"/>
      <c r="AU757" s="412"/>
      <c r="AV757" s="412"/>
      <c r="AW757" s="399"/>
      <c r="AX757" s="72"/>
      <c r="AY757" s="398"/>
      <c r="AZ757" s="400"/>
      <c r="BA757" s="72"/>
      <c r="BB757" s="404"/>
      <c r="BC757" s="404"/>
      <c r="BD757" s="404"/>
      <c r="BE757" s="404"/>
      <c r="BF757" s="404"/>
      <c r="BG757" s="404"/>
      <c r="BH757" s="403"/>
      <c r="BI757" s="403"/>
      <c r="BJ757" s="403"/>
      <c r="BK757" s="402"/>
      <c r="BL757" s="402"/>
      <c r="BM757" s="402"/>
      <c r="BN757" s="401"/>
      <c r="BO757" s="400"/>
      <c r="BP757" s="400"/>
      <c r="BQ757" s="400"/>
      <c r="BR757" s="72"/>
      <c r="BS757" s="411"/>
    </row>
    <row r="758" spans="1:71" ht="15" customHeight="1" x14ac:dyDescent="0.15">
      <c r="A758" s="419"/>
      <c r="B758" s="405"/>
      <c r="C758" s="405"/>
      <c r="D758" s="405"/>
      <c r="E758" s="405"/>
      <c r="F758" s="420"/>
      <c r="G758" s="421"/>
      <c r="H758" s="442"/>
      <c r="I758" s="406"/>
      <c r="J758" s="407"/>
      <c r="K758" s="408"/>
      <c r="L758" s="409"/>
      <c r="M758" s="409"/>
      <c r="N758" s="410" t="str">
        <f t="shared" si="24"/>
        <v>CAT à compléter</v>
      </c>
      <c r="O758" s="739"/>
      <c r="P758" s="863"/>
      <c r="Q758" s="730" t="str">
        <f t="shared" si="25"/>
        <v>CAT à compléter</v>
      </c>
      <c r="R758" s="740"/>
      <c r="S758" s="740"/>
      <c r="T758" s="740"/>
      <c r="U758" s="740"/>
      <c r="V758" s="740"/>
      <c r="W758" s="740"/>
      <c r="X758" s="740"/>
      <c r="Y758" s="740"/>
      <c r="Z758" s="740"/>
      <c r="AA758" s="740"/>
      <c r="AB758" s="423"/>
      <c r="AC758" s="418"/>
      <c r="AD758" s="418"/>
      <c r="AE758" s="418"/>
      <c r="AF758" s="422"/>
      <c r="AG758" s="425"/>
      <c r="AH758" s="417"/>
      <c r="AI758" s="415"/>
      <c r="AJ758" s="415"/>
      <c r="AK758" s="428"/>
      <c r="AL758" s="397"/>
      <c r="AM758" s="416"/>
      <c r="AN758" s="412"/>
      <c r="AO758" s="72"/>
      <c r="AP758" s="414"/>
      <c r="AQ758" s="430"/>
      <c r="AR758" s="400"/>
      <c r="AS758" s="413"/>
      <c r="AT758" s="413"/>
      <c r="AU758" s="412"/>
      <c r="AV758" s="412"/>
      <c r="AW758" s="399"/>
      <c r="AX758" s="72"/>
      <c r="AY758" s="398"/>
      <c r="AZ758" s="400"/>
      <c r="BA758" s="72"/>
      <c r="BB758" s="404"/>
      <c r="BC758" s="404"/>
      <c r="BD758" s="404"/>
      <c r="BE758" s="404"/>
      <c r="BF758" s="404"/>
      <c r="BG758" s="404"/>
      <c r="BH758" s="403"/>
      <c r="BI758" s="403"/>
      <c r="BJ758" s="403"/>
      <c r="BK758" s="402"/>
      <c r="BL758" s="402"/>
      <c r="BM758" s="402"/>
      <c r="BN758" s="401"/>
      <c r="BO758" s="400"/>
      <c r="BP758" s="400"/>
      <c r="BQ758" s="400"/>
      <c r="BR758" s="72"/>
      <c r="BS758" s="411"/>
    </row>
    <row r="759" spans="1:71" ht="15" customHeight="1" x14ac:dyDescent="0.15">
      <c r="A759" s="419"/>
      <c r="B759" s="405"/>
      <c r="C759" s="405"/>
      <c r="D759" s="405"/>
      <c r="E759" s="405"/>
      <c r="F759" s="420"/>
      <c r="G759" s="421"/>
      <c r="H759" s="442"/>
      <c r="I759" s="406"/>
      <c r="J759" s="407"/>
      <c r="K759" s="408"/>
      <c r="L759" s="409"/>
      <c r="M759" s="409"/>
      <c r="N759" s="410" t="str">
        <f t="shared" si="24"/>
        <v>CAT à compléter</v>
      </c>
      <c r="O759" s="739"/>
      <c r="P759" s="863"/>
      <c r="Q759" s="730" t="str">
        <f t="shared" si="25"/>
        <v>CAT à compléter</v>
      </c>
      <c r="R759" s="740"/>
      <c r="S759" s="740"/>
      <c r="T759" s="740"/>
      <c r="U759" s="740"/>
      <c r="V759" s="740"/>
      <c r="W759" s="740"/>
      <c r="X759" s="740"/>
      <c r="Y759" s="740"/>
      <c r="Z759" s="740"/>
      <c r="AA759" s="740"/>
      <c r="AB759" s="423"/>
      <c r="AC759" s="418"/>
      <c r="AD759" s="418"/>
      <c r="AE759" s="418"/>
      <c r="AF759" s="422"/>
      <c r="AG759" s="425"/>
      <c r="AH759" s="417"/>
      <c r="AI759" s="415"/>
      <c r="AJ759" s="415"/>
      <c r="AK759" s="428"/>
      <c r="AL759" s="397"/>
      <c r="AM759" s="416"/>
      <c r="AN759" s="412"/>
      <c r="AO759" s="72"/>
      <c r="AP759" s="414"/>
      <c r="AQ759" s="430"/>
      <c r="AR759" s="400"/>
      <c r="AS759" s="413"/>
      <c r="AT759" s="413"/>
      <c r="AU759" s="412"/>
      <c r="AV759" s="412"/>
      <c r="AW759" s="399"/>
      <c r="AX759" s="72"/>
      <c r="AY759" s="398"/>
      <c r="AZ759" s="400"/>
      <c r="BA759" s="72"/>
      <c r="BB759" s="404"/>
      <c r="BC759" s="404"/>
      <c r="BD759" s="404"/>
      <c r="BE759" s="404"/>
      <c r="BF759" s="404"/>
      <c r="BG759" s="404"/>
      <c r="BH759" s="403"/>
      <c r="BI759" s="403"/>
      <c r="BJ759" s="403"/>
      <c r="BK759" s="402"/>
      <c r="BL759" s="402"/>
      <c r="BM759" s="402"/>
      <c r="BN759" s="401"/>
      <c r="BO759" s="400"/>
      <c r="BP759" s="400"/>
      <c r="BQ759" s="400"/>
      <c r="BR759" s="72"/>
      <c r="BS759" s="411"/>
    </row>
    <row r="760" spans="1:71" ht="15" customHeight="1" x14ac:dyDescent="0.15">
      <c r="A760" s="419"/>
      <c r="B760" s="405"/>
      <c r="C760" s="405"/>
      <c r="D760" s="405"/>
      <c r="E760" s="405"/>
      <c r="F760" s="420"/>
      <c r="G760" s="421"/>
      <c r="H760" s="442"/>
      <c r="I760" s="406"/>
      <c r="J760" s="407"/>
      <c r="K760" s="408"/>
      <c r="L760" s="409"/>
      <c r="M760" s="409"/>
      <c r="N760" s="410" t="str">
        <f t="shared" si="24"/>
        <v>CAT à compléter</v>
      </c>
      <c r="O760" s="739"/>
      <c r="P760" s="863"/>
      <c r="Q760" s="730" t="str">
        <f t="shared" si="25"/>
        <v>CAT à compléter</v>
      </c>
      <c r="R760" s="740"/>
      <c r="S760" s="740"/>
      <c r="T760" s="740"/>
      <c r="U760" s="740"/>
      <c r="V760" s="740"/>
      <c r="W760" s="740"/>
      <c r="X760" s="740"/>
      <c r="Y760" s="740"/>
      <c r="Z760" s="740"/>
      <c r="AA760" s="740"/>
      <c r="AB760" s="423"/>
      <c r="AC760" s="418"/>
      <c r="AD760" s="418"/>
      <c r="AE760" s="418"/>
      <c r="AF760" s="422"/>
      <c r="AG760" s="425"/>
      <c r="AH760" s="417"/>
      <c r="AI760" s="415"/>
      <c r="AJ760" s="415"/>
      <c r="AK760" s="428"/>
      <c r="AL760" s="397"/>
      <c r="AM760" s="416"/>
      <c r="AN760" s="412"/>
      <c r="AO760" s="72"/>
      <c r="AP760" s="414"/>
      <c r="AQ760" s="430"/>
      <c r="AR760" s="400"/>
      <c r="AS760" s="413"/>
      <c r="AT760" s="413"/>
      <c r="AU760" s="412"/>
      <c r="AV760" s="412"/>
      <c r="AW760" s="399"/>
      <c r="AX760" s="72"/>
      <c r="AY760" s="398"/>
      <c r="AZ760" s="400"/>
      <c r="BA760" s="72"/>
      <c r="BB760" s="404"/>
      <c r="BC760" s="404"/>
      <c r="BD760" s="404"/>
      <c r="BE760" s="404"/>
      <c r="BF760" s="404"/>
      <c r="BG760" s="404"/>
      <c r="BH760" s="403"/>
      <c r="BI760" s="403"/>
      <c r="BJ760" s="403"/>
      <c r="BK760" s="402"/>
      <c r="BL760" s="402"/>
      <c r="BM760" s="402"/>
      <c r="BN760" s="401"/>
      <c r="BO760" s="400"/>
      <c r="BP760" s="400"/>
      <c r="BQ760" s="400"/>
      <c r="BR760" s="72"/>
      <c r="BS760" s="411"/>
    </row>
    <row r="761" spans="1:71" ht="15" customHeight="1" x14ac:dyDescent="0.15">
      <c r="A761" s="419"/>
      <c r="B761" s="405"/>
      <c r="C761" s="405"/>
      <c r="D761" s="405"/>
      <c r="E761" s="405"/>
      <c r="F761" s="420"/>
      <c r="G761" s="421"/>
      <c r="H761" s="442"/>
      <c r="I761" s="406"/>
      <c r="J761" s="407"/>
      <c r="K761" s="408"/>
      <c r="L761" s="409"/>
      <c r="M761" s="409"/>
      <c r="N761" s="410" t="str">
        <f t="shared" si="24"/>
        <v>CAT à compléter</v>
      </c>
      <c r="O761" s="739"/>
      <c r="P761" s="863"/>
      <c r="Q761" s="730" t="str">
        <f t="shared" si="25"/>
        <v>CAT à compléter</v>
      </c>
      <c r="R761" s="740"/>
      <c r="S761" s="740"/>
      <c r="T761" s="740"/>
      <c r="U761" s="740"/>
      <c r="V761" s="740"/>
      <c r="W761" s="740"/>
      <c r="X761" s="740"/>
      <c r="Y761" s="740"/>
      <c r="Z761" s="740"/>
      <c r="AA761" s="740"/>
      <c r="AB761" s="423"/>
      <c r="AC761" s="418"/>
      <c r="AD761" s="418"/>
      <c r="AE761" s="418"/>
      <c r="AF761" s="422"/>
      <c r="AG761" s="425"/>
      <c r="AH761" s="417"/>
      <c r="AI761" s="415"/>
      <c r="AJ761" s="415"/>
      <c r="AK761" s="428"/>
      <c r="AL761" s="397"/>
      <c r="AM761" s="416"/>
      <c r="AN761" s="412"/>
      <c r="AO761" s="72"/>
      <c r="AP761" s="414"/>
      <c r="AQ761" s="430"/>
      <c r="AR761" s="400"/>
      <c r="AS761" s="413"/>
      <c r="AT761" s="413"/>
      <c r="AU761" s="412"/>
      <c r="AV761" s="412"/>
      <c r="AW761" s="399"/>
      <c r="AX761" s="72"/>
      <c r="AY761" s="398"/>
      <c r="AZ761" s="400"/>
      <c r="BA761" s="72"/>
      <c r="BB761" s="404"/>
      <c r="BC761" s="404"/>
      <c r="BD761" s="404"/>
      <c r="BE761" s="404"/>
      <c r="BF761" s="404"/>
      <c r="BG761" s="404"/>
      <c r="BH761" s="403"/>
      <c r="BI761" s="403"/>
      <c r="BJ761" s="403"/>
      <c r="BK761" s="402"/>
      <c r="BL761" s="402"/>
      <c r="BM761" s="402"/>
      <c r="BN761" s="401"/>
      <c r="BO761" s="400"/>
      <c r="BP761" s="400"/>
      <c r="BQ761" s="400"/>
      <c r="BR761" s="72"/>
      <c r="BS761" s="411"/>
    </row>
    <row r="17568" spans="6:6" ht="12.75" customHeight="1" x14ac:dyDescent="0.15">
      <c r="F17568" s="10" t="s">
        <v>252</v>
      </c>
    </row>
    <row r="17569" spans="42:42" ht="12.75" customHeight="1" x14ac:dyDescent="0.15">
      <c r="AP17569" s="40" t="s">
        <v>252</v>
      </c>
    </row>
    <row r="17570" spans="42:42" ht="12.75" customHeight="1" x14ac:dyDescent="0.15">
      <c r="AP17570" s="40"/>
    </row>
    <row r="17571" spans="42:42" ht="12.75" customHeight="1" x14ac:dyDescent="0.15">
      <c r="AP17571" s="40" t="s">
        <v>252</v>
      </c>
    </row>
  </sheetData>
  <autoFilter ref="A1:BS639" xr:uid="{DF8BA62E-FCAF-4C0A-BCB7-21D18FFE2076}">
    <sortState xmlns:xlrd2="http://schemas.microsoft.com/office/spreadsheetml/2017/richdata2" ref="A2:BS639">
      <sortCondition ref="A1:A639"/>
    </sortState>
  </autoFilter>
  <sortState xmlns:xlrd2="http://schemas.microsoft.com/office/spreadsheetml/2017/richdata2" ref="A2:BT17571">
    <sortCondition ref="A2:A17571"/>
    <sortCondition ref="B2:B17571"/>
    <sortCondition ref="G2:G17571"/>
  </sortState>
  <phoneticPr fontId="44" type="noConversion"/>
  <hyperlinks>
    <hyperlink ref="AR9" r:id="rId1" xr:uid="{6BB977DC-75BC-440C-8C86-FE0104B3A814}"/>
    <hyperlink ref="AR28" r:id="rId2" xr:uid="{B06AA189-31E7-49EF-8485-33A52854956D}"/>
    <hyperlink ref="AR38" r:id="rId3" xr:uid="{547D6D5C-11DE-4703-BE09-4E212C84B477}"/>
    <hyperlink ref="AR39" r:id="rId4" xr:uid="{02DD9CF5-074B-43AF-A821-685954A10B1A}"/>
    <hyperlink ref="AR55" r:id="rId5" xr:uid="{244907F1-A913-4AFF-8924-F055B5817BA3}"/>
    <hyperlink ref="AR69" r:id="rId6" xr:uid="{4AE32E34-8594-4082-956C-1805E0A92E41}"/>
    <hyperlink ref="AR85" r:id="rId7" xr:uid="{CEED5B44-F6B1-4F61-908D-A0D67B0A7E64}"/>
    <hyperlink ref="AR101" r:id="rId8" xr:uid="{6F302218-DB0C-4D9D-9A8C-3611D4504A8F}"/>
    <hyperlink ref="AR102" r:id="rId9" xr:uid="{5A33FA0D-CD34-4B4E-8C23-0DE31C0F9336}"/>
    <hyperlink ref="AR119" r:id="rId10" xr:uid="{2902704B-7F11-46C9-BE2B-26958227B515}"/>
    <hyperlink ref="AR132" r:id="rId11" xr:uid="{2B7C2D06-17BF-4CDC-A6E2-DD1D951307EB}"/>
    <hyperlink ref="AR131" r:id="rId12" xr:uid="{119D064F-6A76-4A6B-9419-AF14748DB8EA}"/>
    <hyperlink ref="AR141" r:id="rId13" xr:uid="{0517A835-3BF0-4CE3-A402-73B3D6256EDE}"/>
    <hyperlink ref="AR168" r:id="rId14" xr:uid="{573C27CC-85B4-42C7-BBEF-DE5450D7B7D1}"/>
    <hyperlink ref="AR170" r:id="rId15" xr:uid="{8C411816-4093-4F4D-BA8D-C1A0473679B4}"/>
    <hyperlink ref="AR190" r:id="rId16" xr:uid="{8F73A1E1-988C-4D9B-B0D1-2FCF2C09C6A5}"/>
    <hyperlink ref="AR199" r:id="rId17" xr:uid="{33C4C4E7-049D-4903-8745-733CC5F0CC39}"/>
    <hyperlink ref="AR214" r:id="rId18" xr:uid="{151C0A08-68E6-41C4-8735-88145ED4CFB4}"/>
    <hyperlink ref="AR248" r:id="rId19" xr:uid="{7C3EA978-E186-4BD9-B872-C76FECC09A29}"/>
    <hyperlink ref="AR270" r:id="rId20" xr:uid="{525EF804-176C-4B46-85CF-87A61DC04831}"/>
    <hyperlink ref="AR272" r:id="rId21" xr:uid="{44DE03F9-B359-410F-B3E9-F47FC01BC9C3}"/>
    <hyperlink ref="AR278" r:id="rId22" xr:uid="{C421736D-7558-4847-B0CB-F1C721DBCB59}"/>
    <hyperlink ref="AR308" r:id="rId23" xr:uid="{A6C11E46-C61E-4B45-828D-0ED6798A8115}"/>
    <hyperlink ref="AR327" r:id="rId24" xr:uid="{DB763860-C56F-474C-82B3-EF57895D6BC0}"/>
    <hyperlink ref="AR328" r:id="rId25" xr:uid="{61ED41CA-C9E2-4A04-996A-B45CFDCDFA12}"/>
    <hyperlink ref="AR334" r:id="rId26" display="joelrollinger@yahoo.de" xr:uid="{4AC16303-2B0A-4446-91DD-4EAF22D39A58}"/>
    <hyperlink ref="AR333" r:id="rId27" xr:uid="{8AD36445-ADE3-4A79-91C8-85E4B404DF35}"/>
    <hyperlink ref="AR336" r:id="rId28" xr:uid="{A63D61B4-9BBC-48E2-B585-0986A91B04FA}"/>
    <hyperlink ref="AR337" r:id="rId29" xr:uid="{C813A4FB-5723-4353-9450-6D5A5F047ED8}"/>
    <hyperlink ref="AR338" r:id="rId30" xr:uid="{F7EA68C9-3125-4748-B6F8-D25F7742C5BE}"/>
    <hyperlink ref="AR350" r:id="rId31" xr:uid="{0235A42C-C00C-4396-AF60-43EFFDB48857}"/>
    <hyperlink ref="AR352" r:id="rId32" xr:uid="{5BEC9E3A-73AF-4754-8A36-80E0792D799E}"/>
    <hyperlink ref="AR360" r:id="rId33" xr:uid="{36E3F963-5545-4DAB-8F5F-784D0CF5E378}"/>
    <hyperlink ref="AR369" r:id="rId34" xr:uid="{89074D8C-C5A6-4D44-93A6-AFE187720FFB}"/>
    <hyperlink ref="AR368" r:id="rId35" xr:uid="{A1535B4C-7E17-407F-93B1-AFAFFD4EC6C4}"/>
    <hyperlink ref="AR383" r:id="rId36" xr:uid="{4CCB1C07-AF53-471E-A3C4-EB1F22411655}"/>
    <hyperlink ref="AR400" r:id="rId37" xr:uid="{711F6033-E79A-43D8-8994-0A816106A31C}"/>
    <hyperlink ref="AR410" r:id="rId38" display="tascha0427@gmail.com" xr:uid="{B5561FAB-84FF-4DFA-8A7C-C11D199499C8}"/>
    <hyperlink ref="AR428" r:id="rId39" xr:uid="{23A7DE96-1894-4232-A8CF-54833D44BF48}"/>
    <hyperlink ref="AR431" r:id="rId40" xr:uid="{31A7895C-1565-4894-9F8D-E2D6404C983A}"/>
    <hyperlink ref="AR448" r:id="rId41" xr:uid="{FC43F2EC-2BE2-4BFD-BFE1-959D570C9452}"/>
    <hyperlink ref="AR449" r:id="rId42" xr:uid="{25091227-3DBB-459F-A23F-DE93650D250A}"/>
    <hyperlink ref="AR459" r:id="rId43" xr:uid="{63F88B4B-752A-446E-891B-F91A33507E31}"/>
    <hyperlink ref="AR461" r:id="rId44" xr:uid="{FB172139-CD13-475D-BD90-609625CC220D}"/>
    <hyperlink ref="AP466" r:id="rId45" xr:uid="{F19A412B-7730-4ED5-A7FC-A117AA2E3418}"/>
    <hyperlink ref="AR466" r:id="rId46" xr:uid="{CC3FBD51-A1F8-4299-99D4-1022D5943134}"/>
    <hyperlink ref="AR472" r:id="rId47" xr:uid="{8DDFB1BB-D6EC-4F26-B731-7A814B2F84C3}"/>
    <hyperlink ref="AR478" r:id="rId48" xr:uid="{D788B44D-405A-4570-B9EC-912D853D8FB7}"/>
    <hyperlink ref="AR479" r:id="rId49" xr:uid="{B1801416-B912-4B9E-A51A-C351B0C6AFE6}"/>
    <hyperlink ref="AR482" r:id="rId50" xr:uid="{9B313748-25E9-4A84-B04D-A1F56503494C}"/>
    <hyperlink ref="AR481" r:id="rId51" xr:uid="{58FAE66B-119A-48BB-8D78-F3AA26492EBC}"/>
    <hyperlink ref="AR483" r:id="rId52" xr:uid="{5E4E7A9F-244E-4104-918A-D2EBAAAA60E9}"/>
    <hyperlink ref="AR315" r:id="rId53" xr:uid="{B85FFA40-369E-4E59-A4C9-7D30F7D27136}"/>
    <hyperlink ref="AR489" r:id="rId54" xr:uid="{463B64B3-224A-4988-92AB-D48978EE6451}"/>
    <hyperlink ref="AR490" r:id="rId55" xr:uid="{76E27A24-3525-4EDC-BAED-FD57D3BE5B08}"/>
    <hyperlink ref="AR491" r:id="rId56" xr:uid="{80233109-B6E4-47BC-BE57-45007A466F18}"/>
    <hyperlink ref="AR495" r:id="rId57" xr:uid="{1FDD663C-4DF6-43E0-8DE7-6FBFABD162EB}"/>
    <hyperlink ref="AR515" r:id="rId58" xr:uid="{90CC79F4-8387-4544-86E8-41133FA83CC8}"/>
    <hyperlink ref="AR527" r:id="rId59" display="corinne_steinbach@yahoo.de" xr:uid="{562D2CBB-2631-4266-B438-CFF0B83CF553}"/>
    <hyperlink ref="AR296" r:id="rId60" xr:uid="{39300591-F9C6-4CA3-BD46-0F288D475B81}"/>
    <hyperlink ref="AR222" r:id="rId61" xr:uid="{A0CF3834-2713-4C58-99E5-08F9AAC51644}"/>
    <hyperlink ref="AR144" r:id="rId62" xr:uid="{274E6C7C-E05A-41E1-9AA4-7D5E9AEE41C8}"/>
    <hyperlink ref="AR143" r:id="rId63" xr:uid="{B075677C-39C4-49E8-9501-72056FF1E57D}"/>
    <hyperlink ref="AR460" r:id="rId64" xr:uid="{691B1574-FC36-47C5-844A-0E0E0F6FF4F0}"/>
    <hyperlink ref="AR359" r:id="rId65" xr:uid="{7826FD52-AE41-43BA-8FAA-A874C545AFA4}"/>
    <hyperlink ref="AR420" r:id="rId66" xr:uid="{E3BDFD1C-8ECB-41B7-AB55-A8D984A6D8FD}"/>
    <hyperlink ref="AR109" r:id="rId67" xr:uid="{184028CF-DE1F-4C4F-A849-CCB681BD397B}"/>
    <hyperlink ref="AR382" r:id="rId68" xr:uid="{E17F92F1-7A1F-4687-8212-AEF4E16EE74C}"/>
    <hyperlink ref="AR295" r:id="rId69" xr:uid="{4BDF0C0E-0BED-46B9-AD9E-EC4F9CB431C2}"/>
    <hyperlink ref="AR283" r:id="rId70" xr:uid="{60E9FA13-08C8-4085-8457-DEEB95884BBF}"/>
    <hyperlink ref="AR194" r:id="rId71" xr:uid="{6DB7535B-5496-4006-AE2C-381C28E83869}"/>
    <hyperlink ref="AR558" r:id="rId72" xr:uid="{B38EA4F0-6C9D-465B-82AA-C370850B8823}"/>
    <hyperlink ref="AR51" r:id="rId73" xr:uid="{D2A1B960-7015-44E0-B616-788C7C458FDE}"/>
    <hyperlink ref="AR438" r:id="rId74" xr:uid="{8A718F4C-66F2-441D-B636-38EEFCE04003}"/>
    <hyperlink ref="AR439" r:id="rId75" xr:uid="{858D8408-3C71-4406-A18D-5EDCB90DEDE2}"/>
    <hyperlink ref="AR362" r:id="rId76" xr:uid="{DD0A910C-2F17-43E0-B70C-AB9B41DF0C16}"/>
    <hyperlink ref="AR508" r:id="rId77" display="jilleydt@pt.lu" xr:uid="{FDA5C454-BE82-4BB3-8865-FFE8E1334E5B}"/>
    <hyperlink ref="AR287" r:id="rId78" xr:uid="{34454030-4AEC-4811-8F25-8B081F1510A1}"/>
    <hyperlink ref="AR319" r:id="rId79" xr:uid="{C5E2266C-F9FF-4CAB-A50D-44485B2D0BC1}"/>
    <hyperlink ref="AR325" r:id="rId80" xr:uid="{C8ABD800-A6F2-4C91-AE93-32898401C7A9}"/>
    <hyperlink ref="AR458" r:id="rId81" xr:uid="{51661996-80F0-4A85-8F72-1E02AD6F65BE}"/>
    <hyperlink ref="AR363" r:id="rId82" xr:uid="{0FF48295-5022-454E-8E46-E9476DAE3F51}"/>
    <hyperlink ref="AR284" r:id="rId83" xr:uid="{6A28D05B-6D6F-48C4-A033-740162ED404F}"/>
    <hyperlink ref="AR282" r:id="rId84" xr:uid="{35054B69-657F-4FE6-BEFE-A97E4819E318}"/>
    <hyperlink ref="AR280" r:id="rId85" xr:uid="{3BBD8184-68D6-4DEB-AF99-5C4A1769B0B6}"/>
    <hyperlink ref="AR167" r:id="rId86" xr:uid="{BD8B1989-1677-4CAF-A47D-F622A90E6BB5}"/>
    <hyperlink ref="AR130" r:id="rId87" xr:uid="{C73412F7-9E4C-41D1-8067-B66BED34E22C}"/>
    <hyperlink ref="AR112" r:id="rId88" xr:uid="{4ECC238D-C026-4D43-B103-C20EF77389D5}"/>
    <hyperlink ref="AR58" r:id="rId89" xr:uid="{9E4B7208-5402-410C-9F9E-26971D4E63A7}"/>
    <hyperlink ref="AR321" r:id="rId90" xr:uid="{1F31BEA1-B846-43F7-BF9C-D1A2BC6EA212}"/>
    <hyperlink ref="AR281" r:id="rId91" xr:uid="{3FC5E112-A5FB-4CC3-A25A-30C5D518259F}"/>
    <hyperlink ref="AR326" r:id="rId92" xr:uid="{BED2116E-DCC0-4CCE-8778-B5363E722588}"/>
    <hyperlink ref="AR454" r:id="rId93" xr:uid="{F8815A9E-0C3E-4790-960B-AAE9F9313D87}"/>
    <hyperlink ref="AR62" r:id="rId94" xr:uid="{AB8A3AC4-DA5C-46AD-B597-DC0AC7AC3216}"/>
    <hyperlink ref="AR267" r:id="rId95" xr:uid="{F742F3B0-EA87-4039-98B4-1DC09CDD305A}"/>
    <hyperlink ref="AR201" r:id="rId96" xr:uid="{B81279D1-BA67-4F0E-AF47-0EAAC2E7B77E}"/>
    <hyperlink ref="AR162" r:id="rId97" xr:uid="{382C6F25-FBF5-487F-B084-B9EB36ED4958}"/>
    <hyperlink ref="AR161" r:id="rId98" xr:uid="{31F83C61-F7D2-40CA-93B6-286A410BEB24}"/>
    <hyperlink ref="AR286" r:id="rId99" xr:uid="{69BD764E-16D3-4E82-8581-E7EACC8D27B6}"/>
    <hyperlink ref="AR185" r:id="rId100" xr:uid="{E535248E-40CF-437A-AAA4-0B1369C37A6E}"/>
    <hyperlink ref="AR261" r:id="rId101" xr:uid="{DDF5DD2C-6EC1-4509-8730-3DEE645B9399}"/>
    <hyperlink ref="AR260" r:id="rId102" xr:uid="{43140E65-BF13-4190-AEFB-53D38C4D00DD}"/>
    <hyperlink ref="AR45" r:id="rId103" xr:uid="{F39694DB-1ACE-412F-8C7D-A05D3D5B443C}"/>
    <hyperlink ref="AR239" r:id="rId104" xr:uid="{0001F361-A917-447B-A4BD-4CD8AEDC8739}"/>
    <hyperlink ref="AR557" r:id="rId105" xr:uid="{866CC189-B65D-4DB2-8C50-3F59BC270A02}"/>
    <hyperlink ref="AR387" r:id="rId106" xr:uid="{95B55D45-753D-420F-A01A-08BD625F62EA}"/>
    <hyperlink ref="AR89" r:id="rId107" xr:uid="{14302DBC-0818-4705-A661-EB080E28398B}"/>
    <hyperlink ref="AR266" r:id="rId108" xr:uid="{EA7D40E9-13D2-4E78-AE46-62407B201786}"/>
    <hyperlink ref="AR307" r:id="rId109" xr:uid="{FFA7283D-3157-4992-AF18-145E51820B57}"/>
    <hyperlink ref="AR166" r:id="rId110" xr:uid="{E5781E00-3841-4A7E-B3F3-4E7C9BFD0D46}"/>
    <hyperlink ref="AR165" r:id="rId111" xr:uid="{3A5AC0E7-B5D8-4FC5-83AA-56B60B33A94B}"/>
    <hyperlink ref="AR542" r:id="rId112" xr:uid="{B41CBC74-3198-4DE4-8CB1-15C44FDDED23}"/>
    <hyperlink ref="AR224" r:id="rId113" xr:uid="{2F9EC54C-4C0D-4B92-BB09-6E794089807E}"/>
    <hyperlink ref="AR223" r:id="rId114" xr:uid="{A54B3BAD-8F13-46C2-AECC-DDFFBF6EBAF3}"/>
    <hyperlink ref="AR380" r:id="rId115" xr:uid="{26CA29CF-1E7F-442D-8CC7-7BC0247A29E5}"/>
    <hyperlink ref="AR128" r:id="rId116" xr:uid="{7929F2B9-923E-4D95-B8FD-CE172371C018}"/>
    <hyperlink ref="AR227" r:id="rId117" xr:uid="{D1548E68-B955-4D43-9FEB-19C965AAE8F6}"/>
    <hyperlink ref="AR226" r:id="rId118" xr:uid="{46F60C4E-305C-4AAB-889F-A080752DD03D}"/>
    <hyperlink ref="AR57" r:id="rId119" xr:uid="{11E0D4F3-9295-4275-B72C-8D64CF981190}"/>
    <hyperlink ref="AR389" r:id="rId120" xr:uid="{46674C2E-8D89-48EB-9F7A-6CAEB3D8E945}"/>
    <hyperlink ref="AR503" r:id="rId121" xr:uid="{23B30583-870A-4181-BE59-D52BDFEEF2B5}"/>
    <hyperlink ref="AR388" r:id="rId122" xr:uid="{6FBDC20E-9F80-4FBB-A61F-7668F029EFAE}"/>
    <hyperlink ref="AR451" r:id="rId123" xr:uid="{832F4E5A-8EBD-4B1D-9393-1F4D14AB6956}"/>
    <hyperlink ref="AR211:AR212" r:id="rId124" display="roederj@me.com" xr:uid="{86D786FC-2AAA-4C7A-8A9B-0FE4693B9BE9}"/>
    <hyperlink ref="AR523" r:id="rId125" xr:uid="{5936FD82-D673-4821-ADB9-ACD04E89EA7B}"/>
    <hyperlink ref="AR324" r:id="rId126" display="frank_ods@hotmail.com" xr:uid="{637CF052-4153-4A31-835A-454F7296A2F4}"/>
    <hyperlink ref="AR429" r:id="rId127" xr:uid="{685E9D72-8ABA-4CDE-A3C5-FCC458E04289}"/>
    <hyperlink ref="AR71" r:id="rId128" xr:uid="{60E7893A-C21F-4515-8E16-C10194FDC96F}"/>
    <hyperlink ref="AR114" r:id="rId129" xr:uid="{E9AEA196-BD8D-4A8F-9335-51DACB8D8CC1}"/>
    <hyperlink ref="AR113" r:id="rId130" xr:uid="{5BD35A64-2AC3-4CEA-AFFC-4B2CCCDCB727}"/>
    <hyperlink ref="AR329" r:id="rId131" xr:uid="{7F781333-78DB-430B-B8DA-AC9646C8E8B4}"/>
    <hyperlink ref="AR124" r:id="rId132" xr:uid="{CEC362DD-DFCB-4CB5-BFF2-ECA6FA89BC66}"/>
    <hyperlink ref="AR122" r:id="rId133" xr:uid="{B2D1D1A3-AA62-4DA7-AF86-3DC92309BC6D}"/>
    <hyperlink ref="AR299" r:id="rId134" xr:uid="{5524E80F-3763-4AB0-A59F-DA9553AE7268}"/>
    <hyperlink ref="AR298" r:id="rId135" xr:uid="{0A4D989A-B2E2-463F-B6BC-7CDB4CD6F1DC}"/>
    <hyperlink ref="AR306" r:id="rId136" xr:uid="{8C32C75C-59DB-45BD-AA50-E739E77BF1D2}"/>
    <hyperlink ref="AR271" r:id="rId137" xr:uid="{A5F156A6-9B4A-4D15-9C58-C5D32ECE75E4}"/>
    <hyperlink ref="AR157" r:id="rId138" xr:uid="{0BCFCF10-88A9-4B5D-A292-20D828F7352C}"/>
    <hyperlink ref="AR517" r:id="rId139" display="ewokomopibo@gmail.com" xr:uid="{A4F4C9E7-28B2-42BA-B61E-9A561C10742D}"/>
    <hyperlink ref="AR117" r:id="rId140" xr:uid="{9BFF90A9-6D97-435C-991E-DE392EC9C1FB}"/>
    <hyperlink ref="AR116" r:id="rId141" xr:uid="{1CD5A4C9-D700-4DE0-8907-F49B8452C38C}"/>
    <hyperlink ref="AR395" r:id="rId142" xr:uid="{B9123A98-A585-486D-9102-EF19BD5BDE62}"/>
    <hyperlink ref="AR47" r:id="rId143" xr:uid="{E1020C66-0E63-433D-8D20-5018E373857B}"/>
    <hyperlink ref="AR231:AR232" r:id="rId144" display="molitort@pt.lu" xr:uid="{483571DD-22D0-4C17-93A5-C48BA00E38C8}"/>
    <hyperlink ref="AR140" r:id="rId145" xr:uid="{4F92EB9C-4096-4750-B8DE-2568D98FDF60}"/>
    <hyperlink ref="AR81" r:id="rId146" xr:uid="{85C755EE-D263-48B9-8634-F5F202CC392C}"/>
    <hyperlink ref="AR79" r:id="rId147" xr:uid="{33D603F3-4508-48F3-9BC6-E5A9C8DAD8E7}"/>
    <hyperlink ref="AR335" r:id="rId148" xr:uid="{1327BB53-F9D4-4282-B5B0-639B5EB25F49}"/>
    <hyperlink ref="AR80" r:id="rId149" xr:uid="{4AA82EBB-4E93-42C9-9846-84F3F6E98DEE}"/>
    <hyperlink ref="AR546" r:id="rId150" xr:uid="{5628D2FD-7C8C-4E69-8ACB-54F78BB89B19}"/>
    <hyperlink ref="AR545" r:id="rId151" xr:uid="{642EBD75-FD9E-4F1C-A540-C844ED5810F0}"/>
    <hyperlink ref="AR544" r:id="rId152" xr:uid="{3A824486-2291-466A-B3DA-514613CB17A3}"/>
    <hyperlink ref="AR297" r:id="rId153" xr:uid="{A1D4ABFE-DB7F-43CA-9F53-8C9E16823BE6}"/>
    <hyperlink ref="AR111" r:id="rId154" xr:uid="{4974C2FF-8D1C-4980-B8CB-3D4B70D951C0}"/>
    <hyperlink ref="AR505" r:id="rId155" xr:uid="{8298C7BB-2ABE-444C-8FBC-C0FB0278C12D}"/>
    <hyperlink ref="AR496" r:id="rId156" xr:uid="{E26ACC6E-88C3-4512-AADB-0FB01A875AF4}"/>
    <hyperlink ref="AR133" r:id="rId157" xr:uid="{F0E1A61E-C9AC-4202-B403-F25E6F767E8D}"/>
    <hyperlink ref="AR288" r:id="rId158" xr:uid="{8B4BDF1F-03F2-4872-9ADE-CD76FC6D9F35}"/>
    <hyperlink ref="AR351" r:id="rId159" xr:uid="{191DDA59-4CCB-4A3F-A8DF-4CB095B8138D}"/>
    <hyperlink ref="AR208" r:id="rId160" xr:uid="{FE1AE166-500A-4EF9-84B0-A622802D5C77}"/>
    <hyperlink ref="AR77" r:id="rId161" xr:uid="{F452232F-2D87-4937-9E7C-EFC30DC80C1D}"/>
    <hyperlink ref="AR135" r:id="rId162" xr:uid="{FA719756-DB90-4483-8FCB-BF0787F5F087}"/>
    <hyperlink ref="AR258:AR259" r:id="rId163" display="adoberdolani@gmail.com" xr:uid="{7E8DA128-4F28-40C1-BE0C-F52BA0B4E69F}"/>
    <hyperlink ref="AP234" r:id="rId164" xr:uid="{A6CFBCB5-44D0-4D30-9750-14C100F1EB15}"/>
    <hyperlink ref="AP233" r:id="rId165" xr:uid="{C5EFB7A7-D2FA-4964-884F-9374E1D0C73F}"/>
    <hyperlink ref="AR32" r:id="rId166" xr:uid="{85A9CE5A-F8C6-44CE-8858-6739D3A161C9}"/>
    <hyperlink ref="AR409" r:id="rId167" xr:uid="{AF224B87-552A-4840-9CB2-989B388AE3D6}"/>
    <hyperlink ref="AR447" r:id="rId168" xr:uid="{C541C3BE-A896-4EC9-943A-DAA562E036FC}"/>
    <hyperlink ref="AR7" r:id="rId169" xr:uid="{C49410CA-0377-4E8A-84AB-398D1EE2F5A9}"/>
    <hyperlink ref="AR5" r:id="rId170" xr:uid="{83234985-7E05-47C8-991A-C10D04923891}"/>
    <hyperlink ref="AR475" r:id="rId171" xr:uid="{DBF59896-429B-4813-8F77-F15E6642CB8B}"/>
    <hyperlink ref="AR269:AR270" r:id="rId172" display="flament.ma@gmail.com" xr:uid="{D508C572-5887-47CD-A9DE-B574EB42F2CD}"/>
    <hyperlink ref="AR474" r:id="rId173" xr:uid="{19E9745B-6CD4-493D-8638-DEE22504C602}"/>
    <hyperlink ref="AR231" r:id="rId174" xr:uid="{643922F0-E89E-478B-A070-3B690C9388AD}"/>
    <hyperlink ref="AR92" r:id="rId175" xr:uid="{ACAACCAD-C75D-4300-85B5-7138368F6422}"/>
    <hyperlink ref="AR91" r:id="rId176" xr:uid="{1B39A704-DCA6-4709-B361-86DAE317293D}"/>
    <hyperlink ref="AR408" r:id="rId177" xr:uid="{DEFF819B-2791-412B-94E6-80E3603DE123}"/>
    <hyperlink ref="AR406" r:id="rId178" xr:uid="{6AA7A564-7F96-4A92-BA95-474B97430651}"/>
    <hyperlink ref="AR156" r:id="rId179" xr:uid="{A04BA7FC-99E7-4320-B1E5-378BEB94445C}"/>
    <hyperlink ref="AR155" r:id="rId180" xr:uid="{52A075AE-E5C7-46B2-94AC-D636B19435E4}"/>
    <hyperlink ref="AR252" r:id="rId181" xr:uid="{FE3DFAF4-9803-4659-AF44-89028013464B}"/>
    <hyperlink ref="AR123" r:id="rId182" xr:uid="{81DE997C-79BE-4919-A729-9075B1051AB1}"/>
    <hyperlink ref="AR87" r:id="rId183" xr:uid="{184BC35C-26B7-49EC-BAE6-BC37DD24D159}"/>
    <hyperlink ref="AR86" r:id="rId184" xr:uid="{F6AD32EE-4E1B-470E-B079-8A3ABC3B33F2}"/>
    <hyperlink ref="AR2" r:id="rId185" xr:uid="{7288C063-CAF9-4FC7-A1EB-5F871F2B1533}"/>
    <hyperlink ref="AR149" r:id="rId186" xr:uid="{B4D49169-FF86-40FA-A396-D528F6A30F06}"/>
    <hyperlink ref="AR148" r:id="rId187" xr:uid="{7EFFAFCD-1A20-4E3C-BAE9-45E5AAC66500}"/>
    <hyperlink ref="AR552" r:id="rId188" xr:uid="{32F8D806-229C-4383-BCDA-F1555EC119EB}"/>
    <hyperlink ref="AR96" r:id="rId189" xr:uid="{14636A9A-5615-4E78-BC73-2DE1FEF69F30}"/>
    <hyperlink ref="AR97" r:id="rId190" xr:uid="{6A817EE0-E4FE-4713-B86E-0D027D99D14C}"/>
    <hyperlink ref="AR95" r:id="rId191" xr:uid="{CE6E085D-50F9-4817-9E40-6B3F3F165727}"/>
    <hyperlink ref="AR264" r:id="rId192" xr:uid="{5E9E13D5-31AB-4E9F-979C-CC7DC21951A1}"/>
    <hyperlink ref="AR311" r:id="rId193" xr:uid="{B47AEBBF-F86B-4B15-9835-3A40A3190C1D}"/>
    <hyperlink ref="AR312" r:id="rId194" xr:uid="{7AF5C58A-67B4-4C98-84FE-A446447D7F70}"/>
    <hyperlink ref="AR138" r:id="rId195" xr:uid="{D81A58C4-CAAF-4A1B-AE4E-62B007AB2D68}"/>
    <hyperlink ref="AR522" r:id="rId196" xr:uid="{BDE83497-2D48-40BA-8C92-9AFCBFC6A59D}"/>
    <hyperlink ref="AR209" r:id="rId197" xr:uid="{FD2BB805-04DA-4EEB-8585-9814B2AB0A1F}"/>
    <hyperlink ref="AR237" r:id="rId198" xr:uid="{1FFEBDBC-81F6-4700-8534-F42CA126800D}"/>
    <hyperlink ref="AR116:AR117" r:id="rId199" display="ana.ribeiro@education.lu" xr:uid="{9D53109D-3A59-468A-BEE1-473DE66BE2B5}"/>
    <hyperlink ref="AR54" r:id="rId200" xr:uid="{2819014D-829A-4A85-A839-97AF97DFB0F7}"/>
    <hyperlink ref="AR358" r:id="rId201" xr:uid="{B0BD3BB7-72ED-4E5F-A870-C8B2062357E0}"/>
    <hyperlink ref="AR292:AR293" r:id="rId202" display="jeamed@pt.lu" xr:uid="{A4E0ED95-0F67-4DD5-85F6-603579B9E066}"/>
    <hyperlink ref="AR304" r:id="rId203" xr:uid="{D9A96219-DFE4-4375-9B54-ACB837366969}"/>
    <hyperlink ref="AR303" r:id="rId204" xr:uid="{8A0EA437-7BAF-4BC0-A277-694DABC40B9E}"/>
    <hyperlink ref="AR504" r:id="rId205" xr:uid="{FAA38336-EF2B-49B9-A9AF-E5CEBA8BC180}"/>
    <hyperlink ref="AR465" r:id="rId206" xr:uid="{38AD14CE-61AA-45C2-817A-5201A0C9C6EC}"/>
    <hyperlink ref="AR25" r:id="rId207" xr:uid="{89316C44-5492-4D0A-A9D8-AEBFF3C53E67}"/>
    <hyperlink ref="AR255" r:id="rId208" xr:uid="{31C93AED-69E9-4D30-9D7D-E0368352D0C5}"/>
    <hyperlink ref="AR302:AR303" r:id="rId209" display="adrienjacquelin@gmail.com" xr:uid="{93F9F53C-A3D8-40ED-A4B3-5322DEAE0B72}"/>
    <hyperlink ref="AR254" r:id="rId210" xr:uid="{02EDEA74-EBFE-4FA4-8E01-C4FCA1591867}"/>
    <hyperlink ref="AR26" r:id="rId211" xr:uid="{18F68C66-7533-4AB1-B911-84E97F9CCA3C}"/>
    <hyperlink ref="AR184" r:id="rId212" xr:uid="{E4CD8C73-074C-4177-8F13-508F69916F39}"/>
    <hyperlink ref="AR35" r:id="rId213" xr:uid="{1949F78B-7068-4181-B0C9-4D82EEB4E901}"/>
    <hyperlink ref="AR34" r:id="rId214" xr:uid="{40754AD8-85EF-47A7-BF7D-5B1196D2D9DB}"/>
    <hyperlink ref="AR33" r:id="rId215" xr:uid="{A78157EF-4ECA-47C1-ACAF-CF3A8C48B15D}"/>
    <hyperlink ref="AR540" r:id="rId216" xr:uid="{313B74B3-2C5F-4117-A929-491740224AD5}"/>
    <hyperlink ref="AR189" r:id="rId217" xr:uid="{EBB7C013-75C6-4187-AF42-6A17FF5AB33E}"/>
    <hyperlink ref="AR507" r:id="rId218" xr:uid="{E70869A6-9500-40CA-9C40-35A4FB263ED5}"/>
    <hyperlink ref="AR506" r:id="rId219" xr:uid="{9D27D283-0C24-43BC-BED5-2B8F4115E354}"/>
    <hyperlink ref="AR403" r:id="rId220" xr:uid="{574C4434-73C4-482C-9B24-8752AC6D1886}"/>
    <hyperlink ref="AR20" r:id="rId221" xr:uid="{E9E15EF9-6187-4C6A-8796-75CB08DB7413}"/>
    <hyperlink ref="AR29" r:id="rId222" xr:uid="{464AC28D-0C08-42B1-9D5A-21875B57C826}"/>
    <hyperlink ref="AR399" r:id="rId223" xr:uid="{0C16CABB-7AD2-4D84-95FE-D01EEE0CBFF5}"/>
    <hyperlink ref="AR262" r:id="rId224" xr:uid="{04D87837-795B-45AC-AF0B-C21D64DB56D9}"/>
    <hyperlink ref="AR84" r:id="rId225" xr:uid="{7AC49226-274C-487E-BDBB-5A5B327C9541}"/>
    <hyperlink ref="AR82" r:id="rId226" xr:uid="{BB90DE21-1899-453F-BE9A-5F6A498A78BD}"/>
    <hyperlink ref="AR27" r:id="rId227" xr:uid="{D8AE3838-CC52-4842-911A-D6147F49EAF0}"/>
    <hyperlink ref="AR241" r:id="rId228" xr:uid="{AA04CA55-A2C2-4196-85E4-E130E087AC04}"/>
    <hyperlink ref="AR469" r:id="rId229" xr:uid="{431E9EA4-8A61-4591-BBBA-23F25609F059}"/>
    <hyperlink ref="AR468" r:id="rId230" xr:uid="{C5F2FB64-513F-4E45-B18B-5D890A0E4F73}"/>
    <hyperlink ref="AR289" r:id="rId231" xr:uid="{752CD5C9-900C-4C25-BFB0-6CCF35DD9A8A}"/>
    <hyperlink ref="AR425" r:id="rId232" xr:uid="{E658478F-15F0-48A9-9CA6-2805DF885157}"/>
    <hyperlink ref="AR427" r:id="rId233" xr:uid="{23719843-A623-4ECC-88C7-694BBA278C85}"/>
    <hyperlink ref="AR426" r:id="rId234" xr:uid="{76318B65-371A-4EB8-8216-494F46B5F8FD}"/>
    <hyperlink ref="AR206" r:id="rId235" xr:uid="{D3062B33-D6D3-42F4-A960-3C2AD4ABDCA6}"/>
    <hyperlink ref="AR66" r:id="rId236" xr:uid="{64506162-CECA-4E1F-91A4-99E909405035}"/>
    <hyperlink ref="AR473" r:id="rId237" xr:uid="{A45B9C7B-4496-4495-9142-4D8D6E03A7A4}"/>
    <hyperlink ref="AR136" r:id="rId238" xr:uid="{B1098B17-B992-4407-B2FA-856EA4CC56DE}"/>
    <hyperlink ref="AR548" r:id="rId239" xr:uid="{D3685608-2170-480C-9ECF-D2426FA7BD6C}"/>
    <hyperlink ref="AR547" r:id="rId240" xr:uid="{49EFEEF0-F73A-48A3-949D-F69B700A492E}"/>
    <hyperlink ref="AR374" r:id="rId241" xr:uid="{6D35BAD4-AE61-4A24-ACB6-3DB2AC9C335F}"/>
    <hyperlink ref="AR549" r:id="rId242" xr:uid="{ACA71D96-2586-4B32-BED6-1C6722B0D3A9}"/>
    <hyperlink ref="AR543" r:id="rId243" xr:uid="{D3245DA3-D715-43C3-BE3F-924B8A26EC18}"/>
    <hyperlink ref="AR559" r:id="rId244" xr:uid="{F533A46A-18C2-4C18-83C1-51EB97C4BC14}"/>
    <hyperlink ref="AR346" r:id="rId245" xr:uid="{292F186D-61DF-4FDD-B396-3F0A558A012C}"/>
    <hyperlink ref="AR179" r:id="rId246" xr:uid="{1977BF16-248E-4F5E-9B6A-8D01A93F29C8}"/>
    <hyperlink ref="AR351:AR352" r:id="rId247" display="fihl@pt.lu" xr:uid="{668D733A-F6B3-4C7B-92C7-4C7FBAD88C3E}"/>
    <hyperlink ref="AR75" r:id="rId248" xr:uid="{6921252C-7169-4735-A7F9-8C0A12320C6E}"/>
    <hyperlink ref="AR154" r:id="rId249" xr:uid="{AF2B73EB-5349-43AF-931C-E22D2121DF11}"/>
    <hyperlink ref="AR74" r:id="rId250" xr:uid="{BA563E2B-5648-4C9D-A33E-C4A073E721C0}"/>
    <hyperlink ref="AR65" r:id="rId251" xr:uid="{3B7C9129-2A05-43BF-8E89-606BBD63F030}"/>
    <hyperlink ref="AR64" r:id="rId252" xr:uid="{BCF97CCD-6203-40D3-927D-08DC8D4152AA}"/>
    <hyperlink ref="AR217" r:id="rId253" xr:uid="{07367DE5-E34E-459A-AE20-719248E7C100}"/>
    <hyperlink ref="AR216" r:id="rId254" xr:uid="{5F1BE2A8-3FCB-4A84-AC36-064856730CE1}"/>
    <hyperlink ref="AR235" r:id="rId255" xr:uid="{1738E612-390A-4CEE-B303-9F2D81DF779E}"/>
    <hyperlink ref="AR390" r:id="rId256" xr:uid="{366FEBC6-2E8B-44FF-9754-0E9DC68575D6}"/>
    <hyperlink ref="AR205" r:id="rId257" xr:uid="{F80D3FCF-09B4-4678-9A0B-A87A91B3D85C}"/>
    <hyperlink ref="AR345" r:id="rId258" xr:uid="{446BD421-09B0-4700-966A-7617EBBA3E2A}"/>
    <hyperlink ref="AR250" r:id="rId259" xr:uid="{9CA5B142-24F7-4BF5-AB48-C01B00666F85}"/>
    <hyperlink ref="AR377" r:id="rId260" xr:uid="{56F6CE80-628C-4463-B2AB-AF30EDA07B34}"/>
    <hyperlink ref="AR378" r:id="rId261" xr:uid="{23B4D33D-18D2-44EF-BEC5-ECEC6CE7A502}"/>
    <hyperlink ref="AR147" r:id="rId262" xr:uid="{8BA6B91A-6A8B-4D2F-9015-96C821DC9A2C}"/>
    <hyperlink ref="AR367:AR368" r:id="rId263" display="eeckhaut.radogna@gmail.com" xr:uid="{D7934EF1-4B35-4E23-B22C-4F019D390368}"/>
    <hyperlink ref="AR121" r:id="rId264" xr:uid="{DE1F8FF3-CA73-4A71-A3F1-B35AD443A28B}"/>
    <hyperlink ref="AR332" r:id="rId265" xr:uid="{7D2D767B-F499-424B-98A0-C0695A61E051}"/>
    <hyperlink ref="AR372:AR373" r:id="rId266" display="gaby.altenhoven@gmail.com" xr:uid="{7946C94A-13F4-4547-ACCF-7039C5669FA1}"/>
    <hyperlink ref="AR364" r:id="rId267" xr:uid="{3EDAE150-B019-47D6-8DBF-9B67B2DA152E}"/>
    <hyperlink ref="AR31" r:id="rId268" xr:uid="{192E6226-8DBB-42BD-B6A2-68754E7FA549}"/>
    <hyperlink ref="AR376:AR377" r:id="rId269" display="cameleon.engage@yahoo.de" xr:uid="{799D894B-AD0A-4A12-8C98-F332995BF647}"/>
    <hyperlink ref="AR372" r:id="rId270" xr:uid="{6C4F303A-A2F7-4C17-A571-5CD4405F3054}"/>
    <hyperlink ref="AR373" r:id="rId271" xr:uid="{ED3A1540-22F3-4730-8AE9-AF61118A9E31}"/>
    <hyperlink ref="AR404" r:id="rId272" xr:uid="{9D0362B5-5DD6-466D-8865-CC8F731F3F9F}"/>
    <hyperlink ref="AR488" r:id="rId273" xr:uid="{DA493AAF-B960-44C9-BA07-4AFF5C246291}"/>
    <hyperlink ref="AR76" r:id="rId274" xr:uid="{BCA97FE8-3B59-420E-B6F4-CC776F0A9FDA}"/>
    <hyperlink ref="AR371" r:id="rId275" xr:uid="{D8D8F65A-1465-46E5-80D2-7426E77136E2}"/>
    <hyperlink ref="AR145" r:id="rId276" xr:uid="{F0AA7F85-C30F-4E2A-BC7C-6AE27D636514}"/>
    <hyperlink ref="AR492" r:id="rId277" xr:uid="{F8D96AFF-EEAE-41BC-AEB9-273FE37B60AB}"/>
    <hyperlink ref="AR536" r:id="rId278" xr:uid="{43B59E41-EA35-46E3-9B03-96C1E13A9F1C}"/>
    <hyperlink ref="AR514" r:id="rId279" xr:uid="{8D3FEDEE-74F8-4BE6-9CF5-1816CFDFA2FF}"/>
    <hyperlink ref="AR173" r:id="rId280" xr:uid="{847DC7E2-8F77-4DD9-8409-AEDC5B8310DC}"/>
    <hyperlink ref="AR171" r:id="rId281" xr:uid="{74821888-4139-4E4A-BE16-BD4A105F31CC}"/>
    <hyperlink ref="AR50" r:id="rId282" xr:uid="{10FA51E6-B333-4CB8-8B1D-DBBA0BD81AED}"/>
    <hyperlink ref="AR464" r:id="rId283" xr:uid="{1F80F560-2FF0-4A35-A2CD-2E9DC4A993C0}"/>
    <hyperlink ref="AR463" r:id="rId284" xr:uid="{E6738FF7-16C6-448C-9D0A-D76AF2E03B2B}"/>
    <hyperlink ref="AG159" r:id="rId285" display="isabellepirson@pt.lu" xr:uid="{95EDD5E0-A3FC-4421-8F79-517D0AAF3D12}"/>
    <hyperlink ref="AR159" r:id="rId286" xr:uid="{B7B1FE2F-6CD5-4956-9CF6-056F76E329BD}"/>
    <hyperlink ref="AR10" r:id="rId287" xr:uid="{02008581-4BE6-46F2-98A3-59174414FA40}"/>
    <hyperlink ref="AR17" r:id="rId288" xr:uid="{803C20B4-6411-4691-A378-02ACEB4CB7CC}"/>
    <hyperlink ref="AR16" r:id="rId289" xr:uid="{E9141049-D3EF-428E-BAFF-5534352357C3}"/>
    <hyperlink ref="AR207" r:id="rId290" xr:uid="{7DF89795-6136-4FD1-9612-7F5A6942E396}"/>
    <hyperlink ref="AR204" r:id="rId291" xr:uid="{25060086-6091-41C8-A340-A00007E96BD6}"/>
    <hyperlink ref="AR106" r:id="rId292" xr:uid="{2E132434-E214-4026-A7A0-C0C29454CC88}"/>
    <hyperlink ref="AR555" r:id="rId293" xr:uid="{9A5FB647-1759-49D2-9CF4-8B7978069C04}"/>
    <hyperlink ref="AR406:AR407" r:id="rId294" display="sjzebrowsky@gmail.com" xr:uid="{9E7D74A3-FBF4-4571-908A-31A758DBDFC6}"/>
    <hyperlink ref="AR213" r:id="rId295" xr:uid="{B33211F7-BD36-42CD-AEFA-30F8C8C9DB72}"/>
    <hyperlink ref="AR486" r:id="rId296" xr:uid="{52454F86-8DD6-42D3-AE77-4BC3952A2E41}"/>
    <hyperlink ref="AR485" r:id="rId297" xr:uid="{D2DF83E9-0869-4396-8592-74A957D2853C}"/>
    <hyperlink ref="AR442" r:id="rId298" xr:uid="{0BD0DED5-8B30-4EF6-9555-77AD5A6F3D39}"/>
    <hyperlink ref="AR192" r:id="rId299" xr:uid="{2C2306BD-F397-4E1F-B37A-F891D293B2D0}"/>
    <hyperlink ref="AR193" r:id="rId300" xr:uid="{D991643B-759F-463F-BBF2-E6DC1F530AEC}"/>
    <hyperlink ref="AR83" r:id="rId301" display="mailto:marc.buchler@education.lu" xr:uid="{27C02ADE-C8A6-491F-A1BD-ED5EE8E43E0A}"/>
    <hyperlink ref="AR13" r:id="rId302" xr:uid="{6701172E-EBEB-4667-8038-CE3F332F852A}"/>
    <hyperlink ref="AR191" r:id="rId303" xr:uid="{CF56CB86-1009-4152-B5C2-2536EC9C3DDB}"/>
    <hyperlink ref="AR11" r:id="rId304" xr:uid="{25069D6B-3726-4CC7-972A-2D4217E66735}"/>
    <hyperlink ref="AR516" r:id="rId305" xr:uid="{35E7414A-8C57-400E-851F-4BB1F04D79D2}"/>
    <hyperlink ref="AR340" r:id="rId306" xr:uid="{D28DDC9D-FE37-4C48-B13A-C9DD6BE0A460}"/>
    <hyperlink ref="AR430" r:id="rId307" display="domingogomartinez@gmail.com" xr:uid="{FB7C521A-758F-455A-A33C-93389B612A1B}"/>
    <hyperlink ref="AR376" r:id="rId308" xr:uid="{BD7B978E-8324-4250-91B7-270A60DB432A}"/>
    <hyperlink ref="AR126" r:id="rId309" xr:uid="{3EAA259D-1D12-4362-BBCC-45E5C25322A0}"/>
    <hyperlink ref="AR125" r:id="rId310" xr:uid="{A29B8695-319E-40AD-87B3-DA2D720C7A59}"/>
    <hyperlink ref="AR513" r:id="rId311" xr:uid="{2261EFFF-2590-485A-A59F-3A848C8D9AE2}"/>
    <hyperlink ref="AR49" r:id="rId312" xr:uid="{140E4D44-3426-479F-B3D7-2ED9E126D3A9}"/>
    <hyperlink ref="AR429:AR430" r:id="rId313" display="jhempb@yahoo.com" xr:uid="{D2AE20CA-51CA-4264-A380-349FC36BA5DB}"/>
    <hyperlink ref="AR219" r:id="rId314" xr:uid="{706ECBE3-9E62-404F-AFC4-6BCF921A672B}"/>
    <hyperlink ref="AR218" r:id="rId315" xr:uid="{4DFE995D-3422-4664-953A-67D844994D86}"/>
    <hyperlink ref="AR63" r:id="rId316" xr:uid="{DDBEA228-0A57-4433-B875-C10C5474F3D4}"/>
    <hyperlink ref="AR90" r:id="rId317" xr:uid="{5419D9B3-68C0-48BD-982E-32787577D747}"/>
    <hyperlink ref="AR42" r:id="rId318" xr:uid="{729E5A28-441A-40AF-B3F6-062010755AEB}"/>
    <hyperlink ref="AR443" r:id="rId319" display="begicbelma@hotmail.com" xr:uid="{EDE24BF7-8EF1-4324-975B-FC434718F4F3}"/>
    <hyperlink ref="AR23" r:id="rId320" xr:uid="{700DAB82-4117-4C95-A887-098C22DA2926}"/>
    <hyperlink ref="AR22" r:id="rId321" xr:uid="{50BC53BE-3BF1-4EFB-BDED-81146D926E39}"/>
    <hyperlink ref="AR100" r:id="rId322" xr:uid="{82D33A24-C2FE-4BE7-9629-3F2D9D55B76D}"/>
    <hyperlink ref="AR197" r:id="rId323" xr:uid="{385DA04A-87E7-4352-84C3-9D8C7511E2EF}"/>
    <hyperlink ref="AR177" r:id="rId324" xr:uid="{C18C1B63-BAF5-4D9E-8660-B1C8E643E142}"/>
    <hyperlink ref="AR195" r:id="rId325" xr:uid="{5AFB5F15-CD8E-425B-8C48-380383A7A1BA}"/>
    <hyperlink ref="AR67" r:id="rId326" xr:uid="{FB2DE3B0-7AD9-48F0-BFA2-01F4AF756330}"/>
    <hyperlink ref="AR348" r:id="rId327" xr:uid="{83BF14AE-8788-44A1-B53D-8BA8F44A8C52}"/>
    <hyperlink ref="AR347" r:id="rId328" xr:uid="{61E71F9C-E25A-4E04-856C-CC66AF711994}"/>
    <hyperlink ref="AR470" r:id="rId329" xr:uid="{3976B571-6BB6-4D8F-8ED3-16FCCCD86C7C}"/>
    <hyperlink ref="AR467" r:id="rId330" xr:uid="{CAA1C79E-FC89-4150-9E96-6D9759768721}"/>
    <hyperlink ref="AR471" r:id="rId331" xr:uid="{B69882AF-A39E-4AB2-A206-B8F722762A6E}"/>
    <hyperlink ref="AR541" r:id="rId332" xr:uid="{C2B24939-0E52-490B-BDAA-946AA6752DF8}"/>
    <hyperlink ref="AR151" r:id="rId333" xr:uid="{00BF23F5-4C0F-4E10-9A01-A9FEB5D1BE46}"/>
    <hyperlink ref="AR127" r:id="rId334" xr:uid="{37B488F8-E235-4262-97EA-D9F56854C405}"/>
    <hyperlink ref="AR152" r:id="rId335" xr:uid="{8B90EDBE-A5A7-4117-9D6A-9A952D77251C}"/>
    <hyperlink ref="AR430" r:id="rId336" xr:uid="{8244B6D6-9899-475A-AB99-F4A61AB0F5BA}"/>
    <hyperlink ref="AR526" r:id="rId337" xr:uid="{BC91C1AB-5806-4291-BCFC-4417293621E7}"/>
    <hyperlink ref="AR467:AR468" r:id="rId338" display="simon120414@gmail.com" xr:uid="{9F4B347D-53F8-48D2-A787-617B86782304}"/>
    <hyperlink ref="AR413" r:id="rId339" display="fihl@pt.lu" xr:uid="{731D2A78-DA17-45E6-A7A2-A27BB76C9829}"/>
    <hyperlink ref="AR521" r:id="rId340" xr:uid="{BA579B6C-7D02-4E43-97FA-6D92576273AC}"/>
    <hyperlink ref="AR501" r:id="rId341" xr:uid="{7FC4A1AC-FBCD-4CA7-B9CD-7A99852D6A76}"/>
    <hyperlink ref="AR477:AR478" r:id="rId342" display="steenfamily1@outlook.com" xr:uid="{3BFCA20D-D9ED-484E-831F-EEAAD3EF27BD}"/>
    <hyperlink ref="AR4" r:id="rId343" xr:uid="{375DE7FB-1C15-4F00-80FE-0085AFA0BDF3}"/>
    <hyperlink ref="AR446" r:id="rId344" xr:uid="{3B238D09-0F70-421F-909C-5842184783E7}"/>
    <hyperlink ref="AR355" r:id="rId345" xr:uid="{2B9C4748-620C-4A01-9BFC-01E87F1B97E9}"/>
    <hyperlink ref="AR44" r:id="rId346" xr:uid="{0571ACEF-A49B-414D-97AD-05153E7ACC57}"/>
    <hyperlink ref="AR43" r:id="rId347" xr:uid="{F3832AFE-6C95-4EAE-9F1B-FBCB6DF2417D}"/>
    <hyperlink ref="AR290" r:id="rId348" xr:uid="{05874BD4-F6EE-4942-843B-4BA8EA0ECBD3}"/>
    <hyperlink ref="AR416" r:id="rId349" xr:uid="{CDA23B0E-E0C8-4249-98D8-ADCA9C0A57C0}"/>
    <hyperlink ref="AR210" r:id="rId350" xr:uid="{E5A0F152-F397-4192-9E3A-0B593FD719EF}"/>
    <hyperlink ref="AR532" r:id="rId351" xr:uid="{9B25E674-35C8-4231-BF7B-87378DE0EAAB}"/>
    <hyperlink ref="AR529" r:id="rId352" xr:uid="{D800D011-5CCD-4ED9-BDD1-AF5C4DE3BB9F}"/>
    <hyperlink ref="AR528" r:id="rId353" xr:uid="{A38EB9B0-888D-4307-B271-57183D8FE631}"/>
    <hyperlink ref="AR24" r:id="rId354" xr:uid="{00C46EFA-BC1F-472C-A060-54CEADFFA5EC}"/>
    <hyperlink ref="AR534" r:id="rId355" xr:uid="{4D0DE555-5B4D-4E63-8E4C-BC20AC7D85E6}"/>
    <hyperlink ref="AR533" r:id="rId356" xr:uid="{1CA31075-A718-4DAB-8C52-6B3671A91AD2}"/>
    <hyperlink ref="AR164" r:id="rId357" xr:uid="{522FA8AC-7C60-4AA5-8B81-60C3A22815A6}"/>
    <hyperlink ref="AR356" r:id="rId358" xr:uid="{77755526-51DD-4F69-B81B-217F8DA5099F}"/>
    <hyperlink ref="AR433" r:id="rId359" xr:uid="{7EB1FF1F-F536-48FC-8198-D0D6D4FA9F25}"/>
    <hyperlink ref="AR434" r:id="rId360" xr:uid="{37470642-6FB6-4ACA-A4F3-8C034426E94D}"/>
    <hyperlink ref="AR139" r:id="rId361" xr:uid="{A650A047-3D21-45CD-95DC-3ADF37FB8E8E}"/>
    <hyperlink ref="AR457" r:id="rId362" xr:uid="{1D42DD3A-985A-4522-996A-DB22DDDD4951}"/>
    <hyperlink ref="AR455" r:id="rId363" xr:uid="{A9ABF6E2-9EFB-49DA-AD2D-DDDCA3483C00}"/>
    <hyperlink ref="AR456" r:id="rId364" xr:uid="{DE224921-E19E-47D5-8060-12704A225823}"/>
    <hyperlink ref="AR293" r:id="rId365" xr:uid="{0E9B2B03-B109-4ED0-8804-267415B58237}"/>
    <hyperlink ref="AR294" r:id="rId366" xr:uid="{AFCB3ABF-51FB-4C79-A080-B33FF0DEB98A}"/>
    <hyperlink ref="AR330" r:id="rId367" xr:uid="{3259A95C-E2F3-4D05-88F2-E83816F64D9B}"/>
    <hyperlink ref="AR245" r:id="rId368" xr:uid="{37D46D6D-2E83-46D5-ABB9-BDA9F0C562C2}"/>
    <hyperlink ref="AR243" r:id="rId369" xr:uid="{E05DF329-DCB9-4020-85D6-805BADB59DDC}"/>
    <hyperlink ref="AR244" r:id="rId370" xr:uid="{C54CB016-4826-4008-B149-C1C9E24D0D80}"/>
    <hyperlink ref="AR366" r:id="rId371" xr:uid="{37AE960D-1365-483F-98C3-C40A691269B7}"/>
    <hyperlink ref="AR367" r:id="rId372" xr:uid="{960DA3DD-DA8C-4ED2-B687-04691C50B251}"/>
    <hyperlink ref="AR269" r:id="rId373" xr:uid="{4F06BB4F-13AA-449B-ADFB-AC9F90369D5C}"/>
    <hyperlink ref="AR310" r:id="rId374" xr:uid="{2CF6EE4F-6CD2-43B0-A600-1B0FC6684B2E}"/>
    <hyperlink ref="AR309" r:id="rId375" xr:uid="{5D21D9BA-AE3B-4FB0-B4BA-FAE3BFAA0D1D}"/>
    <hyperlink ref="AR436" r:id="rId376" xr:uid="{3F9E4B97-E3E8-47DB-81B6-6C23EC228FD2}"/>
    <hyperlink ref="AR512" r:id="rId377" xr:uid="{71DE9A2C-6FE9-4339-88F7-BDE58E69ED8C}"/>
    <hyperlink ref="AR511" r:id="rId378" xr:uid="{23EA7049-4B59-42C9-B876-8BC1E77C71BF}"/>
    <hyperlink ref="AR187" r:id="rId379" xr:uid="{237B4FE3-E171-449F-97C5-FAE194354C39}"/>
    <hyperlink ref="AR186" r:id="rId380" xr:uid="{1C5F20CA-96A3-415C-9F67-48227E1BAB1F}"/>
    <hyperlink ref="AR317" r:id="rId381" xr:uid="{7BD9FD4A-BD08-4283-B670-750F1B4C4111}"/>
    <hyperlink ref="AR316" r:id="rId382" xr:uid="{9C88B6F9-D44E-4225-AC55-6E7B1AB7C352}"/>
    <hyperlink ref="AR498" r:id="rId383" xr:uid="{6E7EA37F-A26D-4009-8459-0E81241691CE}"/>
    <hyperlink ref="AR537:AR538" r:id="rId384" display="guillaume.patrycja@gmail.com" xr:uid="{0154F511-B945-4293-BD4B-B7D34F22B38A}"/>
    <hyperlink ref="AR301" r:id="rId385" xr:uid="{97C23CE5-F626-4456-AA63-1D300675B623}"/>
    <hyperlink ref="AR343" r:id="rId386" xr:uid="{AEAF8A83-E06A-4D35-B2E4-8AE12EB0FA76}"/>
    <hyperlink ref="AR15" r:id="rId387" xr:uid="{56C7AA13-DA9C-4393-8CA0-73266407025C}"/>
    <hyperlink ref="AR203" r:id="rId388" display="mailto:xilaflash80@gmail.com" xr:uid="{EB7F1AF5-5C44-4D2C-8F2E-EE9BFFCE8CA5}"/>
    <hyperlink ref="AR397" r:id="rId389" display="mailto:xilaflash80@gmail.com" xr:uid="{CB678B9D-ACDE-40C6-8169-7635EA207CED}"/>
    <hyperlink ref="AR344" r:id="rId390" xr:uid="{DAE8E3E4-A713-4721-8038-8D4A3CAAE801}"/>
    <hyperlink ref="AR275" r:id="rId391" xr:uid="{3A00E944-5C13-49A0-83C9-AD6003AEF998}"/>
    <hyperlink ref="AR554:AR556" r:id="rId392" display="adrienjacquelin@gmail.com" xr:uid="{6118EADB-221F-45C2-A97E-8DA617C42220}"/>
    <hyperlink ref="AR291" r:id="rId393" xr:uid="{1665EE1B-CA65-4C11-AD5C-4B96C5FA3EAE}"/>
    <hyperlink ref="AR98" r:id="rId394" xr:uid="{430F8C3F-F79B-4F30-8C41-97FEBFAEE459}"/>
    <hyperlink ref="AR37" r:id="rId395" xr:uid="{27C7E9A5-BCEA-477A-859F-874C614472DB}"/>
    <hyperlink ref="AR559:AR560" r:id="rId396" display="r.lokin-beader@eif.org" xr:uid="{C074C099-9272-4EBD-BE75-09A40DF6CB1A}"/>
  </hyperlinks>
  <printOptions horizontalCentered="1" verticalCentered="1" gridLines="1"/>
  <pageMargins left="0" right="0" top="0.59055118110236227" bottom="0.39370078740157483" header="0" footer="0"/>
  <pageSetup paperSize="9" scale="55" fitToHeight="0" orientation="landscape" r:id="rId397"/>
  <headerFooter>
    <oddHeader>&amp;CMemberslescht Saison 2023 / 2024</oddHeader>
    <oddFooter>&amp;LFF0000Update vum 18-07-2026 GC 2026-07-18&amp;Rpage &amp;P of</oddFooter>
  </headerFooter>
  <legacyDrawing r:id="rId39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9F95-E81C-4253-AB21-308AA84C9140}">
  <sheetPr filterMode="1">
    <tabColor rgb="FFFFE697"/>
  </sheetPr>
  <dimension ref="A1:AS17193"/>
  <sheetViews>
    <sheetView workbookViewId="0">
      <pane xSplit="3" ySplit="1" topLeftCell="E7" activePane="bottomRight" state="frozen"/>
      <selection pane="topRight" activeCell="C1" sqref="C1"/>
      <selection pane="bottomLeft" activeCell="A2" sqref="A2"/>
      <selection pane="bottomRight" activeCell="B59" sqref="B59"/>
    </sheetView>
  </sheetViews>
  <sheetFormatPr baseColWidth="10" defaultColWidth="7.1640625" defaultRowHeight="15" customHeight="1" x14ac:dyDescent="0.15"/>
  <cols>
    <col min="1" max="1" width="4.5" style="388" bestFit="1" customWidth="1"/>
    <col min="2" max="2" width="27.6640625" style="348" customWidth="1"/>
    <col min="3" max="3" width="14.1640625" style="348" customWidth="1"/>
    <col min="4" max="4" width="4.6640625" style="494" hidden="1" customWidth="1"/>
    <col min="5" max="5" width="16.6640625" style="495" customWidth="1"/>
    <col min="6" max="6" width="10.6640625" style="391" hidden="1" customWidth="1"/>
    <col min="7" max="7" width="14.33203125" style="426" customWidth="1"/>
    <col min="8" max="8" width="9.6640625" style="388" hidden="1" customWidth="1"/>
    <col min="9" max="9" width="11.5" style="385" customWidth="1"/>
    <col min="10" max="10" width="17" style="385" customWidth="1"/>
    <col min="11" max="11" width="19.1640625" style="63" customWidth="1"/>
    <col min="12" max="12" width="18.33203125" style="39" bestFit="1" customWidth="1"/>
    <col min="13" max="13" width="34" bestFit="1" customWidth="1"/>
    <col min="14" max="14" width="15.5" style="236" customWidth="1"/>
    <col min="15" max="15" width="11.6640625" style="236" customWidth="1"/>
    <col min="16" max="16" width="11" style="39" customWidth="1"/>
    <col min="17" max="17" width="8.5" style="39" customWidth="1"/>
    <col min="18" max="18" width="7.1640625" style="388" customWidth="1"/>
    <col min="19" max="19" width="7.1640625" customWidth="1"/>
    <col min="20" max="20" width="10.1640625" customWidth="1"/>
    <col min="21" max="22" width="7.1640625" customWidth="1"/>
    <col min="23" max="24" width="7.1640625" style="60" customWidth="1"/>
    <col min="25" max="25" width="8.6640625" style="60" customWidth="1"/>
    <col min="26" max="26" width="7.5" style="60" customWidth="1"/>
    <col min="27" max="27" width="8.33203125" style="60" customWidth="1"/>
    <col min="28" max="28" width="9.5" style="60" customWidth="1"/>
    <col min="29" max="31" width="9.5" style="140" customWidth="1"/>
    <col min="32" max="32" width="7.1640625" style="233" customWidth="1"/>
    <col min="33" max="33" width="8.6640625" style="233" customWidth="1"/>
    <col min="34" max="34" width="9.1640625" style="233" customWidth="1"/>
    <col min="35" max="35" width="7.1640625" style="234" customWidth="1"/>
    <col min="36" max="36" width="7.1640625" customWidth="1"/>
    <col min="37" max="37" width="8.33203125" customWidth="1"/>
    <col min="38" max="39" width="8" customWidth="1"/>
    <col min="40" max="40" width="20.5" style="159" customWidth="1"/>
  </cols>
  <sheetData>
    <row r="1" spans="1:41" ht="70" x14ac:dyDescent="0.15">
      <c r="B1" s="698" t="s">
        <v>5407</v>
      </c>
      <c r="C1" s="2" t="s">
        <v>2751</v>
      </c>
      <c r="D1" s="484" t="s">
        <v>13</v>
      </c>
      <c r="E1" s="484" t="s">
        <v>5151</v>
      </c>
      <c r="F1" s="4" t="s">
        <v>3114</v>
      </c>
      <c r="G1" s="368" t="s">
        <v>59</v>
      </c>
      <c r="H1" s="6" t="s">
        <v>20</v>
      </c>
      <c r="I1" s="7" t="s">
        <v>67</v>
      </c>
      <c r="J1" s="6" t="s">
        <v>22</v>
      </c>
      <c r="K1" s="2" t="s">
        <v>24</v>
      </c>
      <c r="L1" s="4" t="s">
        <v>25</v>
      </c>
      <c r="M1" s="4" t="s">
        <v>26</v>
      </c>
      <c r="N1" s="175" t="s">
        <v>2712</v>
      </c>
      <c r="O1" s="175" t="s">
        <v>3973</v>
      </c>
      <c r="P1" s="2" t="s">
        <v>69</v>
      </c>
      <c r="Q1" s="2" t="s">
        <v>70</v>
      </c>
      <c r="R1" s="2" t="s">
        <v>71</v>
      </c>
      <c r="S1" s="2" t="s">
        <v>72</v>
      </c>
      <c r="T1" s="2" t="s">
        <v>5000</v>
      </c>
      <c r="U1" s="6" t="s">
        <v>2785</v>
      </c>
      <c r="V1" s="6" t="s">
        <v>3909</v>
      </c>
      <c r="W1" s="57" t="s">
        <v>2786</v>
      </c>
      <c r="X1" s="58" t="s">
        <v>2787</v>
      </c>
      <c r="Y1" s="57" t="s">
        <v>2788</v>
      </c>
      <c r="Z1" s="227" t="s">
        <v>2789</v>
      </c>
      <c r="AA1" s="58" t="s">
        <v>2790</v>
      </c>
      <c r="AB1" s="58" t="s">
        <v>2791</v>
      </c>
      <c r="AC1" s="136" t="s">
        <v>3459</v>
      </c>
      <c r="AD1" s="137" t="s">
        <v>3460</v>
      </c>
      <c r="AE1" s="137" t="s">
        <v>3461</v>
      </c>
      <c r="AF1" s="228" t="s">
        <v>3911</v>
      </c>
      <c r="AG1" s="228" t="s">
        <v>3912</v>
      </c>
      <c r="AH1" s="228" t="s">
        <v>3913</v>
      </c>
      <c r="AI1" s="228" t="s">
        <v>3910</v>
      </c>
      <c r="AJ1" s="6" t="s">
        <v>86</v>
      </c>
      <c r="AK1" s="4" t="s">
        <v>87</v>
      </c>
      <c r="AL1" s="4" t="s">
        <v>88</v>
      </c>
      <c r="AM1" s="4" t="s">
        <v>3914</v>
      </c>
      <c r="AN1" s="102" t="s">
        <v>3915</v>
      </c>
    </row>
    <row r="2" spans="1:41" ht="13.5" hidden="1" customHeight="1" x14ac:dyDescent="0.15">
      <c r="A2"/>
      <c r="B2" s="48" t="s">
        <v>4208</v>
      </c>
      <c r="C2" s="9" t="s">
        <v>2042</v>
      </c>
      <c r="D2" s="485">
        <v>18</v>
      </c>
      <c r="E2" s="486" t="str">
        <f t="shared" ref="E2:E31" si="0">VLOOKUP(D2,CAT_JOUEUR,2,FALSE)</f>
        <v>U 9 Dames</v>
      </c>
      <c r="F2" s="12" t="s">
        <v>4262</v>
      </c>
      <c r="G2" s="369"/>
      <c r="H2" s="615">
        <v>2025</v>
      </c>
      <c r="I2" s="18">
        <v>43239</v>
      </c>
      <c r="J2" s="19" t="s">
        <v>4214</v>
      </c>
      <c r="K2" s="40" t="s">
        <v>4215</v>
      </c>
      <c r="L2" s="20" t="s">
        <v>4216</v>
      </c>
      <c r="M2" s="47" t="s">
        <v>4217</v>
      </c>
      <c r="N2" s="62"/>
      <c r="O2" s="62"/>
      <c r="P2" s="11"/>
      <c r="Q2" s="10"/>
      <c r="R2" s="11"/>
      <c r="S2" s="11"/>
      <c r="T2" s="11"/>
      <c r="U2" s="11"/>
      <c r="V2" s="11"/>
      <c r="W2" s="59"/>
      <c r="X2" s="59"/>
      <c r="Y2" s="59"/>
      <c r="Z2" s="59"/>
      <c r="AA2" s="59"/>
      <c r="AB2" s="59"/>
      <c r="AC2" s="138"/>
      <c r="AD2" s="138"/>
      <c r="AE2" s="138"/>
      <c r="AF2" s="231"/>
      <c r="AG2" s="231"/>
      <c r="AH2" s="231"/>
      <c r="AI2" s="232"/>
      <c r="AJ2" s="19"/>
      <c r="AK2" s="23"/>
      <c r="AL2" s="23"/>
      <c r="AM2" s="23"/>
      <c r="AN2" s="43"/>
    </row>
    <row r="3" spans="1:41" s="150" customFormat="1" ht="13.5" hidden="1" customHeight="1" x14ac:dyDescent="0.15">
      <c r="B3" s="48" t="s">
        <v>4962</v>
      </c>
      <c r="C3" s="9" t="s">
        <v>4961</v>
      </c>
      <c r="D3" s="485">
        <v>2</v>
      </c>
      <c r="E3" s="486" t="str">
        <f t="shared" si="0"/>
        <v>Seniors - Hommes</v>
      </c>
      <c r="F3" s="12" t="s">
        <v>4976</v>
      </c>
      <c r="G3" s="369"/>
      <c r="H3" s="13">
        <v>2031</v>
      </c>
      <c r="I3" s="18">
        <v>37168</v>
      </c>
      <c r="J3" s="46" t="s">
        <v>4965</v>
      </c>
      <c r="K3" s="40"/>
      <c r="L3" s="20">
        <v>351969049144</v>
      </c>
      <c r="M3" s="47" t="s">
        <v>4966</v>
      </c>
      <c r="N3" s="62"/>
      <c r="O3" s="62"/>
      <c r="P3" s="11"/>
      <c r="Q3" s="10"/>
      <c r="R3" s="11"/>
      <c r="S3" s="11"/>
      <c r="T3" s="11"/>
      <c r="U3" s="11"/>
      <c r="V3" s="11"/>
      <c r="W3" s="59"/>
      <c r="X3" s="59"/>
      <c r="Y3" s="59"/>
      <c r="Z3" s="59"/>
      <c r="AA3" s="59"/>
      <c r="AB3" s="59"/>
      <c r="AC3" s="138"/>
      <c r="AD3" s="138"/>
      <c r="AE3" s="138"/>
      <c r="AF3" s="231"/>
      <c r="AG3" s="231"/>
      <c r="AH3" s="231"/>
      <c r="AI3" s="232"/>
      <c r="AJ3" s="19"/>
      <c r="AK3" s="23"/>
      <c r="AL3" s="23"/>
      <c r="AM3" s="23"/>
      <c r="AN3" s="43"/>
      <c r="AO3"/>
    </row>
    <row r="4" spans="1:41" ht="13.5" hidden="1" customHeight="1" x14ac:dyDescent="0.15">
      <c r="A4"/>
      <c r="B4" s="48" t="s">
        <v>5062</v>
      </c>
      <c r="C4" s="9" t="s">
        <v>5063</v>
      </c>
      <c r="D4" s="485">
        <v>21</v>
      </c>
      <c r="E4" s="486" t="str">
        <f t="shared" si="0"/>
        <v>U7 Mixte</v>
      </c>
      <c r="F4" s="217" t="s">
        <v>2805</v>
      </c>
      <c r="G4" s="369"/>
      <c r="H4" s="13">
        <v>2027</v>
      </c>
      <c r="I4" s="18">
        <v>44078</v>
      </c>
      <c r="J4" s="5" t="s">
        <v>5069</v>
      </c>
      <c r="K4" s="53"/>
      <c r="L4" s="10" t="s">
        <v>5070</v>
      </c>
      <c r="M4" s="68" t="s">
        <v>5071</v>
      </c>
      <c r="N4" s="62"/>
      <c r="O4" s="62"/>
      <c r="P4" s="10"/>
      <c r="Q4" s="10"/>
      <c r="R4" s="13"/>
      <c r="S4" s="11"/>
      <c r="T4" s="11"/>
      <c r="U4" s="11"/>
      <c r="V4" s="11"/>
      <c r="W4" s="59"/>
      <c r="X4" s="59"/>
      <c r="Y4" s="59"/>
      <c r="Z4" s="59"/>
      <c r="AA4" s="59"/>
      <c r="AB4" s="59"/>
      <c r="AC4" s="138"/>
      <c r="AD4" s="138"/>
      <c r="AE4" s="138"/>
      <c r="AF4" s="231"/>
      <c r="AG4" s="231"/>
      <c r="AH4" s="231"/>
      <c r="AI4" s="232"/>
      <c r="AJ4" s="11"/>
      <c r="AK4" s="11"/>
      <c r="AL4" s="11"/>
      <c r="AM4" s="11"/>
      <c r="AN4" s="394"/>
    </row>
    <row r="5" spans="1:41" s="150" customFormat="1" ht="13.5" hidden="1" customHeight="1" x14ac:dyDescent="0.15">
      <c r="B5" s="48" t="s">
        <v>399</v>
      </c>
      <c r="C5" s="9" t="s">
        <v>453</v>
      </c>
      <c r="D5" s="487">
        <v>2</v>
      </c>
      <c r="E5" s="488" t="str">
        <f t="shared" si="0"/>
        <v>Seniors - Hommes</v>
      </c>
      <c r="F5" s="61" t="s">
        <v>2922</v>
      </c>
      <c r="G5" s="386"/>
      <c r="H5" s="71">
        <v>2031</v>
      </c>
      <c r="I5" s="114">
        <v>37023</v>
      </c>
      <c r="J5" s="115" t="s">
        <v>461</v>
      </c>
      <c r="K5" s="112" t="s">
        <v>413</v>
      </c>
      <c r="L5" s="116" t="s">
        <v>462</v>
      </c>
      <c r="M5" s="396" t="s">
        <v>463</v>
      </c>
      <c r="N5" s="62"/>
      <c r="O5" s="62"/>
      <c r="P5" s="10"/>
      <c r="Q5" s="10"/>
      <c r="R5" s="13"/>
      <c r="S5" s="11"/>
      <c r="T5" s="11"/>
      <c r="U5" s="11"/>
      <c r="V5" s="11"/>
      <c r="W5" s="59"/>
      <c r="X5" s="59"/>
      <c r="Y5" s="59"/>
      <c r="Z5" s="59"/>
      <c r="AA5" s="59"/>
      <c r="AB5" s="59"/>
      <c r="AC5" s="138"/>
      <c r="AD5" s="138"/>
      <c r="AE5" s="138"/>
      <c r="AF5" s="231"/>
      <c r="AG5" s="231"/>
      <c r="AH5" s="231"/>
      <c r="AI5" s="232"/>
      <c r="AJ5" s="11"/>
      <c r="AK5" s="11"/>
      <c r="AL5" s="11"/>
      <c r="AM5" s="11"/>
      <c r="AN5" s="394"/>
    </row>
    <row r="6" spans="1:41" s="150" customFormat="1" ht="13.5" hidden="1" customHeight="1" x14ac:dyDescent="0.15">
      <c r="B6" s="48" t="s">
        <v>399</v>
      </c>
      <c r="C6" s="9" t="s">
        <v>467</v>
      </c>
      <c r="D6" s="485">
        <v>3</v>
      </c>
      <c r="E6" s="486" t="str">
        <f t="shared" si="0"/>
        <v>U 21 Hommes</v>
      </c>
      <c r="F6" s="12" t="s">
        <v>2923</v>
      </c>
      <c r="G6" s="369"/>
      <c r="H6" s="13">
        <v>2035</v>
      </c>
      <c r="I6" s="18">
        <v>38476</v>
      </c>
      <c r="J6" s="19" t="s">
        <v>472</v>
      </c>
      <c r="K6" s="40"/>
      <c r="L6" s="20" t="s">
        <v>3510</v>
      </c>
      <c r="M6" s="395" t="s">
        <v>5101</v>
      </c>
      <c r="N6" s="62"/>
      <c r="O6" s="62"/>
      <c r="P6" s="11"/>
      <c r="Q6" s="10"/>
      <c r="R6" s="11"/>
      <c r="S6" s="11"/>
      <c r="T6" s="11"/>
      <c r="U6" s="11"/>
      <c r="V6" s="11"/>
      <c r="W6" s="59"/>
      <c r="X6" s="59"/>
      <c r="Y6" s="59"/>
      <c r="Z6" s="59"/>
      <c r="AA6" s="59"/>
      <c r="AB6" s="59"/>
      <c r="AC6" s="138"/>
      <c r="AD6" s="138"/>
      <c r="AE6" s="138"/>
      <c r="AF6" s="231"/>
      <c r="AG6" s="231"/>
      <c r="AH6" s="231"/>
      <c r="AI6" s="232"/>
      <c r="AJ6" s="19"/>
      <c r="AK6" s="23"/>
      <c r="AL6" s="23"/>
      <c r="AM6" s="23"/>
      <c r="AN6" s="43"/>
      <c r="AO6"/>
    </row>
    <row r="7" spans="1:41" ht="13.5" customHeight="1" x14ac:dyDescent="0.15">
      <c r="A7" s="699"/>
      <c r="B7" s="48" t="s">
        <v>4967</v>
      </c>
      <c r="C7" s="9" t="s">
        <v>4968</v>
      </c>
      <c r="D7" s="485">
        <v>6</v>
      </c>
      <c r="E7" s="486" t="str">
        <f t="shared" si="0"/>
        <v>U 13 Hommes</v>
      </c>
      <c r="F7" s="12" t="s">
        <v>5053</v>
      </c>
      <c r="G7" s="369"/>
      <c r="H7" s="13">
        <v>2026</v>
      </c>
      <c r="I7" s="18">
        <v>41863</v>
      </c>
      <c r="J7" s="19" t="s">
        <v>4971</v>
      </c>
      <c r="K7" s="40" t="s">
        <v>4972</v>
      </c>
      <c r="L7" s="10" t="s">
        <v>4973</v>
      </c>
      <c r="M7" s="47" t="s">
        <v>4974</v>
      </c>
      <c r="N7" s="62"/>
      <c r="O7" s="62"/>
      <c r="P7" s="11"/>
      <c r="Q7" s="10"/>
      <c r="R7" s="11"/>
      <c r="S7" s="11"/>
      <c r="T7" s="11"/>
      <c r="U7" s="11"/>
      <c r="V7" s="11"/>
      <c r="W7" s="59"/>
      <c r="X7" s="59"/>
      <c r="Y7" s="59"/>
      <c r="Z7" s="59"/>
      <c r="AA7" s="59"/>
      <c r="AB7" s="59"/>
      <c r="AC7" s="138"/>
      <c r="AD7" s="138"/>
      <c r="AE7" s="138"/>
      <c r="AF7" s="231"/>
      <c r="AG7" s="231"/>
      <c r="AH7" s="231"/>
      <c r="AI7" s="232"/>
      <c r="AJ7" s="19"/>
      <c r="AK7" s="23"/>
      <c r="AL7" s="23"/>
      <c r="AM7" s="23"/>
      <c r="AN7" s="43"/>
      <c r="AO7" s="150"/>
    </row>
    <row r="8" spans="1:41" ht="13.5" hidden="1" customHeight="1" x14ac:dyDescent="0.15">
      <c r="A8"/>
      <c r="B8" s="48" t="s">
        <v>4535</v>
      </c>
      <c r="C8" s="9" t="s">
        <v>4379</v>
      </c>
      <c r="D8" s="485">
        <v>17</v>
      </c>
      <c r="E8" s="486" t="str">
        <f t="shared" si="0"/>
        <v>U 11 Dames</v>
      </c>
      <c r="F8" s="12" t="s">
        <v>4558</v>
      </c>
      <c r="G8" s="369"/>
      <c r="H8" s="13">
        <v>2027</v>
      </c>
      <c r="I8" s="18">
        <v>42282</v>
      </c>
      <c r="J8" s="19" t="s">
        <v>4547</v>
      </c>
      <c r="K8" s="40"/>
      <c r="L8" s="20">
        <v>621371615</v>
      </c>
      <c r="M8" s="47" t="s">
        <v>4539</v>
      </c>
      <c r="N8" s="62"/>
      <c r="O8" s="62"/>
      <c r="P8" s="11"/>
      <c r="Q8" s="10"/>
      <c r="R8" s="11"/>
      <c r="S8" s="11"/>
      <c r="T8" s="11"/>
      <c r="U8" s="11"/>
      <c r="V8" s="11"/>
      <c r="W8" s="59"/>
      <c r="X8" s="59"/>
      <c r="Y8" s="59"/>
      <c r="Z8" s="59"/>
      <c r="AA8" s="59"/>
      <c r="AB8" s="59"/>
      <c r="AC8" s="138"/>
      <c r="AD8" s="138"/>
      <c r="AE8" s="138"/>
      <c r="AF8" s="231"/>
      <c r="AG8" s="231"/>
      <c r="AH8" s="231"/>
      <c r="AI8" s="232"/>
      <c r="AJ8" s="19"/>
      <c r="AK8" s="23"/>
      <c r="AL8" s="23"/>
      <c r="AM8" s="23"/>
      <c r="AN8" s="43"/>
      <c r="AO8" s="150"/>
    </row>
    <row r="9" spans="1:41" s="150" customFormat="1" ht="13.5" hidden="1" customHeight="1" x14ac:dyDescent="0.15">
      <c r="B9" s="48" t="s">
        <v>4535</v>
      </c>
      <c r="C9" s="9" t="s">
        <v>4536</v>
      </c>
      <c r="D9" s="485">
        <v>8</v>
      </c>
      <c r="E9" s="486" t="str">
        <f t="shared" si="0"/>
        <v xml:space="preserve">U 9 Hommes </v>
      </c>
      <c r="F9" s="12" t="s">
        <v>4600</v>
      </c>
      <c r="G9" s="369"/>
      <c r="H9" s="36">
        <v>2024</v>
      </c>
      <c r="I9" s="18">
        <v>42851</v>
      </c>
      <c r="J9" s="19" t="s">
        <v>4548</v>
      </c>
      <c r="K9" s="40"/>
      <c r="L9" s="20">
        <v>621371615</v>
      </c>
      <c r="M9" s="47" t="s">
        <v>4539</v>
      </c>
      <c r="N9" s="62"/>
      <c r="O9" s="62"/>
      <c r="P9" s="11"/>
      <c r="Q9" s="10"/>
      <c r="R9" s="11"/>
      <c r="S9" s="11"/>
      <c r="T9" s="11"/>
      <c r="U9" s="11"/>
      <c r="V9" s="11"/>
      <c r="W9" s="59"/>
      <c r="X9" s="59"/>
      <c r="Y9" s="59"/>
      <c r="Z9" s="59"/>
      <c r="AA9" s="59"/>
      <c r="AB9" s="59"/>
      <c r="AC9" s="138"/>
      <c r="AD9" s="138"/>
      <c r="AE9" s="138"/>
      <c r="AF9" s="231"/>
      <c r="AG9" s="231"/>
      <c r="AH9" s="231"/>
      <c r="AI9" s="232"/>
      <c r="AJ9" s="19"/>
      <c r="AK9" s="23"/>
      <c r="AL9" s="23"/>
      <c r="AM9" s="23"/>
      <c r="AN9" s="43"/>
      <c r="AO9"/>
    </row>
    <row r="10" spans="1:41" s="150" customFormat="1" ht="13.5" customHeight="1" x14ac:dyDescent="0.15">
      <c r="A10" s="699"/>
      <c r="B10" s="48" t="s">
        <v>5178</v>
      </c>
      <c r="C10" s="9" t="s">
        <v>1664</v>
      </c>
      <c r="D10" s="485">
        <v>15</v>
      </c>
      <c r="E10" s="486" t="str">
        <f t="shared" si="0"/>
        <v>U 13 Dames</v>
      </c>
      <c r="F10" s="12" t="s">
        <v>5283</v>
      </c>
      <c r="G10" s="386"/>
      <c r="H10" s="13">
        <v>2026</v>
      </c>
      <c r="I10" s="18">
        <v>41848</v>
      </c>
      <c r="J10" s="5" t="s">
        <v>5183</v>
      </c>
      <c r="K10" s="53" t="s">
        <v>252</v>
      </c>
      <c r="L10" s="20">
        <v>691736062</v>
      </c>
      <c r="M10" s="68" t="s">
        <v>5184</v>
      </c>
      <c r="N10" s="62"/>
      <c r="O10" s="62"/>
      <c r="P10" s="10"/>
      <c r="Q10" s="10"/>
      <c r="R10" s="13"/>
      <c r="S10" s="11"/>
      <c r="T10" s="11"/>
      <c r="U10" s="11"/>
      <c r="V10" s="11"/>
      <c r="W10" s="59"/>
      <c r="X10" s="59"/>
      <c r="Y10" s="59"/>
      <c r="Z10" s="59"/>
      <c r="AA10" s="59"/>
      <c r="AB10" s="59"/>
      <c r="AC10" s="138"/>
      <c r="AD10" s="138"/>
      <c r="AE10" s="138"/>
      <c r="AF10" s="231"/>
      <c r="AG10" s="231"/>
      <c r="AH10" s="231"/>
      <c r="AI10" s="232"/>
      <c r="AJ10" s="11"/>
      <c r="AK10" s="11"/>
      <c r="AL10" s="11"/>
      <c r="AM10" s="11"/>
      <c r="AN10" s="394"/>
      <c r="AO10"/>
    </row>
    <row r="11" spans="1:41" s="150" customFormat="1" ht="13.5" hidden="1" customHeight="1" x14ac:dyDescent="0.15">
      <c r="B11" s="48" t="s">
        <v>5178</v>
      </c>
      <c r="C11" s="9" t="s">
        <v>5408</v>
      </c>
      <c r="D11" s="485">
        <v>17</v>
      </c>
      <c r="E11" s="486" t="str">
        <f t="shared" si="0"/>
        <v>U 11 Dames</v>
      </c>
      <c r="F11" s="12" t="s">
        <v>5409</v>
      </c>
      <c r="G11" s="386" t="s">
        <v>5376</v>
      </c>
      <c r="H11" s="13">
        <v>2028</v>
      </c>
      <c r="I11" s="18">
        <v>42692</v>
      </c>
      <c r="J11" s="5" t="s">
        <v>5377</v>
      </c>
      <c r="K11" s="53"/>
      <c r="L11" s="20">
        <v>691736062</v>
      </c>
      <c r="M11" s="68" t="s">
        <v>5184</v>
      </c>
      <c r="N11" s="62"/>
      <c r="O11" s="62"/>
      <c r="P11" s="10"/>
      <c r="Q11" s="10"/>
      <c r="R11" s="13"/>
      <c r="S11" s="11"/>
      <c r="T11" s="11"/>
      <c r="U11" s="11"/>
      <c r="V11" s="11"/>
      <c r="W11" s="59"/>
      <c r="X11" s="59"/>
      <c r="Y11" s="59"/>
      <c r="Z11" s="59"/>
      <c r="AA11" s="59"/>
      <c r="AB11" s="59"/>
      <c r="AC11" s="138"/>
      <c r="AD11" s="138"/>
      <c r="AE11" s="138"/>
      <c r="AF11" s="231"/>
      <c r="AG11" s="231"/>
      <c r="AH11" s="231"/>
      <c r="AI11" s="232"/>
      <c r="AJ11" s="11"/>
      <c r="AK11" s="11"/>
      <c r="AL11" s="11"/>
      <c r="AM11" s="11"/>
      <c r="AN11" s="394"/>
      <c r="AO11"/>
    </row>
    <row r="12" spans="1:41" s="150" customFormat="1" ht="13.5" hidden="1" customHeight="1" x14ac:dyDescent="0.15">
      <c r="B12" s="48" t="s">
        <v>4403</v>
      </c>
      <c r="C12" s="9" t="s">
        <v>4404</v>
      </c>
      <c r="D12" s="485">
        <v>2</v>
      </c>
      <c r="E12" s="486" t="str">
        <f t="shared" si="0"/>
        <v>Seniors - Hommes</v>
      </c>
      <c r="F12" s="12" t="s">
        <v>4474</v>
      </c>
      <c r="G12" s="369"/>
      <c r="H12" s="13">
        <v>2027</v>
      </c>
      <c r="I12" s="18">
        <v>35534</v>
      </c>
      <c r="J12" s="19" t="s">
        <v>4405</v>
      </c>
      <c r="K12" s="40"/>
      <c r="L12" s="20">
        <v>691564903</v>
      </c>
      <c r="M12" s="47" t="s">
        <v>4406</v>
      </c>
      <c r="N12" s="62"/>
      <c r="O12" s="62"/>
      <c r="P12" s="11"/>
      <c r="Q12" s="10"/>
      <c r="R12" s="11"/>
      <c r="S12" s="11"/>
      <c r="T12" s="11"/>
      <c r="U12" s="11"/>
      <c r="V12" s="11"/>
      <c r="W12" s="59"/>
      <c r="X12" s="59"/>
      <c r="Y12" s="59"/>
      <c r="Z12" s="59"/>
      <c r="AA12" s="59"/>
      <c r="AB12" s="59"/>
      <c r="AC12" s="138"/>
      <c r="AD12" s="138"/>
      <c r="AE12" s="138"/>
      <c r="AF12" s="231"/>
      <c r="AG12" s="231"/>
      <c r="AH12" s="231"/>
      <c r="AI12" s="232"/>
      <c r="AJ12" s="19"/>
      <c r="AK12" s="23"/>
      <c r="AL12" s="23"/>
      <c r="AM12" s="23"/>
      <c r="AN12" s="43"/>
      <c r="AO12"/>
    </row>
    <row r="13" spans="1:41" ht="13.5" hidden="1" customHeight="1" x14ac:dyDescent="0.15">
      <c r="A13"/>
      <c r="B13" s="48" t="s">
        <v>4439</v>
      </c>
      <c r="C13" s="9" t="s">
        <v>4440</v>
      </c>
      <c r="D13" s="485">
        <v>21</v>
      </c>
      <c r="E13" s="486" t="str">
        <f t="shared" si="0"/>
        <v>U7 Mixte</v>
      </c>
      <c r="F13" s="12" t="s">
        <v>4499</v>
      </c>
      <c r="G13" s="369"/>
      <c r="H13" s="13">
        <v>2027</v>
      </c>
      <c r="I13" s="18">
        <v>44181</v>
      </c>
      <c r="J13" s="19" t="s">
        <v>4449</v>
      </c>
      <c r="K13" s="40" t="s">
        <v>4452</v>
      </c>
      <c r="L13" s="10" t="s">
        <v>4453</v>
      </c>
      <c r="M13" s="47" t="s">
        <v>4578</v>
      </c>
      <c r="N13" s="62"/>
      <c r="O13" s="62"/>
      <c r="P13" s="11"/>
      <c r="Q13" s="10"/>
      <c r="R13" s="11"/>
      <c r="S13" s="11"/>
      <c r="T13" s="11"/>
      <c r="U13" s="11"/>
      <c r="V13" s="11"/>
      <c r="W13" s="59"/>
      <c r="X13" s="59"/>
      <c r="Y13" s="59"/>
      <c r="Z13" s="59"/>
      <c r="AA13" s="59"/>
      <c r="AB13" s="59"/>
      <c r="AC13" s="138"/>
      <c r="AD13" s="138"/>
      <c r="AE13" s="138"/>
      <c r="AF13" s="231"/>
      <c r="AG13" s="231"/>
      <c r="AH13" s="231"/>
      <c r="AI13" s="232"/>
      <c r="AJ13" s="19"/>
      <c r="AK13" s="23"/>
      <c r="AL13" s="23"/>
      <c r="AM13" s="23"/>
      <c r="AN13" s="43"/>
      <c r="AO13" s="150"/>
    </row>
    <row r="14" spans="1:41" ht="13.5" hidden="1" customHeight="1" x14ac:dyDescent="0.15">
      <c r="A14"/>
      <c r="B14" s="48" t="s">
        <v>614</v>
      </c>
      <c r="C14" s="9" t="s">
        <v>615</v>
      </c>
      <c r="D14" s="485">
        <v>12</v>
      </c>
      <c r="E14" s="486" t="str">
        <f t="shared" si="0"/>
        <v>Dames</v>
      </c>
      <c r="F14" s="12" t="s">
        <v>2925</v>
      </c>
      <c r="G14" s="373"/>
      <c r="H14" s="13">
        <v>2033</v>
      </c>
      <c r="I14" s="18">
        <v>34086</v>
      </c>
      <c r="J14" s="19" t="s">
        <v>630</v>
      </c>
      <c r="K14" s="40"/>
      <c r="L14" s="10" t="s">
        <v>631</v>
      </c>
      <c r="M14" s="21" t="s">
        <v>633</v>
      </c>
      <c r="N14" s="62"/>
      <c r="O14" s="62"/>
      <c r="P14" s="11"/>
      <c r="Q14" s="10"/>
      <c r="R14" s="11"/>
      <c r="S14" s="11"/>
      <c r="T14" s="11"/>
      <c r="U14" s="11" t="s">
        <v>2792</v>
      </c>
      <c r="V14" s="11"/>
      <c r="W14" s="59" t="s">
        <v>2813</v>
      </c>
      <c r="X14" s="59" t="s">
        <v>3151</v>
      </c>
      <c r="Y14" s="59"/>
      <c r="Z14" s="59"/>
      <c r="AA14" s="59"/>
      <c r="AB14" s="59"/>
      <c r="AC14" s="138"/>
      <c r="AD14" s="138"/>
      <c r="AE14" s="138"/>
      <c r="AF14" s="231"/>
      <c r="AG14" s="231"/>
      <c r="AH14" s="231"/>
      <c r="AI14" s="232"/>
      <c r="AJ14" s="19"/>
      <c r="AK14" s="23"/>
      <c r="AL14" s="23"/>
      <c r="AM14" s="23"/>
      <c r="AN14" s="43"/>
      <c r="AO14" s="150"/>
    </row>
    <row r="15" spans="1:41" ht="13.5" hidden="1" customHeight="1" x14ac:dyDescent="0.15">
      <c r="A15"/>
      <c r="B15" s="48" t="s">
        <v>4108</v>
      </c>
      <c r="C15" s="9" t="s">
        <v>4109</v>
      </c>
      <c r="D15" s="485">
        <v>14</v>
      </c>
      <c r="E15" s="486" t="str">
        <f t="shared" si="0"/>
        <v>U 17 Dames</v>
      </c>
      <c r="F15" s="12" t="s">
        <v>4255</v>
      </c>
      <c r="G15" s="369"/>
      <c r="H15" s="36">
        <v>2024</v>
      </c>
      <c r="I15" s="18">
        <v>39990</v>
      </c>
      <c r="J15" s="19" t="s">
        <v>4113</v>
      </c>
      <c r="K15" s="64" t="s">
        <v>4151</v>
      </c>
      <c r="L15" s="64" t="s">
        <v>4152</v>
      </c>
      <c r="M15" s="47" t="s">
        <v>4115</v>
      </c>
      <c r="N15" s="62"/>
      <c r="O15" s="62"/>
      <c r="P15" s="11"/>
      <c r="Q15" s="10"/>
      <c r="R15" s="11"/>
      <c r="S15" s="11"/>
      <c r="T15" s="11"/>
      <c r="U15" s="11"/>
      <c r="V15" s="11"/>
      <c r="W15" s="59"/>
      <c r="X15" s="59"/>
      <c r="Y15" s="59"/>
      <c r="Z15" s="59"/>
      <c r="AA15" s="59"/>
      <c r="AB15" s="59"/>
      <c r="AC15" s="138"/>
      <c r="AD15" s="138"/>
      <c r="AE15" s="138"/>
      <c r="AF15" s="231"/>
      <c r="AG15" s="231"/>
      <c r="AH15" s="231"/>
      <c r="AI15" s="232"/>
      <c r="AJ15" s="19"/>
      <c r="AK15" s="23"/>
      <c r="AL15" s="23"/>
      <c r="AM15" s="23"/>
      <c r="AN15" s="43"/>
      <c r="AO15" s="150"/>
    </row>
    <row r="16" spans="1:41" ht="13.5" hidden="1" customHeight="1" x14ac:dyDescent="0.15">
      <c r="A16"/>
      <c r="B16" s="48" t="s">
        <v>4455</v>
      </c>
      <c r="C16" s="9" t="s">
        <v>4456</v>
      </c>
      <c r="D16" s="485">
        <v>8</v>
      </c>
      <c r="E16" s="486" t="str">
        <f t="shared" si="0"/>
        <v xml:space="preserve">U 9 Hommes </v>
      </c>
      <c r="F16" s="12" t="s">
        <v>4531</v>
      </c>
      <c r="G16" s="369"/>
      <c r="H16" s="13">
        <v>2027</v>
      </c>
      <c r="I16" s="18">
        <v>43933</v>
      </c>
      <c r="J16" s="19" t="s">
        <v>4460</v>
      </c>
      <c r="K16" s="40" t="s">
        <v>4463</v>
      </c>
      <c r="L16" s="10" t="s">
        <v>4464</v>
      </c>
      <c r="M16" s="47" t="s">
        <v>4465</v>
      </c>
      <c r="N16" s="62"/>
      <c r="O16" s="62"/>
      <c r="P16" s="11"/>
      <c r="Q16" s="10"/>
      <c r="R16" s="11"/>
      <c r="S16" s="11"/>
      <c r="T16" s="11"/>
      <c r="U16" s="11"/>
      <c r="V16" s="11"/>
      <c r="W16" s="59"/>
      <c r="X16" s="59"/>
      <c r="Y16" s="59"/>
      <c r="Z16" s="59"/>
      <c r="AA16" s="59"/>
      <c r="AB16" s="59"/>
      <c r="AC16" s="138"/>
      <c r="AD16" s="138"/>
      <c r="AE16" s="138"/>
      <c r="AF16" s="231"/>
      <c r="AG16" s="231"/>
      <c r="AH16" s="231"/>
      <c r="AI16" s="232"/>
      <c r="AJ16" s="19"/>
      <c r="AK16" s="23"/>
      <c r="AL16" s="23"/>
      <c r="AM16" s="23"/>
      <c r="AN16" s="43"/>
    </row>
    <row r="17" spans="1:41" ht="13.5" hidden="1" customHeight="1" x14ac:dyDescent="0.15">
      <c r="A17"/>
      <c r="B17" s="48" t="s">
        <v>5167</v>
      </c>
      <c r="C17" s="9" t="s">
        <v>5168</v>
      </c>
      <c r="D17" s="485">
        <v>18</v>
      </c>
      <c r="E17" s="486" t="str">
        <f t="shared" si="0"/>
        <v>U 9 Dames</v>
      </c>
      <c r="F17" s="12" t="s">
        <v>5279</v>
      </c>
      <c r="G17" s="386" t="s">
        <v>5173</v>
      </c>
      <c r="H17" s="13">
        <v>2029</v>
      </c>
      <c r="I17" s="18">
        <v>42884</v>
      </c>
      <c r="J17" s="5" t="s">
        <v>5174</v>
      </c>
      <c r="K17" s="53" t="s">
        <v>5175</v>
      </c>
      <c r="L17" s="10" t="s">
        <v>5176</v>
      </c>
      <c r="M17" s="68" t="s">
        <v>5177</v>
      </c>
      <c r="N17" s="62"/>
      <c r="O17" s="62"/>
      <c r="P17" s="10"/>
      <c r="Q17" s="10"/>
      <c r="R17" s="13"/>
      <c r="S17" s="11"/>
      <c r="T17" s="11"/>
      <c r="U17" s="11"/>
      <c r="V17" s="11"/>
      <c r="W17" s="59"/>
      <c r="X17" s="59"/>
      <c r="Y17" s="59"/>
      <c r="Z17" s="59"/>
      <c r="AA17" s="59"/>
      <c r="AB17" s="59"/>
      <c r="AC17" s="138"/>
      <c r="AD17" s="138"/>
      <c r="AE17" s="138"/>
      <c r="AF17" s="231"/>
      <c r="AG17" s="231"/>
      <c r="AH17" s="231"/>
      <c r="AI17" s="232"/>
      <c r="AJ17" s="11"/>
      <c r="AK17" s="11"/>
      <c r="AL17" s="11"/>
      <c r="AM17" s="11"/>
      <c r="AN17" s="394"/>
    </row>
    <row r="18" spans="1:41" s="150" customFormat="1" ht="13.5" hidden="1" customHeight="1" x14ac:dyDescent="0.15">
      <c r="B18" s="48" t="s">
        <v>2867</v>
      </c>
      <c r="C18" s="9" t="s">
        <v>5346</v>
      </c>
      <c r="D18" s="485">
        <v>5</v>
      </c>
      <c r="E18" s="486" t="str">
        <f t="shared" si="0"/>
        <v>U 15 Hommes</v>
      </c>
      <c r="F18" s="12" t="s">
        <v>5390</v>
      </c>
      <c r="G18" s="386" t="s">
        <v>5270</v>
      </c>
      <c r="H18" s="13">
        <v>2027</v>
      </c>
      <c r="I18" s="18">
        <v>40981</v>
      </c>
      <c r="J18" s="5" t="s">
        <v>5349</v>
      </c>
      <c r="K18" s="53"/>
      <c r="L18" s="20">
        <v>621182362</v>
      </c>
      <c r="M18" s="68" t="s">
        <v>5350</v>
      </c>
      <c r="N18" s="62"/>
      <c r="O18" s="62"/>
      <c r="P18" s="10"/>
      <c r="Q18" s="10"/>
      <c r="R18" s="13"/>
      <c r="S18" s="11"/>
      <c r="T18" s="11"/>
      <c r="U18" s="11"/>
      <c r="V18" s="11"/>
      <c r="W18" s="59"/>
      <c r="X18" s="59"/>
      <c r="Y18" s="59"/>
      <c r="Z18" s="59"/>
      <c r="AA18" s="59"/>
      <c r="AB18" s="59"/>
      <c r="AC18" s="138"/>
      <c r="AD18" s="138"/>
      <c r="AE18" s="138"/>
      <c r="AF18" s="231"/>
      <c r="AG18" s="231"/>
      <c r="AH18" s="231"/>
      <c r="AI18" s="232"/>
      <c r="AJ18" s="11"/>
      <c r="AK18" s="11"/>
      <c r="AL18" s="11"/>
      <c r="AM18" s="11"/>
      <c r="AN18" s="394"/>
      <c r="AO18"/>
    </row>
    <row r="19" spans="1:41" ht="13.5" hidden="1" customHeight="1" x14ac:dyDescent="0.15">
      <c r="A19"/>
      <c r="B19" s="48" t="s">
        <v>3944</v>
      </c>
      <c r="C19" s="9" t="s">
        <v>3945</v>
      </c>
      <c r="D19" s="485">
        <v>6</v>
      </c>
      <c r="E19" s="486" t="str">
        <f t="shared" si="0"/>
        <v>U 13 Hommes</v>
      </c>
      <c r="F19" s="12" t="s">
        <v>3977</v>
      </c>
      <c r="G19" s="369"/>
      <c r="H19" s="615">
        <v>2025</v>
      </c>
      <c r="I19" s="18">
        <v>41484</v>
      </c>
      <c r="J19" s="19" t="s">
        <v>3948</v>
      </c>
      <c r="K19" s="40" t="s">
        <v>3949</v>
      </c>
      <c r="L19" s="10" t="s">
        <v>3950</v>
      </c>
      <c r="M19" s="47" t="s">
        <v>3951</v>
      </c>
      <c r="N19" s="62"/>
      <c r="O19" s="62"/>
      <c r="P19" s="11"/>
      <c r="Q19" s="10"/>
      <c r="R19" s="11"/>
      <c r="S19" s="11"/>
      <c r="T19" s="11"/>
      <c r="U19" s="11"/>
      <c r="V19" s="11"/>
      <c r="W19" s="59"/>
      <c r="X19" s="59"/>
      <c r="Y19" s="59"/>
      <c r="Z19" s="59"/>
      <c r="AA19" s="59"/>
      <c r="AB19" s="59"/>
      <c r="AC19" s="138"/>
      <c r="AD19" s="138"/>
      <c r="AE19" s="138"/>
      <c r="AF19" s="231"/>
      <c r="AG19" s="231"/>
      <c r="AH19" s="231"/>
      <c r="AI19" s="232"/>
      <c r="AJ19" s="19"/>
      <c r="AK19" s="23"/>
      <c r="AL19" s="23"/>
      <c r="AM19" s="23"/>
      <c r="AN19" s="43"/>
    </row>
    <row r="20" spans="1:41" ht="13.5" hidden="1" customHeight="1" x14ac:dyDescent="0.15">
      <c r="A20"/>
      <c r="B20" s="48" t="s">
        <v>5108</v>
      </c>
      <c r="C20" s="9" t="s">
        <v>5109</v>
      </c>
      <c r="D20" s="485">
        <v>7</v>
      </c>
      <c r="E20" s="486" t="str">
        <f t="shared" si="0"/>
        <v>U 11 Hommes</v>
      </c>
      <c r="F20" s="12" t="s">
        <v>5139</v>
      </c>
      <c r="G20" s="369"/>
      <c r="H20" s="13">
        <v>2027</v>
      </c>
      <c r="I20" s="18">
        <v>42229</v>
      </c>
      <c r="J20" s="5" t="s">
        <v>5115</v>
      </c>
      <c r="K20" s="53" t="s">
        <v>5116</v>
      </c>
      <c r="L20" s="10" t="s">
        <v>5117</v>
      </c>
      <c r="M20" s="68" t="s">
        <v>5118</v>
      </c>
      <c r="N20" s="62"/>
      <c r="O20" s="62"/>
      <c r="P20" s="10"/>
      <c r="Q20" s="10"/>
      <c r="R20" s="13"/>
      <c r="S20" s="11"/>
      <c r="T20" s="11"/>
      <c r="U20" s="11"/>
      <c r="V20" s="11"/>
      <c r="W20" s="59"/>
      <c r="X20" s="59"/>
      <c r="Y20" s="59"/>
      <c r="Z20" s="59"/>
      <c r="AA20" s="59"/>
      <c r="AB20" s="59"/>
      <c r="AC20" s="138"/>
      <c r="AD20" s="138"/>
      <c r="AE20" s="138"/>
      <c r="AF20" s="231"/>
      <c r="AG20" s="231"/>
      <c r="AH20" s="231"/>
      <c r="AI20" s="232"/>
      <c r="AJ20" s="11"/>
      <c r="AK20" s="11"/>
      <c r="AL20" s="11"/>
      <c r="AM20" s="11"/>
      <c r="AN20" s="394"/>
    </row>
    <row r="21" spans="1:41" ht="13.5" hidden="1" customHeight="1" x14ac:dyDescent="0.15">
      <c r="A21"/>
      <c r="B21" s="48" t="s">
        <v>4940</v>
      </c>
      <c r="C21" s="9" t="s">
        <v>4889</v>
      </c>
      <c r="D21" s="485">
        <v>2</v>
      </c>
      <c r="E21" s="486" t="str">
        <f t="shared" si="0"/>
        <v>Seniors - Hommes</v>
      </c>
      <c r="F21" s="12" t="s">
        <v>4977</v>
      </c>
      <c r="G21" s="369"/>
      <c r="H21" s="13">
        <v>2030</v>
      </c>
      <c r="I21" s="18">
        <v>36579</v>
      </c>
      <c r="J21" s="19" t="s">
        <v>4944</v>
      </c>
      <c r="K21" s="40"/>
      <c r="L21" s="27" t="s">
        <v>4945</v>
      </c>
      <c r="M21" s="47" t="s">
        <v>5147</v>
      </c>
      <c r="N21" s="62"/>
      <c r="O21" s="62"/>
      <c r="P21" s="11"/>
      <c r="Q21" s="10"/>
      <c r="R21" s="11"/>
      <c r="S21" s="11"/>
      <c r="T21" s="11"/>
      <c r="U21" s="11"/>
      <c r="V21" s="11"/>
      <c r="W21" s="59"/>
      <c r="X21" s="59"/>
      <c r="Y21" s="59"/>
      <c r="Z21" s="59"/>
      <c r="AA21" s="59"/>
      <c r="AB21" s="59"/>
      <c r="AC21" s="138"/>
      <c r="AD21" s="138"/>
      <c r="AE21" s="138"/>
      <c r="AF21" s="231"/>
      <c r="AG21" s="231"/>
      <c r="AH21" s="231"/>
      <c r="AI21" s="232"/>
      <c r="AJ21" s="19"/>
      <c r="AK21" s="23"/>
      <c r="AL21" s="23"/>
      <c r="AM21" s="23"/>
      <c r="AN21" s="43"/>
    </row>
    <row r="22" spans="1:41" ht="13.5" hidden="1" customHeight="1" x14ac:dyDescent="0.15">
      <c r="A22"/>
      <c r="B22" s="48" t="s">
        <v>130</v>
      </c>
      <c r="C22" s="9" t="s">
        <v>132</v>
      </c>
      <c r="D22" s="485">
        <v>19</v>
      </c>
      <c r="E22" s="486" t="str">
        <f t="shared" si="0"/>
        <v>Vétérans - Dames</v>
      </c>
      <c r="F22" s="12" t="s">
        <v>4119</v>
      </c>
      <c r="G22" s="369"/>
      <c r="H22" s="13">
        <v>2029</v>
      </c>
      <c r="I22" s="18">
        <v>30860</v>
      </c>
      <c r="J22" s="19" t="s">
        <v>4101</v>
      </c>
      <c r="K22" s="40"/>
      <c r="L22" s="10" t="s">
        <v>3197</v>
      </c>
      <c r="M22" s="47" t="s">
        <v>3214</v>
      </c>
      <c r="N22" s="62"/>
      <c r="O22" s="62"/>
      <c r="P22" s="11"/>
      <c r="Q22" s="10"/>
      <c r="R22" s="11"/>
      <c r="S22" s="11"/>
      <c r="T22" s="11"/>
      <c r="U22" s="11"/>
      <c r="V22" s="11"/>
      <c r="W22" s="59"/>
      <c r="X22" s="59"/>
      <c r="Y22" s="59"/>
      <c r="Z22" s="59"/>
      <c r="AA22" s="59"/>
      <c r="AB22" s="59"/>
      <c r="AC22" s="138"/>
      <c r="AD22" s="138"/>
      <c r="AE22" s="138"/>
      <c r="AF22" s="231"/>
      <c r="AG22" s="231"/>
      <c r="AH22" s="231"/>
      <c r="AI22" s="232"/>
      <c r="AJ22" s="19"/>
      <c r="AK22" s="23"/>
      <c r="AL22" s="23"/>
      <c r="AM22" s="23"/>
      <c r="AN22" s="43"/>
    </row>
    <row r="23" spans="1:41" ht="13.5" hidden="1" customHeight="1" x14ac:dyDescent="0.15">
      <c r="A23"/>
      <c r="B23" s="48" t="s">
        <v>130</v>
      </c>
      <c r="C23" s="9" t="s">
        <v>174</v>
      </c>
      <c r="D23" s="485">
        <v>19</v>
      </c>
      <c r="E23" s="486" t="str">
        <f t="shared" si="0"/>
        <v>Vétérans - Dames</v>
      </c>
      <c r="F23" s="12" t="s">
        <v>4093</v>
      </c>
      <c r="G23" s="373"/>
      <c r="H23" s="13">
        <v>2027</v>
      </c>
      <c r="I23" s="114">
        <v>31249</v>
      </c>
      <c r="J23" s="46" t="s">
        <v>4061</v>
      </c>
      <c r="K23" s="40"/>
      <c r="L23" s="116" t="s">
        <v>185</v>
      </c>
      <c r="M23" s="346" t="str">
        <f>HYPERLINK("mailto:bettikett@hotmail.com","bettikett@hotmail.com")</f>
        <v>bettikett@hotmail.com</v>
      </c>
      <c r="N23" s="62"/>
      <c r="O23" s="62"/>
      <c r="P23" s="11"/>
      <c r="Q23" s="10"/>
      <c r="R23" s="11"/>
      <c r="S23" s="11"/>
      <c r="T23" s="11"/>
      <c r="U23" s="11"/>
      <c r="V23" s="11"/>
      <c r="W23" s="59"/>
      <c r="X23" s="59"/>
      <c r="Y23" s="59"/>
      <c r="Z23" s="59"/>
      <c r="AA23" s="59"/>
      <c r="AB23" s="59"/>
      <c r="AC23" s="138"/>
      <c r="AD23" s="138"/>
      <c r="AE23" s="138"/>
      <c r="AF23" s="231"/>
      <c r="AG23" s="231"/>
      <c r="AH23" s="231"/>
      <c r="AI23" s="232"/>
      <c r="AJ23" s="19"/>
      <c r="AK23" s="23"/>
      <c r="AL23" s="23"/>
      <c r="AM23" s="23"/>
      <c r="AN23" s="43"/>
    </row>
    <row r="24" spans="1:41" ht="13.5" hidden="1" customHeight="1" x14ac:dyDescent="0.15">
      <c r="A24"/>
      <c r="B24" s="48" t="s">
        <v>663</v>
      </c>
      <c r="C24" s="9" t="s">
        <v>4378</v>
      </c>
      <c r="D24" s="485">
        <v>8</v>
      </c>
      <c r="E24" s="486" t="str">
        <f t="shared" si="0"/>
        <v xml:space="preserve">U 9 Hommes </v>
      </c>
      <c r="F24" s="12" t="s">
        <v>4559</v>
      </c>
      <c r="G24" s="369"/>
      <c r="H24" s="13">
        <v>2029</v>
      </c>
      <c r="I24" s="18">
        <v>42869</v>
      </c>
      <c r="J24" s="19" t="s">
        <v>4380</v>
      </c>
      <c r="K24" s="40"/>
      <c r="L24" s="27" t="s">
        <v>1266</v>
      </c>
      <c r="M24" s="29" t="s">
        <v>1268</v>
      </c>
      <c r="N24" s="62"/>
      <c r="O24" s="62"/>
      <c r="P24" s="11"/>
      <c r="Q24" s="10"/>
      <c r="R24" s="11"/>
      <c r="S24" s="11"/>
      <c r="T24" s="11"/>
      <c r="U24" s="11"/>
      <c r="V24" s="11"/>
      <c r="W24" s="59"/>
      <c r="X24" s="59"/>
      <c r="Y24" s="59"/>
      <c r="Z24" s="59"/>
      <c r="AA24" s="59"/>
      <c r="AB24" s="59"/>
      <c r="AC24" s="138"/>
      <c r="AD24" s="138"/>
      <c r="AE24" s="138"/>
      <c r="AF24" s="231"/>
      <c r="AG24" s="231"/>
      <c r="AH24" s="231"/>
      <c r="AI24" s="232"/>
      <c r="AJ24" s="19"/>
      <c r="AK24" s="23"/>
      <c r="AL24" s="23"/>
      <c r="AM24" s="23"/>
      <c r="AN24" s="43"/>
    </row>
    <row r="25" spans="1:41" ht="13.5" hidden="1" customHeight="1" x14ac:dyDescent="0.15">
      <c r="A25"/>
      <c r="B25" s="48" t="s">
        <v>663</v>
      </c>
      <c r="C25" s="9" t="s">
        <v>664</v>
      </c>
      <c r="D25" s="485">
        <v>9</v>
      </c>
      <c r="E25" s="486" t="str">
        <f t="shared" si="0"/>
        <v>Vétérans - Hommes</v>
      </c>
      <c r="F25" s="12" t="s">
        <v>2933</v>
      </c>
      <c r="G25" s="371" t="s">
        <v>4886</v>
      </c>
      <c r="H25" s="211">
        <v>2024</v>
      </c>
      <c r="I25" s="18">
        <v>30538</v>
      </c>
      <c r="J25" s="19" t="s">
        <v>1265</v>
      </c>
      <c r="K25" s="40"/>
      <c r="L25" s="27" t="s">
        <v>1266</v>
      </c>
      <c r="M25" s="29" t="s">
        <v>1268</v>
      </c>
      <c r="N25" s="61"/>
      <c r="O25" s="61"/>
      <c r="P25" s="5"/>
      <c r="Q25" s="10"/>
      <c r="R25" s="5"/>
      <c r="S25" s="11"/>
      <c r="T25" s="11"/>
      <c r="U25" s="11" t="s">
        <v>348</v>
      </c>
      <c r="V25" s="11"/>
      <c r="W25" s="59" t="s">
        <v>2813</v>
      </c>
      <c r="X25" s="59" t="s">
        <v>3151</v>
      </c>
      <c r="Y25" s="59"/>
      <c r="Z25" s="59">
        <v>200</v>
      </c>
      <c r="AA25" s="59"/>
      <c r="AB25" s="59"/>
      <c r="AC25" s="138"/>
      <c r="AD25" s="138"/>
      <c r="AE25" s="138"/>
      <c r="AF25" s="231"/>
      <c r="AG25" s="231"/>
      <c r="AH25" s="231"/>
      <c r="AI25" s="232"/>
      <c r="AJ25" s="19"/>
      <c r="AK25" s="23" t="s">
        <v>1141</v>
      </c>
      <c r="AL25" s="23"/>
      <c r="AM25" s="23"/>
      <c r="AN25" s="43"/>
    </row>
    <row r="26" spans="1:41" ht="13.5" hidden="1" customHeight="1" x14ac:dyDescent="0.15">
      <c r="A26"/>
      <c r="B26" s="48" t="s">
        <v>667</v>
      </c>
      <c r="C26" s="9" t="s">
        <v>3801</v>
      </c>
      <c r="D26" s="485">
        <v>18</v>
      </c>
      <c r="E26" s="486" t="str">
        <f t="shared" si="0"/>
        <v>U 9 Dames</v>
      </c>
      <c r="F26" s="12" t="s">
        <v>4012</v>
      </c>
      <c r="G26" s="369"/>
      <c r="H26" s="240">
        <v>2028</v>
      </c>
      <c r="I26" s="18">
        <v>42452</v>
      </c>
      <c r="J26" s="19" t="s">
        <v>3807</v>
      </c>
      <c r="K26" s="10" t="s">
        <v>3809</v>
      </c>
      <c r="L26" s="10" t="s">
        <v>3810</v>
      </c>
      <c r="M26" s="47" t="s">
        <v>3376</v>
      </c>
      <c r="N26" s="62"/>
      <c r="O26" s="62"/>
      <c r="P26" s="11"/>
      <c r="Q26" s="10"/>
      <c r="R26" s="11"/>
      <c r="S26" s="11"/>
      <c r="T26" s="11"/>
      <c r="U26" s="11"/>
      <c r="V26" s="11"/>
      <c r="W26" s="59"/>
      <c r="X26" s="59"/>
      <c r="Y26" s="59"/>
      <c r="Z26" s="59"/>
      <c r="AA26" s="59"/>
      <c r="AB26" s="59"/>
      <c r="AC26" s="138"/>
      <c r="AD26" s="138"/>
      <c r="AE26" s="138"/>
      <c r="AF26" s="231"/>
      <c r="AG26" s="231"/>
      <c r="AH26" s="231"/>
      <c r="AI26" s="232"/>
      <c r="AJ26" s="19"/>
      <c r="AK26" s="23"/>
      <c r="AL26" s="23"/>
      <c r="AM26" s="23"/>
      <c r="AN26" s="43"/>
    </row>
    <row r="27" spans="1:41" ht="13.5" hidden="1" customHeight="1" x14ac:dyDescent="0.15">
      <c r="A27"/>
      <c r="B27" s="48" t="s">
        <v>667</v>
      </c>
      <c r="C27" s="9" t="s">
        <v>3803</v>
      </c>
      <c r="D27" s="485">
        <v>19</v>
      </c>
      <c r="E27" s="486" t="str">
        <f t="shared" si="0"/>
        <v>Vétérans - Dames</v>
      </c>
      <c r="F27" s="12" t="s">
        <v>3878</v>
      </c>
      <c r="G27" s="371"/>
      <c r="H27" s="13">
        <v>2029</v>
      </c>
      <c r="I27" s="18">
        <v>31000</v>
      </c>
      <c r="J27" s="19" t="s">
        <v>3875</v>
      </c>
      <c r="K27" s="40"/>
      <c r="L27" s="20">
        <v>621665197</v>
      </c>
      <c r="M27" s="47" t="s">
        <v>3811</v>
      </c>
      <c r="N27" s="62"/>
      <c r="O27" s="62" t="s">
        <v>3969</v>
      </c>
      <c r="P27" s="11"/>
      <c r="Q27" s="10"/>
      <c r="R27" s="11"/>
      <c r="S27" s="11"/>
      <c r="T27" s="53" t="s">
        <v>5001</v>
      </c>
      <c r="U27" s="11"/>
      <c r="V27" s="11"/>
      <c r="W27" s="59"/>
      <c r="X27" s="59"/>
      <c r="Y27" s="59"/>
      <c r="Z27" s="59"/>
      <c r="AA27" s="59"/>
      <c r="AB27" s="59"/>
      <c r="AC27" s="138"/>
      <c r="AD27" s="138"/>
      <c r="AE27" s="138"/>
      <c r="AF27" s="231"/>
      <c r="AG27" s="231"/>
      <c r="AH27" s="231"/>
      <c r="AI27" s="232"/>
      <c r="AJ27" s="19"/>
      <c r="AK27" s="23"/>
      <c r="AL27" s="23"/>
      <c r="AM27" s="23"/>
      <c r="AN27" s="43"/>
    </row>
    <row r="28" spans="1:41" s="150" customFormat="1" ht="13.5" hidden="1" customHeight="1" x14ac:dyDescent="0.15">
      <c r="B28" s="48" t="s">
        <v>667</v>
      </c>
      <c r="C28" s="9" t="s">
        <v>280</v>
      </c>
      <c r="D28" s="485">
        <v>1</v>
      </c>
      <c r="E28" s="486" t="str">
        <f t="shared" si="0"/>
        <v>Officiel H</v>
      </c>
      <c r="F28" s="12" t="s">
        <v>4718</v>
      </c>
      <c r="G28" s="369"/>
      <c r="H28" s="13">
        <v>2029</v>
      </c>
      <c r="I28" s="18">
        <v>30832</v>
      </c>
      <c r="J28" s="19" t="s">
        <v>3374</v>
      </c>
      <c r="K28" s="40"/>
      <c r="L28" s="10" t="s">
        <v>3375</v>
      </c>
      <c r="M28" s="47" t="s">
        <v>3376</v>
      </c>
      <c r="N28" s="62"/>
      <c r="O28" s="62"/>
      <c r="P28" s="11"/>
      <c r="Q28" s="10" t="s">
        <v>3379</v>
      </c>
      <c r="R28" s="11"/>
      <c r="S28" s="11"/>
      <c r="T28" s="11"/>
      <c r="U28" s="11"/>
      <c r="V28" s="11"/>
      <c r="W28" s="59"/>
      <c r="X28" s="59"/>
      <c r="Y28" s="59"/>
      <c r="Z28" s="59">
        <f>SUBTOTAL(9,Z18:Z25)</f>
        <v>0</v>
      </c>
      <c r="AA28" s="59"/>
      <c r="AB28" s="59"/>
      <c r="AC28" s="138"/>
      <c r="AD28" s="138"/>
      <c r="AE28" s="138"/>
      <c r="AF28" s="231"/>
      <c r="AG28" s="231"/>
      <c r="AH28" s="231"/>
      <c r="AI28" s="232"/>
      <c r="AJ28" s="19"/>
      <c r="AK28" s="23"/>
      <c r="AL28" s="23"/>
      <c r="AM28" s="23"/>
      <c r="AN28" s="43"/>
      <c r="AO28"/>
    </row>
    <row r="29" spans="1:41" ht="13.5" hidden="1" customHeight="1" x14ac:dyDescent="0.15">
      <c r="A29"/>
      <c r="B29" s="48" t="s">
        <v>667</v>
      </c>
      <c r="C29" s="9" t="s">
        <v>3800</v>
      </c>
      <c r="D29" s="485">
        <v>18</v>
      </c>
      <c r="E29" s="486" t="str">
        <f t="shared" si="0"/>
        <v>U 9 Dames</v>
      </c>
      <c r="F29" s="12" t="s">
        <v>4011</v>
      </c>
      <c r="G29" s="369"/>
      <c r="H29" s="240">
        <v>2028</v>
      </c>
      <c r="I29" s="18">
        <v>42452</v>
      </c>
      <c r="J29" s="19" t="s">
        <v>3806</v>
      </c>
      <c r="K29" s="10" t="s">
        <v>3809</v>
      </c>
      <c r="L29" s="10" t="s">
        <v>3810</v>
      </c>
      <c r="M29" s="47" t="s">
        <v>3376</v>
      </c>
      <c r="N29" s="62"/>
      <c r="O29" s="62"/>
      <c r="P29" s="11"/>
      <c r="Q29" s="10"/>
      <c r="R29" s="11"/>
      <c r="S29" s="11"/>
      <c r="T29" s="11"/>
      <c r="U29" s="11"/>
      <c r="V29" s="11"/>
      <c r="W29" s="59"/>
      <c r="X29" s="59"/>
      <c r="Y29" s="59"/>
      <c r="Z29" s="59"/>
      <c r="AA29" s="59"/>
      <c r="AB29" s="59"/>
      <c r="AC29" s="138"/>
      <c r="AD29" s="138"/>
      <c r="AE29" s="138"/>
      <c r="AF29" s="231"/>
      <c r="AG29" s="231"/>
      <c r="AH29" s="231"/>
      <c r="AI29" s="232"/>
      <c r="AJ29" s="19"/>
      <c r="AK29" s="23"/>
      <c r="AL29" s="23"/>
      <c r="AM29" s="23"/>
      <c r="AN29" s="43"/>
    </row>
    <row r="30" spans="1:41" ht="13.5" hidden="1" customHeight="1" x14ac:dyDescent="0.15">
      <c r="A30"/>
      <c r="B30" s="48" t="s">
        <v>667</v>
      </c>
      <c r="C30" s="9" t="s">
        <v>3802</v>
      </c>
      <c r="D30" s="485">
        <v>6</v>
      </c>
      <c r="E30" s="486" t="str">
        <f t="shared" si="0"/>
        <v>U 13 Hommes</v>
      </c>
      <c r="F30" s="12" t="s">
        <v>3917</v>
      </c>
      <c r="G30" s="373"/>
      <c r="H30" s="62">
        <v>2028</v>
      </c>
      <c r="I30" s="18">
        <v>41451</v>
      </c>
      <c r="J30" s="19" t="s">
        <v>3808</v>
      </c>
      <c r="K30" s="10" t="s">
        <v>3809</v>
      </c>
      <c r="L30" s="10" t="s">
        <v>3810</v>
      </c>
      <c r="M30" s="47" t="s">
        <v>3376</v>
      </c>
      <c r="N30" s="62"/>
      <c r="O30" s="62"/>
      <c r="P30" s="11"/>
      <c r="Q30" s="10"/>
      <c r="R30" s="11"/>
      <c r="S30" s="11"/>
      <c r="T30" s="11"/>
      <c r="U30" s="11"/>
      <c r="V30" s="11"/>
      <c r="W30" s="59"/>
      <c r="X30" s="59"/>
      <c r="Y30" s="59"/>
      <c r="Z30" s="59"/>
      <c r="AA30" s="59"/>
      <c r="AB30" s="59"/>
      <c r="AC30" s="138"/>
      <c r="AD30" s="138"/>
      <c r="AE30" s="138"/>
      <c r="AF30" s="231"/>
      <c r="AG30" s="231"/>
      <c r="AH30" s="231"/>
      <c r="AI30" s="232"/>
      <c r="AJ30" s="19"/>
      <c r="AK30" s="23"/>
      <c r="AL30" s="23"/>
      <c r="AM30" s="23"/>
      <c r="AN30" s="43"/>
      <c r="AO30" s="150"/>
    </row>
    <row r="31" spans="1:41" ht="13.5" hidden="1" customHeight="1" x14ac:dyDescent="0.15">
      <c r="A31"/>
      <c r="B31" s="48" t="s">
        <v>4738</v>
      </c>
      <c r="C31" s="9" t="s">
        <v>4739</v>
      </c>
      <c r="D31" s="485">
        <v>8</v>
      </c>
      <c r="E31" s="486" t="str">
        <f t="shared" si="0"/>
        <v xml:space="preserve">U 9 Hommes </v>
      </c>
      <c r="F31" s="12" t="s">
        <v>4810</v>
      </c>
      <c r="G31" s="369"/>
      <c r="H31" s="13">
        <v>2028</v>
      </c>
      <c r="I31" s="18">
        <v>44538</v>
      </c>
      <c r="J31" s="19" t="s">
        <v>4752</v>
      </c>
      <c r="K31" s="40"/>
      <c r="L31" s="10" t="s">
        <v>4746</v>
      </c>
      <c r="M31" s="47" t="s">
        <v>4747</v>
      </c>
      <c r="N31" s="62"/>
      <c r="O31" s="62"/>
      <c r="P31" s="11"/>
      <c r="Q31" s="10"/>
      <c r="R31" s="11"/>
      <c r="S31" s="11"/>
      <c r="T31" s="11"/>
      <c r="U31" s="11"/>
      <c r="V31" s="11"/>
      <c r="W31" s="59"/>
      <c r="X31" s="59"/>
      <c r="Y31" s="59"/>
      <c r="Z31" s="59"/>
      <c r="AA31" s="59"/>
      <c r="AB31" s="59"/>
      <c r="AC31" s="138"/>
      <c r="AD31" s="138"/>
      <c r="AE31" s="138"/>
      <c r="AF31" s="231"/>
      <c r="AG31" s="231"/>
      <c r="AH31" s="231"/>
      <c r="AI31" s="232"/>
      <c r="AJ31" s="19"/>
      <c r="AK31" s="23"/>
      <c r="AL31" s="23"/>
      <c r="AM31" s="23"/>
      <c r="AN31" s="43"/>
    </row>
    <row r="32" spans="1:41" s="150" customFormat="1" ht="13.5" hidden="1" customHeight="1" x14ac:dyDescent="0.15">
      <c r="B32" s="48" t="s">
        <v>4633</v>
      </c>
      <c r="C32" s="9" t="s">
        <v>1434</v>
      </c>
      <c r="D32" s="485">
        <v>21</v>
      </c>
      <c r="E32" s="486" t="str">
        <f t="shared" ref="E32:E58" si="1">VLOOKUP(D32,CAT_JOUEUR,2,FALSE)</f>
        <v>U7 Mixte</v>
      </c>
      <c r="F32" s="217" t="s">
        <v>2805</v>
      </c>
      <c r="G32" s="369"/>
      <c r="H32" s="13">
        <v>2028</v>
      </c>
      <c r="I32" s="18">
        <v>44259</v>
      </c>
      <c r="J32" s="19" t="s">
        <v>4638</v>
      </c>
      <c r="K32" s="40"/>
      <c r="L32" s="20" t="s">
        <v>4639</v>
      </c>
      <c r="M32" s="47" t="s">
        <v>4640</v>
      </c>
      <c r="N32" s="62"/>
      <c r="O32" s="62"/>
      <c r="P32" s="11"/>
      <c r="Q32" s="10"/>
      <c r="R32" s="11"/>
      <c r="S32" s="11"/>
      <c r="T32" s="11"/>
      <c r="U32" s="11"/>
      <c r="V32" s="11"/>
      <c r="W32" s="59"/>
      <c r="X32" s="59"/>
      <c r="Y32" s="59"/>
      <c r="Z32" s="59"/>
      <c r="AA32" s="59"/>
      <c r="AB32" s="59"/>
      <c r="AC32" s="138"/>
      <c r="AD32" s="138"/>
      <c r="AE32" s="138"/>
      <c r="AF32" s="231"/>
      <c r="AG32" s="231"/>
      <c r="AH32" s="231"/>
      <c r="AI32" s="232"/>
      <c r="AJ32" s="19"/>
      <c r="AK32" s="23"/>
      <c r="AL32" s="23"/>
      <c r="AM32" s="23"/>
      <c r="AN32" s="43"/>
      <c r="AO32"/>
    </row>
    <row r="33" spans="1:41" ht="13.5" hidden="1" customHeight="1" x14ac:dyDescent="0.15">
      <c r="A33"/>
      <c r="B33" s="48" t="s">
        <v>5217</v>
      </c>
      <c r="C33" s="9" t="s">
        <v>5218</v>
      </c>
      <c r="D33" s="485">
        <v>18</v>
      </c>
      <c r="E33" s="486" t="str">
        <f t="shared" si="1"/>
        <v>U 9 Dames</v>
      </c>
      <c r="F33" s="217" t="s">
        <v>2805</v>
      </c>
      <c r="G33" s="386" t="s">
        <v>5173</v>
      </c>
      <c r="H33" s="13">
        <v>2030</v>
      </c>
      <c r="I33" s="18">
        <v>43335</v>
      </c>
      <c r="J33" s="5" t="s">
        <v>5220</v>
      </c>
      <c r="K33" s="53" t="s">
        <v>5221</v>
      </c>
      <c r="L33" s="10" t="s">
        <v>5222</v>
      </c>
      <c r="M33" s="529" t="s">
        <v>5223</v>
      </c>
      <c r="N33" s="62"/>
      <c r="O33" s="62"/>
      <c r="P33" s="10"/>
      <c r="Q33" s="10"/>
      <c r="R33" s="13"/>
      <c r="S33" s="11"/>
      <c r="T33" s="11"/>
      <c r="U33" s="11"/>
      <c r="V33" s="11"/>
      <c r="W33" s="59"/>
      <c r="X33" s="59"/>
      <c r="Y33" s="59"/>
      <c r="Z33" s="59"/>
      <c r="AA33" s="59"/>
      <c r="AB33" s="59"/>
      <c r="AC33" s="138"/>
      <c r="AD33" s="138"/>
      <c r="AE33" s="138"/>
      <c r="AF33" s="231"/>
      <c r="AG33" s="231"/>
      <c r="AH33" s="231"/>
      <c r="AI33" s="232"/>
      <c r="AJ33" s="11"/>
      <c r="AK33" s="11"/>
      <c r="AL33" s="11"/>
      <c r="AM33" s="11"/>
      <c r="AN33" s="394"/>
    </row>
    <row r="34" spans="1:41" ht="13.5" hidden="1" customHeight="1" x14ac:dyDescent="0.15">
      <c r="A34"/>
      <c r="B34" s="48" t="s">
        <v>4720</v>
      </c>
      <c r="C34" s="9" t="s">
        <v>4721</v>
      </c>
      <c r="D34" s="485">
        <v>21</v>
      </c>
      <c r="E34" s="486" t="str">
        <f t="shared" si="1"/>
        <v>U7 Mixte</v>
      </c>
      <c r="F34" s="12" t="s">
        <v>4786</v>
      </c>
      <c r="G34" s="369"/>
      <c r="H34" s="13">
        <v>2029</v>
      </c>
      <c r="I34" s="18">
        <v>44569</v>
      </c>
      <c r="J34" s="19" t="s">
        <v>4730</v>
      </c>
      <c r="K34" s="40" t="s">
        <v>4733</v>
      </c>
      <c r="L34" s="10" t="s">
        <v>4734</v>
      </c>
      <c r="M34" s="47" t="s">
        <v>4735</v>
      </c>
      <c r="N34" s="62"/>
      <c r="O34" s="62"/>
      <c r="P34" s="11"/>
      <c r="Q34" s="10"/>
      <c r="R34" s="11"/>
      <c r="S34" s="11"/>
      <c r="T34" s="11"/>
      <c r="U34" s="11"/>
      <c r="V34" s="11"/>
      <c r="W34" s="59"/>
      <c r="X34" s="59"/>
      <c r="Y34" s="59"/>
      <c r="Z34" s="59"/>
      <c r="AA34" s="59"/>
      <c r="AB34" s="59"/>
      <c r="AC34" s="138"/>
      <c r="AD34" s="138"/>
      <c r="AE34" s="138"/>
      <c r="AF34" s="231"/>
      <c r="AG34" s="231"/>
      <c r="AH34" s="231"/>
      <c r="AI34" s="232"/>
      <c r="AJ34" s="19"/>
      <c r="AK34" s="23"/>
      <c r="AL34" s="23"/>
      <c r="AM34" s="23"/>
      <c r="AN34" s="43"/>
    </row>
    <row r="35" spans="1:41" s="150" customFormat="1" ht="13.5" hidden="1" customHeight="1" x14ac:dyDescent="0.15">
      <c r="B35" s="48" t="s">
        <v>1459</v>
      </c>
      <c r="C35" s="9" t="s">
        <v>1460</v>
      </c>
      <c r="D35" s="485">
        <v>9</v>
      </c>
      <c r="E35" s="486" t="str">
        <f t="shared" si="1"/>
        <v>Vétérans - Hommes</v>
      </c>
      <c r="F35" s="12" t="s">
        <v>5005</v>
      </c>
      <c r="G35" s="369"/>
      <c r="H35" s="13" t="s">
        <v>5006</v>
      </c>
      <c r="I35" s="18">
        <v>21705</v>
      </c>
      <c r="J35" s="46" t="s">
        <v>4884</v>
      </c>
      <c r="K35" s="40"/>
      <c r="L35" s="20">
        <v>621707761</v>
      </c>
      <c r="M35" s="379" t="s">
        <v>4885</v>
      </c>
      <c r="N35" s="62"/>
      <c r="O35" s="62"/>
      <c r="P35" s="11"/>
      <c r="Q35" s="10"/>
      <c r="R35" s="11"/>
      <c r="S35" s="11"/>
      <c r="T35" s="11"/>
      <c r="U35" s="11"/>
      <c r="V35" s="11"/>
      <c r="W35" s="59"/>
      <c r="X35" s="59"/>
      <c r="Y35" s="59"/>
      <c r="Z35" s="59"/>
      <c r="AA35" s="59"/>
      <c r="AB35" s="59"/>
      <c r="AC35" s="138"/>
      <c r="AD35" s="138"/>
      <c r="AE35" s="138"/>
      <c r="AF35" s="231"/>
      <c r="AG35" s="231"/>
      <c r="AH35" s="231"/>
      <c r="AI35" s="232"/>
      <c r="AJ35" s="19"/>
      <c r="AK35" s="23"/>
      <c r="AL35" s="23"/>
      <c r="AM35" s="23"/>
      <c r="AN35" s="43"/>
    </row>
    <row r="36" spans="1:41" s="150" customFormat="1" ht="13.5" hidden="1" customHeight="1" x14ac:dyDescent="0.15">
      <c r="B36" s="48" t="s">
        <v>1459</v>
      </c>
      <c r="C36" s="9" t="s">
        <v>2703</v>
      </c>
      <c r="D36" s="485">
        <v>12</v>
      </c>
      <c r="E36" s="486" t="str">
        <f t="shared" si="1"/>
        <v>Dames</v>
      </c>
      <c r="F36" s="12" t="s">
        <v>4174</v>
      </c>
      <c r="G36" s="369"/>
      <c r="H36" s="612">
        <v>2023</v>
      </c>
      <c r="I36" s="18">
        <v>34013</v>
      </c>
      <c r="J36" s="19" t="s">
        <v>4166</v>
      </c>
      <c r="K36" s="40"/>
      <c r="L36" s="20">
        <v>691746426</v>
      </c>
      <c r="M36" s="47" t="s">
        <v>4162</v>
      </c>
      <c r="N36" s="62"/>
      <c r="O36" s="62"/>
      <c r="P36" s="11"/>
      <c r="Q36" s="10"/>
      <c r="R36" s="11"/>
      <c r="S36" s="11"/>
      <c r="T36" s="11"/>
      <c r="U36" s="11"/>
      <c r="V36" s="11"/>
      <c r="W36" s="59"/>
      <c r="X36" s="59"/>
      <c r="Y36" s="59"/>
      <c r="Z36" s="59"/>
      <c r="AA36" s="59"/>
      <c r="AB36" s="59"/>
      <c r="AC36" s="138"/>
      <c r="AD36" s="138"/>
      <c r="AE36" s="138"/>
      <c r="AF36" s="231"/>
      <c r="AG36" s="231"/>
      <c r="AH36" s="231"/>
      <c r="AI36" s="232"/>
      <c r="AJ36" s="19"/>
      <c r="AK36" s="23"/>
      <c r="AL36" s="23"/>
      <c r="AM36" s="23"/>
      <c r="AN36" s="43"/>
      <c r="AO36"/>
    </row>
    <row r="37" spans="1:41" ht="13.5" hidden="1" customHeight="1" x14ac:dyDescent="0.15">
      <c r="A37"/>
      <c r="B37" s="48" t="s">
        <v>3956</v>
      </c>
      <c r="C37" s="9" t="s">
        <v>2066</v>
      </c>
      <c r="D37" s="485">
        <v>6</v>
      </c>
      <c r="E37" s="486" t="str">
        <f t="shared" si="1"/>
        <v>U 13 Hommes</v>
      </c>
      <c r="F37" s="12" t="s">
        <v>3976</v>
      </c>
      <c r="G37" s="369"/>
      <c r="H37" s="13">
        <v>2028</v>
      </c>
      <c r="I37" s="18">
        <v>41499</v>
      </c>
      <c r="J37" s="19" t="s">
        <v>3967</v>
      </c>
      <c r="K37" s="40" t="s">
        <v>3962</v>
      </c>
      <c r="L37" s="10" t="s">
        <v>3963</v>
      </c>
      <c r="M37" s="47" t="s">
        <v>3964</v>
      </c>
      <c r="N37" s="62"/>
      <c r="O37" s="62"/>
      <c r="P37" s="11"/>
      <c r="Q37" s="10"/>
      <c r="R37" s="11"/>
      <c r="S37" s="11"/>
      <c r="T37" s="11"/>
      <c r="U37" s="11"/>
      <c r="V37" s="11"/>
      <c r="W37" s="59"/>
      <c r="X37" s="59"/>
      <c r="Y37" s="59"/>
      <c r="Z37" s="59"/>
      <c r="AA37" s="59"/>
      <c r="AB37" s="59"/>
      <c r="AC37" s="138"/>
      <c r="AD37" s="138"/>
      <c r="AE37" s="138"/>
      <c r="AF37" s="231"/>
      <c r="AG37" s="231"/>
      <c r="AH37" s="231"/>
      <c r="AI37" s="232"/>
      <c r="AJ37" s="19"/>
      <c r="AK37" s="23"/>
      <c r="AL37" s="23"/>
      <c r="AM37" s="23"/>
      <c r="AN37" s="43"/>
    </row>
    <row r="38" spans="1:41" ht="13.5" hidden="1" customHeight="1" x14ac:dyDescent="0.15">
      <c r="A38"/>
      <c r="B38" s="48" t="s">
        <v>3956</v>
      </c>
      <c r="C38" s="9" t="s">
        <v>3957</v>
      </c>
      <c r="D38" s="485">
        <v>7</v>
      </c>
      <c r="E38" s="486" t="str">
        <f t="shared" si="1"/>
        <v>U 11 Hommes</v>
      </c>
      <c r="F38" s="12" t="s">
        <v>3968</v>
      </c>
      <c r="G38" s="369"/>
      <c r="H38" s="13">
        <v>2027</v>
      </c>
      <c r="I38" s="18">
        <v>42187</v>
      </c>
      <c r="J38" s="19" t="s">
        <v>3960</v>
      </c>
      <c r="K38" s="40" t="s">
        <v>3962</v>
      </c>
      <c r="L38" s="10" t="s">
        <v>3963</v>
      </c>
      <c r="M38" s="47" t="s">
        <v>3964</v>
      </c>
      <c r="N38" s="62"/>
      <c r="O38" s="62"/>
      <c r="P38" s="11"/>
      <c r="Q38" s="10"/>
      <c r="R38" s="11"/>
      <c r="S38" s="11"/>
      <c r="T38" s="11"/>
      <c r="U38" s="11"/>
      <c r="V38" s="11"/>
      <c r="W38" s="59"/>
      <c r="X38" s="59"/>
      <c r="Y38" s="59"/>
      <c r="Z38" s="59"/>
      <c r="AA38" s="59"/>
      <c r="AB38" s="59"/>
      <c r="AC38" s="138"/>
      <c r="AD38" s="138"/>
      <c r="AE38" s="138"/>
      <c r="AF38" s="231"/>
      <c r="AG38" s="231"/>
      <c r="AH38" s="231"/>
      <c r="AI38" s="232"/>
      <c r="AJ38" s="19"/>
      <c r="AK38" s="23"/>
      <c r="AL38" s="23"/>
      <c r="AM38" s="23"/>
      <c r="AN38" s="43"/>
      <c r="AO38" s="150"/>
    </row>
    <row r="39" spans="1:41" ht="13.5" hidden="1" customHeight="1" x14ac:dyDescent="0.15">
      <c r="A39"/>
      <c r="B39" s="48" t="s">
        <v>723</v>
      </c>
      <c r="C39" s="9" t="s">
        <v>623</v>
      </c>
      <c r="D39" s="485">
        <v>2</v>
      </c>
      <c r="E39" s="486" t="str">
        <f t="shared" si="1"/>
        <v>Seniors - Hommes</v>
      </c>
      <c r="F39" s="12" t="s">
        <v>2944</v>
      </c>
      <c r="G39" s="369"/>
      <c r="H39" s="14">
        <v>2029</v>
      </c>
      <c r="I39" s="18">
        <v>36169</v>
      </c>
      <c r="J39" s="19" t="s">
        <v>1586</v>
      </c>
      <c r="K39" s="64" t="s">
        <v>1446</v>
      </c>
      <c r="L39" s="27" t="s">
        <v>1447</v>
      </c>
      <c r="M39" s="29" t="s">
        <v>1448</v>
      </c>
      <c r="N39" s="61"/>
      <c r="O39" s="61"/>
      <c r="P39" s="11"/>
      <c r="Q39" s="10"/>
      <c r="R39" s="11"/>
      <c r="S39" s="11"/>
      <c r="T39" s="11"/>
      <c r="U39" s="11" t="s">
        <v>209</v>
      </c>
      <c r="V39" s="11"/>
      <c r="W39" s="59" t="s">
        <v>2813</v>
      </c>
      <c r="X39" s="59" t="s">
        <v>292</v>
      </c>
      <c r="Y39" s="59" t="s">
        <v>1168</v>
      </c>
      <c r="Z39" s="59">
        <v>150</v>
      </c>
      <c r="AA39" s="59"/>
      <c r="AB39" s="59"/>
      <c r="AC39" s="138"/>
      <c r="AD39" s="138"/>
      <c r="AE39" s="138"/>
      <c r="AF39" s="231"/>
      <c r="AG39" s="231"/>
      <c r="AH39" s="231"/>
      <c r="AI39" s="232"/>
      <c r="AJ39" s="19"/>
      <c r="AK39" s="23" t="s">
        <v>1537</v>
      </c>
      <c r="AL39" s="23"/>
      <c r="AM39" s="23"/>
      <c r="AN39" s="43"/>
    </row>
    <row r="40" spans="1:41" ht="13.5" hidden="1" customHeight="1" x14ac:dyDescent="0.15">
      <c r="A40"/>
      <c r="B40" s="48" t="s">
        <v>4568</v>
      </c>
      <c r="C40" s="9" t="s">
        <v>271</v>
      </c>
      <c r="D40" s="485">
        <v>7</v>
      </c>
      <c r="E40" s="486" t="str">
        <f t="shared" si="1"/>
        <v>U 11 Hommes</v>
      </c>
      <c r="F40" s="12" t="s">
        <v>5120</v>
      </c>
      <c r="G40" s="369"/>
      <c r="H40" s="13">
        <v>2027</v>
      </c>
      <c r="I40" s="393">
        <v>42298</v>
      </c>
      <c r="J40" s="46" t="s">
        <v>5288</v>
      </c>
      <c r="K40" s="40" t="s">
        <v>4575</v>
      </c>
      <c r="L40" s="40" t="s">
        <v>4576</v>
      </c>
      <c r="M40" s="68" t="s">
        <v>5051</v>
      </c>
      <c r="N40" s="62"/>
      <c r="O40" s="62"/>
      <c r="P40" s="11"/>
      <c r="Q40" s="10"/>
      <c r="R40" s="13"/>
      <c r="S40" s="11"/>
      <c r="T40" s="11"/>
      <c r="U40" s="11"/>
      <c r="V40" s="11"/>
      <c r="W40" s="59"/>
      <c r="X40" s="59"/>
      <c r="Y40" s="59"/>
      <c r="Z40" s="59"/>
      <c r="AA40" s="59"/>
      <c r="AB40" s="59"/>
      <c r="AC40" s="138"/>
      <c r="AD40" s="138"/>
      <c r="AE40" s="138"/>
      <c r="AF40" s="231"/>
      <c r="AG40" s="231"/>
      <c r="AH40" s="231"/>
      <c r="AI40" s="232"/>
      <c r="AJ40" s="19"/>
      <c r="AK40" s="23"/>
      <c r="AL40" s="23"/>
      <c r="AM40" s="23"/>
      <c r="AN40" s="43"/>
      <c r="AO40" s="150"/>
    </row>
    <row r="41" spans="1:41" s="150" customFormat="1" ht="13.5" hidden="1" customHeight="1" x14ac:dyDescent="0.15">
      <c r="B41" s="48" t="s">
        <v>4568</v>
      </c>
      <c r="C41" s="9" t="s">
        <v>753</v>
      </c>
      <c r="D41" s="485">
        <v>8</v>
      </c>
      <c r="E41" s="486" t="str">
        <f t="shared" si="1"/>
        <v xml:space="preserve">U 9 Hommes </v>
      </c>
      <c r="F41" s="12" t="s">
        <v>4672</v>
      </c>
      <c r="G41" s="369"/>
      <c r="H41" s="615">
        <v>2025</v>
      </c>
      <c r="I41" s="18">
        <v>43286</v>
      </c>
      <c r="J41" s="46" t="s">
        <v>4574</v>
      </c>
      <c r="K41" s="40" t="s">
        <v>4575</v>
      </c>
      <c r="L41" s="40" t="s">
        <v>4576</v>
      </c>
      <c r="M41" s="47" t="s">
        <v>4577</v>
      </c>
      <c r="N41" s="62"/>
      <c r="O41" s="62"/>
      <c r="P41" s="11"/>
      <c r="Q41" s="10"/>
      <c r="R41" s="11"/>
      <c r="S41" s="11"/>
      <c r="T41" s="11"/>
      <c r="U41" s="11"/>
      <c r="V41" s="11"/>
      <c r="W41" s="59"/>
      <c r="X41" s="59"/>
      <c r="Y41" s="59"/>
      <c r="Z41" s="59"/>
      <c r="AA41" s="59"/>
      <c r="AB41" s="59"/>
      <c r="AC41" s="138"/>
      <c r="AD41" s="138"/>
      <c r="AE41" s="138"/>
      <c r="AF41" s="231"/>
      <c r="AG41" s="231"/>
      <c r="AH41" s="231"/>
      <c r="AI41" s="232"/>
      <c r="AJ41" s="19"/>
      <c r="AK41" s="23"/>
      <c r="AL41" s="23"/>
      <c r="AM41" s="23"/>
      <c r="AN41" s="43"/>
      <c r="AO41"/>
    </row>
    <row r="42" spans="1:41" ht="13.5" hidden="1" customHeight="1" x14ac:dyDescent="0.15">
      <c r="A42"/>
      <c r="B42" s="48" t="s">
        <v>4296</v>
      </c>
      <c r="C42" s="9" t="s">
        <v>4298</v>
      </c>
      <c r="D42" s="485">
        <v>4</v>
      </c>
      <c r="E42" s="486" t="str">
        <f t="shared" si="1"/>
        <v>U 17 Hommes</v>
      </c>
      <c r="F42" s="12" t="s">
        <v>4321</v>
      </c>
      <c r="G42" s="369"/>
      <c r="H42" s="36">
        <v>2024</v>
      </c>
      <c r="I42" s="18">
        <v>39914</v>
      </c>
      <c r="J42" s="19" t="s">
        <v>4304</v>
      </c>
      <c r="K42" s="40"/>
      <c r="L42" s="20">
        <v>661600600</v>
      </c>
      <c r="M42" s="47" t="s">
        <v>4305</v>
      </c>
      <c r="N42" s="62"/>
      <c r="O42" s="62"/>
      <c r="P42" s="11"/>
      <c r="Q42" s="10"/>
      <c r="R42" s="11"/>
      <c r="S42" s="11"/>
      <c r="T42" s="11"/>
      <c r="U42" s="11"/>
      <c r="V42" s="11"/>
      <c r="W42" s="59"/>
      <c r="X42" s="59"/>
      <c r="Y42" s="59"/>
      <c r="Z42" s="59"/>
      <c r="AA42" s="59"/>
      <c r="AB42" s="59"/>
      <c r="AC42" s="138"/>
      <c r="AD42" s="138"/>
      <c r="AE42" s="138"/>
      <c r="AF42" s="231"/>
      <c r="AG42" s="231"/>
      <c r="AH42" s="231"/>
      <c r="AI42" s="232"/>
      <c r="AJ42" s="19"/>
      <c r="AK42" s="23"/>
      <c r="AL42" s="23"/>
      <c r="AM42" s="23"/>
      <c r="AN42" s="43"/>
    </row>
    <row r="43" spans="1:41" ht="13.5" hidden="1" customHeight="1" x14ac:dyDescent="0.15">
      <c r="A43"/>
      <c r="B43" s="48" t="s">
        <v>1731</v>
      </c>
      <c r="C43" s="9" t="s">
        <v>1247</v>
      </c>
      <c r="D43" s="485">
        <v>8</v>
      </c>
      <c r="E43" s="486" t="str">
        <f t="shared" si="1"/>
        <v xml:space="preserve">U 9 Hommes </v>
      </c>
      <c r="F43" s="12" t="s">
        <v>3713</v>
      </c>
      <c r="G43" s="369"/>
      <c r="H43" s="36">
        <v>2024</v>
      </c>
      <c r="I43" s="18">
        <v>42792</v>
      </c>
      <c r="J43" s="19" t="s">
        <v>3664</v>
      </c>
      <c r="K43" s="40" t="s">
        <v>3665</v>
      </c>
      <c r="L43" s="10" t="s">
        <v>3668</v>
      </c>
      <c r="M43" s="47" t="s">
        <v>3669</v>
      </c>
      <c r="N43" s="62"/>
      <c r="O43" s="62"/>
      <c r="P43" s="11"/>
      <c r="Q43" s="10"/>
      <c r="R43" s="11"/>
      <c r="S43" s="11"/>
      <c r="T43" s="11"/>
      <c r="U43" s="11"/>
      <c r="V43" s="11"/>
      <c r="W43" s="59"/>
      <c r="X43" s="59"/>
      <c r="Y43" s="59"/>
      <c r="Z43" s="59"/>
      <c r="AA43" s="59"/>
      <c r="AB43" s="59"/>
      <c r="AC43" s="138"/>
      <c r="AD43" s="138"/>
      <c r="AE43" s="138"/>
      <c r="AF43" s="231"/>
      <c r="AG43" s="231"/>
      <c r="AH43" s="231"/>
      <c r="AI43" s="232"/>
      <c r="AJ43" s="19"/>
      <c r="AK43" s="23"/>
      <c r="AL43" s="23"/>
      <c r="AM43" s="23"/>
      <c r="AN43" s="43"/>
      <c r="AO43" s="150"/>
    </row>
    <row r="44" spans="1:41" ht="13.5" hidden="1" customHeight="1" x14ac:dyDescent="0.15">
      <c r="A44"/>
      <c r="B44" s="49" t="s">
        <v>741</v>
      </c>
      <c r="C44" s="9" t="s">
        <v>742</v>
      </c>
      <c r="D44" s="485">
        <v>1</v>
      </c>
      <c r="E44" s="486" t="str">
        <f t="shared" si="1"/>
        <v>Officiel H</v>
      </c>
      <c r="F44" s="12"/>
      <c r="G44" s="376"/>
      <c r="H44" s="14" t="s">
        <v>210</v>
      </c>
      <c r="I44" s="18">
        <v>22077</v>
      </c>
      <c r="J44" s="19" t="s">
        <v>2749</v>
      </c>
      <c r="K44" s="40" t="s">
        <v>1749</v>
      </c>
      <c r="L44" s="27" t="s">
        <v>1750</v>
      </c>
      <c r="M44" s="54" t="s">
        <v>5146</v>
      </c>
      <c r="N44" s="61"/>
      <c r="O44" s="61"/>
      <c r="P44" s="10"/>
      <c r="Q44" s="10" t="s">
        <v>2750</v>
      </c>
      <c r="R44" s="5"/>
      <c r="S44" s="53" t="s">
        <v>5003</v>
      </c>
      <c r="T44" s="53" t="s">
        <v>4998</v>
      </c>
      <c r="U44" s="11" t="s">
        <v>2811</v>
      </c>
      <c r="V44" s="11"/>
      <c r="W44" s="59" t="s">
        <v>2813</v>
      </c>
      <c r="X44" s="59" t="s">
        <v>292</v>
      </c>
      <c r="Y44" s="59" t="s">
        <v>1168</v>
      </c>
      <c r="Z44" s="59">
        <v>50</v>
      </c>
      <c r="AA44" s="59"/>
      <c r="AB44" s="59"/>
      <c r="AC44" s="138"/>
      <c r="AD44" s="138"/>
      <c r="AE44" s="138"/>
      <c r="AF44" s="231"/>
      <c r="AG44" s="231"/>
      <c r="AH44" s="231"/>
      <c r="AI44" s="232"/>
      <c r="AJ44" s="19"/>
      <c r="AK44" s="23" t="s">
        <v>1751</v>
      </c>
      <c r="AL44" s="23"/>
      <c r="AM44" s="23"/>
      <c r="AN44" s="43"/>
    </row>
    <row r="45" spans="1:41" ht="13.5" customHeight="1" x14ac:dyDescent="0.15">
      <c r="A45" s="699"/>
      <c r="B45" s="48" t="s">
        <v>4229</v>
      </c>
      <c r="C45" s="9" t="s">
        <v>4230</v>
      </c>
      <c r="D45" s="485">
        <v>7</v>
      </c>
      <c r="E45" s="486" t="str">
        <f t="shared" si="1"/>
        <v>U 11 Hommes</v>
      </c>
      <c r="F45" s="12" t="s">
        <v>4256</v>
      </c>
      <c r="G45" s="369"/>
      <c r="H45" s="13">
        <v>2026</v>
      </c>
      <c r="I45" s="18">
        <v>41826</v>
      </c>
      <c r="J45" s="19" t="s">
        <v>4237</v>
      </c>
      <c r="K45" s="40" t="s">
        <v>4240</v>
      </c>
      <c r="L45" s="10" t="s">
        <v>4241</v>
      </c>
      <c r="M45" s="47" t="s">
        <v>4242</v>
      </c>
      <c r="N45" s="62"/>
      <c r="O45" s="62"/>
      <c r="P45" s="11"/>
      <c r="Q45" s="10"/>
      <c r="R45" s="11"/>
      <c r="S45" s="11"/>
      <c r="T45" s="11"/>
      <c r="U45" s="11"/>
      <c r="V45" s="11"/>
      <c r="W45" s="59"/>
      <c r="X45" s="59"/>
      <c r="Y45" s="59"/>
      <c r="Z45" s="59"/>
      <c r="AA45" s="59"/>
      <c r="AB45" s="59"/>
      <c r="AC45" s="138"/>
      <c r="AD45" s="138"/>
      <c r="AE45" s="138"/>
      <c r="AF45" s="231"/>
      <c r="AG45" s="231"/>
      <c r="AH45" s="231"/>
      <c r="AI45" s="232"/>
      <c r="AJ45" s="19"/>
      <c r="AK45" s="23"/>
      <c r="AL45" s="23"/>
      <c r="AM45" s="23"/>
      <c r="AN45" s="43"/>
    </row>
    <row r="46" spans="1:41" ht="13.5" hidden="1" customHeight="1" x14ac:dyDescent="0.15">
      <c r="A46"/>
      <c r="B46" s="48" t="s">
        <v>4327</v>
      </c>
      <c r="C46" s="9" t="s">
        <v>4329</v>
      </c>
      <c r="D46" s="485">
        <v>8</v>
      </c>
      <c r="E46" s="486" t="str">
        <f t="shared" si="1"/>
        <v xml:space="preserve">U 9 Hommes </v>
      </c>
      <c r="F46" s="12" t="s">
        <v>4343</v>
      </c>
      <c r="G46" s="369"/>
      <c r="H46" s="13">
        <v>2030</v>
      </c>
      <c r="I46" s="18">
        <v>43143</v>
      </c>
      <c r="J46" s="19" t="s">
        <v>4336</v>
      </c>
      <c r="K46" s="40" t="s">
        <v>4338</v>
      </c>
      <c r="L46" s="10" t="s">
        <v>4339</v>
      </c>
      <c r="M46" s="47" t="s">
        <v>4340</v>
      </c>
      <c r="N46" s="62"/>
      <c r="O46" s="62"/>
      <c r="P46" s="11"/>
      <c r="Q46" s="10"/>
      <c r="R46" s="11"/>
      <c r="S46" s="11"/>
      <c r="T46" s="11"/>
      <c r="U46" s="11"/>
      <c r="V46" s="11"/>
      <c r="W46" s="59"/>
      <c r="X46" s="59"/>
      <c r="Y46" s="59"/>
      <c r="Z46" s="59"/>
      <c r="AA46" s="59"/>
      <c r="AB46" s="59"/>
      <c r="AC46" s="138"/>
      <c r="AD46" s="138"/>
      <c r="AE46" s="138"/>
      <c r="AF46" s="231"/>
      <c r="AG46" s="231"/>
      <c r="AH46" s="231"/>
      <c r="AI46" s="232"/>
      <c r="AJ46" s="19"/>
      <c r="AK46" s="23"/>
      <c r="AL46" s="23"/>
      <c r="AM46" s="23"/>
      <c r="AN46" s="43"/>
      <c r="AO46" s="150"/>
    </row>
    <row r="47" spans="1:41" ht="13.5" hidden="1" customHeight="1" x14ac:dyDescent="0.15">
      <c r="A47"/>
      <c r="B47" s="48" t="s">
        <v>4327</v>
      </c>
      <c r="C47" s="9" t="s">
        <v>1692</v>
      </c>
      <c r="D47" s="485">
        <v>21</v>
      </c>
      <c r="E47" s="486" t="str">
        <f t="shared" si="1"/>
        <v>U7 Mixte</v>
      </c>
      <c r="F47" s="12" t="s">
        <v>4344</v>
      </c>
      <c r="G47" s="369"/>
      <c r="H47" s="13">
        <v>2028</v>
      </c>
      <c r="I47" s="18">
        <v>44206</v>
      </c>
      <c r="J47" s="19" t="s">
        <v>4337</v>
      </c>
      <c r="K47" s="40" t="s">
        <v>4338</v>
      </c>
      <c r="L47" s="10" t="s">
        <v>4339</v>
      </c>
      <c r="M47" s="47" t="s">
        <v>4340</v>
      </c>
      <c r="N47" s="62"/>
      <c r="O47" s="62"/>
      <c r="P47" s="11"/>
      <c r="Q47" s="10"/>
      <c r="R47" s="11"/>
      <c r="S47" s="11"/>
      <c r="T47" s="11"/>
      <c r="U47" s="11"/>
      <c r="V47" s="11"/>
      <c r="W47" s="59"/>
      <c r="X47" s="59"/>
      <c r="Y47" s="59"/>
      <c r="Z47" s="59"/>
      <c r="AA47" s="59"/>
      <c r="AB47" s="59"/>
      <c r="AC47" s="138"/>
      <c r="AD47" s="138"/>
      <c r="AE47" s="138"/>
      <c r="AF47" s="231"/>
      <c r="AG47" s="231"/>
      <c r="AH47" s="231"/>
      <c r="AI47" s="232"/>
      <c r="AJ47" s="19"/>
      <c r="AK47" s="23"/>
      <c r="AL47" s="23"/>
      <c r="AM47" s="23"/>
      <c r="AN47" s="43"/>
    </row>
    <row r="48" spans="1:41" s="150" customFormat="1" ht="12.75" customHeight="1" x14ac:dyDescent="0.15">
      <c r="A48" s="701"/>
      <c r="B48" s="48" t="s">
        <v>5185</v>
      </c>
      <c r="C48" s="9" t="s">
        <v>1048</v>
      </c>
      <c r="D48" s="485">
        <v>15</v>
      </c>
      <c r="E48" s="486" t="str">
        <f t="shared" si="1"/>
        <v>U 13 Dames</v>
      </c>
      <c r="F48" s="12" t="s">
        <v>5284</v>
      </c>
      <c r="G48" s="386"/>
      <c r="H48" s="13">
        <v>2026</v>
      </c>
      <c r="I48" s="18">
        <v>41750</v>
      </c>
      <c r="J48" s="5" t="s">
        <v>5188</v>
      </c>
      <c r="K48" s="53"/>
      <c r="L48" s="20">
        <v>661501100</v>
      </c>
      <c r="M48" s="68" t="s">
        <v>5189</v>
      </c>
      <c r="N48" s="62"/>
      <c r="O48" s="62"/>
      <c r="P48" s="10"/>
      <c r="Q48" s="10"/>
      <c r="R48" s="13"/>
      <c r="S48" s="11"/>
      <c r="T48" s="11"/>
      <c r="U48" s="11"/>
      <c r="V48" s="11"/>
      <c r="W48" s="59"/>
      <c r="X48" s="59"/>
      <c r="Y48" s="59"/>
      <c r="Z48" s="59"/>
      <c r="AA48" s="59"/>
      <c r="AB48" s="59"/>
      <c r="AC48" s="138"/>
      <c r="AD48" s="138"/>
      <c r="AE48" s="138"/>
      <c r="AF48" s="231"/>
      <c r="AG48" s="231"/>
      <c r="AH48" s="231"/>
      <c r="AI48" s="232"/>
      <c r="AJ48" s="11"/>
      <c r="AK48" s="11"/>
      <c r="AL48" s="11"/>
      <c r="AM48" s="11"/>
      <c r="AN48" s="394"/>
      <c r="AO48"/>
    </row>
    <row r="49" spans="1:41" ht="12.75" hidden="1" customHeight="1" x14ac:dyDescent="0.15">
      <c r="A49"/>
      <c r="B49" s="48" t="s">
        <v>764</v>
      </c>
      <c r="C49" s="9" t="s">
        <v>765</v>
      </c>
      <c r="D49" s="485">
        <v>12</v>
      </c>
      <c r="E49" s="486" t="str">
        <f t="shared" si="1"/>
        <v>Dames</v>
      </c>
      <c r="F49" s="12" t="s">
        <v>2953</v>
      </c>
      <c r="G49" s="371"/>
      <c r="H49" s="71">
        <v>2030</v>
      </c>
      <c r="I49" s="18">
        <v>36634</v>
      </c>
      <c r="J49" s="19" t="s">
        <v>1775</v>
      </c>
      <c r="K49" s="40" t="s">
        <v>252</v>
      </c>
      <c r="L49" s="27" t="s">
        <v>1776</v>
      </c>
      <c r="M49" s="29" t="s">
        <v>1777</v>
      </c>
      <c r="N49" s="61"/>
      <c r="O49" s="61"/>
      <c r="P49" s="24"/>
      <c r="Q49" s="40" t="s">
        <v>4996</v>
      </c>
      <c r="R49" s="11"/>
      <c r="S49" s="11"/>
      <c r="T49" s="11"/>
      <c r="U49" s="11" t="s">
        <v>209</v>
      </c>
      <c r="V49" s="11"/>
      <c r="W49" s="59" t="s">
        <v>2813</v>
      </c>
      <c r="X49" s="59" t="s">
        <v>3151</v>
      </c>
      <c r="Y49" s="59"/>
      <c r="Z49" s="59"/>
      <c r="AA49" s="59"/>
      <c r="AB49" s="59"/>
      <c r="AC49" s="138"/>
      <c r="AD49" s="138"/>
      <c r="AE49" s="138"/>
      <c r="AF49" s="231"/>
      <c r="AG49" s="231"/>
      <c r="AH49" s="231"/>
      <c r="AI49" s="232"/>
      <c r="AJ49" s="19"/>
      <c r="AK49" s="23" t="s">
        <v>349</v>
      </c>
      <c r="AL49" s="23"/>
      <c r="AM49" s="23"/>
      <c r="AN49" s="43"/>
    </row>
    <row r="50" spans="1:41" ht="12.75" hidden="1" customHeight="1" x14ac:dyDescent="0.15">
      <c r="A50"/>
      <c r="B50" s="48" t="s">
        <v>764</v>
      </c>
      <c r="C50" s="9" t="s">
        <v>775</v>
      </c>
      <c r="D50" s="485">
        <v>12</v>
      </c>
      <c r="E50" s="486" t="str">
        <f t="shared" si="1"/>
        <v>Dames</v>
      </c>
      <c r="F50" s="12" t="s">
        <v>2954</v>
      </c>
      <c r="G50" s="376"/>
      <c r="H50" s="71">
        <v>2029</v>
      </c>
      <c r="I50" s="18">
        <v>32547</v>
      </c>
      <c r="J50" s="19" t="s">
        <v>3341</v>
      </c>
      <c r="K50" s="41"/>
      <c r="L50" s="27" t="s">
        <v>1778</v>
      </c>
      <c r="M50" s="26" t="s">
        <v>1779</v>
      </c>
      <c r="N50" s="62"/>
      <c r="O50" s="62"/>
      <c r="P50" s="24"/>
      <c r="Q50" s="10"/>
      <c r="R50" s="5"/>
      <c r="S50" s="11"/>
      <c r="T50" s="11"/>
      <c r="U50" s="11" t="s">
        <v>209</v>
      </c>
      <c r="V50" s="11"/>
      <c r="W50" s="59" t="s">
        <v>2813</v>
      </c>
      <c r="X50" s="59" t="s">
        <v>3151</v>
      </c>
      <c r="Y50" s="59"/>
      <c r="Z50" s="59">
        <v>50</v>
      </c>
      <c r="AA50" s="59"/>
      <c r="AB50" s="59"/>
      <c r="AC50" s="138"/>
      <c r="AD50" s="138"/>
      <c r="AE50" s="138"/>
      <c r="AF50" s="231"/>
      <c r="AG50" s="231"/>
      <c r="AH50" s="231"/>
      <c r="AI50" s="232"/>
      <c r="AJ50" s="19"/>
      <c r="AK50" s="23" t="s">
        <v>349</v>
      </c>
      <c r="AL50" s="23"/>
      <c r="AM50" s="23"/>
      <c r="AN50" s="43"/>
    </row>
    <row r="51" spans="1:41" ht="12.75" hidden="1" customHeight="1" x14ac:dyDescent="0.15">
      <c r="A51"/>
      <c r="B51" s="48" t="s">
        <v>2916</v>
      </c>
      <c r="C51" s="9" t="s">
        <v>974</v>
      </c>
      <c r="D51" s="485">
        <v>2</v>
      </c>
      <c r="E51" s="486" t="str">
        <f t="shared" si="1"/>
        <v>Seniors - Hommes</v>
      </c>
      <c r="F51" s="12" t="s">
        <v>2955</v>
      </c>
      <c r="G51" s="373"/>
      <c r="H51" s="62">
        <v>2029</v>
      </c>
      <c r="I51" s="18">
        <v>36187</v>
      </c>
      <c r="J51" s="19" t="s">
        <v>2117</v>
      </c>
      <c r="K51" s="40" t="s">
        <v>252</v>
      </c>
      <c r="L51" s="20" t="s">
        <v>3509</v>
      </c>
      <c r="M51" s="21" t="s">
        <v>2118</v>
      </c>
      <c r="N51" s="62"/>
      <c r="O51" s="62"/>
      <c r="P51" s="40" t="s">
        <v>1536</v>
      </c>
      <c r="Q51" s="10"/>
      <c r="R51" s="11"/>
      <c r="S51" s="11"/>
      <c r="T51" s="11"/>
      <c r="U51" s="11" t="s">
        <v>209</v>
      </c>
      <c r="V51" s="11"/>
      <c r="W51" s="59" t="s">
        <v>2813</v>
      </c>
      <c r="X51" s="59" t="s">
        <v>3151</v>
      </c>
      <c r="Y51" s="59"/>
      <c r="Z51" s="59"/>
      <c r="AA51" s="59"/>
      <c r="AB51" s="59"/>
      <c r="AC51" s="138"/>
      <c r="AD51" s="138"/>
      <c r="AE51" s="138"/>
      <c r="AF51" s="231"/>
      <c r="AG51" s="231"/>
      <c r="AH51" s="231"/>
      <c r="AI51" s="232"/>
      <c r="AJ51" s="19" t="s">
        <v>295</v>
      </c>
      <c r="AK51" s="23" t="s">
        <v>2119</v>
      </c>
      <c r="AL51" s="23"/>
      <c r="AM51" s="23"/>
      <c r="AN51" s="42" t="s">
        <v>2120</v>
      </c>
    </row>
    <row r="52" spans="1:41" ht="12.75" hidden="1" customHeight="1" x14ac:dyDescent="0.15">
      <c r="A52"/>
      <c r="B52" s="48" t="s">
        <v>4989</v>
      </c>
      <c r="C52" s="9" t="s">
        <v>1032</v>
      </c>
      <c r="D52" s="485">
        <v>18</v>
      </c>
      <c r="E52" s="486" t="str">
        <f t="shared" si="1"/>
        <v>U 9 Dames</v>
      </c>
      <c r="F52" s="217" t="s">
        <v>2805</v>
      </c>
      <c r="G52" s="373"/>
      <c r="H52" s="13">
        <v>2026</v>
      </c>
      <c r="I52" s="18">
        <v>42965</v>
      </c>
      <c r="J52" s="19" t="s">
        <v>4992</v>
      </c>
      <c r="K52" s="40"/>
      <c r="L52" s="10" t="s">
        <v>4993</v>
      </c>
      <c r="M52" s="47" t="s">
        <v>4994</v>
      </c>
      <c r="N52" s="62"/>
      <c r="O52" s="62"/>
      <c r="P52" s="11"/>
      <c r="Q52" s="10"/>
      <c r="R52" s="11"/>
      <c r="S52" s="11"/>
      <c r="T52" s="11"/>
      <c r="U52" s="11"/>
      <c r="V52" s="11"/>
      <c r="W52" s="59"/>
      <c r="X52" s="59"/>
      <c r="Y52" s="59"/>
      <c r="Z52" s="59"/>
      <c r="AA52" s="59"/>
      <c r="AB52" s="59"/>
      <c r="AC52" s="138"/>
      <c r="AD52" s="138"/>
      <c r="AE52" s="138"/>
      <c r="AF52" s="231"/>
      <c r="AG52" s="231"/>
      <c r="AH52" s="231"/>
      <c r="AI52" s="232"/>
      <c r="AJ52" s="19"/>
      <c r="AK52" s="23"/>
      <c r="AL52" s="23"/>
      <c r="AM52" s="23"/>
      <c r="AN52" s="43"/>
    </row>
    <row r="53" spans="1:41" ht="12.75" hidden="1" customHeight="1" x14ac:dyDescent="0.15">
      <c r="A53"/>
      <c r="B53" s="48" t="s">
        <v>3125</v>
      </c>
      <c r="C53" s="9" t="s">
        <v>212</v>
      </c>
      <c r="D53" s="485">
        <v>3</v>
      </c>
      <c r="E53" s="486" t="str">
        <f t="shared" si="1"/>
        <v>U 21 Hommes</v>
      </c>
      <c r="F53" s="12" t="s">
        <v>3221</v>
      </c>
      <c r="G53" s="369"/>
      <c r="H53" s="612">
        <v>2022</v>
      </c>
      <c r="I53" s="18">
        <v>39207</v>
      </c>
      <c r="J53" s="19" t="s">
        <v>3131</v>
      </c>
      <c r="K53" s="40" t="s">
        <v>252</v>
      </c>
      <c r="L53" s="10" t="s">
        <v>3132</v>
      </c>
      <c r="M53" s="47" t="s">
        <v>3135</v>
      </c>
      <c r="N53" s="62"/>
      <c r="O53" s="62"/>
      <c r="P53" s="11"/>
      <c r="Q53" s="10"/>
      <c r="R53" s="11"/>
      <c r="S53" s="11"/>
      <c r="T53" s="11"/>
      <c r="U53" s="11" t="s">
        <v>533</v>
      </c>
      <c r="V53" s="11"/>
      <c r="W53" s="69" t="s">
        <v>3163</v>
      </c>
      <c r="X53" s="59"/>
      <c r="Y53" s="59"/>
      <c r="Z53" s="67" t="s">
        <v>347</v>
      </c>
      <c r="AA53" s="59"/>
      <c r="AB53" s="59"/>
      <c r="AC53" s="138"/>
      <c r="AD53" s="138"/>
      <c r="AE53" s="138"/>
      <c r="AF53" s="231"/>
      <c r="AG53" s="231"/>
      <c r="AH53" s="231"/>
      <c r="AI53" s="232"/>
      <c r="AJ53" s="19"/>
      <c r="AK53" s="23"/>
      <c r="AL53" s="23"/>
      <c r="AM53" s="23"/>
      <c r="AN53" s="43"/>
    </row>
    <row r="54" spans="1:41" ht="12.75" hidden="1" customHeight="1" x14ac:dyDescent="0.15">
      <c r="A54"/>
      <c r="B54" s="48" t="s">
        <v>4079</v>
      </c>
      <c r="C54" s="9" t="s">
        <v>4081</v>
      </c>
      <c r="D54" s="485">
        <v>14</v>
      </c>
      <c r="E54" s="486" t="str">
        <f t="shared" si="1"/>
        <v>U 17 Dames</v>
      </c>
      <c r="F54" s="12" t="s">
        <v>4117</v>
      </c>
      <c r="G54" s="369"/>
      <c r="H54" s="36">
        <v>2024</v>
      </c>
      <c r="I54" s="18">
        <v>40030</v>
      </c>
      <c r="J54" s="19" t="s">
        <v>4088</v>
      </c>
      <c r="K54" s="40"/>
      <c r="L54" s="20">
        <v>691369017</v>
      </c>
      <c r="M54" s="47" t="s">
        <v>4089</v>
      </c>
      <c r="N54" s="62"/>
      <c r="O54" s="62"/>
      <c r="P54" s="11"/>
      <c r="Q54" s="10"/>
      <c r="R54" s="11"/>
      <c r="S54" s="11"/>
      <c r="T54" s="11"/>
      <c r="U54" s="11"/>
      <c r="V54" s="11"/>
      <c r="W54" s="59"/>
      <c r="X54" s="59"/>
      <c r="Y54" s="59"/>
      <c r="Z54" s="59"/>
      <c r="AA54" s="59"/>
      <c r="AB54" s="59"/>
      <c r="AC54" s="138"/>
      <c r="AD54" s="138"/>
      <c r="AE54" s="138"/>
      <c r="AF54" s="231"/>
      <c r="AG54" s="231"/>
      <c r="AH54" s="231"/>
      <c r="AI54" s="232"/>
      <c r="AJ54" s="19"/>
      <c r="AK54" s="23"/>
      <c r="AL54" s="23"/>
      <c r="AM54" s="23"/>
      <c r="AN54" s="43"/>
    </row>
    <row r="55" spans="1:41" ht="12.75" hidden="1" customHeight="1" x14ac:dyDescent="0.15">
      <c r="A55"/>
      <c r="B55" s="48" t="s">
        <v>776</v>
      </c>
      <c r="C55" s="9" t="s">
        <v>777</v>
      </c>
      <c r="D55" s="485">
        <v>9</v>
      </c>
      <c r="E55" s="486" t="str">
        <f t="shared" si="1"/>
        <v>Vétérans - Hommes</v>
      </c>
      <c r="F55" s="12" t="s">
        <v>2956</v>
      </c>
      <c r="G55" s="371"/>
      <c r="H55" s="14" t="s">
        <v>210</v>
      </c>
      <c r="I55" s="18">
        <v>21435</v>
      </c>
      <c r="J55" s="19" t="s">
        <v>1780</v>
      </c>
      <c r="K55" s="64" t="s">
        <v>1781</v>
      </c>
      <c r="L55" s="27" t="s">
        <v>1782</v>
      </c>
      <c r="M55" s="33" t="s">
        <v>1783</v>
      </c>
      <c r="N55" s="235"/>
      <c r="O55" s="235"/>
      <c r="P55" s="10" t="s">
        <v>1727</v>
      </c>
      <c r="Q55" s="10" t="s">
        <v>4996</v>
      </c>
      <c r="R55" s="5"/>
      <c r="S55" s="11"/>
      <c r="T55" s="53" t="s">
        <v>4997</v>
      </c>
      <c r="U55" s="11" t="s">
        <v>2811</v>
      </c>
      <c r="V55" s="11"/>
      <c r="W55" s="59" t="s">
        <v>2813</v>
      </c>
      <c r="X55" s="59" t="s">
        <v>292</v>
      </c>
      <c r="Y55" s="59" t="s">
        <v>1168</v>
      </c>
      <c r="Z55" s="59">
        <v>50</v>
      </c>
      <c r="AA55" s="59"/>
      <c r="AB55" s="59"/>
      <c r="AC55" s="138"/>
      <c r="AD55" s="138"/>
      <c r="AE55" s="138"/>
      <c r="AF55" s="231"/>
      <c r="AG55" s="231"/>
      <c r="AH55" s="231"/>
      <c r="AI55" s="232"/>
      <c r="AJ55" s="19"/>
      <c r="AK55" s="23" t="s">
        <v>1784</v>
      </c>
      <c r="AL55" s="23"/>
      <c r="AM55" s="23"/>
      <c r="AN55" s="43"/>
      <c r="AO55" s="150"/>
    </row>
    <row r="56" spans="1:41" ht="12.75" hidden="1" customHeight="1" x14ac:dyDescent="0.15">
      <c r="A56"/>
      <c r="B56" s="48" t="s">
        <v>3866</v>
      </c>
      <c r="C56" s="9" t="s">
        <v>3867</v>
      </c>
      <c r="D56" s="485">
        <v>5</v>
      </c>
      <c r="E56" s="486" t="str">
        <f t="shared" si="1"/>
        <v>U 15 Hommes</v>
      </c>
      <c r="F56" s="12" t="s">
        <v>3929</v>
      </c>
      <c r="G56" s="369"/>
      <c r="H56" s="36">
        <v>2024</v>
      </c>
      <c r="I56" s="18">
        <v>41140</v>
      </c>
      <c r="J56" s="19" t="s">
        <v>3871</v>
      </c>
      <c r="K56" s="40"/>
      <c r="L56" s="20">
        <v>621196555</v>
      </c>
      <c r="M56" s="47" t="s">
        <v>3873</v>
      </c>
      <c r="N56" s="62"/>
      <c r="O56" s="62"/>
      <c r="P56" s="11"/>
      <c r="Q56" s="10"/>
      <c r="R56" s="11"/>
      <c r="S56" s="11"/>
      <c r="T56" s="11"/>
      <c r="U56" s="11"/>
      <c r="V56" s="11"/>
      <c r="W56" s="59"/>
      <c r="X56" s="59"/>
      <c r="Y56" s="59"/>
      <c r="Z56" s="59"/>
      <c r="AA56" s="59"/>
      <c r="AB56" s="59"/>
      <c r="AC56" s="138"/>
      <c r="AD56" s="138"/>
      <c r="AE56" s="138"/>
      <c r="AF56" s="231"/>
      <c r="AG56" s="231"/>
      <c r="AH56" s="231"/>
      <c r="AI56" s="232" t="s">
        <v>3663</v>
      </c>
      <c r="AJ56" s="19"/>
      <c r="AK56" s="23"/>
      <c r="AL56" s="23"/>
      <c r="AM56" s="23"/>
      <c r="AN56" s="43"/>
    </row>
    <row r="57" spans="1:41" s="150" customFormat="1" ht="12.75" hidden="1" customHeight="1" x14ac:dyDescent="0.15">
      <c r="B57" s="48" t="s">
        <v>3934</v>
      </c>
      <c r="C57" s="9" t="s">
        <v>3936</v>
      </c>
      <c r="D57" s="485">
        <v>18</v>
      </c>
      <c r="E57" s="486" t="str">
        <f t="shared" si="1"/>
        <v>U 9 Dames</v>
      </c>
      <c r="F57" s="12" t="s">
        <v>4001</v>
      </c>
      <c r="G57" s="369"/>
      <c r="H57" s="615">
        <v>2025</v>
      </c>
      <c r="I57" s="18">
        <v>43301</v>
      </c>
      <c r="J57" s="46" t="s">
        <v>3941</v>
      </c>
      <c r="K57" s="40" t="s">
        <v>3942</v>
      </c>
      <c r="L57" s="64" t="s">
        <v>4153</v>
      </c>
      <c r="M57" s="47" t="s">
        <v>3943</v>
      </c>
      <c r="N57" s="62"/>
      <c r="O57" s="62"/>
      <c r="P57" s="11"/>
      <c r="Q57" s="10"/>
      <c r="R57" s="11"/>
      <c r="S57" s="11"/>
      <c r="T57" s="11"/>
      <c r="U57" s="11"/>
      <c r="V57" s="11"/>
      <c r="W57" s="59"/>
      <c r="X57" s="59"/>
      <c r="Y57" s="59"/>
      <c r="Z57" s="59"/>
      <c r="AA57" s="59"/>
      <c r="AB57" s="59"/>
      <c r="AC57" s="138"/>
      <c r="AD57" s="138"/>
      <c r="AE57" s="138"/>
      <c r="AF57" s="231"/>
      <c r="AG57" s="231"/>
      <c r="AH57" s="231"/>
      <c r="AI57" s="232"/>
      <c r="AJ57" s="19"/>
      <c r="AK57" s="23"/>
      <c r="AL57" s="23"/>
      <c r="AM57" s="23"/>
      <c r="AN57" s="43"/>
    </row>
    <row r="58" spans="1:41" ht="12.75" hidden="1" customHeight="1" x14ac:dyDescent="0.15">
      <c r="A58"/>
      <c r="B58" s="48" t="s">
        <v>4095</v>
      </c>
      <c r="C58" s="9" t="s">
        <v>415</v>
      </c>
      <c r="D58" s="485">
        <v>2</v>
      </c>
      <c r="E58" s="486" t="str">
        <f t="shared" si="1"/>
        <v>Seniors - Hommes</v>
      </c>
      <c r="F58" s="12" t="s">
        <v>4118</v>
      </c>
      <c r="G58" s="369"/>
      <c r="H58" s="36">
        <v>2024</v>
      </c>
      <c r="I58" s="18">
        <v>34415</v>
      </c>
      <c r="J58" s="19" t="s">
        <v>4098</v>
      </c>
      <c r="K58" s="40"/>
      <c r="L58" s="20">
        <v>691315400</v>
      </c>
      <c r="M58" s="47" t="s">
        <v>4099</v>
      </c>
      <c r="N58" s="62"/>
      <c r="O58" s="62"/>
      <c r="P58" s="11"/>
      <c r="Q58" s="10"/>
      <c r="R58" s="11"/>
      <c r="S58" s="11"/>
      <c r="T58" s="11"/>
      <c r="U58" s="11"/>
      <c r="V58" s="11"/>
      <c r="W58" s="59"/>
      <c r="X58" s="59"/>
      <c r="Y58" s="59"/>
      <c r="Z58" s="59"/>
      <c r="AA58" s="59"/>
      <c r="AB58" s="59"/>
      <c r="AC58" s="138"/>
      <c r="AD58" s="138"/>
      <c r="AE58" s="138"/>
      <c r="AF58" s="231"/>
      <c r="AG58" s="231"/>
      <c r="AH58" s="231"/>
      <c r="AI58" s="232"/>
      <c r="AJ58" s="19"/>
      <c r="AK58" s="23"/>
      <c r="AL58" s="23"/>
      <c r="AM58" s="23"/>
      <c r="AN58" s="43"/>
    </row>
    <row r="59" spans="1:41" ht="12.75" customHeight="1" x14ac:dyDescent="0.15">
      <c r="A59" s="699"/>
      <c r="B59" s="48" t="s">
        <v>4830</v>
      </c>
      <c r="C59" s="9" t="s">
        <v>467</v>
      </c>
      <c r="D59" s="485">
        <v>3</v>
      </c>
      <c r="E59" s="486" t="str">
        <f t="shared" ref="E59:E96" si="2">VLOOKUP(D59,CAT_JOUEUR,2,FALSE)</f>
        <v>U 21 Hommes</v>
      </c>
      <c r="F59" s="12" t="s">
        <v>4847</v>
      </c>
      <c r="G59" s="369"/>
      <c r="H59" s="13">
        <v>2026</v>
      </c>
      <c r="I59" s="18">
        <v>39054</v>
      </c>
      <c r="J59" s="19" t="s">
        <v>4833</v>
      </c>
      <c r="K59" s="40"/>
      <c r="L59" s="20">
        <v>621489964</v>
      </c>
      <c r="M59" s="47" t="s">
        <v>4834</v>
      </c>
      <c r="N59" s="62"/>
      <c r="O59" s="62"/>
      <c r="P59" s="11"/>
      <c r="Q59" s="10"/>
      <c r="R59" s="11"/>
      <c r="S59" s="11"/>
      <c r="T59" s="11"/>
      <c r="U59" s="11"/>
      <c r="V59" s="11"/>
      <c r="W59" s="59"/>
      <c r="X59" s="59"/>
      <c r="Y59" s="59"/>
      <c r="Z59" s="59"/>
      <c r="AA59" s="59"/>
      <c r="AB59" s="59"/>
      <c r="AC59" s="138"/>
      <c r="AD59" s="138"/>
      <c r="AE59" s="138"/>
      <c r="AF59" s="231"/>
      <c r="AG59" s="231"/>
      <c r="AH59" s="231"/>
      <c r="AI59" s="232"/>
      <c r="AJ59" s="19"/>
      <c r="AK59" s="23"/>
      <c r="AL59" s="23"/>
      <c r="AM59" s="23"/>
      <c r="AN59" s="43"/>
    </row>
    <row r="60" spans="1:41" ht="12.75" hidden="1" customHeight="1" x14ac:dyDescent="0.15">
      <c r="A60"/>
      <c r="B60" s="48" t="s">
        <v>3881</v>
      </c>
      <c r="C60" s="9" t="s">
        <v>4292</v>
      </c>
      <c r="D60" s="485">
        <v>18</v>
      </c>
      <c r="E60" s="486" t="str">
        <f t="shared" si="2"/>
        <v>U 9 Dames</v>
      </c>
      <c r="F60" s="12" t="s">
        <v>4324</v>
      </c>
      <c r="G60" s="369"/>
      <c r="H60" s="13">
        <v>2028</v>
      </c>
      <c r="I60" s="18">
        <v>42538</v>
      </c>
      <c r="J60" s="19" t="s">
        <v>4294</v>
      </c>
      <c r="K60" s="40" t="s">
        <v>3887</v>
      </c>
      <c r="L60" s="10" t="s">
        <v>3888</v>
      </c>
      <c r="M60" s="47" t="s">
        <v>3889</v>
      </c>
      <c r="N60" s="62"/>
      <c r="O60" s="62"/>
      <c r="P60" s="11"/>
      <c r="Q60" s="10"/>
      <c r="R60" s="11"/>
      <c r="S60" s="11"/>
      <c r="T60" s="11"/>
      <c r="U60" s="11"/>
      <c r="V60" s="11"/>
      <c r="W60" s="59"/>
      <c r="X60" s="59"/>
      <c r="Y60" s="59"/>
      <c r="Z60" s="59"/>
      <c r="AA60" s="59"/>
      <c r="AB60" s="59"/>
      <c r="AC60" s="138"/>
      <c r="AD60" s="138"/>
      <c r="AE60" s="138"/>
      <c r="AF60" s="231"/>
      <c r="AG60" s="231"/>
      <c r="AH60" s="231"/>
      <c r="AI60" s="232"/>
      <c r="AJ60" s="19"/>
      <c r="AK60" s="23"/>
      <c r="AL60" s="23"/>
      <c r="AM60" s="23"/>
      <c r="AN60" s="43"/>
    </row>
    <row r="61" spans="1:41" s="150" customFormat="1" ht="12.75" customHeight="1" x14ac:dyDescent="0.15">
      <c r="A61" s="701"/>
      <c r="B61" s="48" t="s">
        <v>3881</v>
      </c>
      <c r="C61" s="9" t="s">
        <v>3883</v>
      </c>
      <c r="D61" s="485">
        <v>21</v>
      </c>
      <c r="E61" s="486" t="str">
        <f t="shared" si="2"/>
        <v>U7 Mixte</v>
      </c>
      <c r="F61" s="12" t="s">
        <v>3930</v>
      </c>
      <c r="G61" s="369"/>
      <c r="H61" s="13">
        <v>2026</v>
      </c>
      <c r="I61" s="18">
        <v>43588</v>
      </c>
      <c r="J61" s="19" t="s">
        <v>3886</v>
      </c>
      <c r="K61" s="40" t="s">
        <v>3887</v>
      </c>
      <c r="L61" s="10" t="s">
        <v>3888</v>
      </c>
      <c r="M61" s="47" t="s">
        <v>3889</v>
      </c>
      <c r="N61" s="62"/>
      <c r="O61" s="62"/>
      <c r="P61" s="11"/>
      <c r="Q61" s="10"/>
      <c r="R61" s="11"/>
      <c r="S61" s="11"/>
      <c r="T61" s="11"/>
      <c r="U61" s="11"/>
      <c r="V61" s="11"/>
      <c r="W61" s="59"/>
      <c r="X61" s="59"/>
      <c r="Y61" s="59"/>
      <c r="Z61" s="59"/>
      <c r="AA61" s="59"/>
      <c r="AB61" s="59"/>
      <c r="AC61" s="138"/>
      <c r="AD61" s="138"/>
      <c r="AE61" s="138"/>
      <c r="AF61" s="231"/>
      <c r="AG61" s="231"/>
      <c r="AH61" s="231"/>
      <c r="AI61" s="232"/>
      <c r="AJ61" s="19"/>
      <c r="AK61" s="23"/>
      <c r="AL61" s="23"/>
      <c r="AM61" s="23"/>
      <c r="AN61" s="43"/>
      <c r="AO61"/>
    </row>
    <row r="62" spans="1:41" ht="12.75" hidden="1" customHeight="1" x14ac:dyDescent="0.15">
      <c r="A62"/>
      <c r="B62" s="48" t="s">
        <v>5089</v>
      </c>
      <c r="C62" s="9" t="s">
        <v>5090</v>
      </c>
      <c r="D62" s="485">
        <v>18</v>
      </c>
      <c r="E62" s="486" t="str">
        <f t="shared" si="2"/>
        <v>U 9 Dames</v>
      </c>
      <c r="F62" s="12" t="s">
        <v>5122</v>
      </c>
      <c r="G62" s="369"/>
      <c r="H62" s="13">
        <v>2028</v>
      </c>
      <c r="I62" s="18">
        <v>44213</v>
      </c>
      <c r="J62" s="5" t="s">
        <v>5096</v>
      </c>
      <c r="K62" s="53" t="s">
        <v>5097</v>
      </c>
      <c r="L62" s="10" t="s">
        <v>5098</v>
      </c>
      <c r="M62" s="68" t="s">
        <v>5099</v>
      </c>
      <c r="N62" s="62"/>
      <c r="O62" s="62"/>
      <c r="P62" s="10"/>
      <c r="Q62" s="10"/>
      <c r="R62" s="13"/>
      <c r="S62" s="11"/>
      <c r="T62" s="11"/>
      <c r="U62" s="11"/>
      <c r="V62" s="11"/>
      <c r="W62" s="59"/>
      <c r="X62" s="59"/>
      <c r="Y62" s="59"/>
      <c r="Z62" s="59"/>
      <c r="AA62" s="59"/>
      <c r="AB62" s="59"/>
      <c r="AC62" s="138"/>
      <c r="AD62" s="138"/>
      <c r="AE62" s="138"/>
      <c r="AF62" s="231"/>
      <c r="AG62" s="231"/>
      <c r="AH62" s="231"/>
      <c r="AI62" s="232"/>
      <c r="AJ62" s="11"/>
      <c r="AK62" s="11"/>
      <c r="AL62" s="11"/>
      <c r="AM62" s="11"/>
      <c r="AN62" s="394"/>
    </row>
    <row r="63" spans="1:41" s="150" customFormat="1" ht="12.75" hidden="1" customHeight="1" x14ac:dyDescent="0.15">
      <c r="B63" s="48" t="s">
        <v>792</v>
      </c>
      <c r="C63" s="9" t="s">
        <v>793</v>
      </c>
      <c r="D63" s="485">
        <v>9</v>
      </c>
      <c r="E63" s="486" t="str">
        <f t="shared" si="2"/>
        <v>Vétérans - Hommes</v>
      </c>
      <c r="F63" s="12" t="s">
        <v>3919</v>
      </c>
      <c r="G63" s="373"/>
      <c r="H63" s="13">
        <v>2028</v>
      </c>
      <c r="I63" s="18">
        <v>30636</v>
      </c>
      <c r="J63" s="19" t="s">
        <v>3789</v>
      </c>
      <c r="K63" s="40"/>
      <c r="L63" s="20">
        <v>691531253</v>
      </c>
      <c r="M63" s="47" t="s">
        <v>1805</v>
      </c>
      <c r="N63" s="62"/>
      <c r="O63" s="62"/>
      <c r="P63" s="11"/>
      <c r="Q63" s="10"/>
      <c r="R63" s="11"/>
      <c r="S63" s="11"/>
      <c r="T63" s="11"/>
      <c r="U63" s="11"/>
      <c r="V63" s="11"/>
      <c r="W63" s="59"/>
      <c r="X63" s="59"/>
      <c r="Y63" s="59"/>
      <c r="Z63" s="59"/>
      <c r="AA63" s="59"/>
      <c r="AB63" s="59"/>
      <c r="AC63" s="138"/>
      <c r="AD63" s="138"/>
      <c r="AE63" s="138"/>
      <c r="AF63" s="231"/>
      <c r="AG63" s="231"/>
      <c r="AH63" s="231"/>
      <c r="AI63" s="232"/>
      <c r="AJ63" s="19"/>
      <c r="AK63" s="23"/>
      <c r="AL63" s="23"/>
      <c r="AM63" s="23"/>
      <c r="AN63" s="43"/>
    </row>
    <row r="64" spans="1:41" s="150" customFormat="1" ht="12.75" hidden="1" customHeight="1" x14ac:dyDescent="0.15">
      <c r="B64" s="48" t="s">
        <v>792</v>
      </c>
      <c r="C64" s="9" t="s">
        <v>588</v>
      </c>
      <c r="D64" s="485">
        <v>12</v>
      </c>
      <c r="E64" s="486" t="str">
        <f t="shared" si="2"/>
        <v>Dames</v>
      </c>
      <c r="F64" s="12" t="s">
        <v>5282</v>
      </c>
      <c r="G64" s="386" t="s">
        <v>5173</v>
      </c>
      <c r="H64" s="13">
        <v>2032</v>
      </c>
      <c r="I64" s="18">
        <v>33701</v>
      </c>
      <c r="J64" s="5" t="s">
        <v>5267</v>
      </c>
      <c r="K64" s="53"/>
      <c r="L64" s="20">
        <v>691226319</v>
      </c>
      <c r="M64" s="68" t="s">
        <v>1809</v>
      </c>
      <c r="N64" s="62"/>
      <c r="O64" s="62"/>
      <c r="P64" s="10"/>
      <c r="Q64" s="10"/>
      <c r="R64" s="13"/>
      <c r="S64" s="11"/>
      <c r="T64" s="11"/>
      <c r="U64" s="11"/>
      <c r="V64" s="11"/>
      <c r="W64" s="59"/>
      <c r="X64" s="59"/>
      <c r="Y64" s="59"/>
      <c r="Z64" s="59"/>
      <c r="AA64" s="59"/>
      <c r="AB64" s="59"/>
      <c r="AC64" s="138"/>
      <c r="AD64" s="138"/>
      <c r="AE64" s="138"/>
      <c r="AF64" s="231"/>
      <c r="AG64" s="231"/>
      <c r="AH64" s="231"/>
      <c r="AI64" s="232"/>
      <c r="AJ64" s="11"/>
      <c r="AK64" s="11"/>
      <c r="AL64" s="11"/>
      <c r="AM64" s="11"/>
      <c r="AN64" s="394"/>
      <c r="AO64"/>
    </row>
    <row r="65" spans="1:41" ht="12.75" hidden="1" customHeight="1" x14ac:dyDescent="0.15">
      <c r="A65"/>
      <c r="B65" s="50" t="s">
        <v>792</v>
      </c>
      <c r="C65" s="51" t="s">
        <v>796</v>
      </c>
      <c r="D65" s="485">
        <v>9</v>
      </c>
      <c r="E65" s="486" t="str">
        <f t="shared" si="2"/>
        <v>Vétérans - Hommes</v>
      </c>
      <c r="F65" s="55" t="s">
        <v>2958</v>
      </c>
      <c r="G65" s="376"/>
      <c r="H65" s="34">
        <v>2027</v>
      </c>
      <c r="I65" s="18">
        <v>29993</v>
      </c>
      <c r="J65" s="19" t="s">
        <v>1806</v>
      </c>
      <c r="K65" s="40" t="s">
        <v>3527</v>
      </c>
      <c r="L65" s="27" t="s">
        <v>1807</v>
      </c>
      <c r="M65" s="28" t="s">
        <v>1808</v>
      </c>
      <c r="N65" s="61"/>
      <c r="O65" s="61"/>
      <c r="P65" s="24"/>
      <c r="Q65" s="10" t="s">
        <v>3381</v>
      </c>
      <c r="R65" s="11"/>
      <c r="S65" s="11"/>
      <c r="T65" s="11"/>
      <c r="U65" s="11" t="s">
        <v>1455</v>
      </c>
      <c r="V65" s="11"/>
      <c r="W65" s="59" t="s">
        <v>292</v>
      </c>
      <c r="X65" s="59" t="s">
        <v>292</v>
      </c>
      <c r="Y65" s="59" t="s">
        <v>1168</v>
      </c>
      <c r="Z65" s="59" t="s">
        <v>1455</v>
      </c>
      <c r="AA65" s="59"/>
      <c r="AB65" s="59"/>
      <c r="AC65" s="138"/>
      <c r="AD65" s="138"/>
      <c r="AE65" s="138"/>
      <c r="AF65" s="231"/>
      <c r="AG65" s="231"/>
      <c r="AH65" s="231"/>
      <c r="AI65" s="232"/>
      <c r="AJ65" s="19"/>
      <c r="AK65" s="23" t="s">
        <v>1141</v>
      </c>
      <c r="AL65" s="23"/>
      <c r="AM65" s="23"/>
      <c r="AN65" s="43"/>
    </row>
    <row r="66" spans="1:41" s="150" customFormat="1" ht="12.75" hidden="1" customHeight="1" x14ac:dyDescent="0.15">
      <c r="B66" s="48" t="s">
        <v>822</v>
      </c>
      <c r="C66" s="9" t="s">
        <v>824</v>
      </c>
      <c r="D66" s="485">
        <v>2</v>
      </c>
      <c r="E66" s="486" t="str">
        <f t="shared" si="2"/>
        <v>Seniors - Hommes</v>
      </c>
      <c r="F66" s="12" t="s">
        <v>2959</v>
      </c>
      <c r="G66" s="371"/>
      <c r="H66" s="71">
        <v>2032</v>
      </c>
      <c r="I66" s="18">
        <v>37321</v>
      </c>
      <c r="J66" s="19" t="s">
        <v>1813</v>
      </c>
      <c r="K66" s="40"/>
      <c r="L66" s="27" t="s">
        <v>4641</v>
      </c>
      <c r="M66" s="29" t="s">
        <v>1817</v>
      </c>
      <c r="N66" s="61"/>
      <c r="O66" s="61"/>
      <c r="P66" s="5"/>
      <c r="Q66" s="10"/>
      <c r="R66" s="11"/>
      <c r="S66" s="11"/>
      <c r="T66" s="11"/>
      <c r="U66" s="11" t="s">
        <v>420</v>
      </c>
      <c r="V66" s="11"/>
      <c r="W66" s="59" t="s">
        <v>2813</v>
      </c>
      <c r="X66" s="59" t="s">
        <v>292</v>
      </c>
      <c r="Y66" s="59" t="s">
        <v>1168</v>
      </c>
      <c r="Z66" s="59">
        <v>150</v>
      </c>
      <c r="AA66" s="59"/>
      <c r="AB66" s="59"/>
      <c r="AC66" s="138"/>
      <c r="AD66" s="138"/>
      <c r="AE66" s="138"/>
      <c r="AF66" s="231"/>
      <c r="AG66" s="231"/>
      <c r="AH66" s="231"/>
      <c r="AI66" s="232"/>
      <c r="AJ66" s="19" t="s">
        <v>295</v>
      </c>
      <c r="AK66" s="23">
        <v>1</v>
      </c>
      <c r="AL66" s="23"/>
      <c r="AM66" s="23"/>
      <c r="AN66" s="43"/>
      <c r="AO66"/>
    </row>
    <row r="67" spans="1:41" ht="12.75" customHeight="1" x14ac:dyDescent="0.15">
      <c r="A67" s="699"/>
      <c r="B67" s="48" t="s">
        <v>4103</v>
      </c>
      <c r="C67" s="9" t="s">
        <v>4104</v>
      </c>
      <c r="D67" s="485">
        <v>12</v>
      </c>
      <c r="E67" s="486" t="str">
        <f t="shared" si="2"/>
        <v>Dames</v>
      </c>
      <c r="F67" s="12" t="s">
        <v>4132</v>
      </c>
      <c r="G67" s="369"/>
      <c r="H67" s="13">
        <v>2026</v>
      </c>
      <c r="I67" s="18">
        <v>35294</v>
      </c>
      <c r="J67" s="19" t="s">
        <v>4106</v>
      </c>
      <c r="K67" s="40"/>
      <c r="L67" s="20">
        <v>621508500</v>
      </c>
      <c r="M67" s="47" t="s">
        <v>4107</v>
      </c>
      <c r="N67" s="62"/>
      <c r="O67" s="62"/>
      <c r="P67" s="11"/>
      <c r="Q67" s="10"/>
      <c r="R67" s="11"/>
      <c r="S67" s="11"/>
      <c r="T67" s="11"/>
      <c r="U67" s="11"/>
      <c r="V67" s="11"/>
      <c r="W67" s="59"/>
      <c r="X67" s="59"/>
      <c r="Y67" s="59"/>
      <c r="Z67" s="59"/>
      <c r="AA67" s="59"/>
      <c r="AB67" s="59"/>
      <c r="AC67" s="138"/>
      <c r="AD67" s="138"/>
      <c r="AE67" s="138"/>
      <c r="AF67" s="231"/>
      <c r="AG67" s="231"/>
      <c r="AH67" s="231"/>
      <c r="AI67" s="232"/>
      <c r="AJ67" s="19"/>
      <c r="AK67" s="23"/>
      <c r="AL67" s="23"/>
      <c r="AM67" s="23"/>
      <c r="AN67" s="43"/>
    </row>
    <row r="68" spans="1:41" ht="12.75" hidden="1" customHeight="1" x14ac:dyDescent="0.15">
      <c r="A68"/>
      <c r="B68" s="48" t="s">
        <v>4167</v>
      </c>
      <c r="C68" s="9" t="s">
        <v>4643</v>
      </c>
      <c r="D68" s="485">
        <v>21</v>
      </c>
      <c r="E68" s="486" t="str">
        <f t="shared" si="2"/>
        <v>U7 Mixte</v>
      </c>
      <c r="F68" s="12" t="s">
        <v>4790</v>
      </c>
      <c r="G68" s="369"/>
      <c r="H68" s="13">
        <v>2028</v>
      </c>
      <c r="I68" s="18">
        <v>44345</v>
      </c>
      <c r="J68" s="19" t="s">
        <v>4644</v>
      </c>
      <c r="K68" s="40"/>
      <c r="L68" s="20">
        <v>621482493</v>
      </c>
      <c r="M68" s="47" t="s">
        <v>4173</v>
      </c>
      <c r="N68" s="62"/>
      <c r="O68" s="62"/>
      <c r="P68" s="11"/>
      <c r="Q68" s="10"/>
      <c r="R68" s="11"/>
      <c r="S68" s="11"/>
      <c r="T68" s="11"/>
      <c r="U68" s="11"/>
      <c r="V68" s="11"/>
      <c r="W68" s="59"/>
      <c r="X68" s="59"/>
      <c r="Y68" s="59"/>
      <c r="Z68" s="59"/>
      <c r="AA68" s="59"/>
      <c r="AB68" s="59"/>
      <c r="AC68" s="138"/>
      <c r="AD68" s="138"/>
      <c r="AE68" s="138"/>
      <c r="AF68" s="231"/>
      <c r="AG68" s="231"/>
      <c r="AH68" s="231"/>
      <c r="AI68" s="232"/>
      <c r="AJ68" s="19"/>
      <c r="AK68" s="23"/>
      <c r="AL68" s="23"/>
      <c r="AM68" s="23"/>
      <c r="AN68" s="43"/>
    </row>
    <row r="69" spans="1:41" ht="12.75" customHeight="1" x14ac:dyDescent="0.15">
      <c r="A69" s="699"/>
      <c r="B69" s="48" t="s">
        <v>4167</v>
      </c>
      <c r="C69" s="9" t="s">
        <v>4169</v>
      </c>
      <c r="D69" s="485">
        <v>21</v>
      </c>
      <c r="E69" s="486" t="str">
        <f t="shared" si="2"/>
        <v>U7 Mixte</v>
      </c>
      <c r="F69" s="12" t="s">
        <v>4271</v>
      </c>
      <c r="G69" s="369"/>
      <c r="H69" s="13">
        <v>2026</v>
      </c>
      <c r="I69" s="18">
        <v>43810</v>
      </c>
      <c r="J69" s="19" t="s">
        <v>4613</v>
      </c>
      <c r="K69" s="40"/>
      <c r="L69" s="20">
        <v>621482493</v>
      </c>
      <c r="M69" s="47" t="s">
        <v>4173</v>
      </c>
      <c r="N69" s="62"/>
      <c r="O69" s="62"/>
      <c r="P69" s="11"/>
      <c r="Q69" s="10"/>
      <c r="R69" s="11"/>
      <c r="S69" s="11"/>
      <c r="T69" s="11"/>
      <c r="U69" s="11"/>
      <c r="V69" s="11"/>
      <c r="W69" s="59"/>
      <c r="X69" s="59"/>
      <c r="Y69" s="59"/>
      <c r="Z69" s="59"/>
      <c r="AA69" s="59"/>
      <c r="AB69" s="59"/>
      <c r="AC69" s="138"/>
      <c r="AD69" s="138"/>
      <c r="AE69" s="138"/>
      <c r="AF69" s="231"/>
      <c r="AG69" s="231"/>
      <c r="AH69" s="231"/>
      <c r="AI69" s="232"/>
      <c r="AJ69" s="19"/>
      <c r="AK69" s="23"/>
      <c r="AL69" s="23"/>
      <c r="AM69" s="23"/>
      <c r="AN69" s="43"/>
      <c r="AO69" s="150"/>
    </row>
    <row r="70" spans="1:41" s="150" customFormat="1" ht="12.75" hidden="1" customHeight="1" x14ac:dyDescent="0.15">
      <c r="B70" s="48" t="s">
        <v>4167</v>
      </c>
      <c r="C70" s="9" t="s">
        <v>4168</v>
      </c>
      <c r="D70" s="485">
        <v>8</v>
      </c>
      <c r="E70" s="486" t="str">
        <f t="shared" si="2"/>
        <v xml:space="preserve">U 9 Hommes </v>
      </c>
      <c r="F70" s="12" t="s">
        <v>4272</v>
      </c>
      <c r="G70" s="369"/>
      <c r="H70" s="13">
        <v>2029</v>
      </c>
      <c r="I70" s="18">
        <v>43094</v>
      </c>
      <c r="J70" s="19" t="s">
        <v>4612</v>
      </c>
      <c r="K70" s="40" t="s">
        <v>252</v>
      </c>
      <c r="L70" s="20">
        <v>621482493</v>
      </c>
      <c r="M70" s="47" t="s">
        <v>4173</v>
      </c>
      <c r="N70" s="62"/>
      <c r="O70" s="62"/>
      <c r="P70" s="11"/>
      <c r="Q70" s="10"/>
      <c r="R70" s="11"/>
      <c r="S70" s="11"/>
      <c r="T70" s="11"/>
      <c r="U70" s="11"/>
      <c r="V70" s="11"/>
      <c r="W70" s="59"/>
      <c r="X70" s="59"/>
      <c r="Y70" s="59"/>
      <c r="Z70" s="59"/>
      <c r="AA70" s="59"/>
      <c r="AB70" s="59"/>
      <c r="AC70" s="138"/>
      <c r="AD70" s="138"/>
      <c r="AE70" s="138"/>
      <c r="AF70" s="231"/>
      <c r="AG70" s="231"/>
      <c r="AH70" s="231"/>
      <c r="AI70" s="232"/>
      <c r="AJ70" s="19"/>
      <c r="AK70" s="23"/>
      <c r="AL70" s="23"/>
      <c r="AM70" s="23"/>
      <c r="AN70" s="43"/>
    </row>
    <row r="71" spans="1:41" s="150" customFormat="1" ht="12.75" customHeight="1" x14ac:dyDescent="0.15">
      <c r="A71" s="708" t="s">
        <v>5503</v>
      </c>
      <c r="B71" s="48" t="s">
        <v>1822</v>
      </c>
      <c r="C71" s="9" t="s">
        <v>5415</v>
      </c>
      <c r="D71" s="485">
        <v>2</v>
      </c>
      <c r="E71" s="486" t="str">
        <f t="shared" si="2"/>
        <v>Seniors - Hommes</v>
      </c>
      <c r="F71" s="12" t="s">
        <v>5433</v>
      </c>
      <c r="G71" s="704" t="s">
        <v>5491</v>
      </c>
      <c r="H71" s="13">
        <v>2026</v>
      </c>
      <c r="I71" s="18">
        <v>33659</v>
      </c>
      <c r="J71" s="5" t="s">
        <v>5413</v>
      </c>
      <c r="K71" s="53"/>
      <c r="L71" s="20">
        <v>691251992</v>
      </c>
      <c r="M71" s="68" t="s">
        <v>5414</v>
      </c>
      <c r="N71" s="62"/>
      <c r="O71" s="62"/>
      <c r="P71" s="10"/>
      <c r="Q71" s="10"/>
      <c r="R71" s="13"/>
      <c r="S71" s="11"/>
      <c r="T71" s="11"/>
      <c r="U71" s="11"/>
      <c r="V71" s="11"/>
      <c r="W71" s="59"/>
      <c r="X71" s="59"/>
      <c r="Y71" s="59"/>
      <c r="Z71" s="59"/>
      <c r="AA71" s="59"/>
      <c r="AB71" s="59"/>
      <c r="AC71" s="138"/>
      <c r="AD71" s="138"/>
      <c r="AE71" s="138"/>
      <c r="AF71" s="231"/>
      <c r="AG71" s="231"/>
      <c r="AH71" s="231"/>
      <c r="AI71" s="232"/>
      <c r="AJ71" s="11"/>
      <c r="AK71" s="11"/>
      <c r="AL71" s="11"/>
      <c r="AM71" s="11"/>
      <c r="AN71" s="394"/>
      <c r="AO71"/>
    </row>
    <row r="72" spans="1:41" s="150" customFormat="1" ht="12.75" hidden="1" customHeight="1" x14ac:dyDescent="0.15">
      <c r="B72" s="48" t="s">
        <v>1824</v>
      </c>
      <c r="C72" s="9" t="s">
        <v>1825</v>
      </c>
      <c r="D72" s="485">
        <v>16</v>
      </c>
      <c r="E72" s="486" t="str">
        <f t="shared" si="2"/>
        <v>U15 Dames</v>
      </c>
      <c r="F72" s="12" t="s">
        <v>2961</v>
      </c>
      <c r="G72" s="369"/>
      <c r="H72" s="612">
        <v>2023</v>
      </c>
      <c r="I72" s="18">
        <v>40775</v>
      </c>
      <c r="J72" s="19" t="s">
        <v>1826</v>
      </c>
      <c r="K72" s="40" t="s">
        <v>1827</v>
      </c>
      <c r="L72" s="10" t="s">
        <v>1828</v>
      </c>
      <c r="M72" s="21" t="s">
        <v>1829</v>
      </c>
      <c r="N72" s="62"/>
      <c r="O72" s="62"/>
      <c r="P72" s="11"/>
      <c r="Q72" s="10"/>
      <c r="R72" s="11"/>
      <c r="S72" s="11"/>
      <c r="T72" s="11"/>
      <c r="U72" s="11" t="s">
        <v>209</v>
      </c>
      <c r="V72" s="11"/>
      <c r="W72" s="59" t="s">
        <v>2813</v>
      </c>
      <c r="X72" s="59" t="s">
        <v>292</v>
      </c>
      <c r="Y72" s="59"/>
      <c r="Z72" s="59">
        <v>100</v>
      </c>
      <c r="AA72" s="59"/>
      <c r="AB72" s="59"/>
      <c r="AC72" s="138"/>
      <c r="AD72" s="138"/>
      <c r="AE72" s="138"/>
      <c r="AF72" s="231"/>
      <c r="AG72" s="231"/>
      <c r="AH72" s="231"/>
      <c r="AI72" s="232"/>
      <c r="AJ72" s="19"/>
      <c r="AK72" s="23"/>
      <c r="AL72" s="23"/>
      <c r="AM72" s="23"/>
      <c r="AN72" s="43"/>
      <c r="AO72"/>
    </row>
    <row r="73" spans="1:41" ht="12.75" hidden="1" customHeight="1" x14ac:dyDescent="0.15">
      <c r="A73"/>
      <c r="B73" s="48" t="s">
        <v>1824</v>
      </c>
      <c r="C73" s="9" t="s">
        <v>3954</v>
      </c>
      <c r="D73" s="485">
        <v>17</v>
      </c>
      <c r="E73" s="486" t="str">
        <f t="shared" si="2"/>
        <v>U 11 Dames</v>
      </c>
      <c r="F73" s="12" t="s">
        <v>3975</v>
      </c>
      <c r="G73" s="369"/>
      <c r="H73" s="13">
        <v>2027</v>
      </c>
      <c r="I73" s="18">
        <v>42326</v>
      </c>
      <c r="J73" s="19" t="s">
        <v>3955</v>
      </c>
      <c r="K73" s="40" t="s">
        <v>1827</v>
      </c>
      <c r="L73" s="10" t="s">
        <v>1828</v>
      </c>
      <c r="M73" s="21" t="s">
        <v>1829</v>
      </c>
      <c r="N73" s="62"/>
      <c r="O73" s="62"/>
      <c r="P73" s="11"/>
      <c r="Q73" s="10"/>
      <c r="R73" s="11"/>
      <c r="S73" s="11"/>
      <c r="T73" s="11"/>
      <c r="U73" s="11"/>
      <c r="V73" s="11"/>
      <c r="W73" s="59"/>
      <c r="X73" s="59"/>
      <c r="Y73" s="59"/>
      <c r="Z73" s="59"/>
      <c r="AA73" s="59"/>
      <c r="AB73" s="59"/>
      <c r="AC73" s="138"/>
      <c r="AD73" s="138"/>
      <c r="AE73" s="138"/>
      <c r="AF73" s="231"/>
      <c r="AG73" s="231"/>
      <c r="AH73" s="231"/>
      <c r="AI73" s="232"/>
      <c r="AJ73" s="19"/>
      <c r="AK73" s="23"/>
      <c r="AL73" s="23"/>
      <c r="AM73" s="23"/>
      <c r="AN73" s="43"/>
      <c r="AO73" s="150"/>
    </row>
    <row r="74" spans="1:41" ht="12.5" hidden="1" customHeight="1" x14ac:dyDescent="0.15">
      <c r="A74"/>
      <c r="B74" s="48" t="s">
        <v>2847</v>
      </c>
      <c r="C74" s="9" t="s">
        <v>2826</v>
      </c>
      <c r="D74" s="485">
        <v>4</v>
      </c>
      <c r="E74" s="486" t="str">
        <f t="shared" si="2"/>
        <v>U 17 Hommes</v>
      </c>
      <c r="F74" s="12" t="s">
        <v>2859</v>
      </c>
      <c r="G74" s="369"/>
      <c r="H74" s="36">
        <v>2024</v>
      </c>
      <c r="I74" s="18">
        <v>39855</v>
      </c>
      <c r="J74" s="19" t="s">
        <v>2832</v>
      </c>
      <c r="K74" s="40"/>
      <c r="L74" s="10" t="s">
        <v>2833</v>
      </c>
      <c r="M74" s="47" t="s">
        <v>2835</v>
      </c>
      <c r="N74" s="62"/>
      <c r="O74" s="62"/>
      <c r="P74" s="11"/>
      <c r="Q74" s="10"/>
      <c r="R74" s="11"/>
      <c r="S74" s="11"/>
      <c r="T74" s="11"/>
      <c r="U74" s="11" t="s">
        <v>533</v>
      </c>
      <c r="V74" s="11"/>
      <c r="W74" s="59"/>
      <c r="X74" s="59" t="s">
        <v>292</v>
      </c>
      <c r="Y74" s="59" t="s">
        <v>1168</v>
      </c>
      <c r="Z74" s="59">
        <v>50</v>
      </c>
      <c r="AA74" s="59"/>
      <c r="AB74" s="59"/>
      <c r="AC74" s="138"/>
      <c r="AD74" s="138"/>
      <c r="AE74" s="138"/>
      <c r="AF74" s="231"/>
      <c r="AG74" s="231"/>
      <c r="AH74" s="231"/>
      <c r="AI74" s="232"/>
      <c r="AJ74" s="19"/>
      <c r="AK74" s="23"/>
      <c r="AL74" s="23"/>
      <c r="AM74" s="23"/>
      <c r="AN74" s="43"/>
    </row>
    <row r="75" spans="1:41" s="150" customFormat="1" ht="12.75" hidden="1" customHeight="1" x14ac:dyDescent="0.15">
      <c r="B75" s="48" t="s">
        <v>4822</v>
      </c>
      <c r="C75" s="9" t="s">
        <v>3867</v>
      </c>
      <c r="D75" s="485">
        <v>6</v>
      </c>
      <c r="E75" s="486" t="str">
        <f t="shared" si="2"/>
        <v>U 13 Hommes</v>
      </c>
      <c r="F75" s="12" t="s">
        <v>4869</v>
      </c>
      <c r="G75" s="369"/>
      <c r="H75" s="13">
        <v>2028</v>
      </c>
      <c r="I75" s="18">
        <v>41338</v>
      </c>
      <c r="J75" s="5" t="s">
        <v>4829</v>
      </c>
      <c r="K75" s="40"/>
      <c r="L75" s="10" t="s">
        <v>4827</v>
      </c>
      <c r="M75" s="47" t="s">
        <v>4828</v>
      </c>
      <c r="N75" s="62"/>
      <c r="O75" s="62"/>
      <c r="P75" s="11"/>
      <c r="Q75" s="10"/>
      <c r="R75" s="11"/>
      <c r="S75" s="11"/>
      <c r="T75" s="11"/>
      <c r="U75" s="11"/>
      <c r="V75" s="11"/>
      <c r="W75" s="59"/>
      <c r="X75" s="59"/>
      <c r="Y75" s="59"/>
      <c r="Z75" s="59"/>
      <c r="AA75" s="59"/>
      <c r="AB75" s="59"/>
      <c r="AC75" s="138"/>
      <c r="AD75" s="138"/>
      <c r="AE75" s="138"/>
      <c r="AF75" s="231"/>
      <c r="AG75" s="231"/>
      <c r="AH75" s="231"/>
      <c r="AI75" s="232"/>
      <c r="AJ75" s="19"/>
      <c r="AK75" s="23"/>
      <c r="AL75" s="23"/>
      <c r="AM75" s="23"/>
      <c r="AN75" s="43"/>
      <c r="AO75"/>
    </row>
    <row r="76" spans="1:41" s="63" customFormat="1" ht="12.75" customHeight="1" x14ac:dyDescent="0.15">
      <c r="A76" s="699"/>
      <c r="B76" s="351" t="s">
        <v>4310</v>
      </c>
      <c r="C76" s="348" t="s">
        <v>4312</v>
      </c>
      <c r="D76" s="485">
        <v>21</v>
      </c>
      <c r="E76" s="486" t="str">
        <f t="shared" si="2"/>
        <v>U7 Mixte</v>
      </c>
      <c r="F76" s="12" t="s">
        <v>4342</v>
      </c>
      <c r="G76" s="369"/>
      <c r="H76" s="13">
        <v>2026</v>
      </c>
      <c r="I76" s="18">
        <v>43704</v>
      </c>
      <c r="J76" s="19" t="s">
        <v>4316</v>
      </c>
      <c r="K76" s="40" t="s">
        <v>4317</v>
      </c>
      <c r="L76" s="585" t="s">
        <v>4318</v>
      </c>
      <c r="M76" s="350" t="s">
        <v>4319</v>
      </c>
      <c r="N76" s="62"/>
      <c r="O76" s="62"/>
      <c r="P76" s="11"/>
      <c r="Q76" s="10"/>
      <c r="R76" s="11"/>
      <c r="S76" s="11"/>
      <c r="T76" s="11"/>
      <c r="U76" s="11"/>
      <c r="V76" s="11"/>
      <c r="W76" s="59"/>
      <c r="X76" s="59"/>
      <c r="Y76" s="59"/>
      <c r="Z76" s="59"/>
      <c r="AA76" s="59"/>
      <c r="AB76" s="59"/>
      <c r="AC76" s="138"/>
      <c r="AD76" s="138"/>
      <c r="AE76" s="138"/>
      <c r="AF76" s="231"/>
      <c r="AG76" s="231"/>
      <c r="AH76" s="231"/>
      <c r="AI76" s="232"/>
      <c r="AJ76" s="19"/>
      <c r="AK76" s="23"/>
      <c r="AL76" s="23"/>
      <c r="AM76" s="23"/>
      <c r="AN76" s="43"/>
      <c r="AO76"/>
    </row>
    <row r="77" spans="1:41" ht="12.75" hidden="1" customHeight="1" x14ac:dyDescent="0.15">
      <c r="A77"/>
      <c r="B77" s="48" t="s">
        <v>5258</v>
      </c>
      <c r="C77" s="9" t="s">
        <v>2066</v>
      </c>
      <c r="D77" s="485">
        <v>8</v>
      </c>
      <c r="E77" s="486" t="str">
        <f t="shared" si="2"/>
        <v xml:space="preserve">U 9 Hommes </v>
      </c>
      <c r="F77" s="12" t="s">
        <v>5285</v>
      </c>
      <c r="G77" s="386" t="s">
        <v>5270</v>
      </c>
      <c r="H77" s="13">
        <v>2029</v>
      </c>
      <c r="I77" s="18">
        <v>43046</v>
      </c>
      <c r="J77" s="5" t="s">
        <v>5266</v>
      </c>
      <c r="K77" s="53" t="s">
        <v>5263</v>
      </c>
      <c r="L77" s="10" t="s">
        <v>5264</v>
      </c>
      <c r="M77" s="68" t="s">
        <v>5265</v>
      </c>
      <c r="N77" s="62"/>
      <c r="O77" s="62"/>
      <c r="P77" s="10"/>
      <c r="Q77" s="10"/>
      <c r="R77" s="13"/>
      <c r="S77" s="11"/>
      <c r="T77" s="11"/>
      <c r="U77" s="11"/>
      <c r="V77" s="11"/>
      <c r="W77" s="59"/>
      <c r="X77" s="59"/>
      <c r="Y77" s="59"/>
      <c r="Z77" s="59"/>
      <c r="AA77" s="59"/>
      <c r="AB77" s="59"/>
      <c r="AC77" s="138"/>
      <c r="AD77" s="138"/>
      <c r="AE77" s="138"/>
      <c r="AF77" s="231"/>
      <c r="AG77" s="231"/>
      <c r="AH77" s="231"/>
      <c r="AI77" s="232"/>
      <c r="AJ77" s="11"/>
      <c r="AK77" s="11"/>
      <c r="AL77" s="11"/>
      <c r="AM77" s="11"/>
      <c r="AN77" s="394"/>
    </row>
    <row r="78" spans="1:41" ht="12.75" hidden="1" customHeight="1" x14ac:dyDescent="0.15">
      <c r="A78"/>
      <c r="B78" s="48" t="s">
        <v>5258</v>
      </c>
      <c r="C78" s="9" t="s">
        <v>5268</v>
      </c>
      <c r="D78" s="485">
        <v>21</v>
      </c>
      <c r="E78" s="486" t="str">
        <f t="shared" si="2"/>
        <v>U7 Mixte</v>
      </c>
      <c r="F78" s="217" t="s">
        <v>2805</v>
      </c>
      <c r="G78" s="386" t="s">
        <v>5173</v>
      </c>
      <c r="H78" s="378"/>
      <c r="I78" s="18">
        <v>43735</v>
      </c>
      <c r="J78" s="52" t="s">
        <v>5269</v>
      </c>
      <c r="K78" s="53" t="s">
        <v>5263</v>
      </c>
      <c r="L78" s="10" t="s">
        <v>5264</v>
      </c>
      <c r="M78" s="68" t="s">
        <v>5265</v>
      </c>
      <c r="N78" s="62"/>
      <c r="O78" s="62"/>
      <c r="P78" s="10"/>
      <c r="Q78" s="10"/>
      <c r="R78" s="13"/>
      <c r="S78" s="11"/>
      <c r="T78" s="11"/>
      <c r="U78" s="11"/>
      <c r="V78" s="11"/>
      <c r="W78" s="59"/>
      <c r="X78" s="59"/>
      <c r="Y78" s="59"/>
      <c r="Z78" s="59"/>
      <c r="AA78" s="59"/>
      <c r="AB78" s="59"/>
      <c r="AC78" s="138"/>
      <c r="AD78" s="138"/>
      <c r="AE78" s="138"/>
      <c r="AF78" s="231"/>
      <c r="AG78" s="231"/>
      <c r="AH78" s="231"/>
      <c r="AI78" s="232"/>
      <c r="AJ78" s="11"/>
      <c r="AK78" s="11"/>
      <c r="AL78" s="11"/>
      <c r="AM78" s="11"/>
      <c r="AN78" s="394"/>
    </row>
    <row r="79" spans="1:41" ht="12.75" hidden="1" customHeight="1" x14ac:dyDescent="0.15">
      <c r="A79"/>
      <c r="B79" s="48" t="s">
        <v>3921</v>
      </c>
      <c r="C79" s="9" t="s">
        <v>3922</v>
      </c>
      <c r="D79" s="485">
        <v>18</v>
      </c>
      <c r="E79" s="486" t="str">
        <f t="shared" si="2"/>
        <v>U 9 Dames</v>
      </c>
      <c r="F79" s="12" t="s">
        <v>4002</v>
      </c>
      <c r="G79" s="369"/>
      <c r="H79" s="615">
        <v>2025</v>
      </c>
      <c r="I79" s="18">
        <v>43259</v>
      </c>
      <c r="J79" s="19" t="s">
        <v>3924</v>
      </c>
      <c r="K79" s="40" t="s">
        <v>3925</v>
      </c>
      <c r="L79" s="10" t="s">
        <v>3926</v>
      </c>
      <c r="M79" s="47" t="s">
        <v>3927</v>
      </c>
      <c r="N79" s="62"/>
      <c r="O79" s="62"/>
      <c r="P79" s="11"/>
      <c r="Q79" s="10"/>
      <c r="R79" s="11"/>
      <c r="S79" s="11"/>
      <c r="T79" s="11"/>
      <c r="U79" s="11"/>
      <c r="V79" s="11"/>
      <c r="W79" s="59"/>
      <c r="X79" s="59"/>
      <c r="Y79" s="59"/>
      <c r="Z79" s="59"/>
      <c r="AA79" s="59"/>
      <c r="AB79" s="59"/>
      <c r="AC79" s="138"/>
      <c r="AD79" s="138"/>
      <c r="AE79" s="138"/>
      <c r="AF79" s="231"/>
      <c r="AG79" s="231"/>
      <c r="AH79" s="231"/>
      <c r="AI79" s="232"/>
      <c r="AJ79" s="19"/>
      <c r="AK79" s="23"/>
      <c r="AL79" s="23"/>
      <c r="AM79" s="23"/>
      <c r="AN79" s="43"/>
      <c r="AO79" s="150"/>
    </row>
    <row r="80" spans="1:41" ht="12.75" hidden="1" customHeight="1" x14ac:dyDescent="0.15">
      <c r="A80"/>
      <c r="B80" s="48" t="s">
        <v>3921</v>
      </c>
      <c r="C80" s="9" t="s">
        <v>4267</v>
      </c>
      <c r="D80" s="485">
        <v>21</v>
      </c>
      <c r="E80" s="486" t="str">
        <f t="shared" si="2"/>
        <v>U7 Mixte</v>
      </c>
      <c r="F80" s="12" t="s">
        <v>4295</v>
      </c>
      <c r="G80" s="369"/>
      <c r="H80" s="13">
        <v>2027</v>
      </c>
      <c r="I80" s="18">
        <v>44040</v>
      </c>
      <c r="J80" s="19" t="s">
        <v>4269</v>
      </c>
      <c r="K80" s="40" t="s">
        <v>4270</v>
      </c>
      <c r="L80" s="20" t="s">
        <v>3926</v>
      </c>
      <c r="M80" s="47" t="s">
        <v>3927</v>
      </c>
      <c r="N80" s="62"/>
      <c r="O80" s="62"/>
      <c r="P80" s="11"/>
      <c r="Q80" s="10"/>
      <c r="R80" s="11"/>
      <c r="S80" s="11"/>
      <c r="T80" s="11"/>
      <c r="U80" s="11"/>
      <c r="V80" s="11"/>
      <c r="W80" s="59"/>
      <c r="X80" s="59"/>
      <c r="Y80" s="59"/>
      <c r="Z80" s="59"/>
      <c r="AA80" s="59"/>
      <c r="AB80" s="59"/>
      <c r="AC80" s="138"/>
      <c r="AD80" s="138"/>
      <c r="AE80" s="138"/>
      <c r="AF80" s="231"/>
      <c r="AG80" s="231"/>
      <c r="AH80" s="231"/>
      <c r="AI80" s="232"/>
      <c r="AJ80" s="19"/>
      <c r="AK80" s="23"/>
      <c r="AL80" s="23"/>
      <c r="AM80" s="23"/>
      <c r="AN80" s="43"/>
    </row>
    <row r="81" spans="1:41" ht="12.75" hidden="1" customHeight="1" x14ac:dyDescent="0.15">
      <c r="A81"/>
      <c r="B81" s="48" t="s">
        <v>843</v>
      </c>
      <c r="C81" s="9" t="s">
        <v>845</v>
      </c>
      <c r="D81" s="485">
        <v>2</v>
      </c>
      <c r="E81" s="486" t="str">
        <f t="shared" si="2"/>
        <v>Seniors - Hommes</v>
      </c>
      <c r="F81" s="12" t="s">
        <v>2964</v>
      </c>
      <c r="G81" s="386" t="s">
        <v>5173</v>
      </c>
      <c r="H81" s="62">
        <v>2030</v>
      </c>
      <c r="I81" s="114">
        <v>36614</v>
      </c>
      <c r="J81" s="115" t="s">
        <v>1842</v>
      </c>
      <c r="K81" s="110"/>
      <c r="L81" s="117" t="s">
        <v>3575</v>
      </c>
      <c r="M81" s="66" t="s">
        <v>1843</v>
      </c>
      <c r="N81" s="53"/>
      <c r="O81" s="62"/>
      <c r="P81" s="10"/>
      <c r="Q81" s="10"/>
      <c r="R81" s="13"/>
      <c r="S81" s="11"/>
      <c r="T81" s="11"/>
      <c r="U81" s="11"/>
      <c r="V81" s="11"/>
      <c r="W81" s="59"/>
      <c r="X81" s="59"/>
      <c r="Y81" s="59"/>
      <c r="Z81" s="59"/>
      <c r="AA81" s="59"/>
      <c r="AB81" s="59"/>
      <c r="AC81" s="138"/>
      <c r="AD81" s="138"/>
      <c r="AE81" s="138"/>
      <c r="AF81" s="231"/>
      <c r="AG81" s="231"/>
      <c r="AH81" s="231"/>
      <c r="AI81" s="232"/>
      <c r="AJ81" s="11"/>
      <c r="AK81" s="11"/>
      <c r="AL81" s="11"/>
      <c r="AM81" s="11"/>
      <c r="AN81" s="394"/>
    </row>
    <row r="82" spans="1:41" ht="12.75" hidden="1" customHeight="1" x14ac:dyDescent="0.15">
      <c r="A82"/>
      <c r="B82" s="48" t="s">
        <v>843</v>
      </c>
      <c r="C82" s="9" t="s">
        <v>560</v>
      </c>
      <c r="D82" s="485">
        <v>2</v>
      </c>
      <c r="E82" s="486" t="str">
        <f t="shared" si="2"/>
        <v>Seniors - Hommes</v>
      </c>
      <c r="F82" s="12" t="s">
        <v>2965</v>
      </c>
      <c r="G82" s="424" t="s">
        <v>4958</v>
      </c>
      <c r="H82" s="14">
        <v>2034</v>
      </c>
      <c r="I82" s="18">
        <v>38105</v>
      </c>
      <c r="J82" s="19" t="s">
        <v>1846</v>
      </c>
      <c r="K82" s="27" t="s">
        <v>4956</v>
      </c>
      <c r="L82" s="27" t="s">
        <v>4957</v>
      </c>
      <c r="M82" s="54" t="s">
        <v>4959</v>
      </c>
      <c r="N82" s="61"/>
      <c r="O82" s="61"/>
      <c r="P82" s="5"/>
      <c r="Q82" s="10"/>
      <c r="R82" s="11"/>
      <c r="S82" s="11"/>
      <c r="T82" s="11"/>
      <c r="U82" s="11" t="s">
        <v>209</v>
      </c>
      <c r="V82" s="11"/>
      <c r="W82" s="59" t="s">
        <v>2813</v>
      </c>
      <c r="X82" s="59" t="s">
        <v>292</v>
      </c>
      <c r="Y82" s="59" t="s">
        <v>421</v>
      </c>
      <c r="Z82" s="59" t="s">
        <v>419</v>
      </c>
      <c r="AA82" s="59"/>
      <c r="AB82" s="59"/>
      <c r="AC82" s="138"/>
      <c r="AD82" s="138"/>
      <c r="AE82" s="138"/>
      <c r="AF82" s="231"/>
      <c r="AG82" s="231"/>
      <c r="AH82" s="231"/>
      <c r="AI82" s="232"/>
      <c r="AJ82" s="19"/>
      <c r="AK82" s="23">
        <v>1</v>
      </c>
      <c r="AL82" s="23"/>
      <c r="AM82" s="23"/>
      <c r="AN82" s="43"/>
    </row>
    <row r="83" spans="1:41" ht="12.75" hidden="1" customHeight="1" x14ac:dyDescent="0.15">
      <c r="A83"/>
      <c r="B83" s="48" t="s">
        <v>3542</v>
      </c>
      <c r="C83" s="9" t="s">
        <v>845</v>
      </c>
      <c r="D83" s="485">
        <v>7</v>
      </c>
      <c r="E83" s="486" t="str">
        <f t="shared" si="2"/>
        <v>U 11 Hommes</v>
      </c>
      <c r="F83" s="12" t="s">
        <v>3595</v>
      </c>
      <c r="G83" s="369"/>
      <c r="H83" s="13">
        <v>2028</v>
      </c>
      <c r="I83" s="18">
        <v>42612</v>
      </c>
      <c r="J83" s="19" t="s">
        <v>3544</v>
      </c>
      <c r="K83" s="40" t="s">
        <v>3548</v>
      </c>
      <c r="L83" s="10" t="s">
        <v>3547</v>
      </c>
      <c r="M83" s="47" t="s">
        <v>3549</v>
      </c>
      <c r="N83" s="62"/>
      <c r="O83" s="62"/>
      <c r="P83" s="11"/>
      <c r="Q83" s="10"/>
      <c r="R83" s="11"/>
      <c r="S83" s="11"/>
      <c r="T83" s="11"/>
      <c r="U83" s="11"/>
      <c r="V83" s="11"/>
      <c r="W83" s="59"/>
      <c r="X83" s="59"/>
      <c r="Y83" s="59"/>
      <c r="Z83" s="59"/>
      <c r="AA83" s="59"/>
      <c r="AB83" s="59"/>
      <c r="AC83" s="138"/>
      <c r="AD83" s="138"/>
      <c r="AE83" s="138"/>
      <c r="AF83" s="231"/>
      <c r="AG83" s="231"/>
      <c r="AH83" s="231"/>
      <c r="AI83" s="232"/>
      <c r="AJ83" s="19"/>
      <c r="AK83" s="23"/>
      <c r="AL83" s="23"/>
      <c r="AM83" s="23"/>
      <c r="AN83" s="43"/>
    </row>
    <row r="84" spans="1:41" s="150" customFormat="1" ht="12.75" hidden="1" customHeight="1" x14ac:dyDescent="0.15">
      <c r="B84" s="50" t="s">
        <v>853</v>
      </c>
      <c r="C84" s="51" t="s">
        <v>2760</v>
      </c>
      <c r="D84" s="485">
        <v>9</v>
      </c>
      <c r="E84" s="486" t="str">
        <f t="shared" si="2"/>
        <v>Vétérans - Hommes</v>
      </c>
      <c r="F84" s="55" t="s">
        <v>2966</v>
      </c>
      <c r="G84" s="586" t="s">
        <v>5384</v>
      </c>
      <c r="H84" s="34">
        <v>2028</v>
      </c>
      <c r="I84" s="18">
        <v>32415</v>
      </c>
      <c r="J84" s="19" t="s">
        <v>2748</v>
      </c>
      <c r="K84" s="41" t="s">
        <v>252</v>
      </c>
      <c r="L84" s="35" t="s">
        <v>1854</v>
      </c>
      <c r="M84" s="29" t="s">
        <v>1855</v>
      </c>
      <c r="N84" s="61"/>
      <c r="O84" s="61"/>
      <c r="P84" s="30" t="s">
        <v>1536</v>
      </c>
      <c r="Q84" s="30"/>
      <c r="R84" s="31"/>
      <c r="S84" s="24"/>
      <c r="T84" s="24"/>
      <c r="U84" s="11" t="s">
        <v>2811</v>
      </c>
      <c r="V84" s="11"/>
      <c r="W84" s="59" t="s">
        <v>2813</v>
      </c>
      <c r="X84" s="59" t="s">
        <v>292</v>
      </c>
      <c r="Y84" s="59" t="s">
        <v>1168</v>
      </c>
      <c r="Z84" s="59">
        <v>125</v>
      </c>
      <c r="AA84" s="59"/>
      <c r="AB84" s="59"/>
      <c r="AC84" s="138"/>
      <c r="AD84" s="138"/>
      <c r="AE84" s="138"/>
      <c r="AF84" s="231"/>
      <c r="AG84" s="231"/>
      <c r="AH84" s="231"/>
      <c r="AI84" s="232"/>
      <c r="AJ84" s="19"/>
      <c r="AK84" s="23" t="s">
        <v>1856</v>
      </c>
      <c r="AL84" s="23"/>
      <c r="AM84" s="23"/>
      <c r="AN84" s="43"/>
      <c r="AO84"/>
    </row>
    <row r="85" spans="1:41" ht="12.75" hidden="1" customHeight="1" x14ac:dyDescent="0.15">
      <c r="A85"/>
      <c r="B85" s="48" t="s">
        <v>853</v>
      </c>
      <c r="C85" s="9" t="s">
        <v>3231</v>
      </c>
      <c r="D85" s="485">
        <v>8</v>
      </c>
      <c r="E85" s="486" t="str">
        <f t="shared" si="2"/>
        <v xml:space="preserve">U 9 Hommes </v>
      </c>
      <c r="F85" s="12" t="s">
        <v>3737</v>
      </c>
      <c r="G85" s="369"/>
      <c r="H85" s="13">
        <v>2029</v>
      </c>
      <c r="I85" s="18">
        <v>42826</v>
      </c>
      <c r="J85" s="19" t="s">
        <v>3726</v>
      </c>
      <c r="K85" s="40"/>
      <c r="L85" s="10" t="s">
        <v>3727</v>
      </c>
      <c r="M85" s="47" t="s">
        <v>3728</v>
      </c>
      <c r="N85" s="62"/>
      <c r="O85" s="62"/>
      <c r="P85" s="11"/>
      <c r="Q85" s="10"/>
      <c r="R85" s="11"/>
      <c r="S85" s="11"/>
      <c r="T85" s="11"/>
      <c r="U85" s="11"/>
      <c r="V85" s="11"/>
      <c r="W85" s="59"/>
      <c r="X85" s="59"/>
      <c r="Y85" s="59"/>
      <c r="Z85" s="59"/>
      <c r="AA85" s="59"/>
      <c r="AB85" s="59"/>
      <c r="AC85" s="138"/>
      <c r="AD85" s="138"/>
      <c r="AE85" s="138"/>
      <c r="AF85" s="231"/>
      <c r="AG85" s="231"/>
      <c r="AH85" s="231"/>
      <c r="AI85" s="232"/>
      <c r="AJ85" s="19"/>
      <c r="AK85" s="23"/>
      <c r="AL85" s="23"/>
      <c r="AM85" s="23"/>
      <c r="AN85" s="43"/>
    </row>
    <row r="86" spans="1:41" ht="12.75" hidden="1" customHeight="1" x14ac:dyDescent="0.15">
      <c r="A86"/>
      <c r="B86" s="48" t="s">
        <v>853</v>
      </c>
      <c r="C86" s="9" t="s">
        <v>3636</v>
      </c>
      <c r="D86" s="485">
        <v>2</v>
      </c>
      <c r="E86" s="486" t="str">
        <f t="shared" si="2"/>
        <v>Seniors - Hommes</v>
      </c>
      <c r="F86" s="12" t="s">
        <v>3638</v>
      </c>
      <c r="G86" s="369"/>
      <c r="H86" s="13">
        <v>2030</v>
      </c>
      <c r="I86" s="18">
        <v>33082</v>
      </c>
      <c r="J86" s="19" t="s">
        <v>3632</v>
      </c>
      <c r="K86" s="40"/>
      <c r="L86" s="10" t="s">
        <v>3633</v>
      </c>
      <c r="M86" s="47" t="s">
        <v>3634</v>
      </c>
      <c r="N86" s="62"/>
      <c r="O86" s="62"/>
      <c r="P86" s="11"/>
      <c r="Q86" s="10"/>
      <c r="R86" s="11"/>
      <c r="S86" s="11"/>
      <c r="T86" s="11"/>
      <c r="U86" s="11"/>
      <c r="V86" s="11"/>
      <c r="W86" s="59"/>
      <c r="X86" s="59"/>
      <c r="Y86" s="59"/>
      <c r="Z86" s="59"/>
      <c r="AA86" s="59"/>
      <c r="AB86" s="59"/>
      <c r="AC86" s="138"/>
      <c r="AD86" s="138"/>
      <c r="AE86" s="138"/>
      <c r="AF86" s="231"/>
      <c r="AG86" s="231"/>
      <c r="AH86" s="231"/>
      <c r="AI86" s="232"/>
      <c r="AJ86" s="19"/>
      <c r="AK86" s="23"/>
      <c r="AL86" s="23"/>
      <c r="AM86" s="23"/>
      <c r="AN86" s="43"/>
    </row>
    <row r="87" spans="1:41" ht="12.75" hidden="1" customHeight="1" x14ac:dyDescent="0.15">
      <c r="A87"/>
      <c r="B87" s="387" t="s">
        <v>4523</v>
      </c>
      <c r="C87" s="9" t="s">
        <v>4524</v>
      </c>
      <c r="D87" s="485">
        <v>12</v>
      </c>
      <c r="E87" s="486" t="str">
        <f t="shared" si="2"/>
        <v>Dames</v>
      </c>
      <c r="F87" s="12" t="s">
        <v>4560</v>
      </c>
      <c r="G87" s="389" t="s">
        <v>4995</v>
      </c>
      <c r="H87" s="13">
        <v>2029</v>
      </c>
      <c r="I87" s="18">
        <v>36192</v>
      </c>
      <c r="J87" s="19" t="s">
        <v>4529</v>
      </c>
      <c r="K87" s="40"/>
      <c r="L87" s="20">
        <v>661534866</v>
      </c>
      <c r="M87" s="47" t="s">
        <v>4530</v>
      </c>
      <c r="N87" s="62"/>
      <c r="O87" s="62"/>
      <c r="P87" s="11"/>
      <c r="Q87" s="10"/>
      <c r="R87" s="11"/>
      <c r="S87" s="11"/>
      <c r="T87" s="11"/>
      <c r="U87" s="11"/>
      <c r="V87" s="11"/>
      <c r="W87" s="59"/>
      <c r="X87" s="59"/>
      <c r="Y87" s="59"/>
      <c r="Z87" s="59"/>
      <c r="AA87" s="59"/>
      <c r="AB87" s="59"/>
      <c r="AC87" s="138"/>
      <c r="AD87" s="138"/>
      <c r="AE87" s="138"/>
      <c r="AF87" s="231"/>
      <c r="AG87" s="231"/>
      <c r="AH87" s="231"/>
      <c r="AI87" s="232"/>
      <c r="AJ87" s="19"/>
      <c r="AK87" s="23"/>
      <c r="AL87" s="23"/>
      <c r="AM87" s="23"/>
      <c r="AN87" s="43"/>
      <c r="AO87" s="150"/>
    </row>
    <row r="88" spans="1:41" ht="12.75" hidden="1" customHeight="1" x14ac:dyDescent="0.15">
      <c r="A88"/>
      <c r="B88" s="48" t="s">
        <v>856</v>
      </c>
      <c r="C88" s="9" t="s">
        <v>857</v>
      </c>
      <c r="D88" s="485">
        <v>9</v>
      </c>
      <c r="E88" s="486" t="str">
        <f t="shared" si="2"/>
        <v>Vétérans - Hommes</v>
      </c>
      <c r="F88" s="12" t="s">
        <v>2968</v>
      </c>
      <c r="G88" s="376"/>
      <c r="H88" s="14">
        <v>2027</v>
      </c>
      <c r="I88" s="18">
        <v>30090</v>
      </c>
      <c r="J88" s="19" t="s">
        <v>1867</v>
      </c>
      <c r="K88" s="40"/>
      <c r="L88" s="27" t="s">
        <v>1869</v>
      </c>
      <c r="M88" s="54" t="s">
        <v>2784</v>
      </c>
      <c r="N88" s="61"/>
      <c r="O88" s="61"/>
      <c r="P88" s="5"/>
      <c r="Q88" s="10"/>
      <c r="R88" s="5"/>
      <c r="S88" s="11"/>
      <c r="T88" s="11"/>
      <c r="U88" s="11" t="s">
        <v>348</v>
      </c>
      <c r="V88" s="11"/>
      <c r="W88" s="59" t="s">
        <v>2813</v>
      </c>
      <c r="X88" s="59" t="s">
        <v>3151</v>
      </c>
      <c r="Y88" s="59"/>
      <c r="Z88" s="59">
        <v>200</v>
      </c>
      <c r="AA88" s="59"/>
      <c r="AB88" s="59"/>
      <c r="AC88" s="138"/>
      <c r="AD88" s="138"/>
      <c r="AE88" s="138"/>
      <c r="AF88" s="231"/>
      <c r="AG88" s="231"/>
      <c r="AH88" s="231"/>
      <c r="AI88" s="232"/>
      <c r="AJ88" s="19"/>
      <c r="AK88" s="23" t="s">
        <v>1141</v>
      </c>
      <c r="AL88" s="23"/>
      <c r="AM88" s="23"/>
      <c r="AN88" s="43"/>
      <c r="AO88" s="150"/>
    </row>
    <row r="89" spans="1:41" ht="12" hidden="1" customHeight="1" x14ac:dyDescent="0.15">
      <c r="A89"/>
      <c r="B89" s="48" t="s">
        <v>863</v>
      </c>
      <c r="C89" s="9" t="s">
        <v>864</v>
      </c>
      <c r="D89" s="485">
        <v>19</v>
      </c>
      <c r="E89" s="486" t="str">
        <f t="shared" si="2"/>
        <v>Vétérans - Dames</v>
      </c>
      <c r="F89" s="12" t="s">
        <v>2969</v>
      </c>
      <c r="G89" s="371" t="s">
        <v>3589</v>
      </c>
      <c r="H89" s="14" t="s">
        <v>1296</v>
      </c>
      <c r="I89" s="18">
        <v>22448</v>
      </c>
      <c r="J89" s="225"/>
      <c r="K89" s="40"/>
      <c r="L89" s="27" t="s">
        <v>1870</v>
      </c>
      <c r="M89" s="32" t="s">
        <v>1871</v>
      </c>
      <c r="N89" s="61"/>
      <c r="O89" s="61"/>
      <c r="P89" s="24"/>
      <c r="Q89" s="10"/>
      <c r="R89" s="11"/>
      <c r="S89" s="11"/>
      <c r="T89" s="11"/>
      <c r="U89" s="11" t="s">
        <v>209</v>
      </c>
      <c r="V89" s="11"/>
      <c r="W89" s="59" t="s">
        <v>315</v>
      </c>
      <c r="X89" s="59" t="s">
        <v>315</v>
      </c>
      <c r="Y89" s="59"/>
      <c r="Z89" s="59">
        <v>50</v>
      </c>
      <c r="AA89" s="59"/>
      <c r="AB89" s="59"/>
      <c r="AC89" s="138"/>
      <c r="AD89" s="138"/>
      <c r="AE89" s="138"/>
      <c r="AF89" s="231"/>
      <c r="AG89" s="231"/>
      <c r="AH89" s="231"/>
      <c r="AI89" s="232"/>
      <c r="AJ89" s="19" t="s">
        <v>295</v>
      </c>
      <c r="AK89" s="23" t="s">
        <v>1467</v>
      </c>
      <c r="AL89" s="23"/>
      <c r="AM89" s="23"/>
      <c r="AN89" s="43"/>
      <c r="AO89" s="150"/>
    </row>
    <row r="90" spans="1:41" ht="12.75" customHeight="1" x14ac:dyDescent="0.15">
      <c r="B90" s="48" t="s">
        <v>1877</v>
      </c>
      <c r="C90" s="9" t="s">
        <v>540</v>
      </c>
      <c r="D90" s="485">
        <v>12</v>
      </c>
      <c r="E90" s="486" t="str">
        <f t="shared" si="2"/>
        <v>Dames</v>
      </c>
      <c r="F90" s="12" t="s">
        <v>2972</v>
      </c>
      <c r="G90" s="373"/>
      <c r="H90" s="71">
        <v>2026</v>
      </c>
      <c r="I90" s="18">
        <v>35670</v>
      </c>
      <c r="J90" s="19" t="s">
        <v>1878</v>
      </c>
      <c r="K90" s="40" t="s">
        <v>252</v>
      </c>
      <c r="L90" s="27" t="s">
        <v>1879</v>
      </c>
      <c r="M90" s="29" t="s">
        <v>1880</v>
      </c>
      <c r="N90" s="61"/>
      <c r="O90" s="61"/>
      <c r="P90" s="11"/>
      <c r="Q90" s="10"/>
      <c r="R90" s="11"/>
      <c r="S90" s="11"/>
      <c r="T90" s="11"/>
      <c r="U90" s="11" t="s">
        <v>2792</v>
      </c>
      <c r="V90" s="11"/>
      <c r="W90" s="59" t="s">
        <v>2813</v>
      </c>
      <c r="X90" s="59" t="s">
        <v>3151</v>
      </c>
      <c r="Y90" s="59"/>
      <c r="Z90" s="59">
        <v>50</v>
      </c>
      <c r="AA90" s="59"/>
      <c r="AB90" s="59"/>
      <c r="AC90" s="138"/>
      <c r="AD90" s="138"/>
      <c r="AE90" s="138"/>
      <c r="AF90" s="231"/>
      <c r="AG90" s="231"/>
      <c r="AH90" s="231"/>
      <c r="AI90" s="232"/>
      <c r="AJ90" s="19"/>
      <c r="AK90" s="23"/>
      <c r="AL90" s="23"/>
      <c r="AM90" s="23"/>
      <c r="AN90" s="43"/>
      <c r="AO90" s="150"/>
    </row>
    <row r="91" spans="1:41" ht="12.75" customHeight="1" x14ac:dyDescent="0.15">
      <c r="A91" s="699"/>
      <c r="B91" s="48" t="s">
        <v>4926</v>
      </c>
      <c r="C91" s="9" t="s">
        <v>4929</v>
      </c>
      <c r="D91" s="485">
        <v>21</v>
      </c>
      <c r="E91" s="486" t="str">
        <f t="shared" si="2"/>
        <v>U7 Mixte</v>
      </c>
      <c r="F91" s="12" t="s">
        <v>4979</v>
      </c>
      <c r="G91" s="369"/>
      <c r="H91" s="13">
        <v>2026</v>
      </c>
      <c r="I91" s="18">
        <v>43511</v>
      </c>
      <c r="J91" s="19" t="s">
        <v>4932</v>
      </c>
      <c r="K91" s="40" t="s">
        <v>4936</v>
      </c>
      <c r="L91" s="10" t="s">
        <v>4937</v>
      </c>
      <c r="M91" s="47" t="s">
        <v>4938</v>
      </c>
      <c r="N91" s="62"/>
      <c r="O91" s="62"/>
      <c r="P91" s="11"/>
      <c r="Q91" s="10"/>
      <c r="R91" s="11"/>
      <c r="S91" s="11"/>
      <c r="T91" s="11"/>
      <c r="U91" s="11"/>
      <c r="V91" s="11"/>
      <c r="W91" s="59"/>
      <c r="X91" s="59"/>
      <c r="Y91" s="59"/>
      <c r="Z91" s="59"/>
      <c r="AA91" s="59"/>
      <c r="AB91" s="59"/>
      <c r="AC91" s="138"/>
      <c r="AD91" s="138"/>
      <c r="AE91" s="138"/>
      <c r="AF91" s="231"/>
      <c r="AG91" s="231"/>
      <c r="AH91" s="231"/>
      <c r="AI91" s="232"/>
      <c r="AJ91" s="19"/>
      <c r="AK91" s="23"/>
      <c r="AL91" s="23"/>
      <c r="AM91" s="23"/>
      <c r="AN91" s="43"/>
    </row>
    <row r="92" spans="1:41" ht="12.75" customHeight="1" x14ac:dyDescent="0.15">
      <c r="A92" s="699"/>
      <c r="B92" s="48" t="s">
        <v>4926</v>
      </c>
      <c r="C92" s="9" t="s">
        <v>4928</v>
      </c>
      <c r="D92" s="485">
        <v>21</v>
      </c>
      <c r="E92" s="486" t="str">
        <f t="shared" si="2"/>
        <v>U7 Mixte</v>
      </c>
      <c r="F92" s="12" t="s">
        <v>4980</v>
      </c>
      <c r="G92" s="369"/>
      <c r="H92" s="13">
        <v>2026</v>
      </c>
      <c r="I92" s="18">
        <v>43511</v>
      </c>
      <c r="J92" s="19" t="s">
        <v>4931</v>
      </c>
      <c r="K92" s="40" t="s">
        <v>4936</v>
      </c>
      <c r="L92" s="10" t="s">
        <v>4937</v>
      </c>
      <c r="M92" s="47" t="s">
        <v>4938</v>
      </c>
      <c r="N92" s="62"/>
      <c r="O92" s="62"/>
      <c r="P92" s="11"/>
      <c r="Q92" s="10"/>
      <c r="R92" s="11"/>
      <c r="S92" s="11"/>
      <c r="T92" s="11"/>
      <c r="U92" s="11"/>
      <c r="V92" s="11"/>
      <c r="W92" s="59"/>
      <c r="X92" s="59"/>
      <c r="Y92" s="59"/>
      <c r="Z92" s="59"/>
      <c r="AA92" s="59"/>
      <c r="AB92" s="59"/>
      <c r="AC92" s="138"/>
      <c r="AD92" s="138"/>
      <c r="AE92" s="138"/>
      <c r="AF92" s="231"/>
      <c r="AG92" s="231"/>
      <c r="AH92" s="231"/>
      <c r="AI92" s="232"/>
      <c r="AJ92" s="19"/>
      <c r="AK92" s="23"/>
      <c r="AL92" s="23"/>
      <c r="AM92" s="23"/>
      <c r="AN92" s="43"/>
      <c r="AO92" s="150"/>
    </row>
    <row r="93" spans="1:41" ht="12.75" hidden="1" customHeight="1" x14ac:dyDescent="0.15">
      <c r="A93"/>
      <c r="B93" s="48" t="s">
        <v>4926</v>
      </c>
      <c r="C93" s="9" t="s">
        <v>4267</v>
      </c>
      <c r="D93" s="485">
        <v>7</v>
      </c>
      <c r="E93" s="486" t="str">
        <f t="shared" si="2"/>
        <v>U 11 Hommes</v>
      </c>
      <c r="F93" s="12" t="s">
        <v>4981</v>
      </c>
      <c r="G93" s="369"/>
      <c r="H93" s="13">
        <v>2027</v>
      </c>
      <c r="I93" s="18">
        <v>42259</v>
      </c>
      <c r="J93" s="19" t="s">
        <v>4933</v>
      </c>
      <c r="K93" s="40" t="s">
        <v>4936</v>
      </c>
      <c r="L93" s="10" t="s">
        <v>4937</v>
      </c>
      <c r="M93" s="47" t="s">
        <v>4938</v>
      </c>
      <c r="N93" s="62"/>
      <c r="O93" s="62"/>
      <c r="P93" s="11"/>
      <c r="Q93" s="10"/>
      <c r="R93" s="11"/>
      <c r="S93" s="11"/>
      <c r="T93" s="11"/>
      <c r="U93" s="11"/>
      <c r="V93" s="11"/>
      <c r="W93" s="59"/>
      <c r="X93" s="59"/>
      <c r="Y93" s="59"/>
      <c r="Z93" s="59"/>
      <c r="AA93" s="59"/>
      <c r="AB93" s="59"/>
      <c r="AC93" s="138"/>
      <c r="AD93" s="138"/>
      <c r="AE93" s="138"/>
      <c r="AF93" s="231"/>
      <c r="AG93" s="231"/>
      <c r="AH93" s="231"/>
      <c r="AI93" s="232"/>
      <c r="AJ93" s="19"/>
      <c r="AK93" s="23"/>
      <c r="AL93" s="23"/>
      <c r="AM93" s="23"/>
      <c r="AN93" s="43"/>
    </row>
    <row r="94" spans="1:41" ht="12.75" hidden="1" customHeight="1" x14ac:dyDescent="0.15">
      <c r="A94"/>
      <c r="B94" s="48" t="s">
        <v>5210</v>
      </c>
      <c r="C94" s="9" t="s">
        <v>681</v>
      </c>
      <c r="D94" s="485">
        <v>21</v>
      </c>
      <c r="E94" s="486" t="str">
        <f t="shared" si="2"/>
        <v>U7 Mixte</v>
      </c>
      <c r="F94" s="12" t="s">
        <v>5301</v>
      </c>
      <c r="G94" s="386" t="s">
        <v>5173</v>
      </c>
      <c r="H94" s="13">
        <v>2028</v>
      </c>
      <c r="I94" s="18">
        <v>44369</v>
      </c>
      <c r="J94" s="5" t="s">
        <v>5213</v>
      </c>
      <c r="K94" s="53"/>
      <c r="L94" s="20">
        <v>621777852</v>
      </c>
      <c r="M94" s="68" t="s">
        <v>5214</v>
      </c>
      <c r="N94" s="62"/>
      <c r="O94" s="62"/>
      <c r="P94" s="10"/>
      <c r="Q94" s="10"/>
      <c r="R94" s="13"/>
      <c r="S94" s="11"/>
      <c r="T94" s="11"/>
      <c r="U94" s="11"/>
      <c r="V94" s="11"/>
      <c r="W94" s="59"/>
      <c r="X94" s="59"/>
      <c r="Y94" s="59"/>
      <c r="Z94" s="59"/>
      <c r="AA94" s="59"/>
      <c r="AB94" s="59"/>
      <c r="AC94" s="138"/>
      <c r="AD94" s="138"/>
      <c r="AE94" s="138"/>
      <c r="AF94" s="231"/>
      <c r="AG94" s="231"/>
      <c r="AH94" s="231"/>
      <c r="AI94" s="232"/>
      <c r="AJ94" s="11"/>
      <c r="AK94" s="11"/>
      <c r="AL94" s="11"/>
      <c r="AM94" s="11"/>
      <c r="AN94" s="394"/>
    </row>
    <row r="95" spans="1:41" ht="12.75" hidden="1" customHeight="1" x14ac:dyDescent="0.15">
      <c r="A95"/>
      <c r="B95" s="48" t="s">
        <v>4702</v>
      </c>
      <c r="C95" s="9" t="s">
        <v>3819</v>
      </c>
      <c r="D95" s="485">
        <v>18</v>
      </c>
      <c r="E95" s="486" t="str">
        <f t="shared" si="2"/>
        <v>U 9 Dames</v>
      </c>
      <c r="F95" s="12" t="s">
        <v>4776</v>
      </c>
      <c r="G95" s="369"/>
      <c r="H95" s="13">
        <v>2030</v>
      </c>
      <c r="I95" s="18">
        <v>43325</v>
      </c>
      <c r="J95" s="19" t="s">
        <v>4710</v>
      </c>
      <c r="K95" s="40"/>
      <c r="L95" s="20">
        <v>621473869</v>
      </c>
      <c r="M95" s="47" t="s">
        <v>4712</v>
      </c>
      <c r="N95" s="62"/>
      <c r="O95" s="62"/>
      <c r="P95" s="11"/>
      <c r="Q95" s="10"/>
      <c r="R95" s="11"/>
      <c r="S95" s="11"/>
      <c r="T95" s="11"/>
      <c r="U95" s="11"/>
      <c r="V95" s="11"/>
      <c r="W95" s="59"/>
      <c r="X95" s="59"/>
      <c r="Y95" s="59"/>
      <c r="Z95" s="59"/>
      <c r="AA95" s="59"/>
      <c r="AB95" s="59"/>
      <c r="AC95" s="138"/>
      <c r="AD95" s="138"/>
      <c r="AE95" s="138"/>
      <c r="AF95" s="231"/>
      <c r="AG95" s="231"/>
      <c r="AH95" s="231"/>
      <c r="AI95" s="232"/>
      <c r="AJ95" s="19"/>
      <c r="AK95" s="23"/>
      <c r="AL95" s="23"/>
      <c r="AM95" s="23"/>
      <c r="AN95" s="43"/>
      <c r="AO95" s="150"/>
    </row>
    <row r="96" spans="1:41" ht="12.75" hidden="1" customHeight="1" x14ac:dyDescent="0.15">
      <c r="A96"/>
      <c r="B96" s="48" t="s">
        <v>4702</v>
      </c>
      <c r="C96" s="9" t="s">
        <v>733</v>
      </c>
      <c r="D96" s="485">
        <v>21</v>
      </c>
      <c r="E96" s="486" t="str">
        <f t="shared" si="2"/>
        <v>U7 Mixte</v>
      </c>
      <c r="F96" s="12" t="s">
        <v>4777</v>
      </c>
      <c r="G96" s="369"/>
      <c r="H96" s="13">
        <v>2027</v>
      </c>
      <c r="I96" s="18">
        <v>44152</v>
      </c>
      <c r="J96" s="19" t="s">
        <v>4711</v>
      </c>
      <c r="K96" s="40"/>
      <c r="L96" s="20">
        <v>621473869</v>
      </c>
      <c r="M96" s="47" t="s">
        <v>4712</v>
      </c>
      <c r="N96" s="62"/>
      <c r="O96" s="62"/>
      <c r="P96" s="11"/>
      <c r="Q96" s="10"/>
      <c r="R96" s="11"/>
      <c r="S96" s="11"/>
      <c r="T96" s="11"/>
      <c r="U96" s="11"/>
      <c r="V96" s="11"/>
      <c r="W96" s="59"/>
      <c r="X96" s="59"/>
      <c r="Y96" s="59"/>
      <c r="Z96" s="59"/>
      <c r="AA96" s="59"/>
      <c r="AB96" s="59"/>
      <c r="AC96" s="138"/>
      <c r="AD96" s="138"/>
      <c r="AE96" s="138"/>
      <c r="AF96" s="231"/>
      <c r="AG96" s="231"/>
      <c r="AH96" s="231"/>
      <c r="AI96" s="232"/>
      <c r="AJ96" s="19"/>
      <c r="AK96" s="23"/>
      <c r="AL96" s="23"/>
      <c r="AM96" s="23"/>
      <c r="AN96" s="43"/>
      <c r="AO96" s="150"/>
    </row>
    <row r="97" spans="1:41" ht="12.75" hidden="1" customHeight="1" x14ac:dyDescent="0.15">
      <c r="A97"/>
      <c r="B97" s="48" t="s">
        <v>5449</v>
      </c>
      <c r="C97" s="9" t="s">
        <v>4542</v>
      </c>
      <c r="D97" s="485">
        <v>19</v>
      </c>
      <c r="E97" s="486" t="str">
        <f t="shared" ref="E97:E125" si="3">VLOOKUP(D97,CAT_JOUEUR,2,FALSE)</f>
        <v>Vétérans - Dames</v>
      </c>
      <c r="F97" s="217" t="s">
        <v>2805</v>
      </c>
      <c r="G97" s="386" t="s">
        <v>5173</v>
      </c>
      <c r="H97" s="378"/>
      <c r="I97" s="18">
        <v>27699</v>
      </c>
      <c r="J97" s="5" t="s">
        <v>5452</v>
      </c>
      <c r="K97" s="53"/>
      <c r="L97" s="20">
        <v>661115656</v>
      </c>
      <c r="M97" s="68" t="s">
        <v>5454</v>
      </c>
      <c r="N97" s="62"/>
      <c r="O97" s="62"/>
      <c r="P97" s="10"/>
      <c r="Q97" s="10"/>
      <c r="R97" s="13"/>
      <c r="S97" s="11"/>
      <c r="T97" s="11"/>
      <c r="U97" s="11"/>
      <c r="V97" s="11"/>
      <c r="W97" s="59"/>
      <c r="X97" s="59"/>
      <c r="Y97" s="59"/>
      <c r="Z97" s="59"/>
      <c r="AA97" s="59"/>
      <c r="AB97" s="59"/>
      <c r="AC97" s="138"/>
      <c r="AD97" s="138"/>
      <c r="AE97" s="138"/>
      <c r="AF97" s="231"/>
      <c r="AG97" s="231"/>
      <c r="AH97" s="231"/>
      <c r="AI97" s="232"/>
      <c r="AJ97" s="11"/>
      <c r="AK97" s="11"/>
      <c r="AL97" s="11"/>
      <c r="AM97" s="11"/>
      <c r="AN97" s="394"/>
    </row>
    <row r="98" spans="1:41" ht="12.75" hidden="1" customHeight="1" x14ac:dyDescent="0.15">
      <c r="A98"/>
      <c r="B98" s="48" t="s">
        <v>4491</v>
      </c>
      <c r="C98" s="9" t="s">
        <v>3608</v>
      </c>
      <c r="D98" s="485">
        <v>2</v>
      </c>
      <c r="E98" s="486" t="str">
        <f t="shared" si="3"/>
        <v>Seniors - Hommes</v>
      </c>
      <c r="F98" s="12" t="s">
        <v>4583</v>
      </c>
      <c r="G98" s="373" t="s">
        <v>4886</v>
      </c>
      <c r="H98" s="36">
        <v>2024</v>
      </c>
      <c r="I98" s="18">
        <v>37608</v>
      </c>
      <c r="J98" s="19" t="s">
        <v>4496</v>
      </c>
      <c r="K98" s="40"/>
      <c r="L98" s="20">
        <v>621653394</v>
      </c>
      <c r="M98" s="379" t="s">
        <v>4497</v>
      </c>
      <c r="N98" s="62"/>
      <c r="O98" s="62"/>
      <c r="P98" s="11"/>
      <c r="Q98" s="10"/>
      <c r="R98" s="11"/>
      <c r="S98" s="11"/>
      <c r="T98" s="11"/>
      <c r="U98" s="11"/>
      <c r="V98" s="11"/>
      <c r="W98" s="59"/>
      <c r="X98" s="59"/>
      <c r="Y98" s="59"/>
      <c r="Z98" s="59"/>
      <c r="AA98" s="59"/>
      <c r="AB98" s="59"/>
      <c r="AC98" s="138"/>
      <c r="AD98" s="138"/>
      <c r="AE98" s="138"/>
      <c r="AF98" s="231"/>
      <c r="AG98" s="231"/>
      <c r="AH98" s="231"/>
      <c r="AI98" s="232"/>
      <c r="AJ98" s="19"/>
      <c r="AK98" s="23"/>
      <c r="AL98" s="23"/>
      <c r="AM98" s="23"/>
      <c r="AN98" s="43"/>
    </row>
    <row r="99" spans="1:41" s="150" customFormat="1" ht="12.75" hidden="1" customHeight="1" x14ac:dyDescent="0.15">
      <c r="B99" s="48" t="s">
        <v>865</v>
      </c>
      <c r="C99" s="9" t="s">
        <v>866</v>
      </c>
      <c r="D99" s="485">
        <v>9</v>
      </c>
      <c r="E99" s="486" t="str">
        <f t="shared" si="3"/>
        <v>Vétérans - Hommes</v>
      </c>
      <c r="F99" s="12" t="s">
        <v>2973</v>
      </c>
      <c r="G99" s="371" t="s">
        <v>3110</v>
      </c>
      <c r="H99" s="14"/>
      <c r="I99" s="18">
        <v>22331</v>
      </c>
      <c r="J99" s="225"/>
      <c r="K99" s="40"/>
      <c r="L99" s="27" t="s">
        <v>1890</v>
      </c>
      <c r="M99" s="54" t="s">
        <v>3368</v>
      </c>
      <c r="N99" s="61"/>
      <c r="O99" s="61"/>
      <c r="P99" s="40" t="s">
        <v>2710</v>
      </c>
      <c r="Q99" s="10"/>
      <c r="R99" s="5"/>
      <c r="S99" s="11"/>
      <c r="T99" s="11"/>
      <c r="U99" s="11" t="s">
        <v>1301</v>
      </c>
      <c r="V99" s="11"/>
      <c r="W99" s="59" t="s">
        <v>292</v>
      </c>
      <c r="X99" s="59" t="s">
        <v>292</v>
      </c>
      <c r="Y99" s="59" t="s">
        <v>1168</v>
      </c>
      <c r="Z99" s="59" t="s">
        <v>1301</v>
      </c>
      <c r="AA99" s="59"/>
      <c r="AB99" s="59"/>
      <c r="AC99" s="138"/>
      <c r="AD99" s="138"/>
      <c r="AE99" s="138"/>
      <c r="AF99" s="231"/>
      <c r="AG99" s="231"/>
      <c r="AH99" s="231"/>
      <c r="AI99" s="232"/>
      <c r="AJ99" s="19"/>
      <c r="AK99" s="23" t="s">
        <v>1302</v>
      </c>
      <c r="AL99" s="23"/>
      <c r="AM99" s="23"/>
      <c r="AN99" s="43"/>
      <c r="AO99"/>
    </row>
    <row r="100" spans="1:41" ht="12.75" hidden="1" customHeight="1" x14ac:dyDescent="0.15">
      <c r="A100"/>
      <c r="B100" s="48" t="s">
        <v>1894</v>
      </c>
      <c r="C100" s="9" t="s">
        <v>639</v>
      </c>
      <c r="D100" s="485">
        <v>2</v>
      </c>
      <c r="E100" s="486" t="str">
        <f t="shared" si="3"/>
        <v>Seniors - Hommes</v>
      </c>
      <c r="F100" s="12" t="s">
        <v>5072</v>
      </c>
      <c r="G100" s="369"/>
      <c r="H100" s="13">
        <v>2035</v>
      </c>
      <c r="I100" s="18">
        <v>34952</v>
      </c>
      <c r="J100" s="52" t="s">
        <v>5060</v>
      </c>
      <c r="K100" s="53"/>
      <c r="L100" s="20">
        <v>621461096</v>
      </c>
      <c r="M100" s="68" t="s">
        <v>5061</v>
      </c>
      <c r="N100" s="62"/>
      <c r="O100" s="62"/>
      <c r="P100" s="10"/>
      <c r="Q100" s="10"/>
      <c r="R100" s="13"/>
      <c r="S100" s="11"/>
      <c r="T100" s="11"/>
      <c r="U100" s="11"/>
      <c r="V100" s="11"/>
      <c r="W100" s="59"/>
      <c r="X100" s="59"/>
      <c r="Y100" s="59"/>
      <c r="Z100" s="59"/>
      <c r="AA100" s="59"/>
      <c r="AB100" s="59"/>
      <c r="AC100" s="138"/>
      <c r="AD100" s="138"/>
      <c r="AE100" s="138"/>
      <c r="AF100" s="231"/>
      <c r="AG100" s="231"/>
      <c r="AH100" s="231"/>
      <c r="AI100" s="232"/>
      <c r="AJ100" s="11"/>
      <c r="AK100" s="11"/>
      <c r="AL100" s="11"/>
      <c r="AM100" s="11"/>
      <c r="AN100" s="394"/>
    </row>
    <row r="101" spans="1:41" s="150" customFormat="1" ht="12.75" hidden="1" customHeight="1" x14ac:dyDescent="0.15">
      <c r="B101" s="48" t="s">
        <v>5043</v>
      </c>
      <c r="C101" s="9" t="s">
        <v>5044</v>
      </c>
      <c r="D101" s="485">
        <v>21</v>
      </c>
      <c r="E101" s="486" t="str">
        <f t="shared" si="3"/>
        <v>U7 Mixte</v>
      </c>
      <c r="F101" s="12" t="s">
        <v>5084</v>
      </c>
      <c r="G101" s="369"/>
      <c r="H101" s="13">
        <v>2028</v>
      </c>
      <c r="I101" s="18">
        <v>44301</v>
      </c>
      <c r="J101" s="19" t="s">
        <v>5048</v>
      </c>
      <c r="K101" s="40"/>
      <c r="L101" s="10" t="s">
        <v>5049</v>
      </c>
      <c r="M101" s="47" t="s">
        <v>5050</v>
      </c>
      <c r="N101" s="62"/>
      <c r="O101" s="62"/>
      <c r="P101" s="11"/>
      <c r="Q101" s="10"/>
      <c r="R101" s="13"/>
      <c r="S101" s="11"/>
      <c r="T101" s="11"/>
      <c r="U101" s="11"/>
      <c r="V101" s="11"/>
      <c r="W101" s="59"/>
      <c r="X101" s="59"/>
      <c r="Y101" s="59"/>
      <c r="Z101" s="59"/>
      <c r="AA101" s="59"/>
      <c r="AB101" s="59"/>
      <c r="AC101" s="138"/>
      <c r="AD101" s="138"/>
      <c r="AE101" s="138"/>
      <c r="AF101" s="231"/>
      <c r="AG101" s="231"/>
      <c r="AH101" s="231"/>
      <c r="AI101" s="232"/>
      <c r="AJ101" s="19"/>
      <c r="AK101" s="23"/>
      <c r="AL101" s="23"/>
      <c r="AM101" s="23"/>
      <c r="AN101" s="43"/>
      <c r="AO101"/>
    </row>
    <row r="102" spans="1:41" ht="12.75" hidden="1" customHeight="1" x14ac:dyDescent="0.15">
      <c r="A102"/>
      <c r="B102" s="48" t="s">
        <v>5194</v>
      </c>
      <c r="C102" s="9" t="s">
        <v>5195</v>
      </c>
      <c r="D102" s="485">
        <v>15</v>
      </c>
      <c r="E102" s="486" t="str">
        <f t="shared" si="3"/>
        <v>U 13 Dames</v>
      </c>
      <c r="F102" s="12" t="s">
        <v>5280</v>
      </c>
      <c r="G102" s="386" t="s">
        <v>5173</v>
      </c>
      <c r="H102" s="378"/>
      <c r="I102" s="18">
        <v>41862</v>
      </c>
      <c r="J102" s="5" t="s">
        <v>5202</v>
      </c>
      <c r="K102" s="40" t="s">
        <v>5204</v>
      </c>
      <c r="L102" s="10" t="s">
        <v>5205</v>
      </c>
      <c r="M102" s="583" t="s">
        <v>5206</v>
      </c>
      <c r="N102" s="62"/>
      <c r="O102" s="62"/>
      <c r="P102" s="10"/>
      <c r="Q102" s="10"/>
      <c r="R102" s="13"/>
      <c r="S102" s="11"/>
      <c r="T102" s="11"/>
      <c r="U102" s="11"/>
      <c r="V102" s="11"/>
      <c r="W102" s="59"/>
      <c r="X102" s="59"/>
      <c r="Y102" s="59"/>
      <c r="Z102" s="59"/>
      <c r="AA102" s="59"/>
      <c r="AB102" s="59"/>
      <c r="AC102" s="138"/>
      <c r="AD102" s="138"/>
      <c r="AE102" s="138"/>
      <c r="AF102" s="231"/>
      <c r="AG102" s="231"/>
      <c r="AH102" s="231"/>
      <c r="AI102" s="232"/>
      <c r="AJ102" s="11"/>
      <c r="AK102" s="11"/>
      <c r="AL102" s="11"/>
      <c r="AM102" s="11"/>
      <c r="AN102" s="394"/>
    </row>
    <row r="103" spans="1:41" ht="12.75" hidden="1" customHeight="1" x14ac:dyDescent="0.15">
      <c r="A103"/>
      <c r="B103" s="48" t="s">
        <v>3528</v>
      </c>
      <c r="C103" s="9" t="s">
        <v>3529</v>
      </c>
      <c r="D103" s="485">
        <v>8</v>
      </c>
      <c r="E103" s="486" t="str">
        <f t="shared" si="3"/>
        <v xml:space="preserve">U 9 Hommes </v>
      </c>
      <c r="F103" s="12" t="s">
        <v>3600</v>
      </c>
      <c r="G103" s="369"/>
      <c r="H103" s="615">
        <v>2025</v>
      </c>
      <c r="I103" s="18">
        <v>43115</v>
      </c>
      <c r="J103" s="19" t="s">
        <v>3536</v>
      </c>
      <c r="K103" s="40" t="s">
        <v>3540</v>
      </c>
      <c r="L103" s="10" t="s">
        <v>3539</v>
      </c>
      <c r="M103" s="47" t="s">
        <v>3541</v>
      </c>
      <c r="N103" s="62"/>
      <c r="O103" s="62"/>
      <c r="P103" s="11"/>
      <c r="Q103" s="10"/>
      <c r="R103" s="11"/>
      <c r="S103" s="11"/>
      <c r="T103" s="11"/>
      <c r="U103" s="11"/>
      <c r="V103" s="11"/>
      <c r="W103" s="59"/>
      <c r="X103" s="59"/>
      <c r="Y103" s="59"/>
      <c r="Z103" s="59"/>
      <c r="AA103" s="59"/>
      <c r="AB103" s="59"/>
      <c r="AC103" s="138"/>
      <c r="AD103" s="138"/>
      <c r="AE103" s="138"/>
      <c r="AF103" s="231"/>
      <c r="AG103" s="231"/>
      <c r="AH103" s="231"/>
      <c r="AI103" s="232"/>
      <c r="AJ103" s="19"/>
      <c r="AK103" s="23"/>
      <c r="AL103" s="23"/>
      <c r="AM103" s="23"/>
      <c r="AN103" s="43"/>
    </row>
    <row r="104" spans="1:41" ht="12.75" hidden="1" customHeight="1" x14ac:dyDescent="0.15">
      <c r="A104"/>
      <c r="B104" s="48" t="s">
        <v>899</v>
      </c>
      <c r="C104" s="9" t="s">
        <v>900</v>
      </c>
      <c r="D104" s="485">
        <v>9</v>
      </c>
      <c r="E104" s="486" t="str">
        <f t="shared" si="3"/>
        <v>Vétérans - Hommes</v>
      </c>
      <c r="F104" s="12" t="s">
        <v>2977</v>
      </c>
      <c r="G104" s="371" t="s">
        <v>3110</v>
      </c>
      <c r="H104" s="14"/>
      <c r="I104" s="18">
        <v>23710</v>
      </c>
      <c r="J104" s="19" t="s">
        <v>1923</v>
      </c>
      <c r="K104" s="40"/>
      <c r="L104" s="10" t="s">
        <v>1924</v>
      </c>
      <c r="M104" s="29" t="s">
        <v>1925</v>
      </c>
      <c r="N104" s="61"/>
      <c r="O104" s="61"/>
      <c r="P104" s="24"/>
      <c r="Q104" s="10"/>
      <c r="R104" s="11"/>
      <c r="S104" s="11" t="s">
        <v>1926</v>
      </c>
      <c r="T104" s="11"/>
      <c r="U104" s="11" t="s">
        <v>2792</v>
      </c>
      <c r="V104" s="11"/>
      <c r="W104" s="59" t="s">
        <v>2813</v>
      </c>
      <c r="X104" s="59" t="s">
        <v>3151</v>
      </c>
      <c r="Y104" s="59" t="s">
        <v>2136</v>
      </c>
      <c r="Z104" s="59">
        <v>50</v>
      </c>
      <c r="AA104" s="59"/>
      <c r="AB104" s="59"/>
      <c r="AC104" s="138"/>
      <c r="AD104" s="138"/>
      <c r="AE104" s="138"/>
      <c r="AF104" s="231"/>
      <c r="AG104" s="231"/>
      <c r="AH104" s="231"/>
      <c r="AI104" s="232"/>
      <c r="AJ104" s="19"/>
      <c r="AK104" s="23" t="s">
        <v>1927</v>
      </c>
      <c r="AL104" s="23"/>
      <c r="AM104" s="23"/>
      <c r="AN104" s="43"/>
    </row>
    <row r="105" spans="1:41" ht="12.75" hidden="1" customHeight="1" x14ac:dyDescent="0.15">
      <c r="A105"/>
      <c r="B105" s="48" t="s">
        <v>4122</v>
      </c>
      <c r="C105" s="9" t="s">
        <v>2066</v>
      </c>
      <c r="D105" s="485">
        <v>21</v>
      </c>
      <c r="E105" s="486" t="str">
        <f t="shared" si="3"/>
        <v>U7 Mixte</v>
      </c>
      <c r="F105" s="12" t="s">
        <v>5055</v>
      </c>
      <c r="G105" s="369"/>
      <c r="H105" s="13">
        <v>2027</v>
      </c>
      <c r="I105" s="18">
        <v>44185</v>
      </c>
      <c r="J105" s="19" t="s">
        <v>4985</v>
      </c>
      <c r="K105" s="40"/>
      <c r="L105" s="40" t="s">
        <v>4986</v>
      </c>
      <c r="M105" s="47" t="s">
        <v>4987</v>
      </c>
      <c r="N105" s="62"/>
      <c r="O105" s="62"/>
      <c r="P105" s="11"/>
      <c r="Q105" s="10"/>
      <c r="R105" s="11"/>
      <c r="S105" s="11"/>
      <c r="T105" s="11"/>
      <c r="U105" s="11"/>
      <c r="V105" s="11"/>
      <c r="W105" s="59"/>
      <c r="X105" s="59"/>
      <c r="Y105" s="59"/>
      <c r="Z105" s="59"/>
      <c r="AA105" s="59"/>
      <c r="AB105" s="59"/>
      <c r="AC105" s="138"/>
      <c r="AD105" s="138"/>
      <c r="AE105" s="138"/>
      <c r="AF105" s="231"/>
      <c r="AG105" s="231"/>
      <c r="AH105" s="231"/>
      <c r="AI105" s="232"/>
      <c r="AJ105" s="19"/>
      <c r="AK105" s="23"/>
      <c r="AL105" s="23"/>
      <c r="AM105" s="23"/>
      <c r="AN105" s="43"/>
    </row>
    <row r="106" spans="1:41" ht="12.75" customHeight="1" x14ac:dyDescent="0.15">
      <c r="A106" s="699"/>
      <c r="B106" s="48" t="s">
        <v>4122</v>
      </c>
      <c r="C106" s="9" t="s">
        <v>1941</v>
      </c>
      <c r="D106" s="485">
        <v>21</v>
      </c>
      <c r="E106" s="486" t="str">
        <f t="shared" si="3"/>
        <v>U7 Mixte</v>
      </c>
      <c r="F106" s="12" t="s">
        <v>4273</v>
      </c>
      <c r="G106" s="369"/>
      <c r="H106" s="13">
        <v>2026</v>
      </c>
      <c r="I106" s="18">
        <v>43649</v>
      </c>
      <c r="J106" s="19" t="s">
        <v>4129</v>
      </c>
      <c r="K106" s="40"/>
      <c r="L106" s="40" t="s">
        <v>4130</v>
      </c>
      <c r="M106" s="47" t="s">
        <v>4131</v>
      </c>
      <c r="N106" s="62"/>
      <c r="O106" s="62"/>
      <c r="P106" s="11"/>
      <c r="Q106" s="10"/>
      <c r="R106" s="11"/>
      <c r="S106" s="11"/>
      <c r="T106" s="11"/>
      <c r="U106" s="11"/>
      <c r="V106" s="11"/>
      <c r="W106" s="59"/>
      <c r="X106" s="59"/>
      <c r="Y106" s="59"/>
      <c r="Z106" s="59"/>
      <c r="AA106" s="59"/>
      <c r="AB106" s="59"/>
      <c r="AC106" s="138"/>
      <c r="AD106" s="138"/>
      <c r="AE106" s="138"/>
      <c r="AF106" s="231"/>
      <c r="AG106" s="231"/>
      <c r="AH106" s="231"/>
      <c r="AI106" s="232"/>
      <c r="AJ106" s="19"/>
      <c r="AK106" s="23"/>
      <c r="AL106" s="23"/>
      <c r="AM106" s="23"/>
      <c r="AN106" s="43"/>
    </row>
    <row r="107" spans="1:41" ht="12.75" hidden="1" customHeight="1" x14ac:dyDescent="0.15">
      <c r="A107"/>
      <c r="B107" s="48" t="s">
        <v>4122</v>
      </c>
      <c r="C107" s="9" t="s">
        <v>4624</v>
      </c>
      <c r="D107" s="485">
        <v>21</v>
      </c>
      <c r="E107" s="486" t="str">
        <f t="shared" si="3"/>
        <v>U7 Mixte</v>
      </c>
      <c r="F107" s="12" t="s">
        <v>5056</v>
      </c>
      <c r="G107" s="369"/>
      <c r="H107" s="13">
        <v>2028</v>
      </c>
      <c r="I107" s="18">
        <v>44294</v>
      </c>
      <c r="J107" s="19" t="s">
        <v>4623</v>
      </c>
      <c r="K107" s="40"/>
      <c r="L107" s="10" t="s">
        <v>4130</v>
      </c>
      <c r="M107" s="47" t="s">
        <v>4131</v>
      </c>
      <c r="N107" s="62"/>
      <c r="O107" s="62"/>
      <c r="P107" s="11"/>
      <c r="Q107" s="10"/>
      <c r="R107" s="11"/>
      <c r="S107" s="11"/>
      <c r="T107" s="11"/>
      <c r="U107" s="11"/>
      <c r="V107" s="11"/>
      <c r="W107" s="59"/>
      <c r="X107" s="59"/>
      <c r="Y107" s="59"/>
      <c r="Z107" s="59"/>
      <c r="AA107" s="59"/>
      <c r="AB107" s="59"/>
      <c r="AC107" s="138"/>
      <c r="AD107" s="138"/>
      <c r="AE107" s="138"/>
      <c r="AF107" s="231"/>
      <c r="AG107" s="231"/>
      <c r="AH107" s="231"/>
      <c r="AI107" s="232"/>
      <c r="AJ107" s="19"/>
      <c r="AK107" s="23"/>
      <c r="AL107" s="23"/>
      <c r="AM107" s="23"/>
      <c r="AN107" s="43"/>
    </row>
    <row r="108" spans="1:41" ht="12.75" hidden="1" customHeight="1" x14ac:dyDescent="0.15">
      <c r="A108"/>
      <c r="B108" s="48" t="s">
        <v>4358</v>
      </c>
      <c r="C108" s="9" t="s">
        <v>4359</v>
      </c>
      <c r="D108" s="485">
        <v>2</v>
      </c>
      <c r="E108" s="486" t="str">
        <f t="shared" si="3"/>
        <v>Seniors - Hommes</v>
      </c>
      <c r="F108" s="12" t="s">
        <v>4363</v>
      </c>
      <c r="G108" s="369"/>
      <c r="H108" s="13">
        <v>2027</v>
      </c>
      <c r="I108" s="18">
        <v>35616</v>
      </c>
      <c r="J108" s="19" t="s">
        <v>4361</v>
      </c>
      <c r="K108" s="40"/>
      <c r="L108" s="20">
        <v>691689837</v>
      </c>
      <c r="M108" s="47" t="s">
        <v>4362</v>
      </c>
      <c r="N108" s="62" t="s">
        <v>252</v>
      </c>
      <c r="O108" s="62"/>
      <c r="P108" s="11"/>
      <c r="Q108" s="10"/>
      <c r="R108" s="11"/>
      <c r="S108" s="11"/>
      <c r="T108" s="11"/>
      <c r="U108" s="11"/>
      <c r="V108" s="11"/>
      <c r="W108" s="59"/>
      <c r="X108" s="59"/>
      <c r="Y108" s="59"/>
      <c r="Z108" s="59"/>
      <c r="AA108" s="59"/>
      <c r="AB108" s="59"/>
      <c r="AC108" s="138"/>
      <c r="AD108" s="138"/>
      <c r="AE108" s="138"/>
      <c r="AF108" s="231"/>
      <c r="AG108" s="231"/>
      <c r="AH108" s="231"/>
      <c r="AI108" s="232"/>
      <c r="AJ108" s="19"/>
      <c r="AK108" s="23"/>
      <c r="AL108" s="23"/>
      <c r="AM108" s="23"/>
      <c r="AN108" s="43"/>
    </row>
    <row r="109" spans="1:41" ht="12.75" hidden="1" customHeight="1" x14ac:dyDescent="0.15">
      <c r="A109"/>
      <c r="B109" s="48" t="s">
        <v>680</v>
      </c>
      <c r="C109" s="9" t="s">
        <v>5022</v>
      </c>
      <c r="D109" s="485">
        <v>21</v>
      </c>
      <c r="E109" s="486" t="str">
        <f t="shared" si="3"/>
        <v>U7 Mixte</v>
      </c>
      <c r="F109" s="12" t="s">
        <v>5057</v>
      </c>
      <c r="G109" s="369"/>
      <c r="H109" s="13">
        <v>2027</v>
      </c>
      <c r="I109" s="18">
        <v>44170</v>
      </c>
      <c r="J109" s="19" t="s">
        <v>5024</v>
      </c>
      <c r="K109" s="40"/>
      <c r="L109" s="20" t="s">
        <v>5025</v>
      </c>
      <c r="M109" s="29" t="s">
        <v>1241</v>
      </c>
      <c r="N109" s="62"/>
      <c r="O109" s="62"/>
      <c r="P109" s="11"/>
      <c r="Q109" s="10"/>
      <c r="R109" s="13"/>
      <c r="S109" s="11"/>
      <c r="T109" s="11"/>
      <c r="U109" s="11"/>
      <c r="V109" s="11"/>
      <c r="W109" s="59"/>
      <c r="X109" s="59"/>
      <c r="Y109" s="59"/>
      <c r="Z109" s="59"/>
      <c r="AA109" s="59"/>
      <c r="AB109" s="59"/>
      <c r="AC109" s="138"/>
      <c r="AD109" s="138"/>
      <c r="AE109" s="138"/>
      <c r="AF109" s="231"/>
      <c r="AG109" s="231"/>
      <c r="AH109" s="231"/>
      <c r="AI109" s="232"/>
      <c r="AJ109" s="19"/>
      <c r="AK109" s="23"/>
      <c r="AL109" s="23"/>
      <c r="AM109" s="23"/>
      <c r="AN109" s="43"/>
    </row>
    <row r="110" spans="1:41" ht="12.75" hidden="1" customHeight="1" x14ac:dyDescent="0.15">
      <c r="A110"/>
      <c r="B110" s="48" t="s">
        <v>1324</v>
      </c>
      <c r="C110" s="9" t="s">
        <v>1962</v>
      </c>
      <c r="D110" s="485">
        <v>2</v>
      </c>
      <c r="E110" s="486" t="str">
        <f t="shared" si="3"/>
        <v>Seniors - Hommes</v>
      </c>
      <c r="F110" s="12" t="s">
        <v>2983</v>
      </c>
      <c r="G110" s="376"/>
      <c r="H110" s="14">
        <v>2027</v>
      </c>
      <c r="I110" s="18">
        <v>35718</v>
      </c>
      <c r="J110" s="19" t="s">
        <v>1963</v>
      </c>
      <c r="K110" s="40"/>
      <c r="L110" s="27" t="s">
        <v>1331</v>
      </c>
      <c r="M110" s="28" t="s">
        <v>1332</v>
      </c>
      <c r="N110" s="61"/>
      <c r="O110" s="61"/>
      <c r="P110" s="24"/>
      <c r="Q110" s="10"/>
      <c r="R110" s="11"/>
      <c r="S110" s="11"/>
      <c r="T110" s="11"/>
      <c r="U110" s="11" t="s">
        <v>348</v>
      </c>
      <c r="V110" s="11"/>
      <c r="W110" s="59" t="s">
        <v>2813</v>
      </c>
      <c r="X110" s="59" t="s">
        <v>292</v>
      </c>
      <c r="Y110" s="59" t="s">
        <v>1168</v>
      </c>
      <c r="Z110" s="59">
        <v>200</v>
      </c>
      <c r="AA110" s="59"/>
      <c r="AB110" s="59"/>
      <c r="AC110" s="138"/>
      <c r="AD110" s="138"/>
      <c r="AE110" s="138"/>
      <c r="AF110" s="231"/>
      <c r="AG110" s="231"/>
      <c r="AH110" s="231"/>
      <c r="AI110" s="232"/>
      <c r="AJ110" s="19"/>
      <c r="AK110" s="23" t="s">
        <v>1537</v>
      </c>
      <c r="AL110" s="23"/>
      <c r="AM110" s="23"/>
      <c r="AN110" s="43"/>
    </row>
    <row r="111" spans="1:41" ht="12.75" hidden="1" customHeight="1" x14ac:dyDescent="0.15">
      <c r="A111"/>
      <c r="B111" s="48" t="s">
        <v>4753</v>
      </c>
      <c r="C111" s="9" t="s">
        <v>4757</v>
      </c>
      <c r="D111" s="485">
        <v>5</v>
      </c>
      <c r="E111" s="486" t="str">
        <f t="shared" si="3"/>
        <v>U 15 Hommes</v>
      </c>
      <c r="F111" s="12" t="s">
        <v>4781</v>
      </c>
      <c r="G111" s="369"/>
      <c r="H111" s="13">
        <v>2027</v>
      </c>
      <c r="I111" s="18">
        <v>41180</v>
      </c>
      <c r="J111" s="19" t="s">
        <v>4760</v>
      </c>
      <c r="K111" s="64" t="s">
        <v>4761</v>
      </c>
      <c r="L111" s="64">
        <v>621274171</v>
      </c>
      <c r="M111" s="47" t="s">
        <v>4762</v>
      </c>
      <c r="N111" s="62"/>
      <c r="O111" s="62"/>
      <c r="P111" s="11"/>
      <c r="Q111" s="10"/>
      <c r="R111" s="11"/>
      <c r="S111" s="11"/>
      <c r="T111" s="11"/>
      <c r="U111" s="11"/>
      <c r="V111" s="11"/>
      <c r="W111" s="59"/>
      <c r="X111" s="59"/>
      <c r="Y111" s="59"/>
      <c r="Z111" s="59"/>
      <c r="AA111" s="59"/>
      <c r="AB111" s="59"/>
      <c r="AC111" s="138"/>
      <c r="AD111" s="138"/>
      <c r="AE111" s="138"/>
      <c r="AF111" s="231"/>
      <c r="AG111" s="231"/>
      <c r="AH111" s="231"/>
      <c r="AI111" s="232"/>
      <c r="AJ111" s="19"/>
      <c r="AK111" s="23"/>
      <c r="AL111" s="23"/>
      <c r="AM111" s="23"/>
      <c r="AN111" s="43"/>
    </row>
    <row r="112" spans="1:41" ht="12.75" customHeight="1" x14ac:dyDescent="0.15">
      <c r="A112" s="699"/>
      <c r="B112" s="48" t="s">
        <v>5125</v>
      </c>
      <c r="C112" s="9" t="s">
        <v>5127</v>
      </c>
      <c r="D112" s="485">
        <v>17</v>
      </c>
      <c r="E112" s="486" t="str">
        <f t="shared" si="3"/>
        <v>U 11 Dames</v>
      </c>
      <c r="F112" s="12" t="s">
        <v>5149</v>
      </c>
      <c r="G112" s="369"/>
      <c r="H112" s="13">
        <v>2026</v>
      </c>
      <c r="I112" s="18">
        <v>41763</v>
      </c>
      <c r="J112" s="5" t="s">
        <v>5133</v>
      </c>
      <c r="K112" s="53" t="s">
        <v>5135</v>
      </c>
      <c r="L112" s="10" t="s">
        <v>5136</v>
      </c>
      <c r="M112" s="68" t="s">
        <v>5137</v>
      </c>
      <c r="N112" s="62"/>
      <c r="O112" s="62"/>
      <c r="P112" s="10"/>
      <c r="Q112" s="10"/>
      <c r="R112" s="13"/>
      <c r="S112" s="11"/>
      <c r="T112" s="11"/>
      <c r="U112" s="11"/>
      <c r="V112" s="11"/>
      <c r="W112" s="59"/>
      <c r="X112" s="59"/>
      <c r="Y112" s="59"/>
      <c r="Z112" s="59"/>
      <c r="AA112" s="59"/>
      <c r="AB112" s="59"/>
      <c r="AC112" s="138"/>
      <c r="AD112" s="138"/>
      <c r="AE112" s="138"/>
      <c r="AF112" s="231"/>
      <c r="AG112" s="231"/>
      <c r="AH112" s="231"/>
      <c r="AI112" s="232"/>
      <c r="AJ112" s="11"/>
      <c r="AK112" s="11"/>
      <c r="AL112" s="11"/>
      <c r="AM112" s="11"/>
      <c r="AN112" s="394"/>
    </row>
    <row r="113" spans="1:41" ht="12.75" hidden="1" customHeight="1" x14ac:dyDescent="0.15">
      <c r="A113"/>
      <c r="B113" s="48" t="s">
        <v>5125</v>
      </c>
      <c r="C113" s="9" t="s">
        <v>5128</v>
      </c>
      <c r="D113" s="485">
        <v>18</v>
      </c>
      <c r="E113" s="486" t="str">
        <f t="shared" si="3"/>
        <v>U 9 Dames</v>
      </c>
      <c r="F113" s="12" t="s">
        <v>5150</v>
      </c>
      <c r="G113" s="369"/>
      <c r="H113" s="13">
        <v>2028</v>
      </c>
      <c r="I113" s="18">
        <v>42502</v>
      </c>
      <c r="J113" s="5" t="s">
        <v>5134</v>
      </c>
      <c r="K113" s="53" t="s">
        <v>5135</v>
      </c>
      <c r="L113" s="10" t="s">
        <v>5136</v>
      </c>
      <c r="M113" s="68" t="s">
        <v>5137</v>
      </c>
      <c r="N113" s="62"/>
      <c r="O113" s="62"/>
      <c r="P113" s="10"/>
      <c r="Q113" s="10"/>
      <c r="R113" s="13"/>
      <c r="S113" s="11"/>
      <c r="T113" s="11"/>
      <c r="U113" s="11"/>
      <c r="V113" s="11"/>
      <c r="W113" s="59"/>
      <c r="X113" s="59"/>
      <c r="Y113" s="59"/>
      <c r="Z113" s="59"/>
      <c r="AA113" s="59"/>
      <c r="AB113" s="59"/>
      <c r="AC113" s="138"/>
      <c r="AD113" s="138"/>
      <c r="AE113" s="138"/>
      <c r="AF113" s="231"/>
      <c r="AG113" s="231"/>
      <c r="AH113" s="231"/>
      <c r="AI113" s="232"/>
      <c r="AJ113" s="11"/>
      <c r="AK113" s="11"/>
      <c r="AL113" s="11"/>
      <c r="AM113" s="11"/>
      <c r="AN113" s="394"/>
    </row>
    <row r="114" spans="1:41" s="111" customFormat="1" ht="12.75" customHeight="1" x14ac:dyDescent="0.15">
      <c r="A114" s="707"/>
      <c r="B114" s="48" t="s">
        <v>3766</v>
      </c>
      <c r="C114" s="9" t="s">
        <v>3767</v>
      </c>
      <c r="D114" s="485">
        <v>5</v>
      </c>
      <c r="E114" s="486" t="str">
        <f t="shared" si="3"/>
        <v>U 15 Hommes</v>
      </c>
      <c r="F114" s="12" t="s">
        <v>3778</v>
      </c>
      <c r="G114" s="369"/>
      <c r="H114" s="13">
        <v>2026</v>
      </c>
      <c r="I114" s="18">
        <v>40576</v>
      </c>
      <c r="J114" s="19" t="s">
        <v>3770</v>
      </c>
      <c r="K114" s="40"/>
      <c r="L114" s="20">
        <v>621373017</v>
      </c>
      <c r="M114" s="47" t="s">
        <v>3771</v>
      </c>
      <c r="N114" s="62"/>
      <c r="O114" s="62"/>
      <c r="P114" s="11"/>
      <c r="Q114" s="10"/>
      <c r="R114" s="11"/>
      <c r="S114" s="11"/>
      <c r="T114" s="11"/>
      <c r="U114" s="11"/>
      <c r="V114" s="11"/>
      <c r="W114" s="59"/>
      <c r="X114" s="59"/>
      <c r="Y114" s="59"/>
      <c r="Z114" s="59"/>
      <c r="AA114" s="59"/>
      <c r="AB114" s="59"/>
      <c r="AC114" s="138"/>
      <c r="AD114" s="138"/>
      <c r="AE114" s="138"/>
      <c r="AF114" s="231"/>
      <c r="AG114" s="231"/>
      <c r="AH114" s="231"/>
      <c r="AI114" s="232"/>
      <c r="AJ114" s="19"/>
      <c r="AK114" s="23"/>
      <c r="AL114" s="23"/>
      <c r="AM114" s="23"/>
      <c r="AN114" s="43"/>
      <c r="AO114"/>
    </row>
    <row r="115" spans="1:41" ht="12.75" hidden="1" customHeight="1" x14ac:dyDescent="0.15">
      <c r="A115"/>
      <c r="B115" s="48" t="s">
        <v>3792</v>
      </c>
      <c r="C115" s="9" t="s">
        <v>2439</v>
      </c>
      <c r="D115" s="485">
        <v>15</v>
      </c>
      <c r="E115" s="486" t="str">
        <f t="shared" si="3"/>
        <v>U 13 Dames</v>
      </c>
      <c r="F115" s="12" t="s">
        <v>3903</v>
      </c>
      <c r="G115" s="369"/>
      <c r="H115" s="612">
        <v>2021</v>
      </c>
      <c r="I115" s="18">
        <v>41666</v>
      </c>
      <c r="J115" s="19" t="s">
        <v>3797</v>
      </c>
      <c r="K115" s="40"/>
      <c r="L115" s="20">
        <v>691689350</v>
      </c>
      <c r="M115" s="47" t="s">
        <v>3799</v>
      </c>
      <c r="N115" s="62"/>
      <c r="O115" s="62"/>
      <c r="P115" s="11"/>
      <c r="Q115" s="10"/>
      <c r="R115" s="11"/>
      <c r="S115" s="11"/>
      <c r="T115" s="11"/>
      <c r="U115" s="11"/>
      <c r="V115" s="11"/>
      <c r="W115" s="59"/>
      <c r="X115" s="59"/>
      <c r="Y115" s="59"/>
      <c r="Z115" s="59"/>
      <c r="AA115" s="59"/>
      <c r="AB115" s="59"/>
      <c r="AC115" s="138"/>
      <c r="AD115" s="138"/>
      <c r="AE115" s="138"/>
      <c r="AF115" s="231"/>
      <c r="AG115" s="231"/>
      <c r="AH115" s="231"/>
      <c r="AI115" s="232"/>
      <c r="AJ115" s="19"/>
      <c r="AK115" s="23"/>
      <c r="AL115" s="23"/>
      <c r="AM115" s="23"/>
      <c r="AN115" s="43"/>
    </row>
    <row r="116" spans="1:41" ht="12.75" hidden="1" customHeight="1" x14ac:dyDescent="0.15">
      <c r="A116"/>
      <c r="B116" s="48" t="s">
        <v>3792</v>
      </c>
      <c r="C116" s="9" t="s">
        <v>1029</v>
      </c>
      <c r="D116" s="485">
        <v>16</v>
      </c>
      <c r="E116" s="486" t="str">
        <f t="shared" si="3"/>
        <v>U15 Dames</v>
      </c>
      <c r="F116" s="12" t="s">
        <v>3904</v>
      </c>
      <c r="G116" s="369"/>
      <c r="H116" s="612">
        <v>2021</v>
      </c>
      <c r="I116" s="18">
        <v>40641</v>
      </c>
      <c r="J116" s="19" t="s">
        <v>3796</v>
      </c>
      <c r="K116" s="40"/>
      <c r="L116" s="20">
        <v>691689350</v>
      </c>
      <c r="M116" s="47" t="s">
        <v>3799</v>
      </c>
      <c r="N116" s="62"/>
      <c r="O116" s="62"/>
      <c r="P116" s="11"/>
      <c r="Q116" s="10"/>
      <c r="R116" s="11"/>
      <c r="S116" s="11"/>
      <c r="T116" s="11"/>
      <c r="U116" s="11"/>
      <c r="V116" s="11"/>
      <c r="W116" s="59"/>
      <c r="X116" s="59"/>
      <c r="Y116" s="59"/>
      <c r="Z116" s="59"/>
      <c r="AA116" s="59"/>
      <c r="AB116" s="59"/>
      <c r="AC116" s="138"/>
      <c r="AD116" s="138"/>
      <c r="AE116" s="138"/>
      <c r="AF116" s="231"/>
      <c r="AG116" s="231"/>
      <c r="AH116" s="231"/>
      <c r="AI116" s="232"/>
      <c r="AJ116" s="19"/>
      <c r="AK116" s="23"/>
      <c r="AL116" s="23"/>
      <c r="AM116" s="23"/>
      <c r="AN116" s="43"/>
    </row>
    <row r="117" spans="1:41" ht="12.75" hidden="1" customHeight="1" x14ac:dyDescent="0.15">
      <c r="A117"/>
      <c r="B117" s="48" t="s">
        <v>3265</v>
      </c>
      <c r="C117" s="9" t="s">
        <v>2042</v>
      </c>
      <c r="D117" s="485">
        <v>18</v>
      </c>
      <c r="E117" s="486" t="str">
        <f t="shared" si="3"/>
        <v>U 9 Dames</v>
      </c>
      <c r="F117" s="12" t="s">
        <v>4260</v>
      </c>
      <c r="G117" s="369"/>
      <c r="H117" s="36">
        <v>2024</v>
      </c>
      <c r="I117" s="18">
        <v>43082</v>
      </c>
      <c r="J117" s="19" t="s">
        <v>4228</v>
      </c>
      <c r="K117" s="40" t="s">
        <v>4009</v>
      </c>
      <c r="L117" s="20">
        <v>661200903</v>
      </c>
      <c r="M117" s="47" t="s">
        <v>4377</v>
      </c>
      <c r="N117" s="62"/>
      <c r="O117" s="62"/>
      <c r="P117" s="11"/>
      <c r="Q117" s="10"/>
      <c r="R117" s="11"/>
      <c r="S117" s="11"/>
      <c r="T117" s="11"/>
      <c r="U117" s="11"/>
      <c r="V117" s="11"/>
      <c r="W117" s="59"/>
      <c r="X117" s="59"/>
      <c r="Y117" s="59"/>
      <c r="Z117" s="59"/>
      <c r="AA117" s="59"/>
      <c r="AB117" s="59"/>
      <c r="AC117" s="138"/>
      <c r="AD117" s="138"/>
      <c r="AE117" s="138"/>
      <c r="AF117" s="231"/>
      <c r="AG117" s="231"/>
      <c r="AH117" s="231"/>
      <c r="AI117" s="232"/>
      <c r="AJ117" s="19"/>
      <c r="AK117" s="23"/>
      <c r="AL117" s="23"/>
      <c r="AM117" s="23"/>
      <c r="AN117" s="43"/>
    </row>
    <row r="118" spans="1:41" ht="12.75" customHeight="1" x14ac:dyDescent="0.15">
      <c r="A118" s="699"/>
      <c r="B118" s="48" t="s">
        <v>3265</v>
      </c>
      <c r="C118" s="9" t="s">
        <v>4005</v>
      </c>
      <c r="D118" s="485">
        <v>6</v>
      </c>
      <c r="E118" s="486" t="str">
        <f t="shared" si="3"/>
        <v>U 13 Hommes</v>
      </c>
      <c r="F118" s="12" t="s">
        <v>4010</v>
      </c>
      <c r="G118" s="369"/>
      <c r="H118" s="13">
        <v>2026</v>
      </c>
      <c r="I118" s="18">
        <v>41775</v>
      </c>
      <c r="J118" s="19" t="s">
        <v>4008</v>
      </c>
      <c r="K118" s="40" t="s">
        <v>4009</v>
      </c>
      <c r="L118" s="20">
        <v>661200903</v>
      </c>
      <c r="M118" s="47" t="s">
        <v>4377</v>
      </c>
      <c r="N118" s="62"/>
      <c r="O118" s="62"/>
      <c r="P118" s="11"/>
      <c r="Q118" s="10"/>
      <c r="R118" s="11"/>
      <c r="S118" s="11"/>
      <c r="T118" s="11"/>
      <c r="U118" s="11"/>
      <c r="V118" s="11"/>
      <c r="W118" s="59"/>
      <c r="X118" s="59"/>
      <c r="Y118" s="59"/>
      <c r="Z118" s="59"/>
      <c r="AA118" s="59"/>
      <c r="AB118" s="59"/>
      <c r="AC118" s="138"/>
      <c r="AD118" s="138"/>
      <c r="AE118" s="138"/>
      <c r="AF118" s="231"/>
      <c r="AG118" s="231"/>
      <c r="AH118" s="231"/>
      <c r="AI118" s="232"/>
      <c r="AJ118" s="19"/>
      <c r="AK118" s="23"/>
      <c r="AL118" s="23"/>
      <c r="AM118" s="23"/>
      <c r="AN118" s="43"/>
    </row>
    <row r="119" spans="1:41" ht="12.75" customHeight="1" x14ac:dyDescent="0.15">
      <c r="A119" s="699"/>
      <c r="B119" s="48" t="s">
        <v>4178</v>
      </c>
      <c r="C119" s="9" t="s">
        <v>4179</v>
      </c>
      <c r="D119" s="485">
        <v>21</v>
      </c>
      <c r="E119" s="486" t="str">
        <f t="shared" si="3"/>
        <v>U7 Mixte</v>
      </c>
      <c r="F119" s="12" t="s">
        <v>4258</v>
      </c>
      <c r="G119" s="369"/>
      <c r="H119" s="13">
        <v>2026</v>
      </c>
      <c r="I119" s="18">
        <v>43795</v>
      </c>
      <c r="J119" s="46" t="s">
        <v>4182</v>
      </c>
      <c r="K119" s="47" t="s">
        <v>4184</v>
      </c>
      <c r="L119" s="20">
        <v>691730423</v>
      </c>
      <c r="M119" s="349" t="s">
        <v>4183</v>
      </c>
      <c r="N119" s="62"/>
      <c r="O119" s="62"/>
      <c r="P119" s="11"/>
      <c r="Q119" s="10"/>
      <c r="R119" s="11"/>
      <c r="S119" s="11"/>
      <c r="T119" s="11"/>
      <c r="U119" s="11"/>
      <c r="V119" s="11"/>
      <c r="W119" s="59"/>
      <c r="X119" s="59"/>
      <c r="Y119" s="59"/>
      <c r="Z119" s="59"/>
      <c r="AA119" s="59"/>
      <c r="AB119" s="59"/>
      <c r="AC119" s="138"/>
      <c r="AD119" s="138"/>
      <c r="AE119" s="138"/>
      <c r="AF119" s="231"/>
      <c r="AG119" s="231"/>
      <c r="AH119" s="231"/>
      <c r="AI119" s="232"/>
      <c r="AJ119" s="19"/>
      <c r="AK119" s="23"/>
      <c r="AL119" s="23"/>
      <c r="AM119" s="23"/>
      <c r="AN119" s="43"/>
      <c r="AO119" s="150"/>
    </row>
    <row r="120" spans="1:41" s="150" customFormat="1" ht="12.75" hidden="1" customHeight="1" x14ac:dyDescent="0.15">
      <c r="B120" s="48" t="s">
        <v>4765</v>
      </c>
      <c r="C120" s="9" t="s">
        <v>4766</v>
      </c>
      <c r="D120" s="485">
        <v>12</v>
      </c>
      <c r="E120" s="486" t="str">
        <f t="shared" si="3"/>
        <v>Dames</v>
      </c>
      <c r="F120" s="12" t="s">
        <v>4849</v>
      </c>
      <c r="G120" s="369"/>
      <c r="H120" s="13">
        <v>2035</v>
      </c>
      <c r="I120" s="18">
        <v>34723</v>
      </c>
      <c r="J120" s="19" t="s">
        <v>4769</v>
      </c>
      <c r="K120" s="40"/>
      <c r="L120" s="65" t="s">
        <v>4770</v>
      </c>
      <c r="M120" s="47" t="s">
        <v>4771</v>
      </c>
      <c r="N120" s="62"/>
      <c r="O120" s="62"/>
      <c r="P120" s="11"/>
      <c r="Q120" s="10"/>
      <c r="R120" s="11"/>
      <c r="S120" s="11"/>
      <c r="T120" s="11"/>
      <c r="U120" s="11"/>
      <c r="V120" s="11"/>
      <c r="W120" s="59"/>
      <c r="X120" s="59"/>
      <c r="Y120" s="59"/>
      <c r="Z120" s="59"/>
      <c r="AA120" s="59"/>
      <c r="AB120" s="59"/>
      <c r="AC120" s="138"/>
      <c r="AD120" s="138"/>
      <c r="AE120" s="138"/>
      <c r="AF120" s="231"/>
      <c r="AG120" s="231"/>
      <c r="AH120" s="231"/>
      <c r="AI120" s="232"/>
      <c r="AJ120" s="19"/>
      <c r="AK120" s="23"/>
      <c r="AL120" s="23"/>
      <c r="AM120" s="23"/>
      <c r="AN120" s="43"/>
      <c r="AO120"/>
    </row>
    <row r="121" spans="1:41" ht="12.75" hidden="1" customHeight="1" x14ac:dyDescent="0.15">
      <c r="A121"/>
      <c r="B121" s="48" t="s">
        <v>4368</v>
      </c>
      <c r="C121" s="9" t="s">
        <v>1488</v>
      </c>
      <c r="D121" s="485">
        <v>8</v>
      </c>
      <c r="E121" s="486" t="str">
        <f t="shared" si="3"/>
        <v xml:space="preserve">U 9 Hommes </v>
      </c>
      <c r="F121" s="12" t="s">
        <v>4381</v>
      </c>
      <c r="G121" s="369"/>
      <c r="H121" s="13">
        <v>2030</v>
      </c>
      <c r="I121" s="18">
        <v>43158</v>
      </c>
      <c r="J121" s="19" t="s">
        <v>4374</v>
      </c>
      <c r="K121" s="40"/>
      <c r="L121" s="20">
        <v>661790920</v>
      </c>
      <c r="M121" s="47" t="s">
        <v>4375</v>
      </c>
      <c r="N121" s="62"/>
      <c r="O121" s="62"/>
      <c r="P121" s="11"/>
      <c r="Q121" s="10"/>
      <c r="R121" s="11"/>
      <c r="S121" s="11"/>
      <c r="T121" s="11"/>
      <c r="U121" s="11"/>
      <c r="V121" s="11"/>
      <c r="W121" s="59"/>
      <c r="X121" s="59"/>
      <c r="Y121" s="59"/>
      <c r="Z121" s="59"/>
      <c r="AA121" s="59"/>
      <c r="AB121" s="59"/>
      <c r="AC121" s="138"/>
      <c r="AD121" s="138"/>
      <c r="AE121" s="138"/>
      <c r="AF121" s="231"/>
      <c r="AG121" s="231"/>
      <c r="AH121" s="231"/>
      <c r="AI121" s="232"/>
      <c r="AJ121" s="19"/>
      <c r="AK121" s="23"/>
      <c r="AL121" s="23"/>
      <c r="AM121" s="23"/>
      <c r="AN121" s="43"/>
      <c r="AO121" s="150"/>
    </row>
    <row r="122" spans="1:41" ht="12.75" hidden="1" customHeight="1" x14ac:dyDescent="0.15">
      <c r="A122"/>
      <c r="B122" s="48" t="s">
        <v>3614</v>
      </c>
      <c r="C122" s="9" t="s">
        <v>4585</v>
      </c>
      <c r="D122" s="485">
        <v>21</v>
      </c>
      <c r="E122" s="486" t="str">
        <f t="shared" si="3"/>
        <v>U7 Mixte</v>
      </c>
      <c r="F122" s="217" t="s">
        <v>2805</v>
      </c>
      <c r="G122" s="369"/>
      <c r="H122" s="13">
        <v>2026</v>
      </c>
      <c r="I122" s="18">
        <v>43649</v>
      </c>
      <c r="J122" s="19" t="s">
        <v>4586</v>
      </c>
      <c r="K122" s="40" t="s">
        <v>3620</v>
      </c>
      <c r="L122" s="10" t="s">
        <v>3622</v>
      </c>
      <c r="M122" s="47" t="s">
        <v>4587</v>
      </c>
      <c r="N122" s="62"/>
      <c r="O122" s="62"/>
      <c r="P122" s="11"/>
      <c r="Q122" s="10"/>
      <c r="R122" s="11"/>
      <c r="S122" s="11"/>
      <c r="T122" s="11"/>
      <c r="U122" s="11"/>
      <c r="V122" s="11"/>
      <c r="W122" s="59"/>
      <c r="X122" s="59"/>
      <c r="Y122" s="59"/>
      <c r="Z122" s="59"/>
      <c r="AA122" s="59"/>
      <c r="AB122" s="59"/>
      <c r="AC122" s="138"/>
      <c r="AD122" s="138"/>
      <c r="AE122" s="138"/>
      <c r="AF122" s="231"/>
      <c r="AG122" s="231"/>
      <c r="AH122" s="231"/>
      <c r="AI122" s="232"/>
      <c r="AJ122" s="19"/>
      <c r="AK122" s="23"/>
      <c r="AL122" s="23"/>
      <c r="AM122" s="23"/>
      <c r="AN122" s="43"/>
      <c r="AO122" s="150"/>
    </row>
    <row r="123" spans="1:41" ht="12.75" hidden="1" customHeight="1" x14ac:dyDescent="0.15">
      <c r="A123"/>
      <c r="B123" s="48" t="s">
        <v>3614</v>
      </c>
      <c r="C123" s="9" t="s">
        <v>3615</v>
      </c>
      <c r="D123" s="485">
        <v>8</v>
      </c>
      <c r="E123" s="486" t="str">
        <f t="shared" si="3"/>
        <v xml:space="preserve">U 9 Hommes </v>
      </c>
      <c r="F123" s="12" t="s">
        <v>3754</v>
      </c>
      <c r="G123" s="369"/>
      <c r="H123" s="13">
        <v>2029</v>
      </c>
      <c r="I123" s="18">
        <v>42797</v>
      </c>
      <c r="J123" s="19" t="s">
        <v>3619</v>
      </c>
      <c r="K123" s="40" t="s">
        <v>3620</v>
      </c>
      <c r="L123" s="10" t="s">
        <v>3622</v>
      </c>
      <c r="M123" s="66" t="s">
        <v>3624</v>
      </c>
      <c r="N123" s="62"/>
      <c r="O123" s="62"/>
      <c r="P123" s="11"/>
      <c r="Q123" s="10"/>
      <c r="R123" s="11"/>
      <c r="S123" s="11"/>
      <c r="T123" s="11"/>
      <c r="U123" s="11"/>
      <c r="V123" s="11"/>
      <c r="W123" s="59"/>
      <c r="X123" s="59"/>
      <c r="Y123" s="59"/>
      <c r="Z123" s="59"/>
      <c r="AA123" s="59"/>
      <c r="AB123" s="59"/>
      <c r="AC123" s="138"/>
      <c r="AD123" s="138"/>
      <c r="AE123" s="138"/>
      <c r="AF123" s="231"/>
      <c r="AG123" s="231"/>
      <c r="AH123" s="231"/>
      <c r="AI123" s="232"/>
      <c r="AJ123" s="19"/>
      <c r="AK123" s="23"/>
      <c r="AL123" s="23"/>
      <c r="AM123" s="23"/>
      <c r="AN123" s="43"/>
      <c r="AO123" s="150"/>
    </row>
    <row r="124" spans="1:41" ht="12.75" hidden="1" customHeight="1" x14ac:dyDescent="0.15">
      <c r="A124"/>
      <c r="B124" s="48" t="s">
        <v>5465</v>
      </c>
      <c r="C124" s="9" t="s">
        <v>5456</v>
      </c>
      <c r="D124" s="485">
        <v>17</v>
      </c>
      <c r="E124" s="486" t="str">
        <f t="shared" si="3"/>
        <v>U 11 Dames</v>
      </c>
      <c r="F124" s="12" t="s">
        <v>5470</v>
      </c>
      <c r="G124" s="386" t="s">
        <v>5173</v>
      </c>
      <c r="H124" s="13">
        <v>2028</v>
      </c>
      <c r="I124" s="18">
        <v>42468</v>
      </c>
      <c r="J124" s="5" t="s">
        <v>5462</v>
      </c>
      <c r="K124" s="53"/>
      <c r="L124" s="20">
        <v>621433845</v>
      </c>
      <c r="M124" s="68" t="s">
        <v>5463</v>
      </c>
      <c r="N124" s="62"/>
      <c r="O124" s="62"/>
      <c r="P124" s="10"/>
      <c r="Q124" s="10"/>
      <c r="R124" s="13"/>
      <c r="S124" s="11"/>
      <c r="T124" s="11"/>
      <c r="U124" s="11"/>
      <c r="V124" s="11"/>
      <c r="W124" s="59"/>
      <c r="X124" s="59"/>
      <c r="Y124" s="59"/>
      <c r="Z124" s="59"/>
      <c r="AA124" s="59"/>
      <c r="AB124" s="59"/>
      <c r="AC124" s="138"/>
      <c r="AD124" s="138"/>
      <c r="AE124" s="138"/>
      <c r="AF124" s="231"/>
      <c r="AG124" s="231"/>
      <c r="AH124" s="231"/>
      <c r="AI124" s="232"/>
      <c r="AJ124" s="11"/>
      <c r="AK124" s="11"/>
      <c r="AL124" s="11"/>
      <c r="AM124" s="11"/>
      <c r="AN124" s="394"/>
    </row>
    <row r="125" spans="1:41" ht="12.75" hidden="1" customHeight="1" x14ac:dyDescent="0.15">
      <c r="A125"/>
      <c r="B125" s="106" t="s">
        <v>932</v>
      </c>
      <c r="C125" s="107" t="s">
        <v>933</v>
      </c>
      <c r="D125" s="499">
        <v>2</v>
      </c>
      <c r="E125" s="500" t="str">
        <f t="shared" si="3"/>
        <v>Seniors - Hommes</v>
      </c>
      <c r="F125" s="61" t="s">
        <v>2987</v>
      </c>
      <c r="G125" s="501"/>
      <c r="H125" s="71">
        <v>2028</v>
      </c>
      <c r="I125" s="114">
        <v>35964</v>
      </c>
      <c r="J125" s="115" t="s">
        <v>3317</v>
      </c>
      <c r="K125" s="112"/>
      <c r="L125" s="116" t="s">
        <v>3318</v>
      </c>
      <c r="M125" s="119" t="s">
        <v>1996</v>
      </c>
      <c r="N125" s="61"/>
      <c r="O125" s="61"/>
      <c r="P125" s="112"/>
      <c r="Q125" s="112"/>
      <c r="R125" s="113"/>
      <c r="S125" s="110"/>
      <c r="T125" s="110"/>
      <c r="U125" s="502" t="s">
        <v>209</v>
      </c>
      <c r="V125" s="502"/>
      <c r="W125" s="154" t="s">
        <v>2813</v>
      </c>
      <c r="X125" s="154" t="s">
        <v>3151</v>
      </c>
      <c r="Y125" s="503"/>
      <c r="Z125" s="503">
        <v>150</v>
      </c>
      <c r="AA125" s="503"/>
      <c r="AB125" s="503"/>
      <c r="AC125" s="504"/>
      <c r="AD125" s="504"/>
      <c r="AE125" s="504"/>
      <c r="AF125" s="505"/>
      <c r="AG125" s="505"/>
      <c r="AH125" s="505"/>
      <c r="AI125" s="506"/>
      <c r="AJ125" s="115"/>
      <c r="AK125" s="199" t="s">
        <v>1537</v>
      </c>
      <c r="AL125" s="199"/>
      <c r="AM125" s="199"/>
      <c r="AN125" s="507"/>
      <c r="AO125" s="111"/>
    </row>
    <row r="126" spans="1:41" ht="12.75" hidden="1" customHeight="1" x14ac:dyDescent="0.15">
      <c r="A126"/>
      <c r="B126" s="48" t="s">
        <v>4800</v>
      </c>
      <c r="C126" s="9" t="s">
        <v>4801</v>
      </c>
      <c r="D126" s="485">
        <v>2</v>
      </c>
      <c r="E126" s="486" t="str">
        <f t="shared" ref="E126:E153" si="4">VLOOKUP(D126,CAT_JOUEUR,2,FALSE)</f>
        <v>Seniors - Hommes</v>
      </c>
      <c r="F126" s="12" t="s">
        <v>4806</v>
      </c>
      <c r="G126" s="373" t="s">
        <v>5191</v>
      </c>
      <c r="H126" s="36">
        <v>2024</v>
      </c>
      <c r="I126" s="18">
        <v>34918</v>
      </c>
      <c r="J126" s="46" t="s">
        <v>4804</v>
      </c>
      <c r="K126" s="40"/>
      <c r="L126" s="20">
        <v>621704916</v>
      </c>
      <c r="M126" s="47" t="s">
        <v>4805</v>
      </c>
      <c r="N126" s="62"/>
      <c r="O126" s="62"/>
      <c r="P126" s="11"/>
      <c r="Q126" s="10"/>
      <c r="R126" s="11"/>
      <c r="S126" s="11"/>
      <c r="T126" s="11"/>
      <c r="U126" s="11"/>
      <c r="V126" s="11"/>
      <c r="W126" s="59"/>
      <c r="X126" s="59"/>
      <c r="Y126" s="59"/>
      <c r="Z126" s="59"/>
      <c r="AA126" s="59"/>
      <c r="AB126" s="59"/>
      <c r="AC126" s="138"/>
      <c r="AD126" s="138"/>
      <c r="AE126" s="138"/>
      <c r="AF126" s="231"/>
      <c r="AG126" s="231"/>
      <c r="AH126" s="231"/>
      <c r="AI126" s="232"/>
      <c r="AJ126" s="19"/>
      <c r="AK126" s="23"/>
      <c r="AL126" s="23"/>
      <c r="AM126" s="23"/>
      <c r="AN126" s="43"/>
    </row>
    <row r="127" spans="1:41" ht="12.75" hidden="1" customHeight="1" x14ac:dyDescent="0.15">
      <c r="A127"/>
      <c r="B127" s="48" t="s">
        <v>4274</v>
      </c>
      <c r="C127" s="9" t="s">
        <v>4275</v>
      </c>
      <c r="D127" s="485">
        <v>2</v>
      </c>
      <c r="E127" s="486" t="str">
        <f t="shared" si="4"/>
        <v>Seniors - Hommes</v>
      </c>
      <c r="F127" s="12" t="s">
        <v>4308</v>
      </c>
      <c r="G127" s="369"/>
      <c r="H127" s="13">
        <v>2031</v>
      </c>
      <c r="I127" s="18">
        <v>33456</v>
      </c>
      <c r="J127" s="19" t="s">
        <v>4277</v>
      </c>
      <c r="K127" s="40"/>
      <c r="L127" s="20">
        <v>691874395</v>
      </c>
      <c r="M127" s="47" t="s">
        <v>4278</v>
      </c>
      <c r="N127" s="62"/>
      <c r="O127" s="62"/>
      <c r="P127" s="11"/>
      <c r="Q127" s="10"/>
      <c r="R127" s="11"/>
      <c r="S127" s="11"/>
      <c r="T127" s="11"/>
      <c r="U127" s="11"/>
      <c r="V127" s="11"/>
      <c r="W127" s="59"/>
      <c r="X127" s="59"/>
      <c r="Y127" s="59"/>
      <c r="Z127" s="59"/>
      <c r="AA127" s="59"/>
      <c r="AB127" s="59"/>
      <c r="AC127" s="138"/>
      <c r="AD127" s="138"/>
      <c r="AE127" s="138"/>
      <c r="AF127" s="231"/>
      <c r="AG127" s="231"/>
      <c r="AH127" s="231"/>
      <c r="AI127" s="232"/>
      <c r="AJ127" s="19"/>
      <c r="AK127" s="23"/>
      <c r="AL127" s="23"/>
      <c r="AM127" s="23"/>
      <c r="AN127" s="43"/>
    </row>
    <row r="128" spans="1:41" ht="13" x14ac:dyDescent="0.15">
      <c r="A128" s="699"/>
      <c r="B128" s="48" t="s">
        <v>4425</v>
      </c>
      <c r="C128" s="9" t="s">
        <v>4426</v>
      </c>
      <c r="D128" s="485">
        <v>18</v>
      </c>
      <c r="E128" s="486" t="str">
        <f t="shared" si="4"/>
        <v>U 9 Dames</v>
      </c>
      <c r="F128" s="12" t="s">
        <v>4500</v>
      </c>
      <c r="G128" s="386"/>
      <c r="H128" s="13">
        <v>2026</v>
      </c>
      <c r="I128" s="18">
        <v>43573</v>
      </c>
      <c r="J128" s="19" t="s">
        <v>4429</v>
      </c>
      <c r="K128" s="40" t="s">
        <v>4435</v>
      </c>
      <c r="L128" s="10" t="s">
        <v>4436</v>
      </c>
      <c r="M128" s="47" t="s">
        <v>4437</v>
      </c>
      <c r="N128" s="62"/>
      <c r="O128" s="62"/>
      <c r="P128" s="11"/>
      <c r="Q128" s="10"/>
      <c r="R128" s="11"/>
      <c r="S128" s="11"/>
      <c r="T128" s="11"/>
      <c r="U128" s="11"/>
      <c r="V128" s="11"/>
      <c r="W128" s="59"/>
      <c r="X128" s="59"/>
      <c r="Y128" s="59"/>
      <c r="Z128" s="59"/>
      <c r="AA128" s="59"/>
      <c r="AB128" s="59"/>
      <c r="AC128" s="138"/>
      <c r="AD128" s="138"/>
      <c r="AE128" s="138"/>
      <c r="AF128" s="231"/>
      <c r="AG128" s="231"/>
      <c r="AH128" s="231"/>
      <c r="AI128" s="232"/>
      <c r="AJ128" s="19"/>
      <c r="AK128" s="23"/>
      <c r="AL128" s="23"/>
      <c r="AM128" s="23"/>
      <c r="AN128" s="43"/>
    </row>
    <row r="129" spans="1:41" s="150" customFormat="1" ht="13.5" hidden="1" customHeight="1" x14ac:dyDescent="0.15">
      <c r="B129" s="48" t="s">
        <v>4425</v>
      </c>
      <c r="C129" s="9" t="s">
        <v>681</v>
      </c>
      <c r="D129" s="485">
        <v>8</v>
      </c>
      <c r="E129" s="486" t="str">
        <f t="shared" si="4"/>
        <v xml:space="preserve">U 9 Hommes </v>
      </c>
      <c r="F129" s="12" t="s">
        <v>4501</v>
      </c>
      <c r="G129" s="369"/>
      <c r="H129" s="13">
        <v>2027</v>
      </c>
      <c r="I129" s="18">
        <v>44028</v>
      </c>
      <c r="J129" s="19" t="s">
        <v>4432</v>
      </c>
      <c r="K129" s="40" t="s">
        <v>4433</v>
      </c>
      <c r="L129" s="10" t="s">
        <v>4434</v>
      </c>
      <c r="M129" s="47" t="s">
        <v>4437</v>
      </c>
      <c r="N129" s="62"/>
      <c r="O129" s="62"/>
      <c r="P129" s="11"/>
      <c r="Q129" s="10"/>
      <c r="R129" s="11"/>
      <c r="S129" s="11"/>
      <c r="T129" s="11"/>
      <c r="U129" s="11"/>
      <c r="V129" s="11"/>
      <c r="W129" s="59"/>
      <c r="X129" s="59"/>
      <c r="Y129" s="59"/>
      <c r="Z129" s="59"/>
      <c r="AA129" s="59"/>
      <c r="AB129" s="59"/>
      <c r="AC129" s="530"/>
      <c r="AD129" s="530"/>
      <c r="AE129" s="138"/>
      <c r="AF129" s="231"/>
      <c r="AG129" s="231"/>
      <c r="AH129" s="231"/>
      <c r="AI129" s="232"/>
      <c r="AJ129" s="19"/>
      <c r="AK129" s="23"/>
      <c r="AL129" s="542"/>
      <c r="AM129" s="542"/>
      <c r="AN129" s="43"/>
      <c r="AO129"/>
    </row>
    <row r="130" spans="1:41" ht="12.75" hidden="1" customHeight="1" x14ac:dyDescent="0.15">
      <c r="A130"/>
      <c r="B130" s="48" t="s">
        <v>3577</v>
      </c>
      <c r="C130" s="9" t="s">
        <v>4562</v>
      </c>
      <c r="D130" s="485">
        <v>21</v>
      </c>
      <c r="E130" s="486" t="str">
        <f t="shared" si="4"/>
        <v>U7 Mixte</v>
      </c>
      <c r="F130" s="12" t="s">
        <v>4590</v>
      </c>
      <c r="G130" s="369"/>
      <c r="H130" s="13">
        <v>2028</v>
      </c>
      <c r="I130" s="18">
        <v>44423</v>
      </c>
      <c r="J130" s="19" t="s">
        <v>4563</v>
      </c>
      <c r="K130" s="40" t="s">
        <v>3585</v>
      </c>
      <c r="L130" s="10" t="s">
        <v>3587</v>
      </c>
      <c r="M130" s="47" t="s">
        <v>3588</v>
      </c>
      <c r="N130" s="62"/>
      <c r="O130" s="62"/>
      <c r="P130" s="11"/>
      <c r="Q130" s="10"/>
      <c r="R130" s="11"/>
      <c r="S130" s="11"/>
      <c r="T130" s="11"/>
      <c r="U130" s="11"/>
      <c r="V130" s="11"/>
      <c r="W130" s="59"/>
      <c r="X130" s="59"/>
      <c r="Y130" s="59"/>
      <c r="Z130" s="59"/>
      <c r="AA130" s="59"/>
      <c r="AB130" s="59"/>
      <c r="AC130" s="138"/>
      <c r="AD130" s="138"/>
      <c r="AE130" s="138"/>
      <c r="AF130" s="231"/>
      <c r="AG130" s="231"/>
      <c r="AH130" s="231"/>
      <c r="AI130" s="232"/>
      <c r="AJ130" s="19"/>
      <c r="AK130" s="23"/>
      <c r="AL130" s="23"/>
      <c r="AM130" s="23"/>
      <c r="AN130" s="43"/>
    </row>
    <row r="131" spans="1:41" ht="12.75" hidden="1" customHeight="1" x14ac:dyDescent="0.15">
      <c r="A131"/>
      <c r="B131" s="48" t="s">
        <v>3577</v>
      </c>
      <c r="C131" s="9" t="s">
        <v>3579</v>
      </c>
      <c r="D131" s="485">
        <v>18</v>
      </c>
      <c r="E131" s="486" t="str">
        <f t="shared" si="4"/>
        <v>U 9 Dames</v>
      </c>
      <c r="F131" s="12" t="s">
        <v>3902</v>
      </c>
      <c r="G131" s="369"/>
      <c r="H131" s="13">
        <v>2030</v>
      </c>
      <c r="I131" s="18">
        <v>43348</v>
      </c>
      <c r="J131" s="19" t="s">
        <v>3583</v>
      </c>
      <c r="K131" s="40" t="s">
        <v>3585</v>
      </c>
      <c r="L131" s="10" t="s">
        <v>3587</v>
      </c>
      <c r="M131" s="47" t="s">
        <v>3588</v>
      </c>
      <c r="N131" s="62"/>
      <c r="O131" s="62"/>
      <c r="P131" s="11"/>
      <c r="Q131" s="10"/>
      <c r="R131" s="11"/>
      <c r="S131" s="11"/>
      <c r="T131" s="11"/>
      <c r="U131" s="11"/>
      <c r="V131" s="11"/>
      <c r="W131" s="59"/>
      <c r="X131" s="59"/>
      <c r="Y131" s="59"/>
      <c r="Z131" s="59"/>
      <c r="AA131" s="59"/>
      <c r="AB131" s="59"/>
      <c r="AC131" s="138"/>
      <c r="AD131" s="138"/>
      <c r="AE131" s="138"/>
      <c r="AF131" s="231"/>
      <c r="AG131" s="231"/>
      <c r="AH131" s="231"/>
      <c r="AI131" s="232"/>
      <c r="AJ131" s="19"/>
      <c r="AK131" s="23"/>
      <c r="AL131" s="23"/>
      <c r="AM131" s="23"/>
      <c r="AN131" s="43"/>
    </row>
    <row r="132" spans="1:41" ht="12.75" hidden="1" customHeight="1" x14ac:dyDescent="0.15">
      <c r="A132"/>
      <c r="B132" s="48" t="s">
        <v>3512</v>
      </c>
      <c r="C132" s="9" t="s">
        <v>3515</v>
      </c>
      <c r="D132" s="485">
        <v>17</v>
      </c>
      <c r="E132" s="486" t="str">
        <f t="shared" si="4"/>
        <v>U 11 Dames</v>
      </c>
      <c r="F132" s="12" t="s">
        <v>3684</v>
      </c>
      <c r="G132" s="369"/>
      <c r="H132" s="612">
        <v>2022</v>
      </c>
      <c r="I132" s="18">
        <v>42360</v>
      </c>
      <c r="J132" s="19" t="s">
        <v>3519</v>
      </c>
      <c r="K132" s="40"/>
      <c r="L132" s="10" t="s">
        <v>3522</v>
      </c>
      <c r="M132" s="47" t="s">
        <v>3523</v>
      </c>
      <c r="N132" s="62"/>
      <c r="O132" s="62"/>
      <c r="P132" s="11"/>
      <c r="Q132" s="10"/>
      <c r="R132" s="11"/>
      <c r="S132" s="11"/>
      <c r="T132" s="11"/>
      <c r="U132" s="11"/>
      <c r="V132" s="11"/>
      <c r="W132" s="59"/>
      <c r="X132" s="59"/>
      <c r="Y132" s="59"/>
      <c r="Z132" s="59"/>
      <c r="AA132" s="59"/>
      <c r="AB132" s="59"/>
      <c r="AC132" s="138"/>
      <c r="AD132" s="138"/>
      <c r="AE132" s="138"/>
      <c r="AF132" s="231"/>
      <c r="AG132" s="231"/>
      <c r="AH132" s="231"/>
      <c r="AI132" s="232"/>
      <c r="AJ132" s="19"/>
      <c r="AK132" s="23"/>
      <c r="AL132" s="23"/>
      <c r="AM132" s="23"/>
      <c r="AN132" s="43"/>
    </row>
    <row r="133" spans="1:41" s="150" customFormat="1" ht="12.75" hidden="1" customHeight="1" x14ac:dyDescent="0.15">
      <c r="B133" s="48" t="s">
        <v>3512</v>
      </c>
      <c r="C133" s="9" t="s">
        <v>3516</v>
      </c>
      <c r="D133" s="485">
        <v>18</v>
      </c>
      <c r="E133" s="486" t="str">
        <f t="shared" si="4"/>
        <v>U 9 Dames</v>
      </c>
      <c r="F133" s="217" t="s">
        <v>2805</v>
      </c>
      <c r="G133" s="369"/>
      <c r="H133" s="467">
        <v>2024</v>
      </c>
      <c r="I133" s="18">
        <v>42916</v>
      </c>
      <c r="J133" s="19" t="s">
        <v>3520</v>
      </c>
      <c r="K133" s="40"/>
      <c r="L133" s="10" t="s">
        <v>3522</v>
      </c>
      <c r="M133" s="47" t="s">
        <v>3523</v>
      </c>
      <c r="N133" s="62"/>
      <c r="O133" s="62"/>
      <c r="P133" s="11"/>
      <c r="Q133" s="10"/>
      <c r="R133" s="11"/>
      <c r="S133" s="11"/>
      <c r="T133" s="11"/>
      <c r="U133" s="11"/>
      <c r="V133" s="11"/>
      <c r="W133" s="59"/>
      <c r="X133" s="59"/>
      <c r="Y133" s="59"/>
      <c r="Z133" s="59"/>
      <c r="AA133" s="59"/>
      <c r="AB133" s="59"/>
      <c r="AC133" s="138"/>
      <c r="AD133" s="138"/>
      <c r="AE133" s="138"/>
      <c r="AF133" s="231"/>
      <c r="AG133" s="231"/>
      <c r="AH133" s="231"/>
      <c r="AI133" s="232"/>
      <c r="AJ133" s="19"/>
      <c r="AK133" s="23"/>
      <c r="AL133" s="23"/>
      <c r="AM133" s="23"/>
      <c r="AN133" s="43"/>
      <c r="AO133"/>
    </row>
    <row r="134" spans="1:41" ht="12.75" hidden="1" customHeight="1" x14ac:dyDescent="0.15">
      <c r="A134"/>
      <c r="B134" s="48" t="s">
        <v>2046</v>
      </c>
      <c r="C134" s="9" t="s">
        <v>3918</v>
      </c>
      <c r="D134" s="485">
        <v>18</v>
      </c>
      <c r="E134" s="486" t="str">
        <f t="shared" si="4"/>
        <v>U 9 Dames</v>
      </c>
      <c r="F134" s="12" t="s">
        <v>4000</v>
      </c>
      <c r="G134" s="369"/>
      <c r="H134" s="13">
        <v>2029</v>
      </c>
      <c r="I134" s="18">
        <v>42956</v>
      </c>
      <c r="J134" s="19" t="s">
        <v>3920</v>
      </c>
      <c r="K134" s="40" t="s">
        <v>2050</v>
      </c>
      <c r="L134" s="10" t="s">
        <v>2051</v>
      </c>
      <c r="M134" s="21" t="s">
        <v>1888</v>
      </c>
      <c r="N134" s="62"/>
      <c r="O134" s="62"/>
      <c r="P134" s="11"/>
      <c r="Q134" s="10"/>
      <c r="R134" s="11"/>
      <c r="S134" s="11"/>
      <c r="T134" s="11"/>
      <c r="U134" s="11"/>
      <c r="V134" s="11"/>
      <c r="W134" s="59"/>
      <c r="X134" s="59"/>
      <c r="Y134" s="59"/>
      <c r="Z134" s="59"/>
      <c r="AA134" s="59"/>
      <c r="AB134" s="59"/>
      <c r="AC134" s="138"/>
      <c r="AD134" s="138"/>
      <c r="AE134" s="138"/>
      <c r="AF134" s="231"/>
      <c r="AG134" s="231"/>
      <c r="AH134" s="231"/>
      <c r="AI134" s="232"/>
      <c r="AJ134" s="19"/>
      <c r="AK134" s="23"/>
      <c r="AL134" s="23"/>
      <c r="AM134" s="23"/>
      <c r="AN134" s="43"/>
    </row>
    <row r="135" spans="1:41" ht="12.75" customHeight="1" x14ac:dyDescent="0.15">
      <c r="A135" s="702"/>
      <c r="B135" s="48" t="s">
        <v>2046</v>
      </c>
      <c r="C135" s="9" t="s">
        <v>1415</v>
      </c>
      <c r="D135" s="485">
        <v>6</v>
      </c>
      <c r="E135" s="486" t="str">
        <f t="shared" si="4"/>
        <v>U 13 Hommes</v>
      </c>
      <c r="F135" s="12" t="s">
        <v>2993</v>
      </c>
      <c r="G135" s="369"/>
      <c r="H135" s="13">
        <v>2026</v>
      </c>
      <c r="I135" s="18">
        <v>41747</v>
      </c>
      <c r="J135" s="19" t="s">
        <v>2049</v>
      </c>
      <c r="K135" s="40" t="s">
        <v>2050</v>
      </c>
      <c r="L135" s="10" t="s">
        <v>2051</v>
      </c>
      <c r="M135" s="21" t="s">
        <v>1888</v>
      </c>
      <c r="N135" s="62"/>
      <c r="O135" s="62"/>
      <c r="P135" s="11"/>
      <c r="Q135" s="10"/>
      <c r="R135" s="11"/>
      <c r="S135" s="11"/>
      <c r="T135" s="11"/>
      <c r="U135" s="11" t="s">
        <v>209</v>
      </c>
      <c r="V135" s="11"/>
      <c r="W135" s="59" t="s">
        <v>2813</v>
      </c>
      <c r="X135" s="59" t="s">
        <v>3151</v>
      </c>
      <c r="Y135" s="59"/>
      <c r="Z135" s="59">
        <v>100</v>
      </c>
      <c r="AA135" s="59"/>
      <c r="AB135" s="59"/>
      <c r="AC135" s="138"/>
      <c r="AD135" s="138"/>
      <c r="AE135" s="138"/>
      <c r="AF135" s="231"/>
      <c r="AG135" s="231"/>
      <c r="AH135" s="231"/>
      <c r="AI135" s="232"/>
      <c r="AJ135" s="19"/>
      <c r="AK135" s="23"/>
      <c r="AL135" s="23"/>
      <c r="AM135" s="23"/>
      <c r="AN135" s="43"/>
    </row>
    <row r="136" spans="1:41" s="150" customFormat="1" ht="12.75" hidden="1" customHeight="1" x14ac:dyDescent="0.15">
      <c r="B136" s="48" t="s">
        <v>4835</v>
      </c>
      <c r="C136" s="9" t="s">
        <v>4836</v>
      </c>
      <c r="D136" s="485">
        <v>9</v>
      </c>
      <c r="E136" s="486" t="str">
        <f t="shared" si="4"/>
        <v>Vétérans - Hommes</v>
      </c>
      <c r="F136" s="217" t="s">
        <v>2805</v>
      </c>
      <c r="G136" s="373" t="s">
        <v>4148</v>
      </c>
      <c r="H136" s="378"/>
      <c r="I136" s="18">
        <v>31048</v>
      </c>
      <c r="J136" s="19" t="s">
        <v>4838</v>
      </c>
      <c r="K136" s="40"/>
      <c r="L136" s="20">
        <v>661141764</v>
      </c>
      <c r="M136" s="47" t="s">
        <v>4839</v>
      </c>
      <c r="N136" s="62"/>
      <c r="O136" s="62"/>
      <c r="P136" s="11"/>
      <c r="Q136" s="10"/>
      <c r="R136" s="11"/>
      <c r="S136" s="11"/>
      <c r="T136" s="11"/>
      <c r="U136" s="11"/>
      <c r="V136" s="11"/>
      <c r="W136" s="59"/>
      <c r="X136" s="59"/>
      <c r="Y136" s="59"/>
      <c r="Z136" s="59"/>
      <c r="AA136" s="59"/>
      <c r="AB136" s="59"/>
      <c r="AC136" s="138"/>
      <c r="AD136" s="138"/>
      <c r="AE136" s="138"/>
      <c r="AF136" s="231"/>
      <c r="AG136" s="231"/>
      <c r="AH136" s="231"/>
      <c r="AI136" s="232"/>
      <c r="AJ136" s="19"/>
      <c r="AK136" s="23"/>
      <c r="AL136" s="23"/>
      <c r="AM136" s="23"/>
      <c r="AN136" s="43"/>
      <c r="AO136"/>
    </row>
    <row r="137" spans="1:41" ht="12.75" hidden="1" customHeight="1" x14ac:dyDescent="0.15">
      <c r="A137"/>
      <c r="B137" s="48" t="s">
        <v>2065</v>
      </c>
      <c r="C137" s="9" t="s">
        <v>2066</v>
      </c>
      <c r="D137" s="485">
        <v>3</v>
      </c>
      <c r="E137" s="486" t="str">
        <f t="shared" si="4"/>
        <v>U 21 Hommes</v>
      </c>
      <c r="F137" s="12" t="s">
        <v>2996</v>
      </c>
      <c r="G137" s="369"/>
      <c r="H137" s="13">
        <v>2028</v>
      </c>
      <c r="I137" s="18">
        <v>39751</v>
      </c>
      <c r="J137" s="19" t="s">
        <v>2067</v>
      </c>
      <c r="K137" s="40"/>
      <c r="L137" s="20" t="s">
        <v>3508</v>
      </c>
      <c r="M137" s="21" t="s">
        <v>1128</v>
      </c>
      <c r="N137" s="62"/>
      <c r="O137" s="62"/>
      <c r="P137" s="11"/>
      <c r="Q137" s="10"/>
      <c r="R137" s="11"/>
      <c r="S137" s="11"/>
      <c r="T137" s="11"/>
      <c r="U137" s="11" t="s">
        <v>420</v>
      </c>
      <c r="V137" s="11"/>
      <c r="W137" s="59" t="s">
        <v>2813</v>
      </c>
      <c r="X137" s="59" t="s">
        <v>292</v>
      </c>
      <c r="Y137" s="59"/>
      <c r="Z137" s="59">
        <v>100</v>
      </c>
      <c r="AA137" s="59"/>
      <c r="AB137" s="59"/>
      <c r="AC137" s="138"/>
      <c r="AD137" s="138"/>
      <c r="AE137" s="138"/>
      <c r="AF137" s="231"/>
      <c r="AG137" s="231"/>
      <c r="AH137" s="231"/>
      <c r="AI137" s="232"/>
      <c r="AJ137" s="19"/>
      <c r="AK137" s="23" t="s">
        <v>216</v>
      </c>
      <c r="AL137" s="23"/>
      <c r="AM137" s="23"/>
      <c r="AN137" s="149"/>
    </row>
    <row r="138" spans="1:41" ht="12.75" hidden="1" customHeight="1" x14ac:dyDescent="0.15">
      <c r="A138"/>
      <c r="B138" s="48" t="s">
        <v>356</v>
      </c>
      <c r="C138" s="9" t="s">
        <v>954</v>
      </c>
      <c r="D138" s="485">
        <v>1</v>
      </c>
      <c r="E138" s="486" t="str">
        <f t="shared" si="4"/>
        <v>Officiel H</v>
      </c>
      <c r="F138" s="12"/>
      <c r="G138" s="376"/>
      <c r="H138" s="14" t="s">
        <v>210</v>
      </c>
      <c r="I138" s="18">
        <v>20265</v>
      </c>
      <c r="J138" s="19" t="s">
        <v>2808</v>
      </c>
      <c r="K138" s="40"/>
      <c r="L138" s="27" t="s">
        <v>2068</v>
      </c>
      <c r="M138" s="21" t="s">
        <v>2069</v>
      </c>
      <c r="N138" s="62"/>
      <c r="O138" s="62"/>
      <c r="P138" s="5"/>
      <c r="Q138" s="30" t="s">
        <v>3380</v>
      </c>
      <c r="R138" s="5"/>
      <c r="S138" s="11"/>
      <c r="T138" s="11"/>
      <c r="U138" s="11" t="s">
        <v>2811</v>
      </c>
      <c r="V138" s="11"/>
      <c r="W138" s="59" t="s">
        <v>2813</v>
      </c>
      <c r="X138" s="59" t="s">
        <v>292</v>
      </c>
      <c r="Y138" s="59" t="s">
        <v>1168</v>
      </c>
      <c r="Z138" s="59">
        <v>100</v>
      </c>
      <c r="AA138" s="59"/>
      <c r="AB138" s="59"/>
      <c r="AC138" s="138"/>
      <c r="AD138" s="138"/>
      <c r="AE138" s="138"/>
      <c r="AF138" s="231"/>
      <c r="AG138" s="231"/>
      <c r="AH138" s="231"/>
      <c r="AI138" s="232"/>
      <c r="AJ138" s="19"/>
      <c r="AK138" s="23" t="s">
        <v>1812</v>
      </c>
      <c r="AL138" s="23"/>
      <c r="AM138" s="23"/>
      <c r="AN138" s="149"/>
    </row>
    <row r="139" spans="1:41" ht="12.75" hidden="1" customHeight="1" x14ac:dyDescent="0.15">
      <c r="A139"/>
      <c r="B139" s="48" t="s">
        <v>356</v>
      </c>
      <c r="C139" s="9" t="s">
        <v>2755</v>
      </c>
      <c r="D139" s="485">
        <v>9</v>
      </c>
      <c r="E139" s="486" t="str">
        <f t="shared" si="4"/>
        <v>Vétérans - Hommes</v>
      </c>
      <c r="F139" s="12" t="s">
        <v>2998</v>
      </c>
      <c r="G139" s="376"/>
      <c r="H139" s="14">
        <v>2028</v>
      </c>
      <c r="I139" s="18">
        <v>30628</v>
      </c>
      <c r="J139" s="19" t="s">
        <v>2076</v>
      </c>
      <c r="K139" s="40" t="s">
        <v>2078</v>
      </c>
      <c r="L139" s="27" t="s">
        <v>2079</v>
      </c>
      <c r="M139" s="54" t="s">
        <v>3176</v>
      </c>
      <c r="N139" s="61" t="s">
        <v>3971</v>
      </c>
      <c r="O139" s="61" t="s">
        <v>3969</v>
      </c>
      <c r="P139" s="5"/>
      <c r="Q139" s="10"/>
      <c r="R139" s="5"/>
      <c r="S139" s="11"/>
      <c r="T139" s="53" t="s">
        <v>4999</v>
      </c>
      <c r="U139" s="11" t="s">
        <v>2811</v>
      </c>
      <c r="V139" s="11"/>
      <c r="W139" s="59" t="s">
        <v>2813</v>
      </c>
      <c r="X139" s="59" t="s">
        <v>3151</v>
      </c>
      <c r="Y139" s="59"/>
      <c r="Z139" s="59"/>
      <c r="AA139" s="59"/>
      <c r="AB139" s="59"/>
      <c r="AC139" s="138"/>
      <c r="AD139" s="138"/>
      <c r="AE139" s="138"/>
      <c r="AF139" s="231"/>
      <c r="AG139" s="231"/>
      <c r="AH139" s="231"/>
      <c r="AI139" s="232"/>
      <c r="AJ139" s="19"/>
      <c r="AK139" s="23" t="s">
        <v>2080</v>
      </c>
      <c r="AL139" s="23"/>
      <c r="AM139" s="23"/>
      <c r="AN139" s="149"/>
      <c r="AO139" s="150"/>
    </row>
    <row r="140" spans="1:41" s="150" customFormat="1" ht="12.75" hidden="1" customHeight="1" x14ac:dyDescent="0.15">
      <c r="B140" s="48" t="s">
        <v>356</v>
      </c>
      <c r="C140" s="9" t="s">
        <v>2058</v>
      </c>
      <c r="D140" s="485">
        <v>7</v>
      </c>
      <c r="E140" s="486" t="str">
        <f t="shared" si="4"/>
        <v>U 11 Hommes</v>
      </c>
      <c r="F140" s="12" t="s">
        <v>3628</v>
      </c>
      <c r="G140" s="369"/>
      <c r="H140" s="13">
        <v>2028</v>
      </c>
      <c r="I140" s="18">
        <v>42583</v>
      </c>
      <c r="J140" s="19" t="s">
        <v>3172</v>
      </c>
      <c r="K140" s="27" t="s">
        <v>3173</v>
      </c>
      <c r="L140" s="10" t="s">
        <v>3175</v>
      </c>
      <c r="M140" s="54" t="s">
        <v>3176</v>
      </c>
      <c r="N140" s="62"/>
      <c r="O140" s="62"/>
      <c r="P140" s="11"/>
      <c r="Q140" s="10"/>
      <c r="R140" s="11"/>
      <c r="S140" s="11"/>
      <c r="T140" s="11"/>
      <c r="U140" s="11"/>
      <c r="V140" s="11"/>
      <c r="W140" s="59"/>
      <c r="X140" s="59"/>
      <c r="Y140" s="59"/>
      <c r="Z140" s="59"/>
      <c r="AA140" s="59"/>
      <c r="AB140" s="59"/>
      <c r="AC140" s="138"/>
      <c r="AD140" s="138"/>
      <c r="AE140" s="138"/>
      <c r="AF140" s="231"/>
      <c r="AG140" s="231"/>
      <c r="AH140" s="231"/>
      <c r="AI140" s="232"/>
      <c r="AJ140" s="19"/>
      <c r="AK140" s="23"/>
      <c r="AL140" s="23"/>
      <c r="AM140" s="23"/>
      <c r="AN140" s="149"/>
    </row>
    <row r="141" spans="1:41" ht="12.75" hidden="1" customHeight="1" x14ac:dyDescent="0.15">
      <c r="A141"/>
      <c r="B141" s="48" t="s">
        <v>356</v>
      </c>
      <c r="C141" s="9" t="s">
        <v>2769</v>
      </c>
      <c r="D141" s="485">
        <v>9</v>
      </c>
      <c r="E141" s="486" t="str">
        <f t="shared" si="4"/>
        <v>Vétérans - Hommes</v>
      </c>
      <c r="F141" s="12" t="s">
        <v>3000</v>
      </c>
      <c r="G141" s="376"/>
      <c r="H141" s="14">
        <v>2027</v>
      </c>
      <c r="I141" s="18">
        <v>31904</v>
      </c>
      <c r="J141" s="19" t="s">
        <v>2084</v>
      </c>
      <c r="K141" s="40" t="s">
        <v>252</v>
      </c>
      <c r="L141" s="27" t="s">
        <v>2085</v>
      </c>
      <c r="M141" s="29" t="s">
        <v>2086</v>
      </c>
      <c r="N141" s="61"/>
      <c r="O141" s="61"/>
      <c r="P141" s="5"/>
      <c r="Q141" s="40" t="s">
        <v>4996</v>
      </c>
      <c r="R141" s="5"/>
      <c r="S141" s="11"/>
      <c r="T141" s="11"/>
      <c r="U141" s="11" t="s">
        <v>2811</v>
      </c>
      <c r="V141" s="11"/>
      <c r="W141" s="59" t="s">
        <v>2813</v>
      </c>
      <c r="X141" s="59" t="s">
        <v>292</v>
      </c>
      <c r="Y141" s="59" t="s">
        <v>1168</v>
      </c>
      <c r="Z141" s="59">
        <v>125</v>
      </c>
      <c r="AA141" s="59"/>
      <c r="AB141" s="59"/>
      <c r="AC141" s="138"/>
      <c r="AD141" s="138"/>
      <c r="AE141" s="138"/>
      <c r="AF141" s="231"/>
      <c r="AG141" s="231"/>
      <c r="AH141" s="231"/>
      <c r="AI141" s="232"/>
      <c r="AJ141" s="19"/>
      <c r="AK141" s="23" t="s">
        <v>1537</v>
      </c>
      <c r="AL141" s="23"/>
      <c r="AM141" s="23"/>
      <c r="AN141" s="149"/>
    </row>
    <row r="142" spans="1:41" ht="12.75" hidden="1" customHeight="1" x14ac:dyDescent="0.15">
      <c r="A142"/>
      <c r="B142" s="48" t="s">
        <v>963</v>
      </c>
      <c r="C142" s="9" t="s">
        <v>309</v>
      </c>
      <c r="D142" s="485">
        <v>9</v>
      </c>
      <c r="E142" s="486" t="str">
        <f t="shared" si="4"/>
        <v>Vétérans - Hommes</v>
      </c>
      <c r="F142" s="12" t="s">
        <v>3001</v>
      </c>
      <c r="G142" s="374"/>
      <c r="H142" s="62">
        <v>2028</v>
      </c>
      <c r="I142" s="18">
        <v>30517</v>
      </c>
      <c r="J142" s="19" t="s">
        <v>2087</v>
      </c>
      <c r="K142" s="40"/>
      <c r="L142" s="20">
        <v>621791631</v>
      </c>
      <c r="M142" s="47" t="s">
        <v>4605</v>
      </c>
      <c r="N142" s="62"/>
      <c r="O142" s="62"/>
      <c r="P142" s="11"/>
      <c r="Q142" s="10"/>
      <c r="R142" s="11"/>
      <c r="S142" s="11"/>
      <c r="T142" s="11"/>
      <c r="U142" s="11" t="s">
        <v>2812</v>
      </c>
      <c r="V142" s="11"/>
      <c r="W142" s="59" t="s">
        <v>2813</v>
      </c>
      <c r="X142" s="59" t="s">
        <v>3151</v>
      </c>
      <c r="Y142" s="59" t="s">
        <v>2136</v>
      </c>
      <c r="Z142" s="59">
        <v>200</v>
      </c>
      <c r="AA142" s="59"/>
      <c r="AB142" s="59" t="s">
        <v>3162</v>
      </c>
      <c r="AC142" s="138"/>
      <c r="AD142" s="138"/>
      <c r="AE142" s="138"/>
      <c r="AF142" s="231"/>
      <c r="AG142" s="231"/>
      <c r="AH142" s="231"/>
      <c r="AI142" s="232"/>
      <c r="AJ142" s="19"/>
      <c r="AK142" s="23" t="s">
        <v>1141</v>
      </c>
      <c r="AL142" s="23"/>
      <c r="AM142" s="23"/>
      <c r="AN142" s="149"/>
    </row>
    <row r="143" spans="1:41" ht="12.75" hidden="1" customHeight="1" x14ac:dyDescent="0.15">
      <c r="A143"/>
      <c r="B143" s="48" t="s">
        <v>963</v>
      </c>
      <c r="C143" s="9" t="s">
        <v>4602</v>
      </c>
      <c r="D143" s="485">
        <v>21</v>
      </c>
      <c r="E143" s="486" t="str">
        <f t="shared" si="4"/>
        <v>U7 Mixte</v>
      </c>
      <c r="F143" s="12" t="s">
        <v>4676</v>
      </c>
      <c r="G143" s="369"/>
      <c r="H143" s="62">
        <v>2028</v>
      </c>
      <c r="I143" s="18">
        <v>44484</v>
      </c>
      <c r="J143" s="19" t="s">
        <v>4604</v>
      </c>
      <c r="K143" s="64" t="s">
        <v>4606</v>
      </c>
      <c r="L143" s="20" t="s">
        <v>4607</v>
      </c>
      <c r="M143" s="47" t="s">
        <v>4605</v>
      </c>
      <c r="N143" s="62"/>
      <c r="O143" s="62"/>
      <c r="P143" s="11"/>
      <c r="Q143" s="10"/>
      <c r="R143" s="11"/>
      <c r="S143" s="11"/>
      <c r="T143" s="11"/>
      <c r="U143" s="11"/>
      <c r="V143" s="11"/>
      <c r="W143" s="59"/>
      <c r="X143" s="59"/>
      <c r="Y143" s="59"/>
      <c r="Z143" s="59"/>
      <c r="AA143" s="59"/>
      <c r="AB143" s="59"/>
      <c r="AC143" s="138"/>
      <c r="AD143" s="138"/>
      <c r="AE143" s="138"/>
      <c r="AF143" s="231"/>
      <c r="AG143" s="231"/>
      <c r="AH143" s="231"/>
      <c r="AI143" s="232"/>
      <c r="AJ143" s="19"/>
      <c r="AK143" s="23"/>
      <c r="AL143" s="23"/>
      <c r="AM143" s="23"/>
      <c r="AN143" s="43"/>
    </row>
    <row r="144" spans="1:41" ht="12.75" hidden="1" customHeight="1" x14ac:dyDescent="0.15">
      <c r="A144"/>
      <c r="B144" s="48" t="s">
        <v>963</v>
      </c>
      <c r="C144" s="9" t="s">
        <v>866</v>
      </c>
      <c r="D144" s="485">
        <v>2</v>
      </c>
      <c r="E144" s="486" t="str">
        <f t="shared" si="4"/>
        <v>Seniors - Hommes</v>
      </c>
      <c r="F144" s="12" t="s">
        <v>3338</v>
      </c>
      <c r="G144" s="369"/>
      <c r="H144" s="62">
        <v>2031</v>
      </c>
      <c r="I144" s="18">
        <v>33439</v>
      </c>
      <c r="J144" s="19" t="s">
        <v>3259</v>
      </c>
      <c r="K144" s="40"/>
      <c r="L144" s="10" t="s">
        <v>3226</v>
      </c>
      <c r="M144" s="47" t="s">
        <v>3227</v>
      </c>
      <c r="N144" s="62"/>
      <c r="O144" s="62"/>
      <c r="P144" s="11"/>
      <c r="Q144" s="10"/>
      <c r="R144" s="11"/>
      <c r="S144" s="11"/>
      <c r="T144" s="11"/>
      <c r="U144" s="11"/>
      <c r="V144" s="11"/>
      <c r="W144" s="59"/>
      <c r="X144" s="59"/>
      <c r="Y144" s="59"/>
      <c r="Z144" s="59"/>
      <c r="AA144" s="59"/>
      <c r="AB144" s="59"/>
      <c r="AC144" s="138"/>
      <c r="AD144" s="138"/>
      <c r="AE144" s="138"/>
      <c r="AF144" s="231"/>
      <c r="AG144" s="231"/>
      <c r="AH144" s="231"/>
      <c r="AI144" s="232"/>
      <c r="AJ144" s="19"/>
      <c r="AK144" s="23"/>
      <c r="AL144" s="23"/>
      <c r="AM144" s="23"/>
      <c r="AN144" s="149"/>
    </row>
    <row r="145" spans="1:41" ht="12.75" hidden="1" customHeight="1" x14ac:dyDescent="0.15">
      <c r="A145"/>
      <c r="B145" s="48" t="s">
        <v>5436</v>
      </c>
      <c r="C145" s="9" t="s">
        <v>5437</v>
      </c>
      <c r="D145" s="485">
        <v>7</v>
      </c>
      <c r="E145" s="486" t="str">
        <f t="shared" si="4"/>
        <v>U 11 Hommes</v>
      </c>
      <c r="F145" s="12" t="s">
        <v>5468</v>
      </c>
      <c r="G145" s="386" t="s">
        <v>5173</v>
      </c>
      <c r="H145" s="13">
        <v>2029</v>
      </c>
      <c r="I145" s="18">
        <v>42885</v>
      </c>
      <c r="J145" s="5" t="s">
        <v>5444</v>
      </c>
      <c r="K145" s="53"/>
      <c r="L145" s="20">
        <v>621667831</v>
      </c>
      <c r="M145" s="68" t="s">
        <v>5445</v>
      </c>
      <c r="N145" s="62"/>
      <c r="O145" s="62"/>
      <c r="P145" s="10"/>
      <c r="Q145" s="10"/>
      <c r="R145" s="13"/>
      <c r="S145" s="11"/>
      <c r="T145" s="11"/>
      <c r="U145" s="11"/>
      <c r="V145" s="11"/>
      <c r="W145" s="59"/>
      <c r="X145" s="59"/>
      <c r="Y145" s="59"/>
      <c r="Z145" s="59"/>
      <c r="AA145" s="59"/>
      <c r="AB145" s="59"/>
      <c r="AC145" s="138"/>
      <c r="AD145" s="138"/>
      <c r="AE145" s="138"/>
      <c r="AF145" s="231"/>
      <c r="AG145" s="231"/>
      <c r="AH145" s="231"/>
      <c r="AI145" s="232"/>
      <c r="AJ145" s="11"/>
      <c r="AK145" s="11"/>
      <c r="AL145" s="11"/>
      <c r="AM145" s="11"/>
      <c r="AN145" s="394"/>
    </row>
    <row r="146" spans="1:41" ht="12.75" hidden="1" customHeight="1" x14ac:dyDescent="0.15">
      <c r="A146"/>
      <c r="B146" s="48" t="s">
        <v>2743</v>
      </c>
      <c r="C146" s="9" t="s">
        <v>3165</v>
      </c>
      <c r="D146" s="485">
        <v>2</v>
      </c>
      <c r="E146" s="486" t="str">
        <f t="shared" si="4"/>
        <v>Seniors - Hommes</v>
      </c>
      <c r="F146" s="12" t="s">
        <v>3228</v>
      </c>
      <c r="G146" s="369"/>
      <c r="H146" s="13">
        <v>2030</v>
      </c>
      <c r="I146" s="18">
        <v>36652</v>
      </c>
      <c r="J146" s="19" t="s">
        <v>3167</v>
      </c>
      <c r="K146" s="40" t="s">
        <v>252</v>
      </c>
      <c r="L146" s="10" t="s">
        <v>3169</v>
      </c>
      <c r="M146" s="47" t="s">
        <v>3170</v>
      </c>
      <c r="N146" s="62"/>
      <c r="O146" s="62"/>
      <c r="P146" s="11"/>
      <c r="Q146" s="10"/>
      <c r="R146" s="11"/>
      <c r="S146" s="11"/>
      <c r="T146" s="11"/>
      <c r="U146" s="11"/>
      <c r="V146" s="11"/>
      <c r="W146" s="59"/>
      <c r="X146" s="59"/>
      <c r="Y146" s="59"/>
      <c r="Z146" s="59"/>
      <c r="AA146" s="59"/>
      <c r="AB146" s="59"/>
      <c r="AC146" s="138"/>
      <c r="AD146" s="138"/>
      <c r="AE146" s="138"/>
      <c r="AF146" s="231"/>
      <c r="AG146" s="231"/>
      <c r="AH146" s="231"/>
      <c r="AI146" s="232"/>
      <c r="AJ146" s="19"/>
      <c r="AK146" s="23"/>
      <c r="AL146" s="23"/>
      <c r="AM146" s="23"/>
      <c r="AN146" s="149"/>
    </row>
    <row r="147" spans="1:41" ht="12.75" hidden="1" customHeight="1" x14ac:dyDescent="0.15">
      <c r="A147"/>
      <c r="B147" s="48" t="s">
        <v>2743</v>
      </c>
      <c r="C147" s="9" t="s">
        <v>1247</v>
      </c>
      <c r="D147" s="485">
        <v>2</v>
      </c>
      <c r="E147" s="486" t="str">
        <f t="shared" si="4"/>
        <v>Seniors - Hommes</v>
      </c>
      <c r="F147" s="12" t="s">
        <v>3002</v>
      </c>
      <c r="G147" s="369"/>
      <c r="H147" s="13">
        <v>2030</v>
      </c>
      <c r="I147" s="18">
        <v>33214</v>
      </c>
      <c r="J147" s="19" t="s">
        <v>2746</v>
      </c>
      <c r="K147" s="40"/>
      <c r="L147" s="10" t="s">
        <v>2747</v>
      </c>
      <c r="M147" s="47" t="s">
        <v>3330</v>
      </c>
      <c r="N147" s="62"/>
      <c r="O147" s="62"/>
      <c r="P147" s="11"/>
      <c r="Q147" s="10"/>
      <c r="R147" s="11"/>
      <c r="S147" s="11"/>
      <c r="T147" s="11"/>
      <c r="U147" s="11" t="s">
        <v>2792</v>
      </c>
      <c r="V147" s="11"/>
      <c r="W147" s="59" t="s">
        <v>2813</v>
      </c>
      <c r="X147" s="59" t="s">
        <v>3151</v>
      </c>
      <c r="Y147" s="59"/>
      <c r="Z147" s="59">
        <v>200</v>
      </c>
      <c r="AA147" s="59"/>
      <c r="AB147" s="59" t="s">
        <v>3162</v>
      </c>
      <c r="AC147" s="138"/>
      <c r="AD147" s="138"/>
      <c r="AE147" s="138"/>
      <c r="AF147" s="231"/>
      <c r="AG147" s="231"/>
      <c r="AH147" s="231"/>
      <c r="AI147" s="232"/>
      <c r="AJ147" s="19"/>
      <c r="AK147" s="23"/>
      <c r="AL147" s="23"/>
      <c r="AM147" s="23"/>
      <c r="AN147" s="149"/>
    </row>
    <row r="148" spans="1:41" ht="12.75" hidden="1" customHeight="1" x14ac:dyDescent="0.15">
      <c r="A148"/>
      <c r="B148" s="48" t="s">
        <v>3891</v>
      </c>
      <c r="C148" s="9" t="s">
        <v>3892</v>
      </c>
      <c r="D148" s="485">
        <v>8</v>
      </c>
      <c r="E148" s="486" t="str">
        <f t="shared" si="4"/>
        <v xml:space="preserve">U 9 Hommes </v>
      </c>
      <c r="F148" s="12" t="s">
        <v>3905</v>
      </c>
      <c r="G148" s="369"/>
      <c r="H148" s="13">
        <v>2029</v>
      </c>
      <c r="I148" s="18">
        <v>42893</v>
      </c>
      <c r="J148" s="19" t="s">
        <v>3896</v>
      </c>
      <c r="K148" s="40" t="s">
        <v>3897</v>
      </c>
      <c r="L148" s="10" t="s">
        <v>3898</v>
      </c>
      <c r="M148" s="47" t="s">
        <v>3899</v>
      </c>
      <c r="N148" s="62"/>
      <c r="O148" s="62"/>
      <c r="P148" s="11"/>
      <c r="Q148" s="10"/>
      <c r="R148" s="11"/>
      <c r="S148" s="11"/>
      <c r="T148" s="11"/>
      <c r="U148" s="11"/>
      <c r="V148" s="11"/>
      <c r="W148" s="59"/>
      <c r="X148" s="59"/>
      <c r="Y148" s="59"/>
      <c r="Z148" s="59"/>
      <c r="AA148" s="59"/>
      <c r="AB148" s="59"/>
      <c r="AC148" s="138"/>
      <c r="AD148" s="138"/>
      <c r="AE148" s="138"/>
      <c r="AF148" s="231"/>
      <c r="AG148" s="231"/>
      <c r="AH148" s="231"/>
      <c r="AI148" s="232" t="s">
        <v>3663</v>
      </c>
      <c r="AJ148" s="19"/>
      <c r="AK148" s="23"/>
      <c r="AL148" s="23"/>
      <c r="AM148" s="23"/>
      <c r="AN148" s="149"/>
      <c r="AO148" s="150"/>
    </row>
    <row r="149" spans="1:41" ht="12.75" hidden="1" customHeight="1" x14ac:dyDescent="0.15">
      <c r="A149"/>
      <c r="B149" s="48" t="s">
        <v>4393</v>
      </c>
      <c r="C149" s="9" t="s">
        <v>3608</v>
      </c>
      <c r="D149" s="485">
        <v>8</v>
      </c>
      <c r="E149" s="486" t="str">
        <f t="shared" si="4"/>
        <v xml:space="preserve">U 9 Hommes </v>
      </c>
      <c r="F149" s="12" t="s">
        <v>4591</v>
      </c>
      <c r="G149" s="369"/>
      <c r="H149" s="13">
        <v>2029</v>
      </c>
      <c r="I149" s="18">
        <v>43089</v>
      </c>
      <c r="J149" s="19" t="s">
        <v>4399</v>
      </c>
      <c r="K149" s="40"/>
      <c r="L149" s="20" t="s">
        <v>4581</v>
      </c>
      <c r="M149" s="47" t="s">
        <v>4402</v>
      </c>
      <c r="N149" s="62"/>
      <c r="O149" s="62"/>
      <c r="P149" s="11"/>
      <c r="Q149" s="10"/>
      <c r="R149" s="11"/>
      <c r="S149" s="11"/>
      <c r="T149" s="11"/>
      <c r="U149" s="11"/>
      <c r="V149" s="11"/>
      <c r="W149" s="59"/>
      <c r="X149" s="59"/>
      <c r="Y149" s="59"/>
      <c r="Z149" s="59"/>
      <c r="AA149" s="59"/>
      <c r="AB149" s="59"/>
      <c r="AC149" s="138"/>
      <c r="AD149" s="138"/>
      <c r="AE149" s="138"/>
      <c r="AF149" s="231"/>
      <c r="AG149" s="231"/>
      <c r="AH149" s="231"/>
      <c r="AI149" s="232"/>
      <c r="AJ149" s="19"/>
      <c r="AK149" s="23"/>
      <c r="AL149" s="23"/>
      <c r="AM149" s="23"/>
      <c r="AN149" s="43"/>
    </row>
    <row r="150" spans="1:41" s="150" customFormat="1" ht="12.75" hidden="1" customHeight="1" x14ac:dyDescent="0.15">
      <c r="B150" s="48" t="s">
        <v>971</v>
      </c>
      <c r="C150" s="9" t="s">
        <v>972</v>
      </c>
      <c r="D150" s="485">
        <v>12</v>
      </c>
      <c r="E150" s="486" t="str">
        <f t="shared" si="4"/>
        <v>Dames</v>
      </c>
      <c r="F150" s="12" t="s">
        <v>3005</v>
      </c>
      <c r="G150" s="376"/>
      <c r="H150" s="14">
        <v>2035</v>
      </c>
      <c r="I150" s="18">
        <v>34741</v>
      </c>
      <c r="J150" s="19" t="s">
        <v>2111</v>
      </c>
      <c r="K150" s="40"/>
      <c r="L150" s="27" t="s">
        <v>2113</v>
      </c>
      <c r="M150" s="54" t="s">
        <v>3685</v>
      </c>
      <c r="N150" s="61"/>
      <c r="O150" s="61"/>
      <c r="P150" s="24"/>
      <c r="Q150" s="10"/>
      <c r="R150" s="5"/>
      <c r="S150" s="11"/>
      <c r="T150" s="11"/>
      <c r="U150" s="11" t="s">
        <v>348</v>
      </c>
      <c r="V150" s="11"/>
      <c r="W150" s="59" t="s">
        <v>2813</v>
      </c>
      <c r="X150" s="59" t="s">
        <v>3151</v>
      </c>
      <c r="Y150" s="59"/>
      <c r="Z150" s="59">
        <v>50</v>
      </c>
      <c r="AA150" s="59"/>
      <c r="AB150" s="59"/>
      <c r="AC150" s="138"/>
      <c r="AD150" s="138"/>
      <c r="AE150" s="138"/>
      <c r="AF150" s="231"/>
      <c r="AG150" s="231"/>
      <c r="AH150" s="231"/>
      <c r="AI150" s="232"/>
      <c r="AJ150" s="19"/>
      <c r="AK150" s="23" t="s">
        <v>1834</v>
      </c>
      <c r="AL150" s="23"/>
      <c r="AM150" s="23"/>
      <c r="AN150" s="149"/>
    </row>
    <row r="151" spans="1:41" s="150" customFormat="1" ht="12.75" hidden="1" customHeight="1" x14ac:dyDescent="0.15">
      <c r="B151" s="48" t="s">
        <v>4346</v>
      </c>
      <c r="C151" s="9" t="s">
        <v>1882</v>
      </c>
      <c r="D151" s="485">
        <v>18</v>
      </c>
      <c r="E151" s="486" t="str">
        <f t="shared" si="4"/>
        <v>U 9 Dames</v>
      </c>
      <c r="F151" s="12" t="s">
        <v>4364</v>
      </c>
      <c r="G151" s="369"/>
      <c r="H151" s="615">
        <v>2025</v>
      </c>
      <c r="I151" s="18">
        <v>43292</v>
      </c>
      <c r="J151" s="19" t="s">
        <v>4351</v>
      </c>
      <c r="K151" s="40" t="s">
        <v>4352</v>
      </c>
      <c r="L151" s="10" t="s">
        <v>4353</v>
      </c>
      <c r="M151" s="47" t="s">
        <v>4354</v>
      </c>
      <c r="N151" s="62"/>
      <c r="O151" s="62"/>
      <c r="P151" s="11"/>
      <c r="Q151" s="10"/>
      <c r="R151" s="11"/>
      <c r="S151" s="11"/>
      <c r="T151" s="11"/>
      <c r="U151" s="11"/>
      <c r="V151" s="11"/>
      <c r="W151" s="59"/>
      <c r="X151" s="59"/>
      <c r="Y151" s="59"/>
      <c r="Z151" s="59"/>
      <c r="AA151" s="59"/>
      <c r="AB151" s="59"/>
      <c r="AC151" s="138"/>
      <c r="AD151" s="138"/>
      <c r="AE151" s="138"/>
      <c r="AF151" s="231"/>
      <c r="AG151" s="231"/>
      <c r="AH151" s="231"/>
      <c r="AI151" s="232"/>
      <c r="AJ151" s="19"/>
      <c r="AK151" s="23"/>
      <c r="AL151" s="23"/>
      <c r="AM151" s="23"/>
      <c r="AN151" s="43"/>
      <c r="AO151"/>
    </row>
    <row r="152" spans="1:41" ht="12.75" hidden="1" customHeight="1" x14ac:dyDescent="0.15">
      <c r="A152"/>
      <c r="B152" s="48" t="s">
        <v>3229</v>
      </c>
      <c r="C152" s="9" t="s">
        <v>3230</v>
      </c>
      <c r="D152" s="485">
        <v>6</v>
      </c>
      <c r="E152" s="486" t="str">
        <f t="shared" si="4"/>
        <v>U 13 Hommes</v>
      </c>
      <c r="F152" s="12" t="s">
        <v>3328</v>
      </c>
      <c r="G152" s="369"/>
      <c r="H152" s="13">
        <v>2028</v>
      </c>
      <c r="I152" s="18">
        <v>41284</v>
      </c>
      <c r="J152" s="19" t="s">
        <v>3235</v>
      </c>
      <c r="K152" s="10" t="s">
        <v>3241</v>
      </c>
      <c r="L152" s="10" t="s">
        <v>3239</v>
      </c>
      <c r="M152" s="47" t="s">
        <v>3242</v>
      </c>
      <c r="N152" s="62"/>
      <c r="O152" s="62"/>
      <c r="P152" s="11"/>
      <c r="Q152" s="10"/>
      <c r="R152" s="11"/>
      <c r="S152" s="11"/>
      <c r="T152" s="11"/>
      <c r="U152" s="11"/>
      <c r="V152" s="11"/>
      <c r="W152" s="59"/>
      <c r="X152" s="59"/>
      <c r="Y152" s="59"/>
      <c r="Z152" s="67" t="s">
        <v>347</v>
      </c>
      <c r="AA152" s="59"/>
      <c r="AB152" s="59"/>
      <c r="AC152" s="138"/>
      <c r="AD152" s="138"/>
      <c r="AE152" s="138"/>
      <c r="AF152" s="231"/>
      <c r="AG152" s="231"/>
      <c r="AH152" s="231"/>
      <c r="AI152" s="232"/>
      <c r="AJ152" s="19"/>
      <c r="AK152" s="23"/>
      <c r="AL152" s="23"/>
      <c r="AM152" s="23"/>
      <c r="AN152" s="149"/>
    </row>
    <row r="153" spans="1:41" ht="12.75" hidden="1" customHeight="1" x14ac:dyDescent="0.15">
      <c r="A153"/>
      <c r="B153" s="48" t="s">
        <v>3229</v>
      </c>
      <c r="C153" s="9" t="s">
        <v>3231</v>
      </c>
      <c r="D153" s="485">
        <v>7</v>
      </c>
      <c r="E153" s="486" t="str">
        <f t="shared" si="4"/>
        <v>U 11 Hommes</v>
      </c>
      <c r="F153" s="12" t="s">
        <v>3329</v>
      </c>
      <c r="G153" s="369"/>
      <c r="H153" s="13">
        <v>2027</v>
      </c>
      <c r="I153" s="18">
        <v>42240</v>
      </c>
      <c r="J153" s="19" t="s">
        <v>3236</v>
      </c>
      <c r="K153" s="10" t="s">
        <v>3241</v>
      </c>
      <c r="L153" s="10" t="s">
        <v>3239</v>
      </c>
      <c r="M153" s="47" t="s">
        <v>3242</v>
      </c>
      <c r="N153" s="62"/>
      <c r="O153" s="62"/>
      <c r="P153" s="11"/>
      <c r="Q153" s="10"/>
      <c r="R153" s="11"/>
      <c r="S153" s="11"/>
      <c r="T153" s="11"/>
      <c r="U153" s="11"/>
      <c r="V153" s="11"/>
      <c r="W153" s="59"/>
      <c r="X153" s="59"/>
      <c r="Y153" s="59"/>
      <c r="Z153" s="67" t="s">
        <v>347</v>
      </c>
      <c r="AA153" s="59"/>
      <c r="AB153" s="59"/>
      <c r="AC153" s="138"/>
      <c r="AD153" s="138"/>
      <c r="AE153" s="138"/>
      <c r="AF153" s="231"/>
      <c r="AG153" s="231"/>
      <c r="AH153" s="231"/>
      <c r="AI153" s="232"/>
      <c r="AJ153" s="19"/>
      <c r="AK153" s="23"/>
      <c r="AL153" s="23"/>
      <c r="AM153" s="23"/>
      <c r="AN153" s="149"/>
    </row>
    <row r="154" spans="1:41" ht="12.75" hidden="1" customHeight="1" x14ac:dyDescent="0.15">
      <c r="A154"/>
      <c r="B154" s="48" t="s">
        <v>3401</v>
      </c>
      <c r="C154" s="9" t="s">
        <v>3402</v>
      </c>
      <c r="D154" s="485">
        <v>2</v>
      </c>
      <c r="E154" s="486" t="str">
        <f t="shared" ref="E154:E184" si="5">VLOOKUP(D154,CAT_JOUEUR,2,FALSE)</f>
        <v>Seniors - Hommes</v>
      </c>
      <c r="F154" s="12" t="s">
        <v>3433</v>
      </c>
      <c r="G154" s="369"/>
      <c r="H154" s="13">
        <v>2027</v>
      </c>
      <c r="I154" s="45">
        <v>35599</v>
      </c>
      <c r="J154" s="19" t="s">
        <v>3405</v>
      </c>
      <c r="K154" s="40"/>
      <c r="L154" s="10" t="s">
        <v>3396</v>
      </c>
      <c r="M154" s="47" t="s">
        <v>3406</v>
      </c>
      <c r="N154" s="62"/>
      <c r="O154" s="62"/>
      <c r="P154" s="11"/>
      <c r="Q154" s="10"/>
      <c r="R154" s="11"/>
      <c r="S154" s="11"/>
      <c r="T154" s="11"/>
      <c r="U154" s="11"/>
      <c r="V154" s="11"/>
      <c r="W154" s="59"/>
      <c r="X154" s="59"/>
      <c r="Y154" s="59"/>
      <c r="Z154" s="59"/>
      <c r="AA154" s="59"/>
      <c r="AB154" s="59"/>
      <c r="AC154" s="138"/>
      <c r="AD154" s="138"/>
      <c r="AE154" s="138"/>
      <c r="AF154" s="231"/>
      <c r="AG154" s="231"/>
      <c r="AH154" s="231"/>
      <c r="AI154" s="232"/>
      <c r="AJ154" s="19"/>
      <c r="AK154" s="23"/>
      <c r="AL154" s="23"/>
      <c r="AM154" s="23"/>
      <c r="AN154" s="149"/>
    </row>
    <row r="155" spans="1:41" ht="12.75" hidden="1" customHeight="1" x14ac:dyDescent="0.15">
      <c r="A155"/>
      <c r="B155" s="48" t="s">
        <v>3331</v>
      </c>
      <c r="C155" s="9" t="s">
        <v>1415</v>
      </c>
      <c r="D155" s="485">
        <v>21</v>
      </c>
      <c r="E155" s="486" t="str">
        <f t="shared" si="5"/>
        <v>U7 Mixte</v>
      </c>
      <c r="F155" s="12" t="s">
        <v>4325</v>
      </c>
      <c r="G155" s="369"/>
      <c r="H155" s="13">
        <v>2027</v>
      </c>
      <c r="I155" s="18">
        <v>43869</v>
      </c>
      <c r="J155" s="19" t="s">
        <v>4288</v>
      </c>
      <c r="K155" s="40" t="s">
        <v>4289</v>
      </c>
      <c r="L155" s="10" t="s">
        <v>4290</v>
      </c>
      <c r="M155" s="47" t="s">
        <v>4291</v>
      </c>
      <c r="N155" s="62"/>
      <c r="O155" s="62"/>
      <c r="P155" s="11"/>
      <c r="Q155" s="10"/>
      <c r="R155" s="11"/>
      <c r="S155" s="11"/>
      <c r="T155" s="11"/>
      <c r="U155" s="11"/>
      <c r="V155" s="11"/>
      <c r="W155" s="59"/>
      <c r="X155" s="59"/>
      <c r="Y155" s="59"/>
      <c r="Z155" s="59"/>
      <c r="AA155" s="59"/>
      <c r="AB155" s="59"/>
      <c r="AC155" s="138"/>
      <c r="AD155" s="138"/>
      <c r="AE155" s="138"/>
      <c r="AF155" s="231"/>
      <c r="AG155" s="231"/>
      <c r="AH155" s="231"/>
      <c r="AI155" s="232"/>
      <c r="AJ155" s="19"/>
      <c r="AK155" s="23"/>
      <c r="AL155" s="23"/>
      <c r="AM155" s="23"/>
      <c r="AN155" s="43"/>
    </row>
    <row r="156" spans="1:41" ht="12.75" hidden="1" customHeight="1" x14ac:dyDescent="0.15">
      <c r="A156"/>
      <c r="B156" s="48" t="s">
        <v>947</v>
      </c>
      <c r="C156" s="9" t="s">
        <v>3876</v>
      </c>
      <c r="D156" s="485">
        <v>21</v>
      </c>
      <c r="E156" s="486" t="str">
        <f t="shared" si="5"/>
        <v>U7 Mixte</v>
      </c>
      <c r="F156" s="12" t="s">
        <v>3916</v>
      </c>
      <c r="G156" s="369"/>
      <c r="H156" s="13">
        <v>2027</v>
      </c>
      <c r="I156" s="18">
        <v>43953</v>
      </c>
      <c r="J156" s="19" t="s">
        <v>3877</v>
      </c>
      <c r="K156" s="64" t="s">
        <v>3908</v>
      </c>
      <c r="L156" s="64" t="s">
        <v>4155</v>
      </c>
      <c r="M156" s="47" t="s">
        <v>959</v>
      </c>
      <c r="N156" s="62"/>
      <c r="O156" s="62"/>
      <c r="P156" s="11"/>
      <c r="Q156" s="10"/>
      <c r="R156" s="11"/>
      <c r="S156" s="11"/>
      <c r="T156" s="11"/>
      <c r="U156" s="11"/>
      <c r="V156" s="11"/>
      <c r="W156" s="59"/>
      <c r="X156" s="59"/>
      <c r="Y156" s="59"/>
      <c r="Z156" s="59"/>
      <c r="AA156" s="59"/>
      <c r="AB156" s="59"/>
      <c r="AC156" s="138"/>
      <c r="AD156" s="138"/>
      <c r="AE156" s="138"/>
      <c r="AF156" s="231"/>
      <c r="AG156" s="231"/>
      <c r="AH156" s="231"/>
      <c r="AI156" s="232" t="s">
        <v>3663</v>
      </c>
      <c r="AJ156" s="19"/>
      <c r="AK156" s="23"/>
      <c r="AL156" s="23"/>
      <c r="AM156" s="23"/>
      <c r="AN156" s="43"/>
    </row>
    <row r="157" spans="1:41" ht="12.75" hidden="1" customHeight="1" x14ac:dyDescent="0.15">
      <c r="A157"/>
      <c r="B157" s="48" t="s">
        <v>947</v>
      </c>
      <c r="C157" s="9" t="s">
        <v>979</v>
      </c>
      <c r="D157" s="485">
        <v>9</v>
      </c>
      <c r="E157" s="486" t="str">
        <f t="shared" si="5"/>
        <v>Vétérans - Hommes</v>
      </c>
      <c r="F157" s="12" t="s">
        <v>3007</v>
      </c>
      <c r="G157" s="376"/>
      <c r="H157" s="14">
        <v>2028</v>
      </c>
      <c r="I157" s="18">
        <v>30607</v>
      </c>
      <c r="J157" s="19" t="s">
        <v>2137</v>
      </c>
      <c r="K157" s="40"/>
      <c r="L157" s="27" t="s">
        <v>2139</v>
      </c>
      <c r="M157" s="29" t="s">
        <v>2140</v>
      </c>
      <c r="N157" s="61"/>
      <c r="O157" s="61"/>
      <c r="P157" s="5"/>
      <c r="Q157" s="10"/>
      <c r="R157" s="5"/>
      <c r="S157" s="11"/>
      <c r="T157" s="11"/>
      <c r="U157" s="11" t="s">
        <v>348</v>
      </c>
      <c r="V157" s="11"/>
      <c r="W157" s="59" t="s">
        <v>2813</v>
      </c>
      <c r="X157" s="59" t="s">
        <v>3151</v>
      </c>
      <c r="Y157" s="59"/>
      <c r="Z157" s="59">
        <v>200</v>
      </c>
      <c r="AA157" s="59"/>
      <c r="AB157" s="59"/>
      <c r="AC157" s="138"/>
      <c r="AD157" s="138"/>
      <c r="AE157" s="138"/>
      <c r="AF157" s="231"/>
      <c r="AG157" s="231"/>
      <c r="AH157" s="231"/>
      <c r="AI157" s="232"/>
      <c r="AJ157" s="19"/>
      <c r="AK157" s="23" t="s">
        <v>1141</v>
      </c>
      <c r="AL157" s="23"/>
      <c r="AM157" s="23"/>
      <c r="AN157" s="43"/>
    </row>
    <row r="158" spans="1:41" ht="12.75" hidden="1" customHeight="1" x14ac:dyDescent="0.15">
      <c r="A158"/>
      <c r="B158" s="48" t="s">
        <v>5447</v>
      </c>
      <c r="C158" s="9" t="s">
        <v>5448</v>
      </c>
      <c r="D158" s="485">
        <v>17</v>
      </c>
      <c r="E158" s="486" t="str">
        <f t="shared" si="5"/>
        <v>U 11 Dames</v>
      </c>
      <c r="F158" s="12" t="s">
        <v>5469</v>
      </c>
      <c r="G158" s="386" t="s">
        <v>5173</v>
      </c>
      <c r="H158" s="13">
        <v>2029</v>
      </c>
      <c r="I158" s="18">
        <v>42814</v>
      </c>
      <c r="J158" s="5" t="s">
        <v>5453</v>
      </c>
      <c r="K158" s="53"/>
      <c r="L158" s="20">
        <v>661115656</v>
      </c>
      <c r="M158" s="68" t="s">
        <v>5454</v>
      </c>
      <c r="N158" s="62"/>
      <c r="O158" s="62"/>
      <c r="P158" s="10"/>
      <c r="Q158" s="10"/>
      <c r="R158" s="13"/>
      <c r="S158" s="11"/>
      <c r="T158" s="11"/>
      <c r="U158" s="11"/>
      <c r="V158" s="11"/>
      <c r="W158" s="59"/>
      <c r="X158" s="59"/>
      <c r="Y158" s="59"/>
      <c r="Z158" s="59"/>
      <c r="AA158" s="59"/>
      <c r="AB158" s="59"/>
      <c r="AC158" s="138"/>
      <c r="AD158" s="138"/>
      <c r="AE158" s="138"/>
      <c r="AF158" s="231"/>
      <c r="AG158" s="231"/>
      <c r="AH158" s="231"/>
      <c r="AI158" s="232"/>
      <c r="AJ158" s="11"/>
      <c r="AK158" s="11"/>
      <c r="AL158" s="11"/>
      <c r="AM158" s="11"/>
      <c r="AN158" s="394"/>
    </row>
    <row r="159" spans="1:41" ht="12.75" hidden="1" customHeight="1" x14ac:dyDescent="0.15">
      <c r="A159"/>
      <c r="B159" s="48" t="s">
        <v>2144</v>
      </c>
      <c r="C159" s="9" t="s">
        <v>895</v>
      </c>
      <c r="D159" s="485">
        <v>6</v>
      </c>
      <c r="E159" s="486" t="str">
        <f t="shared" si="5"/>
        <v>U 13 Hommes</v>
      </c>
      <c r="F159" s="12" t="s">
        <v>3009</v>
      </c>
      <c r="G159" s="369"/>
      <c r="H159" s="13">
        <v>2028</v>
      </c>
      <c r="I159" s="18">
        <v>41374</v>
      </c>
      <c r="J159" s="46" t="s">
        <v>3301</v>
      </c>
      <c r="K159" s="40" t="s">
        <v>2145</v>
      </c>
      <c r="L159" s="10" t="s">
        <v>2146</v>
      </c>
      <c r="M159" s="21" t="s">
        <v>1610</v>
      </c>
      <c r="N159" s="62"/>
      <c r="O159" s="62"/>
      <c r="P159" s="11"/>
      <c r="Q159" s="10"/>
      <c r="R159" s="11"/>
      <c r="S159" s="11"/>
      <c r="T159" s="11"/>
      <c r="U159" s="11" t="s">
        <v>209</v>
      </c>
      <c r="V159" s="11"/>
      <c r="W159" s="59" t="s">
        <v>2813</v>
      </c>
      <c r="X159" s="59" t="s">
        <v>3151</v>
      </c>
      <c r="Y159" s="59"/>
      <c r="Z159" s="59">
        <v>250</v>
      </c>
      <c r="AA159" s="59"/>
      <c r="AB159" s="59"/>
      <c r="AC159" s="138"/>
      <c r="AD159" s="138"/>
      <c r="AE159" s="138"/>
      <c r="AF159" s="231"/>
      <c r="AG159" s="231"/>
      <c r="AH159" s="231"/>
      <c r="AI159" s="232"/>
      <c r="AJ159" s="19"/>
      <c r="AK159" s="23"/>
      <c r="AL159" s="23"/>
      <c r="AM159" s="23"/>
      <c r="AN159" s="43"/>
      <c r="AO159" s="150"/>
    </row>
    <row r="160" spans="1:41" ht="12.75" hidden="1" customHeight="1" x14ac:dyDescent="0.15">
      <c r="A160"/>
      <c r="B160" s="48" t="s">
        <v>2144</v>
      </c>
      <c r="C160" s="9" t="s">
        <v>1203</v>
      </c>
      <c r="D160" s="485">
        <v>7</v>
      </c>
      <c r="E160" s="486" t="str">
        <f t="shared" si="5"/>
        <v>U 11 Hommes</v>
      </c>
      <c r="F160" s="12" t="s">
        <v>3981</v>
      </c>
      <c r="G160" s="369"/>
      <c r="H160" s="13">
        <v>2027</v>
      </c>
      <c r="I160" s="18">
        <v>42076</v>
      </c>
      <c r="J160" s="19" t="s">
        <v>3966</v>
      </c>
      <c r="K160" s="40" t="s">
        <v>2145</v>
      </c>
      <c r="L160" s="10" t="s">
        <v>2146</v>
      </c>
      <c r="M160" s="21" t="s">
        <v>1610</v>
      </c>
      <c r="N160" s="62"/>
      <c r="O160" s="62"/>
      <c r="P160" s="11"/>
      <c r="Q160" s="10"/>
      <c r="R160" s="11"/>
      <c r="S160" s="11"/>
      <c r="T160" s="11"/>
      <c r="U160" s="11"/>
      <c r="V160" s="11"/>
      <c r="W160" s="59"/>
      <c r="X160" s="59"/>
      <c r="Y160" s="59"/>
      <c r="Z160" s="59"/>
      <c r="AA160" s="59"/>
      <c r="AB160" s="59"/>
      <c r="AC160" s="138"/>
      <c r="AD160" s="138"/>
      <c r="AE160" s="138"/>
      <c r="AF160" s="231"/>
      <c r="AG160" s="231"/>
      <c r="AH160" s="231"/>
      <c r="AI160" s="232"/>
      <c r="AJ160" s="19"/>
      <c r="AK160" s="23"/>
      <c r="AL160" s="23"/>
      <c r="AM160" s="23"/>
      <c r="AN160" s="43"/>
    </row>
    <row r="161" spans="1:41" ht="12.75" customHeight="1" x14ac:dyDescent="0.15">
      <c r="A161" s="701"/>
      <c r="B161" s="348" t="s">
        <v>2150</v>
      </c>
      <c r="C161" s="9" t="s">
        <v>2066</v>
      </c>
      <c r="D161" s="485">
        <v>6</v>
      </c>
      <c r="E161" s="486" t="str">
        <f t="shared" si="5"/>
        <v>U 13 Hommes</v>
      </c>
      <c r="F161" s="12" t="s">
        <v>3010</v>
      </c>
      <c r="G161" s="369"/>
      <c r="H161" s="13">
        <v>2026</v>
      </c>
      <c r="I161" s="18">
        <v>41955</v>
      </c>
      <c r="J161" s="19" t="s">
        <v>2151</v>
      </c>
      <c r="K161" s="40"/>
      <c r="L161" s="10" t="s">
        <v>931</v>
      </c>
      <c r="M161" s="21" t="s">
        <v>1555</v>
      </c>
      <c r="N161" s="62"/>
      <c r="O161" s="62"/>
      <c r="P161" s="11"/>
      <c r="Q161" s="10"/>
      <c r="R161" s="11"/>
      <c r="S161" s="11"/>
      <c r="T161" s="11"/>
      <c r="U161" s="11" t="s">
        <v>209</v>
      </c>
      <c r="V161" s="11"/>
      <c r="W161" s="59" t="s">
        <v>2813</v>
      </c>
      <c r="X161" s="59" t="s">
        <v>3151</v>
      </c>
      <c r="Y161" s="59"/>
      <c r="Z161" s="59">
        <v>100</v>
      </c>
      <c r="AA161" s="59"/>
      <c r="AB161" s="59"/>
      <c r="AC161" s="138"/>
      <c r="AD161" s="138"/>
      <c r="AE161" s="138"/>
      <c r="AF161" s="231"/>
      <c r="AG161" s="231"/>
      <c r="AH161" s="231"/>
      <c r="AI161" s="232"/>
      <c r="AJ161" s="19"/>
      <c r="AK161" s="23"/>
      <c r="AL161" s="23"/>
      <c r="AM161" s="23"/>
      <c r="AN161" s="43"/>
    </row>
    <row r="162" spans="1:41" ht="12.75" hidden="1" customHeight="1" x14ac:dyDescent="0.15">
      <c r="A162"/>
      <c r="B162" s="48" t="s">
        <v>2150</v>
      </c>
      <c r="C162" s="9" t="s">
        <v>733</v>
      </c>
      <c r="D162" s="485">
        <v>6</v>
      </c>
      <c r="E162" s="486" t="str">
        <f t="shared" si="5"/>
        <v>U 13 Hommes</v>
      </c>
      <c r="F162" s="12" t="s">
        <v>3011</v>
      </c>
      <c r="G162" s="369"/>
      <c r="H162" s="13">
        <v>2028</v>
      </c>
      <c r="I162" s="18">
        <v>41479</v>
      </c>
      <c r="J162" s="19" t="s">
        <v>2152</v>
      </c>
      <c r="K162" s="40"/>
      <c r="L162" s="10" t="s">
        <v>931</v>
      </c>
      <c r="M162" s="21" t="s">
        <v>1555</v>
      </c>
      <c r="N162" s="62"/>
      <c r="O162" s="62"/>
      <c r="P162" s="11"/>
      <c r="Q162" s="10"/>
      <c r="R162" s="11"/>
      <c r="S162" s="11"/>
      <c r="T162" s="11"/>
      <c r="U162" s="11" t="s">
        <v>209</v>
      </c>
      <c r="V162" s="11"/>
      <c r="W162" s="59" t="s">
        <v>2813</v>
      </c>
      <c r="X162" s="59" t="s">
        <v>3151</v>
      </c>
      <c r="Y162" s="59"/>
      <c r="Z162" s="59">
        <v>100</v>
      </c>
      <c r="AA162" s="59"/>
      <c r="AB162" s="59"/>
      <c r="AC162" s="138"/>
      <c r="AD162" s="138"/>
      <c r="AE162" s="138"/>
      <c r="AF162" s="231"/>
      <c r="AG162" s="231"/>
      <c r="AH162" s="231"/>
      <c r="AI162" s="232"/>
      <c r="AJ162" s="19"/>
      <c r="AK162" s="23"/>
      <c r="AL162" s="23"/>
      <c r="AM162" s="23"/>
      <c r="AN162" s="43"/>
    </row>
    <row r="163" spans="1:41" ht="12.75" hidden="1" customHeight="1" x14ac:dyDescent="0.15">
      <c r="A163"/>
      <c r="B163" s="48" t="s">
        <v>2150</v>
      </c>
      <c r="C163" s="9" t="s">
        <v>678</v>
      </c>
      <c r="D163" s="485">
        <v>9</v>
      </c>
      <c r="E163" s="486" t="str">
        <f t="shared" si="5"/>
        <v>Vétérans - Hommes</v>
      </c>
      <c r="F163" s="12" t="s">
        <v>4176</v>
      </c>
      <c r="G163" s="369"/>
      <c r="H163" s="615">
        <v>2025</v>
      </c>
      <c r="I163" s="45">
        <v>31077</v>
      </c>
      <c r="J163" s="46" t="s">
        <v>4091</v>
      </c>
      <c r="K163" s="40"/>
      <c r="L163" s="10" t="s">
        <v>931</v>
      </c>
      <c r="M163" s="21" t="s">
        <v>2153</v>
      </c>
      <c r="N163" s="62"/>
      <c r="O163" s="62"/>
      <c r="P163" s="11"/>
      <c r="Q163" s="10"/>
      <c r="R163" s="11"/>
      <c r="S163" s="11"/>
      <c r="T163" s="11"/>
      <c r="U163" s="11" t="s">
        <v>209</v>
      </c>
      <c r="V163" s="11"/>
      <c r="W163" s="59" t="s">
        <v>2813</v>
      </c>
      <c r="X163" s="59" t="s">
        <v>3151</v>
      </c>
      <c r="Y163" s="59"/>
      <c r="Z163" s="59" t="s">
        <v>988</v>
      </c>
      <c r="AA163" s="59"/>
      <c r="AB163" s="59"/>
      <c r="AC163" s="138"/>
      <c r="AD163" s="138"/>
      <c r="AE163" s="138"/>
      <c r="AF163" s="231"/>
      <c r="AG163" s="231"/>
      <c r="AH163" s="231"/>
      <c r="AI163" s="232"/>
      <c r="AJ163" s="19"/>
      <c r="AK163" s="23"/>
      <c r="AL163" s="23"/>
      <c r="AM163" s="23"/>
      <c r="AN163" s="43"/>
    </row>
    <row r="164" spans="1:41" ht="12.75" hidden="1" customHeight="1" x14ac:dyDescent="0.15">
      <c r="A164"/>
      <c r="B164" s="48" t="s">
        <v>5074</v>
      </c>
      <c r="C164" s="9" t="s">
        <v>2914</v>
      </c>
      <c r="D164" s="485">
        <v>21</v>
      </c>
      <c r="E164" s="486" t="str">
        <f t="shared" si="5"/>
        <v>U7 Mixte</v>
      </c>
      <c r="F164" s="12" t="s">
        <v>5354</v>
      </c>
      <c r="G164" s="386" t="s">
        <v>5173</v>
      </c>
      <c r="H164" s="13">
        <v>2028</v>
      </c>
      <c r="I164" s="18">
        <v>44456</v>
      </c>
      <c r="J164" s="5" t="s">
        <v>5342</v>
      </c>
      <c r="K164" s="53" t="s">
        <v>5080</v>
      </c>
      <c r="L164" s="10" t="s">
        <v>5081</v>
      </c>
      <c r="M164" s="68" t="s">
        <v>5082</v>
      </c>
      <c r="N164" s="62"/>
      <c r="O164" s="62"/>
      <c r="P164" s="10"/>
      <c r="Q164" s="10"/>
      <c r="R164" s="13"/>
      <c r="S164" s="11"/>
      <c r="T164" s="11"/>
      <c r="U164" s="11"/>
      <c r="V164" s="11"/>
      <c r="W164" s="59"/>
      <c r="X164" s="59"/>
      <c r="Y164" s="59"/>
      <c r="Z164" s="59"/>
      <c r="AA164" s="59"/>
      <c r="AB164" s="59"/>
      <c r="AC164" s="138"/>
      <c r="AD164" s="138"/>
      <c r="AE164" s="138"/>
      <c r="AF164" s="231"/>
      <c r="AG164" s="231"/>
      <c r="AH164" s="231"/>
      <c r="AI164" s="232"/>
      <c r="AJ164" s="11"/>
      <c r="AK164" s="11"/>
      <c r="AL164" s="11"/>
      <c r="AM164" s="11"/>
      <c r="AN164" s="394"/>
    </row>
    <row r="165" spans="1:41" ht="12.75" hidden="1" customHeight="1" x14ac:dyDescent="0.15">
      <c r="A165"/>
      <c r="B165" s="48" t="s">
        <v>987</v>
      </c>
      <c r="C165" s="9" t="s">
        <v>990</v>
      </c>
      <c r="D165" s="485">
        <v>9</v>
      </c>
      <c r="E165" s="486" t="str">
        <f t="shared" si="5"/>
        <v>Vétérans - Hommes</v>
      </c>
      <c r="F165" s="12" t="s">
        <v>3015</v>
      </c>
      <c r="G165" s="376"/>
      <c r="H165" s="14">
        <v>2027</v>
      </c>
      <c r="I165" s="18">
        <v>30085</v>
      </c>
      <c r="J165" s="19" t="s">
        <v>2180</v>
      </c>
      <c r="K165" s="40"/>
      <c r="L165" s="27" t="s">
        <v>2181</v>
      </c>
      <c r="M165" s="29" t="s">
        <v>2179</v>
      </c>
      <c r="N165" s="61"/>
      <c r="O165" s="61"/>
      <c r="P165" s="30" t="s">
        <v>1536</v>
      </c>
      <c r="Q165" s="10"/>
      <c r="R165" s="11"/>
      <c r="S165" s="11"/>
      <c r="T165" s="11"/>
      <c r="U165" s="11" t="s">
        <v>420</v>
      </c>
      <c r="V165" s="11"/>
      <c r="W165" s="59" t="s">
        <v>2813</v>
      </c>
      <c r="X165" s="59" t="s">
        <v>3151</v>
      </c>
      <c r="Y165" s="59" t="s">
        <v>1511</v>
      </c>
      <c r="Z165" s="59">
        <v>175</v>
      </c>
      <c r="AA165" s="59"/>
      <c r="AB165" s="59"/>
      <c r="AC165" s="138"/>
      <c r="AD165" s="138"/>
      <c r="AE165" s="138"/>
      <c r="AF165" s="231"/>
      <c r="AG165" s="231"/>
      <c r="AH165" s="231"/>
      <c r="AI165" s="232"/>
      <c r="AJ165" s="19"/>
      <c r="AK165" s="23" t="s">
        <v>1302</v>
      </c>
      <c r="AL165" s="23"/>
      <c r="AM165" s="23"/>
      <c r="AN165" s="43"/>
    </row>
    <row r="166" spans="1:41" ht="12.75" hidden="1" customHeight="1" x14ac:dyDescent="0.15">
      <c r="A166"/>
      <c r="B166" s="48" t="s">
        <v>2185</v>
      </c>
      <c r="C166" s="9" t="s">
        <v>2186</v>
      </c>
      <c r="D166" s="485">
        <v>9</v>
      </c>
      <c r="E166" s="486" t="str">
        <f t="shared" si="5"/>
        <v>Vétérans - Hommes</v>
      </c>
      <c r="F166" s="12" t="s">
        <v>3017</v>
      </c>
      <c r="G166" s="371" t="s">
        <v>4148</v>
      </c>
      <c r="H166" s="614">
        <v>2022</v>
      </c>
      <c r="I166" s="18">
        <v>28384</v>
      </c>
      <c r="J166" s="5" t="s">
        <v>2187</v>
      </c>
      <c r="K166" s="40"/>
      <c r="L166" s="27" t="s">
        <v>2188</v>
      </c>
      <c r="M166" s="201" t="s">
        <v>2189</v>
      </c>
      <c r="N166" s="61"/>
      <c r="O166" s="61"/>
      <c r="P166" s="5"/>
      <c r="Q166" s="10"/>
      <c r="R166" s="11"/>
      <c r="S166" s="11"/>
      <c r="T166" s="11"/>
      <c r="U166" s="11" t="s">
        <v>348</v>
      </c>
      <c r="V166" s="11"/>
      <c r="W166" s="59" t="s">
        <v>2813</v>
      </c>
      <c r="X166" s="59" t="s">
        <v>3151</v>
      </c>
      <c r="Y166" s="59"/>
      <c r="Z166" s="59"/>
      <c r="AA166" s="59"/>
      <c r="AB166" s="59"/>
      <c r="AC166" s="138"/>
      <c r="AD166" s="138"/>
      <c r="AE166" s="138"/>
      <c r="AF166" s="231"/>
      <c r="AG166" s="231"/>
      <c r="AH166" s="231"/>
      <c r="AI166" s="232"/>
      <c r="AJ166" s="19">
        <v>1</v>
      </c>
      <c r="AK166" s="23" t="s">
        <v>1141</v>
      </c>
      <c r="AL166" s="23"/>
      <c r="AM166" s="23"/>
      <c r="AN166" s="141"/>
    </row>
    <row r="167" spans="1:41" ht="13.5" customHeight="1" x14ac:dyDescent="0.15">
      <c r="A167" s="699"/>
      <c r="B167" s="48" t="s">
        <v>4793</v>
      </c>
      <c r="C167" s="9" t="s">
        <v>4794</v>
      </c>
      <c r="D167" s="485">
        <v>2</v>
      </c>
      <c r="E167" s="486" t="str">
        <f t="shared" si="5"/>
        <v>Seniors - Hommes</v>
      </c>
      <c r="F167" s="12" t="s">
        <v>4799</v>
      </c>
      <c r="G167" s="369"/>
      <c r="H167" s="13">
        <v>2026</v>
      </c>
      <c r="I167" s="18">
        <v>37845</v>
      </c>
      <c r="J167" s="19" t="s">
        <v>4797</v>
      </c>
      <c r="K167" s="40"/>
      <c r="L167" s="20">
        <v>691585223</v>
      </c>
      <c r="M167" s="47" t="s">
        <v>4798</v>
      </c>
      <c r="N167" s="62"/>
      <c r="O167" s="62"/>
      <c r="P167" s="11"/>
      <c r="Q167" s="10"/>
      <c r="R167" s="11"/>
      <c r="S167" s="11"/>
      <c r="T167" s="11"/>
      <c r="U167" s="11"/>
      <c r="V167" s="11"/>
      <c r="W167" s="59"/>
      <c r="X167" s="59"/>
      <c r="Y167" s="59"/>
      <c r="Z167" s="59"/>
      <c r="AA167" s="59"/>
      <c r="AB167" s="59"/>
      <c r="AC167" s="138"/>
      <c r="AD167" s="138"/>
      <c r="AE167" s="138"/>
      <c r="AF167" s="231"/>
      <c r="AG167" s="231"/>
      <c r="AH167" s="231"/>
      <c r="AI167" s="232"/>
      <c r="AJ167" s="19"/>
      <c r="AK167" s="23"/>
      <c r="AL167" s="23"/>
      <c r="AM167" s="23"/>
      <c r="AN167" s="43"/>
    </row>
    <row r="168" spans="1:41" ht="12.75" customHeight="1" x14ac:dyDescent="0.15">
      <c r="A168" s="699"/>
      <c r="B168" s="48" t="s">
        <v>5234</v>
      </c>
      <c r="C168" s="9" t="s">
        <v>768</v>
      </c>
      <c r="D168" s="485">
        <v>15</v>
      </c>
      <c r="E168" s="486" t="str">
        <f t="shared" si="5"/>
        <v>U 13 Dames</v>
      </c>
      <c r="F168" s="12" t="s">
        <v>5281</v>
      </c>
      <c r="G168" s="386"/>
      <c r="H168" s="13">
        <v>2026</v>
      </c>
      <c r="I168" s="18">
        <v>41911</v>
      </c>
      <c r="J168" s="5" t="s">
        <v>5241</v>
      </c>
      <c r="K168" s="53" t="s">
        <v>5242</v>
      </c>
      <c r="L168" s="10" t="s">
        <v>5243</v>
      </c>
      <c r="M168" s="68" t="s">
        <v>5244</v>
      </c>
      <c r="N168" s="62"/>
      <c r="O168" s="62"/>
      <c r="P168" s="10"/>
      <c r="Q168" s="10"/>
      <c r="R168" s="13"/>
      <c r="S168" s="11"/>
      <c r="T168" s="11"/>
      <c r="U168" s="11"/>
      <c r="V168" s="11"/>
      <c r="W168" s="59"/>
      <c r="X168" s="59"/>
      <c r="Y168" s="59"/>
      <c r="Z168" s="59"/>
      <c r="AA168" s="59"/>
      <c r="AB168" s="59"/>
      <c r="AC168" s="138"/>
      <c r="AD168" s="138"/>
      <c r="AE168" s="138"/>
      <c r="AF168" s="231"/>
      <c r="AG168" s="231"/>
      <c r="AH168" s="231"/>
      <c r="AI168" s="232"/>
      <c r="AJ168" s="11"/>
      <c r="AK168" s="11"/>
      <c r="AL168" s="11"/>
      <c r="AM168" s="11"/>
      <c r="AN168" s="394"/>
    </row>
    <row r="169" spans="1:41" s="150" customFormat="1" ht="12.75" hidden="1" customHeight="1" x14ac:dyDescent="0.15">
      <c r="B169" s="48" t="s">
        <v>2196</v>
      </c>
      <c r="C169" s="9" t="s">
        <v>4120</v>
      </c>
      <c r="D169" s="485">
        <v>7</v>
      </c>
      <c r="E169" s="486" t="str">
        <f t="shared" si="5"/>
        <v>U 11 Hommes</v>
      </c>
      <c r="F169" s="12" t="s">
        <v>4175</v>
      </c>
      <c r="G169" s="369"/>
      <c r="H169" s="13">
        <v>2027</v>
      </c>
      <c r="I169" s="18">
        <v>42236</v>
      </c>
      <c r="J169" s="19" t="s">
        <v>4121</v>
      </c>
      <c r="K169" s="40" t="s">
        <v>2204</v>
      </c>
      <c r="L169" s="10" t="s">
        <v>2205</v>
      </c>
      <c r="M169" s="21" t="s">
        <v>2206</v>
      </c>
      <c r="N169" s="62"/>
      <c r="O169" s="62"/>
      <c r="P169" s="11"/>
      <c r="Q169" s="10"/>
      <c r="R169" s="11"/>
      <c r="S169" s="11"/>
      <c r="T169" s="11"/>
      <c r="U169" s="11"/>
      <c r="V169" s="11"/>
      <c r="W169" s="59"/>
      <c r="X169" s="59"/>
      <c r="Y169" s="59"/>
      <c r="Z169" s="59"/>
      <c r="AA169" s="59"/>
      <c r="AB169" s="59"/>
      <c r="AC169" s="138"/>
      <c r="AD169" s="138"/>
      <c r="AE169" s="138"/>
      <c r="AF169" s="231"/>
      <c r="AG169" s="231"/>
      <c r="AH169" s="231"/>
      <c r="AI169" s="232"/>
      <c r="AJ169" s="19"/>
      <c r="AK169" s="23"/>
      <c r="AL169" s="23"/>
      <c r="AM169" s="23"/>
      <c r="AN169" s="43"/>
      <c r="AO169"/>
    </row>
    <row r="170" spans="1:41" ht="12.75" customHeight="1" x14ac:dyDescent="0.15">
      <c r="A170" s="701"/>
      <c r="B170" s="48" t="s">
        <v>2196</v>
      </c>
      <c r="C170" s="9" t="s">
        <v>2202</v>
      </c>
      <c r="D170" s="485">
        <v>5</v>
      </c>
      <c r="E170" s="486" t="str">
        <f t="shared" si="5"/>
        <v>U 15 Hommes</v>
      </c>
      <c r="F170" s="12" t="s">
        <v>3019</v>
      </c>
      <c r="G170" s="373"/>
      <c r="H170" s="13">
        <v>2026</v>
      </c>
      <c r="I170" s="18">
        <v>41192</v>
      </c>
      <c r="J170" s="19" t="s">
        <v>2203</v>
      </c>
      <c r="K170" s="40" t="s">
        <v>2204</v>
      </c>
      <c r="L170" s="10" t="s">
        <v>2205</v>
      </c>
      <c r="M170" s="21" t="s">
        <v>2206</v>
      </c>
      <c r="N170" s="62"/>
      <c r="O170" s="62"/>
      <c r="P170" s="11"/>
      <c r="Q170" s="10"/>
      <c r="R170" s="11"/>
      <c r="S170" s="11"/>
      <c r="T170" s="11"/>
      <c r="U170" s="11" t="s">
        <v>209</v>
      </c>
      <c r="V170" s="11"/>
      <c r="W170" s="59" t="s">
        <v>2813</v>
      </c>
      <c r="X170" s="59" t="s">
        <v>3151</v>
      </c>
      <c r="Y170" s="59"/>
      <c r="Z170" s="59">
        <v>100</v>
      </c>
      <c r="AA170" s="59"/>
      <c r="AB170" s="59"/>
      <c r="AC170" s="138"/>
      <c r="AD170" s="138"/>
      <c r="AE170" s="138"/>
      <c r="AF170" s="231"/>
      <c r="AG170" s="231"/>
      <c r="AH170" s="231"/>
      <c r="AI170" s="232"/>
      <c r="AJ170" s="19"/>
      <c r="AK170" s="23"/>
      <c r="AL170" s="23"/>
      <c r="AM170" s="23"/>
      <c r="AN170" s="43"/>
    </row>
    <row r="171" spans="1:41" ht="12.75" hidden="1" customHeight="1" x14ac:dyDescent="0.15">
      <c r="A171"/>
      <c r="B171" s="48" t="s">
        <v>5332</v>
      </c>
      <c r="C171" s="9" t="s">
        <v>5333</v>
      </c>
      <c r="D171" s="485">
        <v>21</v>
      </c>
      <c r="E171" s="486" t="str">
        <f t="shared" si="5"/>
        <v>U7 Mixte</v>
      </c>
      <c r="F171" s="12" t="s">
        <v>5344</v>
      </c>
      <c r="G171" s="386" t="s">
        <v>5173</v>
      </c>
      <c r="H171" s="13">
        <v>2029</v>
      </c>
      <c r="I171" s="18">
        <v>44582</v>
      </c>
      <c r="J171" s="5" t="s">
        <v>5338</v>
      </c>
      <c r="K171" s="53" t="s">
        <v>5339</v>
      </c>
      <c r="L171" s="10" t="s">
        <v>5340</v>
      </c>
      <c r="M171" s="68" t="s">
        <v>5341</v>
      </c>
      <c r="N171" s="62"/>
      <c r="O171" s="62"/>
      <c r="P171" s="10"/>
      <c r="Q171" s="10"/>
      <c r="R171" s="13"/>
      <c r="S171" s="11"/>
      <c r="T171" s="11"/>
      <c r="U171" s="11"/>
      <c r="V171" s="11"/>
      <c r="W171" s="59"/>
      <c r="X171" s="59"/>
      <c r="Y171" s="59"/>
      <c r="Z171" s="59"/>
      <c r="AA171" s="59"/>
      <c r="AB171" s="59"/>
      <c r="AC171" s="138"/>
      <c r="AD171" s="138"/>
      <c r="AE171" s="138"/>
      <c r="AF171" s="231"/>
      <c r="AG171" s="231"/>
      <c r="AH171" s="231"/>
      <c r="AI171" s="232"/>
      <c r="AJ171" s="11"/>
      <c r="AK171" s="11"/>
      <c r="AL171" s="11"/>
      <c r="AM171" s="11"/>
      <c r="AN171" s="394"/>
    </row>
    <row r="172" spans="1:41" ht="12.75" customHeight="1" x14ac:dyDescent="0.15">
      <c r="A172" s="701"/>
      <c r="B172" s="48" t="s">
        <v>5386</v>
      </c>
      <c r="C172" s="9" t="s">
        <v>5387</v>
      </c>
      <c r="D172" s="485">
        <v>21</v>
      </c>
      <c r="E172" s="486" t="str">
        <f t="shared" si="5"/>
        <v>U7 Mixte</v>
      </c>
      <c r="F172" s="12" t="s">
        <v>5391</v>
      </c>
      <c r="G172" s="386"/>
      <c r="H172" s="13">
        <v>2026</v>
      </c>
      <c r="I172" s="18">
        <v>43745</v>
      </c>
      <c r="J172" s="5" t="s">
        <v>5388</v>
      </c>
      <c r="K172" s="53" t="s">
        <v>5339</v>
      </c>
      <c r="L172" s="10" t="s">
        <v>5340</v>
      </c>
      <c r="M172" s="68" t="s">
        <v>5341</v>
      </c>
      <c r="N172" s="62"/>
      <c r="O172" s="62"/>
      <c r="P172" s="10"/>
      <c r="Q172" s="10"/>
      <c r="R172" s="13"/>
      <c r="S172" s="11"/>
      <c r="T172" s="11"/>
      <c r="U172" s="11"/>
      <c r="V172" s="11"/>
      <c r="W172" s="59"/>
      <c r="X172" s="59"/>
      <c r="Y172" s="59"/>
      <c r="Z172" s="59"/>
      <c r="AA172" s="59"/>
      <c r="AB172" s="59"/>
      <c r="AC172" s="138"/>
      <c r="AD172" s="138"/>
      <c r="AE172" s="138"/>
      <c r="AF172" s="231"/>
      <c r="AG172" s="231"/>
      <c r="AH172" s="231"/>
      <c r="AI172" s="232"/>
      <c r="AJ172" s="11"/>
      <c r="AK172" s="11"/>
      <c r="AL172" s="11"/>
      <c r="AM172" s="11"/>
      <c r="AN172" s="394"/>
    </row>
    <row r="173" spans="1:41" ht="12.75" hidden="1" customHeight="1" x14ac:dyDescent="0.15">
      <c r="A173"/>
      <c r="B173" s="48" t="s">
        <v>4383</v>
      </c>
      <c r="C173" s="9" t="s">
        <v>4384</v>
      </c>
      <c r="D173" s="485">
        <v>8</v>
      </c>
      <c r="E173" s="486" t="str">
        <f t="shared" si="5"/>
        <v xml:space="preserve">U 9 Hommes </v>
      </c>
      <c r="F173" s="12" t="s">
        <v>4592</v>
      </c>
      <c r="G173" s="369" t="s">
        <v>252</v>
      </c>
      <c r="H173" s="615">
        <v>2025</v>
      </c>
      <c r="I173" s="18">
        <v>43186</v>
      </c>
      <c r="J173" s="19" t="s">
        <v>4388</v>
      </c>
      <c r="K173" s="40" t="s">
        <v>4389</v>
      </c>
      <c r="L173" s="10" t="s">
        <v>4390</v>
      </c>
      <c r="M173" s="47" t="s">
        <v>4391</v>
      </c>
      <c r="N173" s="62"/>
      <c r="O173" s="62"/>
      <c r="P173" s="11"/>
      <c r="Q173" s="10"/>
      <c r="R173" s="11"/>
      <c r="S173" s="11"/>
      <c r="T173" s="11"/>
      <c r="U173" s="11"/>
      <c r="V173" s="11"/>
      <c r="W173" s="59"/>
      <c r="X173" s="59"/>
      <c r="Y173" s="59"/>
      <c r="Z173" s="59"/>
      <c r="AA173" s="59"/>
      <c r="AB173" s="59"/>
      <c r="AC173" s="138"/>
      <c r="AD173" s="138"/>
      <c r="AE173" s="138"/>
      <c r="AF173" s="231"/>
      <c r="AG173" s="231"/>
      <c r="AH173" s="231"/>
      <c r="AI173" s="232"/>
      <c r="AJ173" s="19"/>
      <c r="AK173" s="23"/>
      <c r="AL173" s="23"/>
      <c r="AM173" s="23"/>
      <c r="AN173" s="43"/>
    </row>
    <row r="174" spans="1:41" ht="12.75" hidden="1" customHeight="1" x14ac:dyDescent="0.15">
      <c r="A174"/>
      <c r="B174" s="48" t="s">
        <v>386</v>
      </c>
      <c r="C174" s="9" t="s">
        <v>387</v>
      </c>
      <c r="D174" s="485">
        <v>19</v>
      </c>
      <c r="E174" s="486" t="str">
        <f t="shared" si="5"/>
        <v>Vétérans - Dames</v>
      </c>
      <c r="F174" s="12" t="s">
        <v>3350</v>
      </c>
      <c r="G174" s="376"/>
      <c r="H174" s="14">
        <v>2029</v>
      </c>
      <c r="I174" s="18">
        <v>28944</v>
      </c>
      <c r="J174" s="19" t="s">
        <v>3261</v>
      </c>
      <c r="K174" s="40"/>
      <c r="L174" s="27" t="s">
        <v>395</v>
      </c>
      <c r="M174" s="54" t="s">
        <v>3325</v>
      </c>
      <c r="N174" s="61"/>
      <c r="O174" s="61"/>
      <c r="P174" s="11"/>
      <c r="Q174" s="10"/>
      <c r="R174" s="11"/>
      <c r="S174" s="11"/>
      <c r="T174" s="11"/>
      <c r="U174" s="11" t="s">
        <v>348</v>
      </c>
      <c r="V174" s="11"/>
      <c r="W174" s="59" t="s">
        <v>315</v>
      </c>
      <c r="X174" s="59" t="s">
        <v>315</v>
      </c>
      <c r="Y174" s="59"/>
      <c r="Z174" s="59">
        <v>50</v>
      </c>
      <c r="AA174" s="59"/>
      <c r="AB174" s="59"/>
      <c r="AC174" s="138"/>
      <c r="AD174" s="138"/>
      <c r="AE174" s="138"/>
      <c r="AF174" s="231"/>
      <c r="AG174" s="231"/>
      <c r="AH174" s="231"/>
      <c r="AI174" s="232"/>
      <c r="AJ174" s="19"/>
      <c r="AK174" s="23"/>
      <c r="AL174" s="23"/>
      <c r="AM174" s="23"/>
      <c r="AN174" s="43"/>
    </row>
    <row r="175" spans="1:41" ht="12.75" hidden="1" customHeight="1" x14ac:dyDescent="0.15">
      <c r="A175"/>
      <c r="B175" s="48" t="s">
        <v>992</v>
      </c>
      <c r="C175" s="9" t="s">
        <v>993</v>
      </c>
      <c r="D175" s="485">
        <v>2</v>
      </c>
      <c r="E175" s="486" t="str">
        <f t="shared" si="5"/>
        <v>Seniors - Hommes</v>
      </c>
      <c r="F175" s="12" t="s">
        <v>3020</v>
      </c>
      <c r="G175" s="371"/>
      <c r="H175" s="71">
        <v>2029</v>
      </c>
      <c r="I175" s="18">
        <v>32873</v>
      </c>
      <c r="J175" s="19" t="s">
        <v>2207</v>
      </c>
      <c r="K175" s="40"/>
      <c r="L175" s="27" t="s">
        <v>2209</v>
      </c>
      <c r="M175" s="29" t="s">
        <v>2210</v>
      </c>
      <c r="N175" s="61"/>
      <c r="O175" s="61"/>
      <c r="P175" s="30" t="s">
        <v>1536</v>
      </c>
      <c r="Q175" s="10"/>
      <c r="R175" s="5"/>
      <c r="S175" s="11"/>
      <c r="T175" s="11"/>
      <c r="U175" s="11" t="s">
        <v>348</v>
      </c>
      <c r="V175" s="11"/>
      <c r="W175" s="59" t="s">
        <v>2813</v>
      </c>
      <c r="X175" s="59" t="s">
        <v>3151</v>
      </c>
      <c r="Y175" s="59" t="s">
        <v>2136</v>
      </c>
      <c r="Z175" s="59">
        <v>50</v>
      </c>
      <c r="AA175" s="59"/>
      <c r="AB175" s="67" t="s">
        <v>3164</v>
      </c>
      <c r="AC175" s="139"/>
      <c r="AD175" s="139"/>
      <c r="AE175" s="139"/>
      <c r="AF175" s="231"/>
      <c r="AG175" s="231"/>
      <c r="AH175" s="231"/>
      <c r="AI175" s="232"/>
      <c r="AJ175" s="19"/>
      <c r="AK175" s="23" t="s">
        <v>1537</v>
      </c>
      <c r="AL175" s="23"/>
      <c r="AM175" s="23"/>
      <c r="AN175" s="43"/>
    </row>
    <row r="176" spans="1:41" ht="12.75" hidden="1" customHeight="1" x14ac:dyDescent="0.15">
      <c r="A176"/>
      <c r="B176" s="49" t="s">
        <v>995</v>
      </c>
      <c r="C176" s="9" t="s">
        <v>996</v>
      </c>
      <c r="D176" s="485">
        <v>1</v>
      </c>
      <c r="E176" s="486" t="str">
        <f t="shared" si="5"/>
        <v>Officiel H</v>
      </c>
      <c r="F176" s="12"/>
      <c r="G176" s="376"/>
      <c r="H176" s="14" t="s">
        <v>210</v>
      </c>
      <c r="I176" s="18">
        <v>19545</v>
      </c>
      <c r="J176" s="19" t="s">
        <v>2736</v>
      </c>
      <c r="K176" s="40"/>
      <c r="L176" s="27" t="s">
        <v>2220</v>
      </c>
      <c r="M176" s="29" t="s">
        <v>2221</v>
      </c>
      <c r="N176" s="61"/>
      <c r="O176" s="61"/>
      <c r="P176" s="24"/>
      <c r="Q176" s="10" t="s">
        <v>2764</v>
      </c>
      <c r="R176" s="11"/>
      <c r="S176" s="11"/>
      <c r="T176" s="11"/>
      <c r="U176" s="11" t="s">
        <v>420</v>
      </c>
      <c r="V176" s="11"/>
      <c r="W176" s="59" t="s">
        <v>2813</v>
      </c>
      <c r="X176" s="59" t="s">
        <v>292</v>
      </c>
      <c r="Y176" s="59" t="s">
        <v>421</v>
      </c>
      <c r="Z176" s="59">
        <v>175</v>
      </c>
      <c r="AA176" s="59"/>
      <c r="AB176" s="59"/>
      <c r="AC176" s="138"/>
      <c r="AD176" s="138"/>
      <c r="AE176" s="138"/>
      <c r="AF176" s="231"/>
      <c r="AG176" s="231"/>
      <c r="AH176" s="231"/>
      <c r="AI176" s="232"/>
      <c r="AJ176" s="19"/>
      <c r="AK176" s="23" t="s">
        <v>1812</v>
      </c>
      <c r="AL176" s="23"/>
      <c r="AM176" s="23"/>
      <c r="AN176" s="43"/>
    </row>
    <row r="177" spans="1:41" ht="12.75" hidden="1" customHeight="1" x14ac:dyDescent="0.15">
      <c r="A177"/>
      <c r="B177" s="48" t="s">
        <v>5471</v>
      </c>
      <c r="C177" s="9" t="s">
        <v>5472</v>
      </c>
      <c r="D177" s="485">
        <v>21</v>
      </c>
      <c r="E177" s="486" t="str">
        <f t="shared" si="5"/>
        <v>U7 Mixte</v>
      </c>
      <c r="F177" s="12" t="s">
        <v>5488</v>
      </c>
      <c r="G177" s="386" t="s">
        <v>5173</v>
      </c>
      <c r="H177" s="13">
        <v>2031</v>
      </c>
      <c r="I177" s="18">
        <v>43622</v>
      </c>
      <c r="J177" s="5" t="s">
        <v>5479</v>
      </c>
      <c r="K177" s="53"/>
      <c r="L177" s="20">
        <v>621508660</v>
      </c>
      <c r="M177" s="68" t="s">
        <v>5480</v>
      </c>
      <c r="N177" s="62"/>
      <c r="O177" s="62"/>
      <c r="P177" s="10"/>
      <c r="Q177" s="10"/>
      <c r="R177" s="13"/>
      <c r="S177" s="11"/>
      <c r="T177" s="11"/>
      <c r="U177" s="11"/>
      <c r="V177" s="11"/>
      <c r="W177" s="59"/>
      <c r="X177" s="59"/>
      <c r="Y177" s="59"/>
      <c r="Z177" s="59"/>
      <c r="AA177" s="59"/>
      <c r="AB177" s="59"/>
      <c r="AC177" s="138"/>
      <c r="AD177" s="138"/>
      <c r="AE177" s="138"/>
      <c r="AF177" s="231"/>
      <c r="AG177" s="231"/>
      <c r="AH177" s="231"/>
      <c r="AI177" s="232"/>
      <c r="AJ177" s="11"/>
      <c r="AK177" s="11"/>
      <c r="AL177" s="11"/>
      <c r="AM177" s="11"/>
      <c r="AN177" s="394"/>
    </row>
    <row r="178" spans="1:41" s="150" customFormat="1" ht="12.75" hidden="1" customHeight="1" x14ac:dyDescent="0.15">
      <c r="B178" s="48" t="s">
        <v>2232</v>
      </c>
      <c r="C178" s="9" t="s">
        <v>1077</v>
      </c>
      <c r="D178" s="485">
        <v>3</v>
      </c>
      <c r="E178" s="486" t="str">
        <f t="shared" si="5"/>
        <v>U 21 Hommes</v>
      </c>
      <c r="F178" s="12" t="s">
        <v>3023</v>
      </c>
      <c r="G178" s="369"/>
      <c r="H178" s="13">
        <v>2027</v>
      </c>
      <c r="I178" s="18">
        <v>39355</v>
      </c>
      <c r="J178" s="19" t="s">
        <v>2236</v>
      </c>
      <c r="K178" s="40" t="s">
        <v>2237</v>
      </c>
      <c r="L178" s="10" t="s">
        <v>2238</v>
      </c>
      <c r="M178" s="21" t="s">
        <v>2239</v>
      </c>
      <c r="N178" s="62"/>
      <c r="O178" s="62"/>
      <c r="P178" s="11"/>
      <c r="Q178" s="10"/>
      <c r="R178" s="11"/>
      <c r="S178" s="11"/>
      <c r="T178" s="11"/>
      <c r="U178" s="11" t="s">
        <v>209</v>
      </c>
      <c r="V178" s="11"/>
      <c r="W178" s="59" t="s">
        <v>2813</v>
      </c>
      <c r="X178" s="59" t="s">
        <v>292</v>
      </c>
      <c r="Y178" s="59" t="s">
        <v>1168</v>
      </c>
      <c r="Z178" s="59">
        <v>100</v>
      </c>
      <c r="AA178" s="59"/>
      <c r="AB178" s="59"/>
      <c r="AC178" s="138"/>
      <c r="AD178" s="138"/>
      <c r="AE178" s="138"/>
      <c r="AF178" s="231"/>
      <c r="AG178" s="231"/>
      <c r="AH178" s="231"/>
      <c r="AI178" s="232"/>
      <c r="AJ178" s="19"/>
      <c r="AK178" s="23"/>
      <c r="AL178" s="23"/>
      <c r="AM178" s="23"/>
      <c r="AN178" s="43"/>
      <c r="AO178"/>
    </row>
    <row r="179" spans="1:41" ht="12" hidden="1" customHeight="1" x14ac:dyDescent="0.15">
      <c r="A179"/>
      <c r="B179" s="48" t="s">
        <v>4888</v>
      </c>
      <c r="C179" s="9" t="s">
        <v>2387</v>
      </c>
      <c r="D179" s="485">
        <v>3</v>
      </c>
      <c r="E179" s="486" t="str">
        <f t="shared" si="5"/>
        <v>U 21 Hommes</v>
      </c>
      <c r="F179" s="12" t="s">
        <v>5058</v>
      </c>
      <c r="G179" s="369"/>
      <c r="H179" s="13">
        <v>2027</v>
      </c>
      <c r="I179" s="18">
        <v>39438</v>
      </c>
      <c r="J179" s="19" t="s">
        <v>4892</v>
      </c>
      <c r="K179" s="40" t="s">
        <v>4893</v>
      </c>
      <c r="L179" s="10" t="s">
        <v>4894</v>
      </c>
      <c r="M179" s="47" t="s">
        <v>4895</v>
      </c>
      <c r="N179" s="62"/>
      <c r="O179" s="62"/>
      <c r="P179" s="11"/>
      <c r="Q179" s="10"/>
      <c r="R179" s="11"/>
      <c r="S179" s="11"/>
      <c r="T179" s="11"/>
      <c r="U179" s="11"/>
      <c r="V179" s="11"/>
      <c r="W179" s="59"/>
      <c r="X179" s="59"/>
      <c r="Y179" s="59"/>
      <c r="Z179" s="59"/>
      <c r="AA179" s="59"/>
      <c r="AB179" s="59"/>
      <c r="AC179" s="138"/>
      <c r="AD179" s="138"/>
      <c r="AE179" s="138"/>
      <c r="AF179" s="231"/>
      <c r="AG179" s="231"/>
      <c r="AH179" s="231"/>
      <c r="AI179" s="232"/>
      <c r="AJ179" s="19"/>
      <c r="AK179" s="23"/>
      <c r="AL179" s="23"/>
      <c r="AM179" s="23"/>
      <c r="AN179" s="43"/>
    </row>
    <row r="180" spans="1:41" ht="12.75" hidden="1" customHeight="1" x14ac:dyDescent="0.15">
      <c r="A180"/>
      <c r="B180" s="48" t="s">
        <v>4858</v>
      </c>
      <c r="C180" s="9" t="s">
        <v>1359</v>
      </c>
      <c r="D180" s="485">
        <v>8</v>
      </c>
      <c r="E180" s="486" t="str">
        <f t="shared" si="5"/>
        <v xml:space="preserve">U 9 Hommes </v>
      </c>
      <c r="F180" s="12" t="s">
        <v>4899</v>
      </c>
      <c r="G180" s="369"/>
      <c r="H180" s="13">
        <v>2029</v>
      </c>
      <c r="I180" s="18">
        <v>42804</v>
      </c>
      <c r="J180" s="19" t="s">
        <v>4864</v>
      </c>
      <c r="K180" s="40" t="s">
        <v>4865</v>
      </c>
      <c r="L180" s="10" t="s">
        <v>4866</v>
      </c>
      <c r="M180" s="47" t="s">
        <v>4867</v>
      </c>
      <c r="N180" s="62"/>
      <c r="O180" s="62"/>
      <c r="P180" s="11"/>
      <c r="Q180" s="10"/>
      <c r="R180" s="11"/>
      <c r="S180" s="11"/>
      <c r="T180" s="11"/>
      <c r="U180" s="11"/>
      <c r="V180" s="11"/>
      <c r="W180" s="59"/>
      <c r="X180" s="59"/>
      <c r="Y180" s="59"/>
      <c r="Z180" s="59"/>
      <c r="AA180" s="59"/>
      <c r="AB180" s="59"/>
      <c r="AC180" s="138"/>
      <c r="AD180" s="138"/>
      <c r="AE180" s="138"/>
      <c r="AF180" s="231"/>
      <c r="AG180" s="231"/>
      <c r="AH180" s="231"/>
      <c r="AI180" s="232"/>
      <c r="AJ180" s="19"/>
      <c r="AK180" s="23"/>
      <c r="AL180" s="23"/>
      <c r="AM180" s="23"/>
      <c r="AN180" s="43"/>
    </row>
    <row r="181" spans="1:41" ht="12.75" hidden="1" customHeight="1" x14ac:dyDescent="0.15">
      <c r="A181"/>
      <c r="B181" s="48" t="s">
        <v>4812</v>
      </c>
      <c r="C181" s="9" t="s">
        <v>4815</v>
      </c>
      <c r="D181" s="485">
        <v>18</v>
      </c>
      <c r="E181" s="486" t="str">
        <f t="shared" si="5"/>
        <v>U 9 Dames</v>
      </c>
      <c r="F181" s="12" t="s">
        <v>4876</v>
      </c>
      <c r="G181" s="369"/>
      <c r="H181" s="13">
        <v>2028</v>
      </c>
      <c r="I181" s="18">
        <v>42416</v>
      </c>
      <c r="J181" s="19" t="s">
        <v>4817</v>
      </c>
      <c r="K181" s="40" t="s">
        <v>4818</v>
      </c>
      <c r="L181" s="10" t="s">
        <v>4819</v>
      </c>
      <c r="M181" s="47" t="s">
        <v>4820</v>
      </c>
      <c r="N181" s="62"/>
      <c r="O181" s="62"/>
      <c r="P181" s="11"/>
      <c r="Q181" s="10"/>
      <c r="R181" s="11"/>
      <c r="S181" s="11"/>
      <c r="T181" s="11"/>
      <c r="U181" s="11"/>
      <c r="V181" s="11"/>
      <c r="W181" s="59"/>
      <c r="X181" s="59"/>
      <c r="Y181" s="59"/>
      <c r="Z181" s="59"/>
      <c r="AA181" s="59"/>
      <c r="AB181" s="59"/>
      <c r="AC181" s="138"/>
      <c r="AD181" s="138"/>
      <c r="AE181" s="138"/>
      <c r="AF181" s="231"/>
      <c r="AG181" s="231"/>
      <c r="AH181" s="231"/>
      <c r="AI181" s="232"/>
      <c r="AJ181" s="19"/>
      <c r="AK181" s="23"/>
      <c r="AL181" s="23"/>
      <c r="AM181" s="23"/>
      <c r="AN181" s="43"/>
    </row>
    <row r="182" spans="1:41" ht="12.75" customHeight="1" x14ac:dyDescent="0.15">
      <c r="A182" s="699"/>
      <c r="B182" s="48" t="s">
        <v>4812</v>
      </c>
      <c r="C182" s="9" t="s">
        <v>5086</v>
      </c>
      <c r="D182" s="485">
        <v>6</v>
      </c>
      <c r="E182" s="486" t="str">
        <f t="shared" si="5"/>
        <v>U 13 Hommes</v>
      </c>
      <c r="F182" s="12" t="s">
        <v>5121</v>
      </c>
      <c r="G182" s="369"/>
      <c r="H182" s="13">
        <v>2026</v>
      </c>
      <c r="I182" s="18">
        <v>41950</v>
      </c>
      <c r="J182" s="5" t="s">
        <v>5087</v>
      </c>
      <c r="K182" s="40" t="s">
        <v>4818</v>
      </c>
      <c r="L182" s="10" t="s">
        <v>4819</v>
      </c>
      <c r="M182" s="47" t="s">
        <v>4820</v>
      </c>
      <c r="N182" s="62"/>
      <c r="O182" s="62"/>
      <c r="P182" s="10"/>
      <c r="Q182" s="10"/>
      <c r="R182" s="13"/>
      <c r="S182" s="11"/>
      <c r="T182" s="11"/>
      <c r="U182" s="11"/>
      <c r="V182" s="11"/>
      <c r="W182" s="59"/>
      <c r="X182" s="59"/>
      <c r="Y182" s="59"/>
      <c r="Z182" s="59"/>
      <c r="AA182" s="59"/>
      <c r="AB182" s="59"/>
      <c r="AC182" s="138"/>
      <c r="AD182" s="138"/>
      <c r="AE182" s="138"/>
      <c r="AF182" s="231"/>
      <c r="AG182" s="231"/>
      <c r="AH182" s="231"/>
      <c r="AI182" s="232"/>
      <c r="AJ182" s="11"/>
      <c r="AK182" s="11"/>
      <c r="AL182" s="11"/>
      <c r="AM182" s="11"/>
      <c r="AN182" s="394"/>
    </row>
    <row r="183" spans="1:41" ht="12.75" hidden="1" customHeight="1" x14ac:dyDescent="0.15">
      <c r="A183"/>
      <c r="B183" s="48" t="s">
        <v>3152</v>
      </c>
      <c r="C183" s="9" t="s">
        <v>3153</v>
      </c>
      <c r="D183" s="485">
        <v>6</v>
      </c>
      <c r="E183" s="486" t="str">
        <f t="shared" si="5"/>
        <v>U 13 Hommes</v>
      </c>
      <c r="F183" s="12" t="s">
        <v>3219</v>
      </c>
      <c r="G183" s="369"/>
      <c r="H183" s="615">
        <v>2025</v>
      </c>
      <c r="I183" s="18">
        <v>41486</v>
      </c>
      <c r="J183" s="19" t="s">
        <v>3156</v>
      </c>
      <c r="K183" s="40" t="s">
        <v>3157</v>
      </c>
      <c r="L183" s="10" t="s">
        <v>3159</v>
      </c>
      <c r="M183" s="47" t="s">
        <v>3161</v>
      </c>
      <c r="N183" s="62"/>
      <c r="O183" s="62"/>
      <c r="P183" s="11"/>
      <c r="Q183" s="10"/>
      <c r="R183" s="11"/>
      <c r="S183" s="11"/>
      <c r="T183" s="11"/>
      <c r="U183" s="11" t="s">
        <v>533</v>
      </c>
      <c r="V183" s="11"/>
      <c r="W183" s="69" t="s">
        <v>3163</v>
      </c>
      <c r="X183" s="59"/>
      <c r="Y183" s="59"/>
      <c r="Z183" s="67" t="s">
        <v>347</v>
      </c>
      <c r="AA183" s="59"/>
      <c r="AB183" s="59"/>
      <c r="AC183" s="138"/>
      <c r="AD183" s="138"/>
      <c r="AE183" s="138"/>
      <c r="AF183" s="231"/>
      <c r="AG183" s="231"/>
      <c r="AH183" s="231"/>
      <c r="AI183" s="232"/>
      <c r="AJ183" s="19"/>
      <c r="AK183" s="23"/>
      <c r="AL183" s="23"/>
      <c r="AM183" s="23"/>
      <c r="AN183" s="43"/>
    </row>
    <row r="184" spans="1:41" ht="12.75" customHeight="1" x14ac:dyDescent="0.15">
      <c r="A184" s="702"/>
      <c r="B184" s="48" t="s">
        <v>1007</v>
      </c>
      <c r="C184" s="9" t="s">
        <v>1008</v>
      </c>
      <c r="D184" s="485">
        <v>3</v>
      </c>
      <c r="E184" s="486" t="str">
        <f t="shared" si="5"/>
        <v>U 21 Hommes</v>
      </c>
      <c r="F184" s="12" t="s">
        <v>3029</v>
      </c>
      <c r="G184" s="376"/>
      <c r="H184" s="471">
        <v>2026</v>
      </c>
      <c r="I184" s="18">
        <v>38203</v>
      </c>
      <c r="J184" s="19" t="s">
        <v>2287</v>
      </c>
      <c r="K184" s="40"/>
      <c r="L184" s="35" t="s">
        <v>4642</v>
      </c>
      <c r="M184" s="29" t="s">
        <v>2288</v>
      </c>
      <c r="N184" s="61"/>
      <c r="O184" s="61"/>
      <c r="P184" s="5"/>
      <c r="Q184" s="10"/>
      <c r="R184" s="11"/>
      <c r="S184" s="11"/>
      <c r="T184" s="11"/>
      <c r="U184" s="11" t="s">
        <v>348</v>
      </c>
      <c r="V184" s="11"/>
      <c r="W184" s="59" t="s">
        <v>2813</v>
      </c>
      <c r="X184" s="59" t="s">
        <v>3151</v>
      </c>
      <c r="Y184" s="59" t="s">
        <v>2136</v>
      </c>
      <c r="Z184" s="59">
        <v>100</v>
      </c>
      <c r="AA184" s="59"/>
      <c r="AB184" s="59"/>
      <c r="AC184" s="138"/>
      <c r="AD184" s="138"/>
      <c r="AE184" s="138"/>
      <c r="AF184" s="231"/>
      <c r="AG184" s="231"/>
      <c r="AH184" s="231"/>
      <c r="AI184" s="232"/>
      <c r="AJ184" s="19"/>
      <c r="AK184" s="23" t="s">
        <v>216</v>
      </c>
      <c r="AL184" s="23"/>
      <c r="AM184" s="23"/>
      <c r="AN184" s="43"/>
    </row>
    <row r="185" spans="1:41" ht="12.75" customHeight="1" x14ac:dyDescent="0.15">
      <c r="A185" s="708" t="s">
        <v>5503</v>
      </c>
      <c r="B185" s="48" t="s">
        <v>5392</v>
      </c>
      <c r="C185" s="9" t="s">
        <v>5393</v>
      </c>
      <c r="D185" s="485">
        <v>15</v>
      </c>
      <c r="E185" s="486" t="str">
        <f t="shared" ref="E185:E207" si="6">VLOOKUP(D185,CAT_JOUEUR,2,FALSE)</f>
        <v>U 13 Dames</v>
      </c>
      <c r="F185" s="12" t="s">
        <v>5399</v>
      </c>
      <c r="G185" s="704" t="s">
        <v>5492</v>
      </c>
      <c r="H185" s="13">
        <v>2026</v>
      </c>
      <c r="I185" s="18">
        <v>41732</v>
      </c>
      <c r="J185" s="52" t="s">
        <v>5397</v>
      </c>
      <c r="K185" s="53"/>
      <c r="L185" s="20">
        <v>691044071</v>
      </c>
      <c r="M185" s="53" t="s">
        <v>5398</v>
      </c>
      <c r="N185" s="62"/>
      <c r="O185" s="62"/>
      <c r="P185" s="10"/>
      <c r="Q185" s="10"/>
      <c r="R185" s="13"/>
      <c r="S185" s="11"/>
      <c r="T185" s="11"/>
      <c r="U185" s="11"/>
      <c r="V185" s="11"/>
      <c r="W185" s="59"/>
      <c r="X185" s="59"/>
      <c r="Y185" s="59"/>
      <c r="Z185" s="59"/>
      <c r="AA185" s="59"/>
      <c r="AB185" s="59"/>
      <c r="AC185" s="138"/>
      <c r="AD185" s="138"/>
      <c r="AE185" s="138"/>
      <c r="AF185" s="231"/>
      <c r="AG185" s="231"/>
      <c r="AH185" s="231"/>
      <c r="AI185" s="232"/>
      <c r="AJ185" s="11"/>
      <c r="AK185" s="11"/>
      <c r="AL185" s="11"/>
      <c r="AM185" s="11"/>
      <c r="AN185" s="394"/>
    </row>
    <row r="186" spans="1:41" ht="12.75" hidden="1" customHeight="1" x14ac:dyDescent="0.15">
      <c r="A186"/>
      <c r="B186" s="48" t="s">
        <v>3652</v>
      </c>
      <c r="C186" s="9" t="s">
        <v>3653</v>
      </c>
      <c r="D186" s="485">
        <v>12</v>
      </c>
      <c r="E186" s="486" t="str">
        <f t="shared" si="6"/>
        <v>Dames</v>
      </c>
      <c r="F186" s="12" t="s">
        <v>3658</v>
      </c>
      <c r="G186" s="373"/>
      <c r="H186" s="466">
        <v>2024</v>
      </c>
      <c r="I186" s="18">
        <v>33677</v>
      </c>
      <c r="J186" s="19" t="s">
        <v>3655</v>
      </c>
      <c r="K186" s="40"/>
      <c r="L186" s="10" t="s">
        <v>3656</v>
      </c>
      <c r="M186" s="47" t="s">
        <v>3657</v>
      </c>
      <c r="N186" s="62"/>
      <c r="O186" s="62"/>
      <c r="P186" s="11"/>
      <c r="Q186" s="10"/>
      <c r="R186" s="11"/>
      <c r="S186" s="11"/>
      <c r="T186" s="11"/>
      <c r="U186" s="11"/>
      <c r="V186" s="11"/>
      <c r="W186" s="59"/>
      <c r="X186" s="59"/>
      <c r="Y186" s="59"/>
      <c r="Z186" s="59"/>
      <c r="AA186" s="59"/>
      <c r="AB186" s="59"/>
      <c r="AC186" s="138"/>
      <c r="AD186" s="138"/>
      <c r="AE186" s="138"/>
      <c r="AF186" s="231"/>
      <c r="AG186" s="231"/>
      <c r="AH186" s="231"/>
      <c r="AI186" s="232"/>
      <c r="AJ186" s="19"/>
      <c r="AK186" s="23"/>
      <c r="AL186" s="23"/>
      <c r="AM186" s="23"/>
      <c r="AN186" s="43"/>
    </row>
    <row r="187" spans="1:41" ht="12.75" hidden="1" customHeight="1" x14ac:dyDescent="0.15">
      <c r="A187"/>
      <c r="B187" s="48" t="s">
        <v>3816</v>
      </c>
      <c r="C187" s="9" t="s">
        <v>4778</v>
      </c>
      <c r="D187" s="485">
        <v>21</v>
      </c>
      <c r="E187" s="486" t="str">
        <f t="shared" si="6"/>
        <v>U7 Mixte</v>
      </c>
      <c r="F187" s="12" t="s">
        <v>4811</v>
      </c>
      <c r="G187" s="369"/>
      <c r="H187" s="13">
        <v>2028</v>
      </c>
      <c r="I187" s="18">
        <v>44217</v>
      </c>
      <c r="J187" s="19" t="s">
        <v>4779</v>
      </c>
      <c r="K187" s="40" t="s">
        <v>3827</v>
      </c>
      <c r="L187" s="10" t="s">
        <v>3828</v>
      </c>
      <c r="M187" s="47" t="s">
        <v>3829</v>
      </c>
      <c r="N187" s="62"/>
      <c r="O187" s="62"/>
      <c r="P187" s="11"/>
      <c r="Q187" s="10"/>
      <c r="R187" s="11"/>
      <c r="S187" s="11"/>
      <c r="T187" s="11"/>
      <c r="U187" s="11"/>
      <c r="V187" s="11"/>
      <c r="W187" s="59"/>
      <c r="X187" s="59"/>
      <c r="Y187" s="59"/>
      <c r="Z187" s="59"/>
      <c r="AA187" s="59"/>
      <c r="AB187" s="59"/>
      <c r="AC187" s="138"/>
      <c r="AD187" s="138"/>
      <c r="AE187" s="138"/>
      <c r="AF187" s="231"/>
      <c r="AG187" s="231"/>
      <c r="AH187" s="231"/>
      <c r="AI187" s="232"/>
      <c r="AJ187" s="19"/>
      <c r="AK187" s="23"/>
      <c r="AL187" s="23"/>
      <c r="AM187" s="23"/>
      <c r="AN187" s="43"/>
    </row>
    <row r="188" spans="1:41" ht="12.75" hidden="1" customHeight="1" x14ac:dyDescent="0.15">
      <c r="A188"/>
      <c r="B188" s="48" t="s">
        <v>3816</v>
      </c>
      <c r="C188" s="9" t="s">
        <v>3819</v>
      </c>
      <c r="D188" s="485">
        <v>18</v>
      </c>
      <c r="E188" s="486" t="str">
        <f t="shared" si="6"/>
        <v>U 9 Dames</v>
      </c>
      <c r="F188" s="12" t="s">
        <v>3900</v>
      </c>
      <c r="G188" s="369"/>
      <c r="H188" s="36">
        <v>2030</v>
      </c>
      <c r="I188" s="18">
        <v>43352</v>
      </c>
      <c r="J188" s="19" t="s">
        <v>3826</v>
      </c>
      <c r="K188" s="40" t="s">
        <v>3827</v>
      </c>
      <c r="L188" s="10" t="s">
        <v>3828</v>
      </c>
      <c r="M188" s="47" t="s">
        <v>3829</v>
      </c>
      <c r="N188" s="62"/>
      <c r="O188" s="62"/>
      <c r="P188" s="11"/>
      <c r="Q188" s="10"/>
      <c r="R188" s="11"/>
      <c r="S188" s="11"/>
      <c r="T188" s="11"/>
      <c r="U188" s="11"/>
      <c r="V188" s="11"/>
      <c r="W188" s="59"/>
      <c r="X188" s="59"/>
      <c r="Y188" s="59"/>
      <c r="Z188" s="59"/>
      <c r="AA188" s="59"/>
      <c r="AB188" s="59"/>
      <c r="AC188" s="138"/>
      <c r="AD188" s="138"/>
      <c r="AE188" s="138"/>
      <c r="AF188" s="231"/>
      <c r="AG188" s="231"/>
      <c r="AH188" s="231"/>
      <c r="AI188" s="232"/>
      <c r="AJ188" s="19"/>
      <c r="AK188" s="23"/>
      <c r="AL188" s="23"/>
      <c r="AM188" s="23"/>
      <c r="AN188" s="43"/>
    </row>
    <row r="189" spans="1:41" ht="12.75" hidden="1" customHeight="1" x14ac:dyDescent="0.15">
      <c r="A189"/>
      <c r="B189" s="48" t="s">
        <v>5417</v>
      </c>
      <c r="C189" s="9" t="s">
        <v>5418</v>
      </c>
      <c r="D189" s="485">
        <v>6</v>
      </c>
      <c r="E189" s="486" t="str">
        <f t="shared" si="6"/>
        <v>U 13 Hommes</v>
      </c>
      <c r="F189" s="12" t="s">
        <v>5434</v>
      </c>
      <c r="G189" s="369" t="s">
        <v>5173</v>
      </c>
      <c r="H189" s="13">
        <v>2027</v>
      </c>
      <c r="I189" s="18">
        <v>42053</v>
      </c>
      <c r="J189" s="52" t="s">
        <v>5421</v>
      </c>
      <c r="K189" s="53"/>
      <c r="L189" s="53" t="s">
        <v>5423</v>
      </c>
      <c r="M189" s="53" t="s">
        <v>5422</v>
      </c>
      <c r="N189" s="62"/>
      <c r="O189" s="62"/>
      <c r="P189" s="10"/>
      <c r="Q189" s="10"/>
      <c r="R189" s="13"/>
      <c r="S189" s="11"/>
      <c r="T189" s="11"/>
      <c r="U189" s="11"/>
      <c r="V189" s="11"/>
      <c r="W189" s="59"/>
      <c r="X189" s="59"/>
      <c r="Y189" s="59"/>
      <c r="Z189" s="59"/>
      <c r="AA189" s="59"/>
      <c r="AB189" s="59"/>
      <c r="AC189" s="138"/>
      <c r="AD189" s="138"/>
      <c r="AE189" s="138"/>
      <c r="AF189" s="231"/>
      <c r="AG189" s="231"/>
      <c r="AH189" s="231"/>
      <c r="AI189" s="232"/>
      <c r="AJ189" s="11"/>
      <c r="AK189" s="11"/>
      <c r="AL189" s="11"/>
      <c r="AM189" s="11"/>
      <c r="AN189" s="394"/>
    </row>
    <row r="190" spans="1:41" ht="12.75" hidden="1" customHeight="1" x14ac:dyDescent="0.15">
      <c r="A190"/>
      <c r="B190" s="48" t="s">
        <v>4550</v>
      </c>
      <c r="C190" s="9" t="s">
        <v>4551</v>
      </c>
      <c r="D190" s="485">
        <v>2</v>
      </c>
      <c r="E190" s="486" t="str">
        <f t="shared" si="6"/>
        <v>Seniors - Hommes</v>
      </c>
      <c r="F190" s="12" t="s">
        <v>4622</v>
      </c>
      <c r="G190" s="373" t="s">
        <v>4886</v>
      </c>
      <c r="H190" s="36">
        <v>2024</v>
      </c>
      <c r="I190" s="18">
        <v>33905</v>
      </c>
      <c r="J190" s="19" t="s">
        <v>4555</v>
      </c>
      <c r="K190" s="40"/>
      <c r="L190" s="20">
        <v>621623759</v>
      </c>
      <c r="M190" s="47" t="s">
        <v>4556</v>
      </c>
      <c r="N190" s="62"/>
      <c r="O190" s="62"/>
      <c r="P190" s="11"/>
      <c r="Q190" s="10"/>
      <c r="R190" s="11"/>
      <c r="S190" s="11"/>
      <c r="T190" s="11"/>
      <c r="U190" s="11"/>
      <c r="V190" s="11"/>
      <c r="W190" s="59"/>
      <c r="X190" s="59"/>
      <c r="Y190" s="59"/>
      <c r="Z190" s="59"/>
      <c r="AA190" s="59"/>
      <c r="AB190" s="59"/>
      <c r="AC190" s="138"/>
      <c r="AD190" s="138"/>
      <c r="AE190" s="138"/>
      <c r="AF190" s="231"/>
      <c r="AG190" s="231"/>
      <c r="AH190" s="231"/>
      <c r="AI190" s="232"/>
      <c r="AJ190" s="19"/>
      <c r="AK190" s="23"/>
      <c r="AL190" s="23"/>
      <c r="AM190" s="23"/>
      <c r="AN190" s="43"/>
    </row>
    <row r="191" spans="1:41" ht="12.75" hidden="1" customHeight="1" x14ac:dyDescent="0.15">
      <c r="A191"/>
      <c r="B191" s="48" t="s">
        <v>1011</v>
      </c>
      <c r="C191" s="9" t="s">
        <v>1012</v>
      </c>
      <c r="D191" s="485">
        <v>2</v>
      </c>
      <c r="E191" s="486" t="str">
        <f t="shared" si="6"/>
        <v>Seniors - Hommes</v>
      </c>
      <c r="F191" s="12" t="s">
        <v>3033</v>
      </c>
      <c r="G191" s="369"/>
      <c r="H191" s="616">
        <v>2025</v>
      </c>
      <c r="I191" s="18">
        <v>34930</v>
      </c>
      <c r="J191" s="19" t="s">
        <v>2338</v>
      </c>
      <c r="K191" s="65" t="s">
        <v>2339</v>
      </c>
      <c r="L191" s="27" t="s">
        <v>2340</v>
      </c>
      <c r="M191" s="29" t="s">
        <v>2341</v>
      </c>
      <c r="N191" s="61"/>
      <c r="O191" s="61"/>
      <c r="P191" s="24"/>
      <c r="Q191" s="10"/>
      <c r="R191" s="11"/>
      <c r="S191" s="11"/>
      <c r="T191" s="11"/>
      <c r="U191" s="11" t="s">
        <v>209</v>
      </c>
      <c r="V191" s="11"/>
      <c r="W191" s="59" t="s">
        <v>2813</v>
      </c>
      <c r="X191" s="59" t="s">
        <v>292</v>
      </c>
      <c r="Y191" s="59" t="s">
        <v>421</v>
      </c>
      <c r="Z191" s="59" t="s">
        <v>419</v>
      </c>
      <c r="AA191" s="59"/>
      <c r="AB191" s="59"/>
      <c r="AC191" s="138"/>
      <c r="AD191" s="138"/>
      <c r="AE191" s="138"/>
      <c r="AF191" s="231"/>
      <c r="AG191" s="231"/>
      <c r="AH191" s="231"/>
      <c r="AI191" s="232"/>
      <c r="AJ191" s="19"/>
      <c r="AK191" s="23" t="s">
        <v>1537</v>
      </c>
      <c r="AL191" s="23"/>
      <c r="AM191" s="23"/>
      <c r="AN191" s="43"/>
    </row>
    <row r="192" spans="1:41" ht="12.75" hidden="1" customHeight="1" x14ac:dyDescent="0.15">
      <c r="A192"/>
      <c r="B192" s="48" t="s">
        <v>4512</v>
      </c>
      <c r="C192" s="9" t="s">
        <v>4514</v>
      </c>
      <c r="D192" s="485">
        <v>16</v>
      </c>
      <c r="E192" s="486" t="str">
        <f t="shared" si="6"/>
        <v>U15 Dames</v>
      </c>
      <c r="F192" s="12" t="s">
        <v>4621</v>
      </c>
      <c r="G192" s="369"/>
      <c r="H192" s="36">
        <v>2024</v>
      </c>
      <c r="I192" s="18">
        <v>41033</v>
      </c>
      <c r="J192" s="19" t="s">
        <v>4520</v>
      </c>
      <c r="K192" s="40"/>
      <c r="L192" s="10" t="s">
        <v>4521</v>
      </c>
      <c r="M192" s="47" t="s">
        <v>4522</v>
      </c>
      <c r="N192" s="62"/>
      <c r="O192" s="62"/>
      <c r="P192" s="11"/>
      <c r="Q192" s="10"/>
      <c r="R192" s="11"/>
      <c r="S192" s="11"/>
      <c r="T192" s="11"/>
      <c r="U192" s="11"/>
      <c r="V192" s="11"/>
      <c r="W192" s="59"/>
      <c r="X192" s="59"/>
      <c r="Y192" s="59"/>
      <c r="Z192" s="59"/>
      <c r="AA192" s="59"/>
      <c r="AB192" s="59"/>
      <c r="AC192" s="138"/>
      <c r="AD192" s="138"/>
      <c r="AE192" s="138"/>
      <c r="AF192" s="231"/>
      <c r="AG192" s="231"/>
      <c r="AH192" s="231"/>
      <c r="AI192" s="232"/>
      <c r="AJ192" s="19"/>
      <c r="AK192" s="23"/>
      <c r="AL192" s="23"/>
      <c r="AM192" s="23"/>
      <c r="AN192" s="43"/>
    </row>
    <row r="193" spans="1:41" ht="12.75" hidden="1" customHeight="1" x14ac:dyDescent="0.15">
      <c r="A193"/>
      <c r="B193" s="48" t="s">
        <v>4244</v>
      </c>
      <c r="C193" s="9" t="s">
        <v>4245</v>
      </c>
      <c r="D193" s="485">
        <v>18</v>
      </c>
      <c r="E193" s="486" t="str">
        <f t="shared" si="6"/>
        <v>U 9 Dames</v>
      </c>
      <c r="F193" s="12" t="s">
        <v>4261</v>
      </c>
      <c r="G193" s="369" t="s">
        <v>252</v>
      </c>
      <c r="H193" s="694">
        <v>2025</v>
      </c>
      <c r="I193" s="689">
        <v>43314</v>
      </c>
      <c r="J193" s="690" t="s">
        <v>4250</v>
      </c>
      <c r="K193" s="40" t="s">
        <v>4251</v>
      </c>
      <c r="L193" s="10" t="s">
        <v>4252</v>
      </c>
      <c r="M193" s="47" t="s">
        <v>4253</v>
      </c>
      <c r="N193" s="62"/>
      <c r="O193" s="62"/>
      <c r="P193" s="11"/>
      <c r="Q193" s="10"/>
      <c r="R193" s="11"/>
      <c r="S193" s="11"/>
      <c r="T193" s="11"/>
      <c r="U193" s="11"/>
      <c r="V193" s="11"/>
      <c r="W193" s="59"/>
      <c r="X193" s="59"/>
      <c r="Y193" s="59"/>
      <c r="Z193" s="59"/>
      <c r="AA193" s="59"/>
      <c r="AB193" s="59"/>
      <c r="AC193" s="138"/>
      <c r="AD193" s="138"/>
      <c r="AE193" s="138"/>
      <c r="AF193" s="231"/>
      <c r="AG193" s="231"/>
      <c r="AH193" s="231"/>
      <c r="AI193" s="232"/>
      <c r="AJ193" s="19"/>
      <c r="AK193" s="23"/>
      <c r="AL193" s="23"/>
      <c r="AM193" s="23"/>
      <c r="AN193" s="43"/>
    </row>
    <row r="194" spans="1:41" ht="12.75" hidden="1" customHeight="1" x14ac:dyDescent="0.15">
      <c r="A194"/>
      <c r="B194" s="48" t="s">
        <v>4195</v>
      </c>
      <c r="C194" s="9" t="s">
        <v>4191</v>
      </c>
      <c r="D194" s="485">
        <v>2</v>
      </c>
      <c r="E194" s="486" t="str">
        <f t="shared" si="6"/>
        <v>Seniors - Hommes</v>
      </c>
      <c r="F194" s="12" t="s">
        <v>4257</v>
      </c>
      <c r="G194" s="369"/>
      <c r="H194" s="13">
        <v>2032</v>
      </c>
      <c r="I194" s="18">
        <v>37308</v>
      </c>
      <c r="J194" s="19" t="s">
        <v>4193</v>
      </c>
      <c r="K194" s="40"/>
      <c r="L194" s="20">
        <v>621344151</v>
      </c>
      <c r="M194" s="47" t="s">
        <v>4194</v>
      </c>
      <c r="N194" s="62"/>
      <c r="O194" s="62"/>
      <c r="P194" s="11"/>
      <c r="Q194" s="10"/>
      <c r="R194" s="11"/>
      <c r="S194" s="11"/>
      <c r="T194" s="11"/>
      <c r="U194" s="11"/>
      <c r="V194" s="11"/>
      <c r="W194" s="59"/>
      <c r="X194" s="59"/>
      <c r="Y194" s="59"/>
      <c r="Z194" s="59"/>
      <c r="AA194" s="59"/>
      <c r="AB194" s="59"/>
      <c r="AC194" s="138"/>
      <c r="AD194" s="138"/>
      <c r="AE194" s="138"/>
      <c r="AF194" s="231"/>
      <c r="AG194" s="231"/>
      <c r="AH194" s="231"/>
      <c r="AI194" s="232"/>
      <c r="AJ194" s="19"/>
      <c r="AK194" s="23"/>
      <c r="AL194" s="23"/>
      <c r="AM194" s="23"/>
      <c r="AN194" s="43"/>
    </row>
    <row r="195" spans="1:41" ht="12.75" hidden="1" customHeight="1" x14ac:dyDescent="0.15">
      <c r="A195"/>
      <c r="B195" s="452" t="s">
        <v>5225</v>
      </c>
      <c r="C195" s="9" t="s">
        <v>5226</v>
      </c>
      <c r="D195" s="485">
        <v>17</v>
      </c>
      <c r="E195" s="486" t="str">
        <f t="shared" si="6"/>
        <v>U 11 Dames</v>
      </c>
      <c r="F195" s="217" t="s">
        <v>2805</v>
      </c>
      <c r="G195" s="386" t="s">
        <v>5173</v>
      </c>
      <c r="H195" s="13">
        <v>2027</v>
      </c>
      <c r="I195" s="18">
        <v>42014</v>
      </c>
      <c r="J195" s="52" t="s">
        <v>5229</v>
      </c>
      <c r="K195" s="16" t="s">
        <v>5232</v>
      </c>
      <c r="L195" s="40" t="s">
        <v>5233</v>
      </c>
      <c r="M195" s="529" t="s">
        <v>5230</v>
      </c>
      <c r="N195" s="62"/>
      <c r="O195" s="62"/>
      <c r="P195" s="10"/>
      <c r="Q195" s="10"/>
      <c r="R195" s="13"/>
      <c r="S195" s="11"/>
      <c r="T195" s="11"/>
      <c r="U195" s="11"/>
      <c r="V195" s="11"/>
      <c r="W195" s="59"/>
      <c r="X195" s="59"/>
      <c r="Y195" s="59"/>
      <c r="Z195" s="59"/>
      <c r="AA195" s="59"/>
      <c r="AB195" s="59"/>
      <c r="AC195" s="138"/>
      <c r="AD195" s="138"/>
      <c r="AE195" s="138"/>
      <c r="AF195" s="231"/>
      <c r="AG195" s="231"/>
      <c r="AH195" s="231"/>
      <c r="AI195" s="232"/>
      <c r="AJ195" s="11"/>
      <c r="AK195" s="11"/>
      <c r="AL195" s="11"/>
      <c r="AM195" s="11"/>
      <c r="AN195" s="394"/>
    </row>
    <row r="196" spans="1:41" ht="12.75" hidden="1" customHeight="1" x14ac:dyDescent="0.15">
      <c r="A196"/>
      <c r="B196" s="452" t="s">
        <v>5225</v>
      </c>
      <c r="C196" s="9" t="s">
        <v>5299</v>
      </c>
      <c r="D196" s="485">
        <v>7</v>
      </c>
      <c r="E196" s="486" t="str">
        <f t="shared" si="6"/>
        <v>U 11 Hommes</v>
      </c>
      <c r="F196" s="12" t="s">
        <v>5352</v>
      </c>
      <c r="G196" s="386" t="s">
        <v>5173</v>
      </c>
      <c r="H196" s="13">
        <v>2028</v>
      </c>
      <c r="I196" s="18">
        <v>42567</v>
      </c>
      <c r="J196" s="5" t="s">
        <v>5300</v>
      </c>
      <c r="K196" s="16" t="s">
        <v>5232</v>
      </c>
      <c r="L196" s="40" t="s">
        <v>5233</v>
      </c>
      <c r="M196" s="529" t="s">
        <v>5230</v>
      </c>
      <c r="N196" s="62"/>
      <c r="O196" s="62"/>
      <c r="P196" s="10"/>
      <c r="Q196" s="10"/>
      <c r="R196" s="13"/>
      <c r="S196" s="11"/>
      <c r="T196" s="11"/>
      <c r="U196" s="11"/>
      <c r="V196" s="11"/>
      <c r="W196" s="59"/>
      <c r="X196" s="59"/>
      <c r="Y196" s="59"/>
      <c r="Z196" s="59"/>
      <c r="AA196" s="59"/>
      <c r="AB196" s="59"/>
      <c r="AC196" s="138"/>
      <c r="AD196" s="138"/>
      <c r="AE196" s="138"/>
      <c r="AF196" s="231"/>
      <c r="AG196" s="231"/>
      <c r="AH196" s="231"/>
      <c r="AI196" s="232"/>
      <c r="AJ196" s="11"/>
      <c r="AK196" s="11"/>
      <c r="AL196" s="11"/>
      <c r="AM196" s="11"/>
      <c r="AN196" s="394"/>
    </row>
    <row r="197" spans="1:41" ht="12.75" hidden="1" customHeight="1" x14ac:dyDescent="0.15">
      <c r="A197"/>
      <c r="B197" s="48" t="s">
        <v>5355</v>
      </c>
      <c r="C197" s="9" t="s">
        <v>5357</v>
      </c>
      <c r="D197" s="485">
        <v>17</v>
      </c>
      <c r="E197" s="486" t="str">
        <f t="shared" si="6"/>
        <v>U 11 Dames</v>
      </c>
      <c r="F197" s="12" t="s">
        <v>5360</v>
      </c>
      <c r="G197" s="386" t="s">
        <v>5173</v>
      </c>
      <c r="H197" s="13">
        <v>2028</v>
      </c>
      <c r="I197" s="18">
        <v>42573</v>
      </c>
      <c r="J197" s="5" t="s">
        <v>5361</v>
      </c>
      <c r="K197" s="53" t="s">
        <v>5362</v>
      </c>
      <c r="L197" s="10" t="s">
        <v>5363</v>
      </c>
      <c r="M197" s="11" t="s">
        <v>5364</v>
      </c>
      <c r="N197" s="62"/>
      <c r="O197" s="62"/>
      <c r="P197" s="10"/>
      <c r="Q197" s="10"/>
      <c r="R197" s="13"/>
      <c r="S197" s="11"/>
      <c r="T197" s="11"/>
      <c r="U197" s="11"/>
      <c r="V197" s="11"/>
      <c r="W197" s="59"/>
      <c r="X197" s="59"/>
      <c r="Y197" s="59"/>
      <c r="Z197" s="59"/>
      <c r="AA197" s="59"/>
      <c r="AB197" s="59"/>
      <c r="AC197" s="138"/>
      <c r="AD197" s="138"/>
      <c r="AE197" s="138"/>
      <c r="AF197" s="231"/>
      <c r="AG197" s="231"/>
      <c r="AH197" s="231"/>
      <c r="AI197" s="232"/>
      <c r="AJ197" s="11"/>
      <c r="AK197" s="11"/>
      <c r="AL197" s="11"/>
      <c r="AM197" s="11"/>
      <c r="AN197" s="394"/>
    </row>
    <row r="198" spans="1:41" ht="12.75" customHeight="1" x14ac:dyDescent="0.15">
      <c r="A198" s="699"/>
      <c r="B198" s="48" t="s">
        <v>2904</v>
      </c>
      <c r="C198" s="9" t="s">
        <v>2905</v>
      </c>
      <c r="D198" s="485">
        <v>5</v>
      </c>
      <c r="E198" s="486" t="str">
        <f t="shared" si="6"/>
        <v>U 15 Hommes</v>
      </c>
      <c r="F198" s="12" t="s">
        <v>3353</v>
      </c>
      <c r="G198" s="369"/>
      <c r="H198" s="13">
        <v>2026</v>
      </c>
      <c r="I198" s="18">
        <v>40675</v>
      </c>
      <c r="J198" s="19" t="s">
        <v>2909</v>
      </c>
      <c r="K198" s="40"/>
      <c r="L198" s="10" t="s">
        <v>2912</v>
      </c>
      <c r="M198" s="47" t="s">
        <v>2913</v>
      </c>
      <c r="N198" s="62"/>
      <c r="O198" s="62"/>
      <c r="P198" s="11"/>
      <c r="Q198" s="10"/>
      <c r="R198" s="11"/>
      <c r="S198" s="11"/>
      <c r="T198" s="11"/>
      <c r="U198" s="11" t="s">
        <v>533</v>
      </c>
      <c r="V198" s="11"/>
      <c r="W198" s="69" t="s">
        <v>3163</v>
      </c>
      <c r="X198" s="59"/>
      <c r="Y198" s="59"/>
      <c r="Z198" s="59">
        <v>50</v>
      </c>
      <c r="AA198" s="59"/>
      <c r="AB198" s="59"/>
      <c r="AC198" s="138"/>
      <c r="AD198" s="138"/>
      <c r="AE198" s="138"/>
      <c r="AF198" s="231"/>
      <c r="AG198" s="231"/>
      <c r="AH198" s="231"/>
      <c r="AI198" s="232"/>
      <c r="AJ198" s="19"/>
      <c r="AK198" s="23"/>
      <c r="AL198" s="23"/>
      <c r="AM198" s="23"/>
      <c r="AN198" s="43"/>
    </row>
    <row r="199" spans="1:41" s="150" customFormat="1" ht="15" hidden="1" customHeight="1" x14ac:dyDescent="0.15">
      <c r="B199" s="48" t="s">
        <v>2363</v>
      </c>
      <c r="C199" s="9" t="s">
        <v>2365</v>
      </c>
      <c r="D199" s="485">
        <v>16</v>
      </c>
      <c r="E199" s="486" t="str">
        <f t="shared" si="6"/>
        <v>U15 Dames</v>
      </c>
      <c r="F199" s="12" t="s">
        <v>3036</v>
      </c>
      <c r="G199" s="369"/>
      <c r="H199" s="612">
        <v>2020</v>
      </c>
      <c r="I199" s="18">
        <v>40635</v>
      </c>
      <c r="J199" s="19" t="s">
        <v>2366</v>
      </c>
      <c r="K199" s="40" t="s">
        <v>252</v>
      </c>
      <c r="L199" s="10" t="s">
        <v>2367</v>
      </c>
      <c r="M199" s="25"/>
      <c r="N199" s="62"/>
      <c r="O199" s="62"/>
      <c r="P199" s="11"/>
      <c r="Q199" s="10"/>
      <c r="R199" s="11"/>
      <c r="S199" s="11"/>
      <c r="T199" s="11"/>
      <c r="U199" s="11" t="s">
        <v>209</v>
      </c>
      <c r="V199" s="11"/>
      <c r="W199" s="59" t="s">
        <v>315</v>
      </c>
      <c r="X199" s="59" t="s">
        <v>315</v>
      </c>
      <c r="Y199" s="59"/>
      <c r="Z199" s="59"/>
      <c r="AA199" s="59"/>
      <c r="AB199" s="59"/>
      <c r="AC199" s="138"/>
      <c r="AD199" s="138"/>
      <c r="AE199" s="138"/>
      <c r="AF199" s="231"/>
      <c r="AG199" s="231"/>
      <c r="AH199" s="231"/>
      <c r="AI199" s="232"/>
      <c r="AJ199" s="19"/>
      <c r="AK199" s="23" t="s">
        <v>1387</v>
      </c>
      <c r="AL199" s="23"/>
      <c r="AM199" s="23"/>
      <c r="AN199" s="43"/>
      <c r="AO199"/>
    </row>
    <row r="200" spans="1:41" ht="15" hidden="1" customHeight="1" x14ac:dyDescent="0.15">
      <c r="A200"/>
      <c r="B200" s="48" t="s">
        <v>1107</v>
      </c>
      <c r="C200" s="9" t="s">
        <v>4615</v>
      </c>
      <c r="D200" s="485">
        <v>21</v>
      </c>
      <c r="E200" s="486" t="str">
        <f t="shared" si="6"/>
        <v>U7 Mixte</v>
      </c>
      <c r="F200" s="12" t="s">
        <v>4675</v>
      </c>
      <c r="G200" s="369"/>
      <c r="H200" s="13">
        <v>2027</v>
      </c>
      <c r="I200" s="18">
        <v>44142</v>
      </c>
      <c r="J200" s="19" t="s">
        <v>4618</v>
      </c>
      <c r="K200" s="40"/>
      <c r="L200" s="20" t="s">
        <v>4619</v>
      </c>
      <c r="M200" s="47" t="s">
        <v>4620</v>
      </c>
      <c r="N200" s="62"/>
      <c r="O200" s="62"/>
      <c r="P200" s="11"/>
      <c r="Q200" s="10"/>
      <c r="R200" s="11"/>
      <c r="S200" s="11"/>
      <c r="T200" s="11"/>
      <c r="U200" s="11"/>
      <c r="V200" s="11"/>
      <c r="W200" s="59"/>
      <c r="X200" s="59"/>
      <c r="Y200" s="59"/>
      <c r="Z200" s="59"/>
      <c r="AA200" s="59"/>
      <c r="AB200" s="59"/>
      <c r="AC200" s="138"/>
      <c r="AD200" s="138"/>
      <c r="AE200" s="138"/>
      <c r="AF200" s="231"/>
      <c r="AG200" s="231"/>
      <c r="AH200" s="231"/>
      <c r="AI200" s="232"/>
      <c r="AJ200" s="19"/>
      <c r="AK200" s="23"/>
      <c r="AL200" s="23"/>
      <c r="AM200" s="23"/>
      <c r="AN200" s="43"/>
    </row>
    <row r="201" spans="1:41" ht="15" hidden="1" customHeight="1" x14ac:dyDescent="0.15">
      <c r="A201"/>
      <c r="B201" s="48" t="s">
        <v>1021</v>
      </c>
      <c r="C201" s="9" t="s">
        <v>1027</v>
      </c>
      <c r="D201" s="485">
        <v>9</v>
      </c>
      <c r="E201" s="486" t="str">
        <f t="shared" si="6"/>
        <v>Vétérans - Hommes</v>
      </c>
      <c r="F201" s="12" t="s">
        <v>3038</v>
      </c>
      <c r="G201" s="371"/>
      <c r="H201" s="71">
        <v>2030</v>
      </c>
      <c r="I201" s="18">
        <v>31091</v>
      </c>
      <c r="J201" s="19" t="s">
        <v>5119</v>
      </c>
      <c r="K201" s="40"/>
      <c r="L201" s="27" t="s">
        <v>2375</v>
      </c>
      <c r="M201" s="54" t="s">
        <v>3660</v>
      </c>
      <c r="N201" s="61" t="s">
        <v>3972</v>
      </c>
      <c r="O201" s="61"/>
      <c r="P201" s="24"/>
      <c r="Q201" s="10"/>
      <c r="R201" s="11"/>
      <c r="S201" s="11"/>
      <c r="T201" s="11"/>
      <c r="U201" s="11" t="s">
        <v>348</v>
      </c>
      <c r="V201" s="11"/>
      <c r="W201" s="59" t="s">
        <v>2813</v>
      </c>
      <c r="X201" s="59" t="s">
        <v>292</v>
      </c>
      <c r="Y201" s="59" t="s">
        <v>1168</v>
      </c>
      <c r="Z201" s="59">
        <v>200</v>
      </c>
      <c r="AA201" s="59"/>
      <c r="AB201" s="59"/>
      <c r="AC201" s="138"/>
      <c r="AD201" s="138"/>
      <c r="AE201" s="138"/>
      <c r="AF201" s="231"/>
      <c r="AG201" s="231"/>
      <c r="AH201" s="231"/>
      <c r="AI201" s="232"/>
      <c r="AJ201" s="19"/>
      <c r="AK201" s="23" t="s">
        <v>1537</v>
      </c>
      <c r="AL201" s="23"/>
      <c r="AM201" s="23"/>
      <c r="AN201" s="43"/>
    </row>
    <row r="202" spans="1:41" ht="15" hidden="1" customHeight="1" x14ac:dyDescent="0.15">
      <c r="A202"/>
      <c r="B202" s="48" t="s">
        <v>1021</v>
      </c>
      <c r="C202" s="9" t="s">
        <v>3178</v>
      </c>
      <c r="D202" s="485">
        <v>8</v>
      </c>
      <c r="E202" s="486" t="str">
        <f t="shared" si="6"/>
        <v xml:space="preserve">U 9 Hommes </v>
      </c>
      <c r="F202" s="12" t="s">
        <v>3953</v>
      </c>
      <c r="G202" s="369"/>
      <c r="H202" s="13">
        <v>2029</v>
      </c>
      <c r="I202" s="18">
        <v>43048</v>
      </c>
      <c r="J202" s="19" t="s">
        <v>3863</v>
      </c>
      <c r="K202" s="27" t="s">
        <v>3864</v>
      </c>
      <c r="L202" s="64" t="s">
        <v>4160</v>
      </c>
      <c r="M202" s="54" t="s">
        <v>3660</v>
      </c>
      <c r="N202" s="62"/>
      <c r="O202" s="62"/>
      <c r="P202" s="11"/>
      <c r="Q202" s="10"/>
      <c r="R202" s="11"/>
      <c r="S202" s="11"/>
      <c r="T202" s="11"/>
      <c r="U202" s="11"/>
      <c r="V202" s="11"/>
      <c r="W202" s="59"/>
      <c r="X202" s="59"/>
      <c r="Y202" s="59"/>
      <c r="Z202" s="59"/>
      <c r="AA202" s="59"/>
      <c r="AB202" s="59"/>
      <c r="AC202" s="138"/>
      <c r="AD202" s="138"/>
      <c r="AE202" s="138"/>
      <c r="AF202" s="231"/>
      <c r="AG202" s="231"/>
      <c r="AH202" s="231"/>
      <c r="AI202" s="232" t="s">
        <v>3663</v>
      </c>
      <c r="AJ202" s="19"/>
      <c r="AK202" s="23"/>
      <c r="AL202" s="23"/>
      <c r="AM202" s="23"/>
      <c r="AN202" s="43"/>
    </row>
    <row r="203" spans="1:41" ht="15" hidden="1" customHeight="1" x14ac:dyDescent="0.15">
      <c r="A203"/>
      <c r="B203" s="48" t="s">
        <v>1021</v>
      </c>
      <c r="C203" s="9" t="s">
        <v>4948</v>
      </c>
      <c r="D203" s="485">
        <v>21</v>
      </c>
      <c r="E203" s="486" t="str">
        <f t="shared" si="6"/>
        <v>U7 Mixte</v>
      </c>
      <c r="F203" s="12" t="s">
        <v>5287</v>
      </c>
      <c r="G203" s="386" t="s">
        <v>5173</v>
      </c>
      <c r="H203" s="13">
        <v>2029</v>
      </c>
      <c r="I203" s="18">
        <v>44750</v>
      </c>
      <c r="J203" s="5" t="s">
        <v>5272</v>
      </c>
      <c r="K203" s="27" t="s">
        <v>3864</v>
      </c>
      <c r="L203" s="64" t="s">
        <v>4160</v>
      </c>
      <c r="M203" s="54" t="s">
        <v>3660</v>
      </c>
      <c r="N203" s="62"/>
      <c r="O203" s="62"/>
      <c r="P203" s="10"/>
      <c r="Q203" s="10"/>
      <c r="R203" s="13"/>
      <c r="S203" s="11"/>
      <c r="T203" s="11"/>
      <c r="U203" s="11"/>
      <c r="V203" s="11"/>
      <c r="W203" s="59"/>
      <c r="X203" s="59"/>
      <c r="Y203" s="59"/>
      <c r="Z203" s="59"/>
      <c r="AA203" s="59"/>
      <c r="AB203" s="59"/>
      <c r="AC203" s="138"/>
      <c r="AD203" s="138"/>
      <c r="AE203" s="138"/>
      <c r="AF203" s="231"/>
      <c r="AG203" s="231"/>
      <c r="AH203" s="231"/>
      <c r="AI203" s="232"/>
      <c r="AJ203" s="11"/>
      <c r="AK203" s="11"/>
      <c r="AL203" s="11"/>
      <c r="AM203" s="11"/>
      <c r="AN203" s="394"/>
    </row>
    <row r="204" spans="1:41" ht="15" hidden="1" customHeight="1" x14ac:dyDescent="0.15">
      <c r="A204"/>
      <c r="B204" s="48" t="s">
        <v>1028</v>
      </c>
      <c r="C204" s="9" t="s">
        <v>1032</v>
      </c>
      <c r="D204" s="485">
        <v>12</v>
      </c>
      <c r="E204" s="486" t="str">
        <f t="shared" si="6"/>
        <v>Dames</v>
      </c>
      <c r="F204" s="12" t="s">
        <v>3040</v>
      </c>
      <c r="G204" s="376"/>
      <c r="H204" s="14">
        <v>2030</v>
      </c>
      <c r="I204" s="18">
        <v>36668</v>
      </c>
      <c r="J204" s="19" t="s">
        <v>2377</v>
      </c>
      <c r="K204" s="40"/>
      <c r="L204" s="27" t="s">
        <v>2378</v>
      </c>
      <c r="M204" s="29" t="s">
        <v>2379</v>
      </c>
      <c r="N204" s="61"/>
      <c r="O204" s="61"/>
      <c r="P204" s="24"/>
      <c r="Q204" s="10"/>
      <c r="R204" s="11"/>
      <c r="S204" s="11"/>
      <c r="T204" s="11"/>
      <c r="U204" s="11" t="s">
        <v>209</v>
      </c>
      <c r="V204" s="11"/>
      <c r="W204" s="59" t="s">
        <v>2813</v>
      </c>
      <c r="X204" s="59" t="s">
        <v>3151</v>
      </c>
      <c r="Y204" s="59"/>
      <c r="Z204" s="59">
        <v>50</v>
      </c>
      <c r="AA204" s="59"/>
      <c r="AB204" s="59"/>
      <c r="AC204" s="138"/>
      <c r="AD204" s="138"/>
      <c r="AE204" s="138"/>
      <c r="AF204" s="231"/>
      <c r="AG204" s="231"/>
      <c r="AH204" s="231"/>
      <c r="AI204" s="232"/>
      <c r="AJ204" s="19"/>
      <c r="AK204" s="23" t="s">
        <v>349</v>
      </c>
      <c r="AL204" s="23"/>
      <c r="AM204" s="23"/>
      <c r="AN204" s="43"/>
    </row>
    <row r="205" spans="1:41" ht="15" hidden="1" customHeight="1" x14ac:dyDescent="0.15">
      <c r="A205"/>
      <c r="B205" s="48" t="s">
        <v>5400</v>
      </c>
      <c r="C205" s="9" t="s">
        <v>5401</v>
      </c>
      <c r="D205" s="485">
        <v>8</v>
      </c>
      <c r="E205" s="486" t="str">
        <f t="shared" si="6"/>
        <v xml:space="preserve">U 9 Hommes </v>
      </c>
      <c r="F205" s="12" t="s">
        <v>5410</v>
      </c>
      <c r="G205" s="386" t="s">
        <v>5173</v>
      </c>
      <c r="H205" s="13">
        <v>2030</v>
      </c>
      <c r="I205" s="18">
        <v>43223</v>
      </c>
      <c r="J205" s="5" t="s">
        <v>5404</v>
      </c>
      <c r="K205" s="53"/>
      <c r="L205" s="20">
        <v>661611520</v>
      </c>
      <c r="M205" s="68" t="s">
        <v>5405</v>
      </c>
      <c r="N205" s="62"/>
      <c r="O205" s="62"/>
      <c r="P205" s="10"/>
      <c r="Q205" s="10"/>
      <c r="R205" s="13"/>
      <c r="S205" s="11"/>
      <c r="T205" s="11"/>
      <c r="U205" s="11"/>
      <c r="V205" s="11"/>
      <c r="W205" s="59"/>
      <c r="X205" s="59"/>
      <c r="Y205" s="59"/>
      <c r="Z205" s="59"/>
      <c r="AA205" s="59"/>
      <c r="AB205" s="59"/>
      <c r="AC205" s="138"/>
      <c r="AD205" s="138"/>
      <c r="AE205" s="138"/>
      <c r="AF205" s="231"/>
      <c r="AG205" s="231"/>
      <c r="AH205" s="231"/>
      <c r="AI205" s="232"/>
      <c r="AJ205" s="11"/>
      <c r="AK205" s="11"/>
      <c r="AL205" s="11"/>
      <c r="AM205" s="11"/>
      <c r="AN205" s="394"/>
    </row>
    <row r="206" spans="1:41" ht="15" hidden="1" customHeight="1" x14ac:dyDescent="0.15">
      <c r="A206"/>
      <c r="B206" s="48" t="s">
        <v>3198</v>
      </c>
      <c r="C206" s="9" t="s">
        <v>3200</v>
      </c>
      <c r="D206" s="485">
        <v>15</v>
      </c>
      <c r="E206" s="486" t="str">
        <f t="shared" si="6"/>
        <v>U 13 Dames</v>
      </c>
      <c r="F206" s="12" t="s">
        <v>3220</v>
      </c>
      <c r="G206" s="369"/>
      <c r="H206" s="612">
        <v>2023</v>
      </c>
      <c r="I206" s="18">
        <v>41550</v>
      </c>
      <c r="J206" s="19" t="s">
        <v>3205</v>
      </c>
      <c r="K206" s="40" t="s">
        <v>3208</v>
      </c>
      <c r="L206" s="10" t="s">
        <v>3210</v>
      </c>
      <c r="M206" s="47" t="s">
        <v>3209</v>
      </c>
      <c r="N206" s="62"/>
      <c r="O206" s="62"/>
      <c r="P206" s="11"/>
      <c r="Q206" s="10"/>
      <c r="R206" s="11"/>
      <c r="S206" s="11"/>
      <c r="T206" s="11"/>
      <c r="U206" s="11"/>
      <c r="V206" s="11"/>
      <c r="W206" s="59"/>
      <c r="X206" s="59"/>
      <c r="Y206" s="59"/>
      <c r="Z206" s="67" t="s">
        <v>347</v>
      </c>
      <c r="AA206" s="59"/>
      <c r="AB206" s="59"/>
      <c r="AC206" s="138"/>
      <c r="AD206" s="138"/>
      <c r="AE206" s="138"/>
      <c r="AF206" s="231"/>
      <c r="AG206" s="231"/>
      <c r="AH206" s="231"/>
      <c r="AI206" s="232"/>
      <c r="AJ206" s="19"/>
      <c r="AK206" s="23"/>
      <c r="AL206" s="23"/>
      <c r="AM206" s="23"/>
      <c r="AN206" s="43"/>
      <c r="AO206" s="111"/>
    </row>
    <row r="207" spans="1:41" ht="15" hidden="1" customHeight="1" x14ac:dyDescent="0.15">
      <c r="A207"/>
      <c r="B207" s="48" t="s">
        <v>3198</v>
      </c>
      <c r="C207" s="9" t="s">
        <v>271</v>
      </c>
      <c r="D207" s="485">
        <v>7</v>
      </c>
      <c r="E207" s="486" t="str">
        <f t="shared" si="6"/>
        <v>U 11 Hommes</v>
      </c>
      <c r="F207" s="12"/>
      <c r="G207" s="369" t="s">
        <v>3204</v>
      </c>
      <c r="H207" s="612">
        <v>2023</v>
      </c>
      <c r="I207" s="18">
        <v>42383</v>
      </c>
      <c r="J207" s="19" t="s">
        <v>3206</v>
      </c>
      <c r="K207" s="40" t="s">
        <v>3208</v>
      </c>
      <c r="L207" s="10" t="s">
        <v>3210</v>
      </c>
      <c r="M207" s="47" t="s">
        <v>3209</v>
      </c>
      <c r="N207" s="62"/>
      <c r="O207" s="62"/>
      <c r="P207" s="11"/>
      <c r="Q207" s="10"/>
      <c r="R207" s="11"/>
      <c r="S207" s="11"/>
      <c r="T207" s="11"/>
      <c r="U207" s="11"/>
      <c r="V207" s="11"/>
      <c r="W207" s="59"/>
      <c r="X207" s="59"/>
      <c r="Y207" s="59"/>
      <c r="Z207" s="67" t="s">
        <v>347</v>
      </c>
      <c r="AA207" s="59"/>
      <c r="AB207" s="59"/>
      <c r="AC207" s="138"/>
      <c r="AD207" s="138"/>
      <c r="AE207" s="138"/>
      <c r="AF207" s="231"/>
      <c r="AG207" s="231"/>
      <c r="AH207" s="231"/>
      <c r="AI207" s="232"/>
      <c r="AJ207" s="19"/>
      <c r="AK207" s="23"/>
      <c r="AL207" s="23"/>
      <c r="AM207" s="23"/>
      <c r="AN207" s="43"/>
    </row>
    <row r="208" spans="1:41" ht="15" hidden="1" customHeight="1" x14ac:dyDescent="0.15">
      <c r="A208"/>
      <c r="B208" s="452" t="s">
        <v>2397</v>
      </c>
      <c r="C208" s="453" t="s">
        <v>2398</v>
      </c>
      <c r="D208" s="489">
        <v>9</v>
      </c>
      <c r="E208" s="490" t="s">
        <v>101</v>
      </c>
      <c r="F208" s="217" t="s">
        <v>2805</v>
      </c>
      <c r="G208" s="460"/>
      <c r="H208" s="240">
        <v>2027</v>
      </c>
      <c r="I208" s="455">
        <v>31848</v>
      </c>
      <c r="J208" s="456" t="s">
        <v>2505</v>
      </c>
      <c r="K208" s="454"/>
      <c r="L208" s="226"/>
      <c r="M208" s="68" t="s">
        <v>5088</v>
      </c>
      <c r="N208" s="240"/>
      <c r="O208" s="240"/>
      <c r="P208" s="454"/>
      <c r="Q208" s="454"/>
      <c r="R208" s="240"/>
      <c r="S208" s="16"/>
      <c r="T208" s="16"/>
      <c r="U208" s="16"/>
      <c r="V208" s="16"/>
      <c r="W208" s="461"/>
      <c r="X208" s="461"/>
      <c r="Y208" s="461"/>
      <c r="Z208" s="461"/>
      <c r="AA208" s="461"/>
      <c r="AB208" s="461"/>
      <c r="AC208" s="462"/>
      <c r="AD208" s="462"/>
      <c r="AE208" s="462"/>
      <c r="AF208" s="463"/>
      <c r="AG208" s="463"/>
      <c r="AH208" s="463"/>
      <c r="AI208" s="464"/>
      <c r="AJ208" s="16"/>
      <c r="AK208" s="16"/>
      <c r="AL208" s="16"/>
      <c r="AM208" s="16"/>
      <c r="AN208" s="465"/>
      <c r="AO208" s="457"/>
    </row>
    <row r="209" spans="1:40" ht="15" customHeight="1" x14ac:dyDescent="0.15">
      <c r="B209" s="48" t="s">
        <v>5036</v>
      </c>
      <c r="C209" s="9" t="s">
        <v>5037</v>
      </c>
      <c r="D209" s="485">
        <v>12</v>
      </c>
      <c r="E209" s="486" t="str">
        <f t="shared" ref="E209:E237" si="7">VLOOKUP(D209,CAT_JOUEUR,2,FALSE)</f>
        <v>Dames</v>
      </c>
      <c r="F209" s="12" t="s">
        <v>5054</v>
      </c>
      <c r="G209" s="369"/>
      <c r="H209" s="13">
        <v>2026</v>
      </c>
      <c r="I209" s="18">
        <v>35396</v>
      </c>
      <c r="J209" s="19" t="s">
        <v>5041</v>
      </c>
      <c r="K209" s="40"/>
      <c r="L209" s="20">
        <v>621566421</v>
      </c>
      <c r="M209" s="47" t="s">
        <v>5042</v>
      </c>
      <c r="N209" s="62"/>
      <c r="O209" s="62"/>
      <c r="P209" s="11"/>
      <c r="Q209" s="10"/>
      <c r="R209" s="13"/>
      <c r="S209" s="11"/>
      <c r="T209" s="11"/>
      <c r="U209" s="11"/>
      <c r="V209" s="11"/>
      <c r="W209" s="59"/>
      <c r="X209" s="59"/>
      <c r="Y209" s="59"/>
      <c r="Z209" s="59"/>
      <c r="AA209" s="59"/>
      <c r="AB209" s="59"/>
      <c r="AC209" s="138"/>
      <c r="AD209" s="138"/>
      <c r="AE209" s="138"/>
      <c r="AF209" s="231"/>
      <c r="AG209" s="231"/>
      <c r="AH209" s="231"/>
      <c r="AI209" s="232"/>
      <c r="AJ209" s="19"/>
      <c r="AK209" s="23"/>
      <c r="AL209" s="23"/>
      <c r="AM209" s="23"/>
      <c r="AN209" s="43"/>
    </row>
    <row r="210" spans="1:40" ht="15" hidden="1" customHeight="1" x14ac:dyDescent="0.15">
      <c r="A210"/>
      <c r="B210" s="48" t="s">
        <v>5273</v>
      </c>
      <c r="C210" s="9" t="s">
        <v>5274</v>
      </c>
      <c r="D210" s="485">
        <v>12</v>
      </c>
      <c r="E210" s="486" t="str">
        <f t="shared" si="7"/>
        <v>Dames</v>
      </c>
      <c r="F210" s="12" t="s">
        <v>5286</v>
      </c>
      <c r="G210" s="386" t="s">
        <v>5173</v>
      </c>
      <c r="H210" s="13">
        <v>2034</v>
      </c>
      <c r="I210" s="18">
        <v>34469</v>
      </c>
      <c r="J210" s="5" t="s">
        <v>5276</v>
      </c>
      <c r="K210" s="27" t="s">
        <v>5277</v>
      </c>
      <c r="L210" s="20">
        <v>621223235</v>
      </c>
      <c r="M210" s="11" t="s">
        <v>5278</v>
      </c>
      <c r="N210" s="62"/>
      <c r="O210" s="62"/>
      <c r="P210" s="10"/>
      <c r="Q210" s="10"/>
      <c r="R210" s="13"/>
      <c r="S210" s="11"/>
      <c r="T210" s="11"/>
      <c r="U210" s="11"/>
      <c r="V210" s="11"/>
      <c r="W210" s="59"/>
      <c r="X210" s="59"/>
      <c r="Y210" s="59"/>
      <c r="Z210" s="59"/>
      <c r="AA210" s="59"/>
      <c r="AB210" s="59"/>
      <c r="AC210" s="138"/>
      <c r="AD210" s="138"/>
      <c r="AE210" s="138"/>
      <c r="AF210" s="231"/>
      <c r="AG210" s="231"/>
      <c r="AH210" s="231"/>
      <c r="AI210" s="232"/>
      <c r="AJ210" s="11"/>
      <c r="AK210" s="11"/>
      <c r="AL210" s="11"/>
      <c r="AM210" s="11"/>
      <c r="AN210" s="394"/>
    </row>
    <row r="211" spans="1:40" ht="15" hidden="1" customHeight="1" x14ac:dyDescent="0.15">
      <c r="A211"/>
      <c r="B211" s="48" t="s">
        <v>5304</v>
      </c>
      <c r="C211" s="9" t="s">
        <v>845</v>
      </c>
      <c r="D211" s="485">
        <v>21</v>
      </c>
      <c r="E211" s="486" t="str">
        <f t="shared" si="7"/>
        <v>U7 Mixte</v>
      </c>
      <c r="F211" s="217" t="s">
        <v>2805</v>
      </c>
      <c r="G211" s="572" t="s">
        <v>5255</v>
      </c>
      <c r="H211" s="13">
        <v>2029</v>
      </c>
      <c r="I211" s="18">
        <v>44817</v>
      </c>
      <c r="J211" s="5" t="s">
        <v>5307</v>
      </c>
      <c r="K211" s="573"/>
      <c r="L211" s="226"/>
      <c r="M211" s="574" t="s">
        <v>5308</v>
      </c>
      <c r="N211" s="62"/>
      <c r="O211" s="62"/>
      <c r="P211" s="10"/>
      <c r="Q211" s="10"/>
      <c r="R211" s="13"/>
      <c r="S211" s="11"/>
      <c r="T211" s="11"/>
      <c r="U211" s="11"/>
      <c r="V211" s="11"/>
      <c r="W211" s="59"/>
      <c r="X211" s="59"/>
      <c r="Y211" s="59"/>
      <c r="Z211" s="59"/>
      <c r="AA211" s="59"/>
      <c r="AB211" s="59"/>
      <c r="AC211" s="138"/>
      <c r="AD211" s="138"/>
      <c r="AE211" s="138"/>
      <c r="AF211" s="231"/>
      <c r="AG211" s="231"/>
      <c r="AH211" s="231"/>
      <c r="AI211" s="232"/>
      <c r="AJ211" s="11"/>
      <c r="AK211" s="11"/>
      <c r="AL211" s="11"/>
      <c r="AM211" s="11"/>
      <c r="AN211" s="394"/>
    </row>
    <row r="212" spans="1:40" ht="15" hidden="1" customHeight="1" x14ac:dyDescent="0.15">
      <c r="A212"/>
      <c r="B212" s="48" t="s">
        <v>4197</v>
      </c>
      <c r="C212" s="9" t="s">
        <v>4198</v>
      </c>
      <c r="D212" s="485">
        <v>8</v>
      </c>
      <c r="E212" s="486" t="str">
        <f t="shared" si="7"/>
        <v xml:space="preserve">U 9 Hommes </v>
      </c>
      <c r="F212" s="619" t="s">
        <v>4417</v>
      </c>
      <c r="G212" s="685"/>
      <c r="H212" s="615">
        <v>2025</v>
      </c>
      <c r="I212" s="18">
        <v>43338</v>
      </c>
      <c r="J212" s="19" t="s">
        <v>4202</v>
      </c>
      <c r="K212" s="40"/>
      <c r="L212" s="20" t="s">
        <v>4203</v>
      </c>
      <c r="M212" s="47" t="s">
        <v>4204</v>
      </c>
      <c r="N212" s="62"/>
      <c r="O212" s="62"/>
      <c r="P212" s="11"/>
      <c r="Q212" s="10"/>
      <c r="R212" s="11"/>
      <c r="S212" s="623"/>
      <c r="T212" s="11"/>
      <c r="U212" s="11"/>
      <c r="V212" s="624"/>
      <c r="W212" s="625"/>
      <c r="X212" s="59"/>
      <c r="Y212" s="59"/>
      <c r="Z212" s="626"/>
      <c r="AA212" s="625"/>
      <c r="AB212" s="59"/>
      <c r="AC212" s="627"/>
      <c r="AD212" s="628"/>
      <c r="AE212" s="138"/>
      <c r="AF212" s="231"/>
      <c r="AG212" s="231"/>
      <c r="AH212" s="231"/>
      <c r="AI212" s="232"/>
      <c r="AJ212" s="19"/>
      <c r="AK212" s="23"/>
      <c r="AL212" s="23"/>
      <c r="AM212" s="686"/>
      <c r="AN212" s="687"/>
    </row>
    <row r="213" spans="1:40" ht="15" hidden="1" customHeight="1" x14ac:dyDescent="0.15">
      <c r="A213"/>
      <c r="B213" s="657" t="s">
        <v>1068</v>
      </c>
      <c r="C213" s="659" t="s">
        <v>1069</v>
      </c>
      <c r="D213" s="485">
        <v>3</v>
      </c>
      <c r="E213" s="491" t="str">
        <f t="shared" si="7"/>
        <v>U 21 Hommes</v>
      </c>
      <c r="F213" s="422" t="s">
        <v>3049</v>
      </c>
      <c r="G213" s="369"/>
      <c r="H213" s="428">
        <v>2027</v>
      </c>
      <c r="I213" s="429">
        <v>39111</v>
      </c>
      <c r="J213" s="433" t="s">
        <v>2441</v>
      </c>
      <c r="K213" s="435"/>
      <c r="L213" s="440" t="s">
        <v>3499</v>
      </c>
      <c r="M213" s="450" t="s">
        <v>1038</v>
      </c>
      <c r="N213" s="413"/>
      <c r="O213" s="413"/>
      <c r="P213" s="400"/>
      <c r="Q213" s="412"/>
      <c r="R213" s="398"/>
      <c r="S213" s="72"/>
      <c r="T213" s="398"/>
      <c r="U213" s="400" t="s">
        <v>209</v>
      </c>
      <c r="V213" s="400"/>
      <c r="W213" s="404" t="s">
        <v>2813</v>
      </c>
      <c r="X213" s="404" t="s">
        <v>292</v>
      </c>
      <c r="Y213" s="404"/>
      <c r="Z213" s="404">
        <v>100</v>
      </c>
      <c r="AA213" s="404"/>
      <c r="AB213" s="404"/>
      <c r="AC213" s="403"/>
      <c r="AD213" s="403"/>
      <c r="AE213" s="403"/>
      <c r="AF213" s="402"/>
      <c r="AG213" s="402"/>
      <c r="AH213" s="402"/>
      <c r="AI213" s="401"/>
      <c r="AJ213" s="437"/>
      <c r="AK213" s="438" t="s">
        <v>216</v>
      </c>
      <c r="AL213" s="438"/>
      <c r="AM213" s="438"/>
      <c r="AN213" s="692"/>
    </row>
    <row r="214" spans="1:40" ht="15" customHeight="1" x14ac:dyDescent="0.15">
      <c r="A214" s="702"/>
      <c r="B214" s="419" t="s">
        <v>2853</v>
      </c>
      <c r="C214" s="405" t="s">
        <v>871</v>
      </c>
      <c r="D214" s="492">
        <v>1</v>
      </c>
      <c r="E214" s="493" t="str">
        <f t="shared" si="7"/>
        <v>Officiel H</v>
      </c>
      <c r="F214" s="423" t="s">
        <v>4792</v>
      </c>
      <c r="G214" s="369"/>
      <c r="H214" s="428">
        <v>2026</v>
      </c>
      <c r="I214" s="439">
        <v>27910</v>
      </c>
      <c r="J214" s="433" t="s">
        <v>4467</v>
      </c>
      <c r="K214" s="435"/>
      <c r="L214" s="440">
        <v>691878372</v>
      </c>
      <c r="M214" s="436" t="s">
        <v>2856</v>
      </c>
      <c r="N214" s="413"/>
      <c r="O214" s="413"/>
      <c r="P214" s="400"/>
      <c r="Q214" s="412" t="s">
        <v>4413</v>
      </c>
      <c r="R214" s="398"/>
      <c r="S214" s="72"/>
      <c r="T214" s="398"/>
      <c r="U214" s="400" t="s">
        <v>533</v>
      </c>
      <c r="V214" s="72"/>
      <c r="W214" s="468" t="s">
        <v>3163</v>
      </c>
      <c r="X214" s="404"/>
      <c r="Y214" s="404"/>
      <c r="Z214" s="404" t="s">
        <v>988</v>
      </c>
      <c r="AA214" s="404"/>
      <c r="AB214" s="404"/>
      <c r="AC214" s="403"/>
      <c r="AD214" s="403"/>
      <c r="AE214" s="403"/>
      <c r="AF214" s="402"/>
      <c r="AG214" s="402"/>
      <c r="AH214" s="402"/>
      <c r="AI214" s="401"/>
      <c r="AJ214" s="437"/>
      <c r="AK214" s="438"/>
      <c r="AL214" s="438"/>
      <c r="AM214" s="444"/>
      <c r="AN214" s="445"/>
    </row>
    <row r="215" spans="1:40" ht="15" hidden="1" customHeight="1" x14ac:dyDescent="0.15">
      <c r="A215"/>
      <c r="B215" s="419" t="s">
        <v>2853</v>
      </c>
      <c r="C215" s="405" t="s">
        <v>2268</v>
      </c>
      <c r="D215" s="492">
        <v>8</v>
      </c>
      <c r="E215" s="493" t="str">
        <f t="shared" si="7"/>
        <v xml:space="preserve">U 9 Hommes </v>
      </c>
      <c r="F215" s="423" t="s">
        <v>3901</v>
      </c>
      <c r="G215" s="369"/>
      <c r="H215" s="617">
        <v>2025</v>
      </c>
      <c r="I215" s="439">
        <v>43216</v>
      </c>
      <c r="J215" s="433" t="s">
        <v>3839</v>
      </c>
      <c r="K215" s="435" t="s">
        <v>3836</v>
      </c>
      <c r="L215" s="430" t="s">
        <v>3837</v>
      </c>
      <c r="M215" s="436" t="s">
        <v>3838</v>
      </c>
      <c r="N215" s="413"/>
      <c r="O215" s="413"/>
      <c r="P215" s="400"/>
      <c r="Q215" s="412"/>
      <c r="R215" s="398"/>
      <c r="S215" s="72"/>
      <c r="T215" s="398"/>
      <c r="U215" s="400"/>
      <c r="V215" s="72"/>
      <c r="W215" s="404"/>
      <c r="X215" s="404"/>
      <c r="Y215" s="404"/>
      <c r="Z215" s="404"/>
      <c r="AA215" s="404"/>
      <c r="AB215" s="404"/>
      <c r="AC215" s="403"/>
      <c r="AD215" s="403"/>
      <c r="AE215" s="403"/>
      <c r="AF215" s="402"/>
      <c r="AG215" s="402"/>
      <c r="AH215" s="402"/>
      <c r="AI215" s="401" t="s">
        <v>3663</v>
      </c>
      <c r="AJ215" s="437"/>
      <c r="AK215" s="438"/>
      <c r="AL215" s="438"/>
      <c r="AM215" s="444"/>
      <c r="AN215" s="445"/>
    </row>
    <row r="216" spans="1:40" ht="15" hidden="1" customHeight="1" x14ac:dyDescent="0.15">
      <c r="A216"/>
      <c r="B216" s="419" t="s">
        <v>3377</v>
      </c>
      <c r="C216" s="405" t="s">
        <v>3481</v>
      </c>
      <c r="D216" s="485">
        <v>8</v>
      </c>
      <c r="E216" s="493" t="str">
        <f t="shared" si="7"/>
        <v xml:space="preserve">U 9 Hommes </v>
      </c>
      <c r="F216" s="423" t="s">
        <v>3629</v>
      </c>
      <c r="G216" s="448"/>
      <c r="H216" s="612">
        <v>2023</v>
      </c>
      <c r="I216" s="18">
        <v>42383</v>
      </c>
      <c r="J216" s="19" t="s">
        <v>3485</v>
      </c>
      <c r="K216" s="435" t="s">
        <v>3487</v>
      </c>
      <c r="L216" s="430" t="s">
        <v>3489</v>
      </c>
      <c r="M216" s="436" t="s">
        <v>3491</v>
      </c>
      <c r="N216" s="413"/>
      <c r="O216" s="413"/>
      <c r="P216" s="400"/>
      <c r="Q216" s="412"/>
      <c r="R216" s="398"/>
      <c r="S216" s="72"/>
      <c r="T216" s="398"/>
      <c r="U216" s="400"/>
      <c r="V216" s="72"/>
      <c r="W216" s="404"/>
      <c r="X216" s="404"/>
      <c r="Y216" s="404"/>
      <c r="Z216" s="404"/>
      <c r="AA216" s="404"/>
      <c r="AB216" s="404"/>
      <c r="AC216" s="403"/>
      <c r="AD216" s="403"/>
      <c r="AE216" s="403"/>
      <c r="AF216" s="402"/>
      <c r="AG216" s="402"/>
      <c r="AH216" s="402"/>
      <c r="AI216" s="401"/>
      <c r="AJ216" s="437"/>
      <c r="AK216" s="438"/>
      <c r="AL216" s="438"/>
      <c r="AM216" s="444"/>
      <c r="AN216" s="445"/>
    </row>
    <row r="217" spans="1:40" ht="15" hidden="1" customHeight="1" x14ac:dyDescent="0.15">
      <c r="A217"/>
      <c r="B217" s="419" t="s">
        <v>3377</v>
      </c>
      <c r="C217" s="405" t="s">
        <v>3482</v>
      </c>
      <c r="D217" s="492">
        <v>5</v>
      </c>
      <c r="E217" s="493" t="str">
        <f t="shared" si="7"/>
        <v>U 15 Hommes</v>
      </c>
      <c r="F217" s="423" t="s">
        <v>3630</v>
      </c>
      <c r="G217" s="448"/>
      <c r="H217" s="693">
        <v>2024</v>
      </c>
      <c r="I217" s="439">
        <v>41098</v>
      </c>
      <c r="J217" s="433" t="s">
        <v>3486</v>
      </c>
      <c r="K217" s="435" t="s">
        <v>3487</v>
      </c>
      <c r="L217" s="430" t="s">
        <v>3489</v>
      </c>
      <c r="M217" s="436" t="s">
        <v>3491</v>
      </c>
      <c r="N217" s="413"/>
      <c r="O217" s="413"/>
      <c r="P217" s="400"/>
      <c r="Q217" s="412"/>
      <c r="R217" s="398"/>
      <c r="S217" s="72"/>
      <c r="T217" s="398"/>
      <c r="U217" s="400"/>
      <c r="V217" s="72"/>
      <c r="W217" s="404"/>
      <c r="X217" s="404"/>
      <c r="Y217" s="404"/>
      <c r="Z217" s="404"/>
      <c r="AA217" s="404"/>
      <c r="AB217" s="404"/>
      <c r="AC217" s="403"/>
      <c r="AD217" s="403"/>
      <c r="AE217" s="403"/>
      <c r="AF217" s="402"/>
      <c r="AG217" s="402"/>
      <c r="AH217" s="402"/>
      <c r="AI217" s="401"/>
      <c r="AJ217" s="437"/>
      <c r="AK217" s="438"/>
      <c r="AL217" s="438"/>
      <c r="AM217" s="444"/>
      <c r="AN217" s="445"/>
    </row>
    <row r="218" spans="1:40" ht="15" hidden="1" customHeight="1" x14ac:dyDescent="0.15">
      <c r="A218"/>
      <c r="B218" s="419" t="s">
        <v>5424</v>
      </c>
      <c r="C218" s="405" t="s">
        <v>5425</v>
      </c>
      <c r="D218" s="492">
        <v>6</v>
      </c>
      <c r="E218" s="493" t="str">
        <f t="shared" si="7"/>
        <v>U 13 Hommes</v>
      </c>
      <c r="F218" s="423" t="s">
        <v>5466</v>
      </c>
      <c r="G218" s="425" t="s">
        <v>5173</v>
      </c>
      <c r="H218" s="428">
        <v>2027</v>
      </c>
      <c r="I218" s="439">
        <v>42313</v>
      </c>
      <c r="J218" s="416" t="s">
        <v>5430</v>
      </c>
      <c r="K218" s="414"/>
      <c r="L218" s="440">
        <v>691980674</v>
      </c>
      <c r="M218" s="532" t="s">
        <v>5431</v>
      </c>
      <c r="N218" s="413"/>
      <c r="O218" s="413"/>
      <c r="P218" s="412"/>
      <c r="Q218" s="412"/>
      <c r="R218" s="399"/>
      <c r="S218" s="72"/>
      <c r="T218" s="398"/>
      <c r="U218" s="400"/>
      <c r="V218" s="72"/>
      <c r="W218" s="404"/>
      <c r="X218" s="404"/>
      <c r="Y218" s="404"/>
      <c r="Z218" s="404"/>
      <c r="AA218" s="404"/>
      <c r="AB218" s="404"/>
      <c r="AC218" s="403"/>
      <c r="AD218" s="403"/>
      <c r="AE218" s="403"/>
      <c r="AF218" s="402"/>
      <c r="AG218" s="402"/>
      <c r="AH218" s="402"/>
      <c r="AI218" s="401"/>
      <c r="AJ218" s="400"/>
      <c r="AK218" s="400"/>
      <c r="AL218" s="400"/>
      <c r="AM218" s="72"/>
      <c r="AN218" s="411"/>
    </row>
    <row r="219" spans="1:40" ht="15" hidden="1" customHeight="1" x14ac:dyDescent="0.15">
      <c r="A219"/>
      <c r="B219" s="419" t="s">
        <v>1075</v>
      </c>
      <c r="C219" s="405" t="s">
        <v>2762</v>
      </c>
      <c r="D219" s="492">
        <v>2</v>
      </c>
      <c r="E219" s="493" t="str">
        <f t="shared" si="7"/>
        <v>Seniors - Hommes</v>
      </c>
      <c r="F219" s="423" t="s">
        <v>3051</v>
      </c>
      <c r="G219" s="371" t="s">
        <v>5192</v>
      </c>
      <c r="H219" s="535">
        <v>2030</v>
      </c>
      <c r="I219" s="439">
        <v>33198</v>
      </c>
      <c r="J219" s="433" t="s">
        <v>2446</v>
      </c>
      <c r="K219" s="435"/>
      <c r="L219" s="536" t="s">
        <v>2448</v>
      </c>
      <c r="M219" s="537" t="s">
        <v>2449</v>
      </c>
      <c r="N219" s="538"/>
      <c r="O219" s="538"/>
      <c r="P219" s="681" t="s">
        <v>1536</v>
      </c>
      <c r="Q219" s="412"/>
      <c r="R219" s="398"/>
      <c r="S219" s="72"/>
      <c r="T219" s="398"/>
      <c r="U219" s="400" t="s">
        <v>2792</v>
      </c>
      <c r="V219" s="72"/>
      <c r="W219" s="404" t="s">
        <v>2813</v>
      </c>
      <c r="X219" s="404" t="s">
        <v>292</v>
      </c>
      <c r="Y219" s="404" t="s">
        <v>2136</v>
      </c>
      <c r="Z219" s="404" t="s">
        <v>3146</v>
      </c>
      <c r="AA219" s="404"/>
      <c r="AB219" s="404"/>
      <c r="AC219" s="403"/>
      <c r="AD219" s="403"/>
      <c r="AE219" s="403"/>
      <c r="AF219" s="402"/>
      <c r="AG219" s="402"/>
      <c r="AH219" s="402"/>
      <c r="AI219" s="401"/>
      <c r="AJ219" s="437"/>
      <c r="AK219" s="438" t="s">
        <v>2450</v>
      </c>
      <c r="AL219" s="438"/>
      <c r="AM219" s="444"/>
      <c r="AN219" s="445"/>
    </row>
    <row r="220" spans="1:40" ht="15" hidden="1" customHeight="1" x14ac:dyDescent="0.15">
      <c r="A220"/>
      <c r="B220" s="419" t="s">
        <v>2471</v>
      </c>
      <c r="C220" s="405" t="s">
        <v>2480</v>
      </c>
      <c r="D220" s="492">
        <v>16</v>
      </c>
      <c r="E220" s="493" t="str">
        <f t="shared" si="7"/>
        <v>U15 Dames</v>
      </c>
      <c r="F220" s="423" t="s">
        <v>3056</v>
      </c>
      <c r="G220" s="684"/>
      <c r="H220" s="613">
        <v>2023</v>
      </c>
      <c r="I220" s="439">
        <v>40765</v>
      </c>
      <c r="J220" s="433" t="s">
        <v>2482</v>
      </c>
      <c r="K220" s="435" t="s">
        <v>2478</v>
      </c>
      <c r="L220" s="430" t="s">
        <v>2479</v>
      </c>
      <c r="M220" s="450" t="s">
        <v>2003</v>
      </c>
      <c r="N220" s="413"/>
      <c r="O220" s="413"/>
      <c r="P220" s="400"/>
      <c r="Q220" s="412"/>
      <c r="R220" s="398"/>
      <c r="S220" s="72"/>
      <c r="T220" s="398"/>
      <c r="U220" s="400" t="s">
        <v>209</v>
      </c>
      <c r="V220" s="72"/>
      <c r="W220" s="404" t="s">
        <v>2813</v>
      </c>
      <c r="X220" s="404" t="s">
        <v>292</v>
      </c>
      <c r="Y220" s="404" t="s">
        <v>1168</v>
      </c>
      <c r="Z220" s="404">
        <v>100</v>
      </c>
      <c r="AA220" s="404"/>
      <c r="AB220" s="404"/>
      <c r="AC220" s="403"/>
      <c r="AD220" s="403"/>
      <c r="AE220" s="403"/>
      <c r="AF220" s="402"/>
      <c r="AG220" s="402"/>
      <c r="AH220" s="402"/>
      <c r="AI220" s="401"/>
      <c r="AJ220" s="437"/>
      <c r="AK220" s="438"/>
      <c r="AL220" s="438"/>
      <c r="AM220" s="444"/>
      <c r="AN220" s="445"/>
    </row>
    <row r="221" spans="1:40" ht="15" hidden="1" customHeight="1" x14ac:dyDescent="0.15">
      <c r="A221"/>
      <c r="B221" s="419" t="s">
        <v>4946</v>
      </c>
      <c r="C221" s="405" t="s">
        <v>4947</v>
      </c>
      <c r="D221" s="492">
        <v>5</v>
      </c>
      <c r="E221" s="493" t="str">
        <f t="shared" si="7"/>
        <v>U 15 Hommes</v>
      </c>
      <c r="F221" s="568" t="s">
        <v>2805</v>
      </c>
      <c r="G221" s="680"/>
      <c r="H221" s="428">
        <v>2026</v>
      </c>
      <c r="I221" s="439">
        <v>40647</v>
      </c>
      <c r="J221" s="433" t="s">
        <v>4951</v>
      </c>
      <c r="K221" s="435" t="s">
        <v>4952</v>
      </c>
      <c r="L221" s="430" t="s">
        <v>4953</v>
      </c>
      <c r="M221" s="436" t="s">
        <v>4954</v>
      </c>
      <c r="N221" s="413"/>
      <c r="O221" s="413"/>
      <c r="P221" s="400"/>
      <c r="Q221" s="412"/>
      <c r="R221" s="398"/>
      <c r="S221" s="72"/>
      <c r="T221" s="398"/>
      <c r="U221" s="400"/>
      <c r="V221" s="72"/>
      <c r="W221" s="404"/>
      <c r="X221" s="404"/>
      <c r="Y221" s="404"/>
      <c r="Z221" s="404"/>
      <c r="AA221" s="404"/>
      <c r="AB221" s="404"/>
      <c r="AC221" s="403"/>
      <c r="AD221" s="403"/>
      <c r="AE221" s="403"/>
      <c r="AF221" s="402"/>
      <c r="AG221" s="402"/>
      <c r="AH221" s="402"/>
      <c r="AI221" s="401"/>
      <c r="AJ221" s="437"/>
      <c r="AK221" s="438"/>
      <c r="AL221" s="438"/>
      <c r="AM221" s="444"/>
      <c r="AN221" s="445"/>
    </row>
    <row r="222" spans="1:40" ht="15" hidden="1" customHeight="1" x14ac:dyDescent="0.15">
      <c r="A222"/>
      <c r="B222" s="419" t="s">
        <v>3445</v>
      </c>
      <c r="C222" s="405" t="s">
        <v>3446</v>
      </c>
      <c r="D222" s="492">
        <v>12</v>
      </c>
      <c r="E222" s="493" t="str">
        <f t="shared" si="7"/>
        <v>Dames</v>
      </c>
      <c r="F222" s="423" t="s">
        <v>3463</v>
      </c>
      <c r="G222" s="369"/>
      <c r="H222" s="428">
        <v>2027</v>
      </c>
      <c r="I222" s="439">
        <v>35656</v>
      </c>
      <c r="J222" s="449" t="s">
        <v>3450</v>
      </c>
      <c r="K222" s="435"/>
      <c r="L222" s="435" t="s">
        <v>3451</v>
      </c>
      <c r="M222" s="436" t="s">
        <v>3452</v>
      </c>
      <c r="N222" s="413"/>
      <c r="O222" s="413"/>
      <c r="P222" s="400"/>
      <c r="Q222" s="412"/>
      <c r="R222" s="398"/>
      <c r="S222" s="72"/>
      <c r="T222" s="398"/>
      <c r="U222" s="400"/>
      <c r="V222" s="72"/>
      <c r="W222" s="404"/>
      <c r="X222" s="404"/>
      <c r="Y222" s="404"/>
      <c r="Z222" s="404"/>
      <c r="AA222" s="404"/>
      <c r="AB222" s="404"/>
      <c r="AC222" s="403"/>
      <c r="AD222" s="403"/>
      <c r="AE222" s="403"/>
      <c r="AF222" s="402"/>
      <c r="AG222" s="402"/>
      <c r="AH222" s="402"/>
      <c r="AI222" s="401"/>
      <c r="AJ222" s="437"/>
      <c r="AK222" s="438"/>
      <c r="AL222" s="438"/>
      <c r="AM222" s="444"/>
      <c r="AN222" s="445"/>
    </row>
    <row r="223" spans="1:40" ht="15" hidden="1" customHeight="1" x14ac:dyDescent="0.15">
      <c r="A223"/>
      <c r="B223" s="419" t="s">
        <v>3250</v>
      </c>
      <c r="C223" s="405" t="s">
        <v>4595</v>
      </c>
      <c r="D223" s="492">
        <v>21</v>
      </c>
      <c r="E223" s="493" t="str">
        <f t="shared" si="7"/>
        <v>U7 Mixte</v>
      </c>
      <c r="F223" s="423" t="s">
        <v>4629</v>
      </c>
      <c r="G223" s="448"/>
      <c r="H223" s="428">
        <v>2027</v>
      </c>
      <c r="I223" s="439">
        <v>43936</v>
      </c>
      <c r="J223" s="433" t="s">
        <v>4597</v>
      </c>
      <c r="K223" s="435"/>
      <c r="L223" s="430" t="s">
        <v>4598</v>
      </c>
      <c r="M223" s="436" t="s">
        <v>4599</v>
      </c>
      <c r="N223" s="413"/>
      <c r="O223" s="413"/>
      <c r="P223" s="400"/>
      <c r="Q223" s="412"/>
      <c r="R223" s="398"/>
      <c r="S223" s="72"/>
      <c r="T223" s="398"/>
      <c r="U223" s="400"/>
      <c r="V223" s="72"/>
      <c r="W223" s="404"/>
      <c r="X223" s="404"/>
      <c r="Y223" s="404"/>
      <c r="Z223" s="404"/>
      <c r="AA223" s="404"/>
      <c r="AB223" s="404"/>
      <c r="AC223" s="403"/>
      <c r="AD223" s="403"/>
      <c r="AE223" s="403"/>
      <c r="AF223" s="402"/>
      <c r="AG223" s="402"/>
      <c r="AH223" s="402"/>
      <c r="AI223" s="401"/>
      <c r="AJ223" s="437"/>
      <c r="AK223" s="438"/>
      <c r="AL223" s="438"/>
      <c r="AM223" s="444"/>
      <c r="AN223" s="445"/>
    </row>
    <row r="224" spans="1:40" ht="15" hidden="1" customHeight="1" x14ac:dyDescent="0.15">
      <c r="A224"/>
      <c r="B224" s="419" t="s">
        <v>3250</v>
      </c>
      <c r="C224" s="405" t="s">
        <v>467</v>
      </c>
      <c r="D224" s="492">
        <v>7</v>
      </c>
      <c r="E224" s="493" t="str">
        <f t="shared" si="7"/>
        <v>U 11 Hommes</v>
      </c>
      <c r="F224" s="568" t="s">
        <v>2805</v>
      </c>
      <c r="G224" s="425" t="s">
        <v>5173</v>
      </c>
      <c r="H224" s="428">
        <v>2027</v>
      </c>
      <c r="I224" s="439">
        <v>42323</v>
      </c>
      <c r="J224" s="416" t="s">
        <v>5250</v>
      </c>
      <c r="K224" s="414" t="s">
        <v>5251</v>
      </c>
      <c r="L224" s="430" t="s">
        <v>5252</v>
      </c>
      <c r="M224" s="532" t="s">
        <v>5253</v>
      </c>
      <c r="N224" s="413"/>
      <c r="O224" s="413"/>
      <c r="P224" s="412"/>
      <c r="Q224" s="412"/>
      <c r="R224" s="399"/>
      <c r="S224" s="72"/>
      <c r="T224" s="398"/>
      <c r="U224" s="400"/>
      <c r="V224" s="72"/>
      <c r="W224" s="404"/>
      <c r="X224" s="404"/>
      <c r="Y224" s="404"/>
      <c r="Z224" s="404"/>
      <c r="AA224" s="404"/>
      <c r="AB224" s="404"/>
      <c r="AC224" s="403"/>
      <c r="AD224" s="403"/>
      <c r="AE224" s="403"/>
      <c r="AF224" s="402"/>
      <c r="AG224" s="402"/>
      <c r="AH224" s="402"/>
      <c r="AI224" s="401"/>
      <c r="AJ224" s="400"/>
      <c r="AK224" s="400"/>
      <c r="AL224" s="400"/>
      <c r="AM224" s="72"/>
      <c r="AN224" s="411"/>
    </row>
    <row r="225" spans="1:40" ht="15" customHeight="1" x14ac:dyDescent="0.15">
      <c r="A225" s="699"/>
      <c r="B225" s="419" t="s">
        <v>1435</v>
      </c>
      <c r="C225" s="405" t="s">
        <v>4219</v>
      </c>
      <c r="D225" s="492">
        <v>21</v>
      </c>
      <c r="E225" s="493" t="str">
        <f t="shared" si="7"/>
        <v>U7 Mixte</v>
      </c>
      <c r="F225" s="423" t="s">
        <v>4322</v>
      </c>
      <c r="G225" s="448"/>
      <c r="H225" s="428">
        <v>2026</v>
      </c>
      <c r="I225" s="439">
        <v>43804</v>
      </c>
      <c r="J225" s="433" t="s">
        <v>4225</v>
      </c>
      <c r="K225" s="435"/>
      <c r="L225" s="440" t="s">
        <v>4582</v>
      </c>
      <c r="M225" s="436" t="s">
        <v>4226</v>
      </c>
      <c r="N225" s="413"/>
      <c r="O225" s="413"/>
      <c r="P225" s="400"/>
      <c r="Q225" s="412"/>
      <c r="R225" s="398"/>
      <c r="S225" s="72"/>
      <c r="T225" s="398"/>
      <c r="U225" s="400"/>
      <c r="V225" s="72"/>
      <c r="W225" s="404"/>
      <c r="X225" s="404"/>
      <c r="Y225" s="404"/>
      <c r="Z225" s="404"/>
      <c r="AA225" s="404"/>
      <c r="AB225" s="404"/>
      <c r="AC225" s="403"/>
      <c r="AD225" s="403"/>
      <c r="AE225" s="403"/>
      <c r="AF225" s="402"/>
      <c r="AG225" s="402"/>
      <c r="AH225" s="402"/>
      <c r="AI225" s="401"/>
      <c r="AJ225" s="437"/>
      <c r="AK225" s="438"/>
      <c r="AL225" s="438"/>
      <c r="AM225" s="444"/>
      <c r="AN225" s="445"/>
    </row>
    <row r="226" spans="1:40" ht="15" hidden="1" customHeight="1" x14ac:dyDescent="0.15">
      <c r="A226"/>
      <c r="B226" s="419" t="s">
        <v>1435</v>
      </c>
      <c r="C226" s="405" t="s">
        <v>4220</v>
      </c>
      <c r="D226" s="492">
        <v>8</v>
      </c>
      <c r="E226" s="493" t="str">
        <f t="shared" si="7"/>
        <v xml:space="preserve">U 9 Hommes </v>
      </c>
      <c r="F226" s="423" t="s">
        <v>4323</v>
      </c>
      <c r="G226" s="448"/>
      <c r="H226" s="591">
        <v>2024</v>
      </c>
      <c r="I226" s="439">
        <v>42742</v>
      </c>
      <c r="J226" s="433" t="s">
        <v>4224</v>
      </c>
      <c r="K226" s="435"/>
      <c r="L226" s="440" t="s">
        <v>4582</v>
      </c>
      <c r="M226" s="436" t="s">
        <v>4226</v>
      </c>
      <c r="N226" s="413"/>
      <c r="O226" s="413"/>
      <c r="P226" s="400"/>
      <c r="Q226" s="412"/>
      <c r="R226" s="398"/>
      <c r="S226" s="72"/>
      <c r="T226" s="398"/>
      <c r="U226" s="400"/>
      <c r="V226" s="72"/>
      <c r="W226" s="404"/>
      <c r="X226" s="404"/>
      <c r="Y226" s="404"/>
      <c r="Z226" s="404"/>
      <c r="AA226" s="404"/>
      <c r="AB226" s="404"/>
      <c r="AC226" s="403"/>
      <c r="AD226" s="403"/>
      <c r="AE226" s="403"/>
      <c r="AF226" s="402"/>
      <c r="AG226" s="402"/>
      <c r="AH226" s="402"/>
      <c r="AI226" s="401"/>
      <c r="AJ226" s="437"/>
      <c r="AK226" s="438"/>
      <c r="AL226" s="438"/>
      <c r="AM226" s="444"/>
      <c r="AN226" s="445"/>
    </row>
    <row r="227" spans="1:40" ht="15" hidden="1" customHeight="1" x14ac:dyDescent="0.15">
      <c r="A227"/>
      <c r="B227" s="419" t="s">
        <v>1098</v>
      </c>
      <c r="C227" s="405" t="s">
        <v>1137</v>
      </c>
      <c r="D227" s="492">
        <v>1</v>
      </c>
      <c r="E227" s="493" t="str">
        <f t="shared" si="7"/>
        <v>Officiel H</v>
      </c>
      <c r="F227" s="423"/>
      <c r="G227" s="369"/>
      <c r="H227" s="428" t="s">
        <v>242</v>
      </c>
      <c r="I227" s="439">
        <v>27796</v>
      </c>
      <c r="J227" s="433" t="s">
        <v>2533</v>
      </c>
      <c r="K227" s="435" t="s">
        <v>252</v>
      </c>
      <c r="L227" s="440" t="s">
        <v>3502</v>
      </c>
      <c r="M227" s="450" t="s">
        <v>2534</v>
      </c>
      <c r="N227" s="413"/>
      <c r="O227" s="413" t="s">
        <v>3969</v>
      </c>
      <c r="P227" s="400"/>
      <c r="Q227" s="579" t="s">
        <v>4019</v>
      </c>
      <c r="R227" s="398"/>
      <c r="S227" s="72"/>
      <c r="T227" s="398"/>
      <c r="U227" s="400" t="s">
        <v>420</v>
      </c>
      <c r="V227" s="72"/>
      <c r="W227" s="404" t="s">
        <v>2813</v>
      </c>
      <c r="X227" s="404" t="s">
        <v>292</v>
      </c>
      <c r="Y227" s="404" t="s">
        <v>1168</v>
      </c>
      <c r="Z227" s="404">
        <v>50</v>
      </c>
      <c r="AA227" s="404"/>
      <c r="AB227" s="404"/>
      <c r="AC227" s="403"/>
      <c r="AD227" s="403"/>
      <c r="AE227" s="403"/>
      <c r="AF227" s="402"/>
      <c r="AG227" s="402"/>
      <c r="AH227" s="402"/>
      <c r="AI227" s="401"/>
      <c r="AJ227" s="437"/>
      <c r="AK227" s="438" t="s">
        <v>1456</v>
      </c>
      <c r="AL227" s="438"/>
      <c r="AM227" s="444"/>
      <c r="AN227" s="445"/>
    </row>
    <row r="228" spans="1:40" ht="15" hidden="1" customHeight="1" x14ac:dyDescent="0.15">
      <c r="A228"/>
      <c r="B228" s="419" t="s">
        <v>5027</v>
      </c>
      <c r="C228" s="405" t="s">
        <v>5028</v>
      </c>
      <c r="D228" s="492">
        <v>21</v>
      </c>
      <c r="E228" s="493" t="str">
        <f t="shared" si="7"/>
        <v>U7 Mixte</v>
      </c>
      <c r="F228" s="423" t="s">
        <v>5083</v>
      </c>
      <c r="G228" s="369"/>
      <c r="H228" s="428">
        <v>2027</v>
      </c>
      <c r="I228" s="439">
        <v>44188</v>
      </c>
      <c r="J228" s="433" t="s">
        <v>5033</v>
      </c>
      <c r="K228" s="435"/>
      <c r="L228" s="435" t="s">
        <v>5034</v>
      </c>
      <c r="M228" s="436" t="s">
        <v>5035</v>
      </c>
      <c r="N228" s="413"/>
      <c r="O228" s="413"/>
      <c r="P228" s="400"/>
      <c r="Q228" s="412"/>
      <c r="R228" s="399"/>
      <c r="S228" s="72"/>
      <c r="T228" s="398"/>
      <c r="U228" s="400"/>
      <c r="V228" s="72"/>
      <c r="W228" s="404"/>
      <c r="X228" s="404"/>
      <c r="Y228" s="404"/>
      <c r="Z228" s="404"/>
      <c r="AA228" s="404"/>
      <c r="AB228" s="404"/>
      <c r="AC228" s="403"/>
      <c r="AD228" s="403"/>
      <c r="AE228" s="403"/>
      <c r="AF228" s="402"/>
      <c r="AG228" s="402"/>
      <c r="AH228" s="402"/>
      <c r="AI228" s="401"/>
      <c r="AJ228" s="437"/>
      <c r="AK228" s="438"/>
      <c r="AL228" s="438"/>
      <c r="AM228" s="444"/>
      <c r="AN228" s="445"/>
    </row>
    <row r="229" spans="1:40" ht="15" hidden="1" customHeight="1" x14ac:dyDescent="0.15">
      <c r="A229"/>
      <c r="B229" s="419" t="s">
        <v>2536</v>
      </c>
      <c r="C229" s="405" t="s">
        <v>2537</v>
      </c>
      <c r="D229" s="492">
        <v>3</v>
      </c>
      <c r="E229" s="493" t="str">
        <f t="shared" si="7"/>
        <v>U 21 Hommes</v>
      </c>
      <c r="F229" s="423" t="s">
        <v>3063</v>
      </c>
      <c r="G229" s="571"/>
      <c r="H229" s="428">
        <v>2028</v>
      </c>
      <c r="I229" s="439">
        <v>39603</v>
      </c>
      <c r="J229" s="433" t="s">
        <v>2540</v>
      </c>
      <c r="K229" s="435" t="s">
        <v>2542</v>
      </c>
      <c r="L229" s="430" t="s">
        <v>2543</v>
      </c>
      <c r="M229" s="436" t="s">
        <v>3454</v>
      </c>
      <c r="N229" s="413"/>
      <c r="O229" s="413"/>
      <c r="P229" s="400"/>
      <c r="Q229" s="412"/>
      <c r="R229" s="398"/>
      <c r="S229" s="72"/>
      <c r="T229" s="398"/>
      <c r="U229" s="400" t="s">
        <v>420</v>
      </c>
      <c r="V229" s="72"/>
      <c r="W229" s="404" t="s">
        <v>2813</v>
      </c>
      <c r="X229" s="404" t="s">
        <v>292</v>
      </c>
      <c r="Y229" s="404" t="s">
        <v>421</v>
      </c>
      <c r="Z229" s="404">
        <v>175</v>
      </c>
      <c r="AA229" s="404"/>
      <c r="AB229" s="404"/>
      <c r="AC229" s="403"/>
      <c r="AD229" s="403"/>
      <c r="AE229" s="403"/>
      <c r="AF229" s="402"/>
      <c r="AG229" s="402"/>
      <c r="AH229" s="402"/>
      <c r="AI229" s="401"/>
      <c r="AJ229" s="437"/>
      <c r="AK229" s="438" t="s">
        <v>216</v>
      </c>
      <c r="AL229" s="438"/>
      <c r="AM229" s="444"/>
      <c r="AN229" s="445"/>
    </row>
    <row r="230" spans="1:40" ht="15" hidden="1" customHeight="1" x14ac:dyDescent="0.15">
      <c r="A230"/>
      <c r="B230" s="419" t="s">
        <v>2536</v>
      </c>
      <c r="C230" s="405" t="s">
        <v>889</v>
      </c>
      <c r="D230" s="492">
        <v>3</v>
      </c>
      <c r="E230" s="493" t="str">
        <f t="shared" si="7"/>
        <v>U 21 Hommes</v>
      </c>
      <c r="F230" s="423" t="s">
        <v>3064</v>
      </c>
      <c r="G230" s="571"/>
      <c r="H230" s="428">
        <v>2035</v>
      </c>
      <c r="I230" s="439">
        <v>38591</v>
      </c>
      <c r="J230" s="433" t="s">
        <v>2546</v>
      </c>
      <c r="K230" s="435"/>
      <c r="L230" s="430" t="s">
        <v>2547</v>
      </c>
      <c r="M230" s="436" t="s">
        <v>3454</v>
      </c>
      <c r="N230" s="413"/>
      <c r="O230" s="413"/>
      <c r="P230" s="540"/>
      <c r="Q230" s="412"/>
      <c r="R230" s="398"/>
      <c r="S230" s="72"/>
      <c r="T230" s="398"/>
      <c r="U230" s="400" t="s">
        <v>420</v>
      </c>
      <c r="V230" s="72"/>
      <c r="W230" s="404" t="s">
        <v>2813</v>
      </c>
      <c r="X230" s="404" t="s">
        <v>292</v>
      </c>
      <c r="Y230" s="404" t="s">
        <v>421</v>
      </c>
      <c r="Z230" s="404" t="s">
        <v>419</v>
      </c>
      <c r="AA230" s="404"/>
      <c r="AB230" s="404"/>
      <c r="AC230" s="403"/>
      <c r="AD230" s="403"/>
      <c r="AE230" s="403"/>
      <c r="AF230" s="402"/>
      <c r="AG230" s="402"/>
      <c r="AH230" s="402"/>
      <c r="AI230" s="401"/>
      <c r="AJ230" s="437"/>
      <c r="AK230" s="438" t="s">
        <v>216</v>
      </c>
      <c r="AL230" s="438"/>
      <c r="AM230" s="444"/>
      <c r="AN230" s="445"/>
    </row>
    <row r="231" spans="1:40" ht="15" hidden="1" customHeight="1" x14ac:dyDescent="0.15">
      <c r="A231"/>
      <c r="B231" s="419" t="s">
        <v>4877</v>
      </c>
      <c r="C231" s="405" t="s">
        <v>4878</v>
      </c>
      <c r="D231" s="492">
        <v>2</v>
      </c>
      <c r="E231" s="493" t="str">
        <f t="shared" si="7"/>
        <v>Seniors - Hommes</v>
      </c>
      <c r="F231" s="423" t="s">
        <v>4978</v>
      </c>
      <c r="G231" s="369"/>
      <c r="H231" s="428">
        <v>2030</v>
      </c>
      <c r="I231" s="439">
        <v>33009</v>
      </c>
      <c r="J231" s="433" t="s">
        <v>4881</v>
      </c>
      <c r="K231" s="435"/>
      <c r="L231" s="440">
        <v>691145187</v>
      </c>
      <c r="M231" s="436" t="s">
        <v>4882</v>
      </c>
      <c r="N231" s="413"/>
      <c r="O231" s="413"/>
      <c r="P231" s="400"/>
      <c r="Q231" s="412"/>
      <c r="R231" s="398"/>
      <c r="S231" s="72"/>
      <c r="T231" s="398"/>
      <c r="U231" s="400"/>
      <c r="V231" s="72"/>
      <c r="W231" s="404"/>
      <c r="X231" s="404"/>
      <c r="Y231" s="404"/>
      <c r="Z231" s="404"/>
      <c r="AA231" s="404"/>
      <c r="AB231" s="404"/>
      <c r="AC231" s="403"/>
      <c r="AD231" s="403"/>
      <c r="AE231" s="403"/>
      <c r="AF231" s="402"/>
      <c r="AG231" s="402"/>
      <c r="AH231" s="402"/>
      <c r="AI231" s="401"/>
      <c r="AJ231" s="437"/>
      <c r="AK231" s="438"/>
      <c r="AL231" s="438"/>
      <c r="AM231" s="444"/>
      <c r="AN231" s="445"/>
    </row>
    <row r="232" spans="1:40" ht="15" hidden="1" customHeight="1" x14ac:dyDescent="0.15">
      <c r="A232"/>
      <c r="B232" s="419" t="s">
        <v>1122</v>
      </c>
      <c r="C232" s="405" t="s">
        <v>1124</v>
      </c>
      <c r="D232" s="492">
        <v>12</v>
      </c>
      <c r="E232" s="493" t="str">
        <f t="shared" si="7"/>
        <v>Dames</v>
      </c>
      <c r="F232" s="423" t="s">
        <v>3066</v>
      </c>
      <c r="G232" s="571"/>
      <c r="H232" s="564">
        <v>2029</v>
      </c>
      <c r="I232" s="439">
        <v>36389</v>
      </c>
      <c r="J232" s="433" t="s">
        <v>2553</v>
      </c>
      <c r="K232" s="435"/>
      <c r="L232" s="536" t="s">
        <v>3688</v>
      </c>
      <c r="M232" s="537" t="s">
        <v>2555</v>
      </c>
      <c r="N232" s="538"/>
      <c r="O232" s="538"/>
      <c r="P232" s="539"/>
      <c r="Q232" s="412"/>
      <c r="R232" s="398"/>
      <c r="S232" s="72"/>
      <c r="T232" s="398"/>
      <c r="U232" s="400" t="s">
        <v>348</v>
      </c>
      <c r="V232" s="72"/>
      <c r="W232" s="404" t="s">
        <v>2813</v>
      </c>
      <c r="X232" s="404" t="s">
        <v>3151</v>
      </c>
      <c r="Y232" s="404"/>
      <c r="Z232" s="404">
        <v>50</v>
      </c>
      <c r="AA232" s="404"/>
      <c r="AB232" s="404"/>
      <c r="AC232" s="403"/>
      <c r="AD232" s="403"/>
      <c r="AE232" s="403"/>
      <c r="AF232" s="402"/>
      <c r="AG232" s="402"/>
      <c r="AH232" s="402"/>
      <c r="AI232" s="401"/>
      <c r="AJ232" s="437"/>
      <c r="AK232" s="438" t="s">
        <v>349</v>
      </c>
      <c r="AL232" s="438"/>
      <c r="AM232" s="444"/>
      <c r="AN232" s="445"/>
    </row>
    <row r="233" spans="1:40" ht="15" hidden="1" customHeight="1" x14ac:dyDescent="0.15">
      <c r="A233"/>
      <c r="B233" s="419" t="s">
        <v>2556</v>
      </c>
      <c r="C233" s="405" t="s">
        <v>1084</v>
      </c>
      <c r="D233" s="492">
        <v>16</v>
      </c>
      <c r="E233" s="493" t="str">
        <f t="shared" si="7"/>
        <v>U15 Dames</v>
      </c>
      <c r="F233" s="423" t="s">
        <v>3067</v>
      </c>
      <c r="G233" s="448"/>
      <c r="H233" s="428">
        <v>2027</v>
      </c>
      <c r="I233" s="439">
        <v>41174</v>
      </c>
      <c r="J233" s="433" t="s">
        <v>3748</v>
      </c>
      <c r="K233" s="435"/>
      <c r="L233" s="430" t="s">
        <v>2557</v>
      </c>
      <c r="M233" s="450" t="s">
        <v>2215</v>
      </c>
      <c r="N233" s="413"/>
      <c r="O233" s="413"/>
      <c r="P233" s="400"/>
      <c r="Q233" s="412"/>
      <c r="R233" s="398"/>
      <c r="S233" s="72"/>
      <c r="T233" s="398"/>
      <c r="U233" s="400" t="s">
        <v>209</v>
      </c>
      <c r="V233" s="72"/>
      <c r="W233" s="404" t="s">
        <v>2813</v>
      </c>
      <c r="X233" s="404" t="s">
        <v>292</v>
      </c>
      <c r="Y233" s="404" t="s">
        <v>1168</v>
      </c>
      <c r="Z233" s="404">
        <v>100</v>
      </c>
      <c r="AA233" s="404"/>
      <c r="AB233" s="404"/>
      <c r="AC233" s="403"/>
      <c r="AD233" s="403"/>
      <c r="AE233" s="403"/>
      <c r="AF233" s="402"/>
      <c r="AG233" s="402"/>
      <c r="AH233" s="402"/>
      <c r="AI233" s="401"/>
      <c r="AJ233" s="437"/>
      <c r="AK233" s="438"/>
      <c r="AL233" s="438"/>
      <c r="AM233" s="444"/>
      <c r="AN233" s="445"/>
    </row>
    <row r="234" spans="1:40" ht="15" customHeight="1" x14ac:dyDescent="0.15">
      <c r="A234" s="699"/>
      <c r="B234" s="419" t="s">
        <v>4901</v>
      </c>
      <c r="C234" s="405" t="s">
        <v>4902</v>
      </c>
      <c r="D234" s="492">
        <v>6</v>
      </c>
      <c r="E234" s="493" t="str">
        <f t="shared" si="7"/>
        <v>U 13 Hommes</v>
      </c>
      <c r="F234" s="423" t="s">
        <v>4922</v>
      </c>
      <c r="G234" s="448"/>
      <c r="H234" s="428">
        <v>2026</v>
      </c>
      <c r="I234" s="439">
        <v>41801</v>
      </c>
      <c r="J234" s="433" t="s">
        <v>4907</v>
      </c>
      <c r="K234" s="435" t="s">
        <v>4908</v>
      </c>
      <c r="L234" s="430" t="s">
        <v>4909</v>
      </c>
      <c r="M234" s="450" t="s">
        <v>4910</v>
      </c>
      <c r="N234" s="413"/>
      <c r="O234" s="413"/>
      <c r="P234" s="400"/>
      <c r="Q234" s="412"/>
      <c r="R234" s="398"/>
      <c r="S234" s="72"/>
      <c r="T234" s="398"/>
      <c r="U234" s="400"/>
      <c r="V234" s="72"/>
      <c r="W234" s="404"/>
      <c r="X234" s="404"/>
      <c r="Y234" s="404"/>
      <c r="Z234" s="404"/>
      <c r="AA234" s="404"/>
      <c r="AB234" s="404"/>
      <c r="AC234" s="403"/>
      <c r="AD234" s="403"/>
      <c r="AE234" s="403"/>
      <c r="AF234" s="402"/>
      <c r="AG234" s="402"/>
      <c r="AH234" s="402"/>
      <c r="AI234" s="401"/>
      <c r="AJ234" s="437"/>
      <c r="AK234" s="438"/>
      <c r="AL234" s="438"/>
      <c r="AM234" s="444"/>
      <c r="AN234" s="445"/>
    </row>
    <row r="235" spans="1:40" ht="15" customHeight="1" x14ac:dyDescent="0.15">
      <c r="A235" s="703"/>
      <c r="B235" s="419" t="s">
        <v>1136</v>
      </c>
      <c r="C235" s="405" t="s">
        <v>1137</v>
      </c>
      <c r="D235" s="492">
        <v>2</v>
      </c>
      <c r="E235" s="493" t="str">
        <f t="shared" si="7"/>
        <v>Seniors - Hommes</v>
      </c>
      <c r="F235" s="423" t="s">
        <v>3068</v>
      </c>
      <c r="G235" s="620"/>
      <c r="H235" s="564">
        <v>2026</v>
      </c>
      <c r="I235" s="439">
        <v>33134</v>
      </c>
      <c r="J235" s="433" t="s">
        <v>2577</v>
      </c>
      <c r="K235" s="435" t="s">
        <v>2579</v>
      </c>
      <c r="L235" s="536" t="s">
        <v>4147</v>
      </c>
      <c r="M235" s="566" t="s">
        <v>4090</v>
      </c>
      <c r="N235" s="538"/>
      <c r="O235" s="538"/>
      <c r="P235" s="539"/>
      <c r="Q235" s="412"/>
      <c r="R235" s="397"/>
      <c r="S235" s="72"/>
      <c r="T235" s="398"/>
      <c r="U235" s="400" t="s">
        <v>2811</v>
      </c>
      <c r="V235" s="72"/>
      <c r="W235" s="404" t="s">
        <v>2813</v>
      </c>
      <c r="X235" s="404" t="s">
        <v>292</v>
      </c>
      <c r="Y235" s="404" t="s">
        <v>1168</v>
      </c>
      <c r="Z235" s="404" t="s">
        <v>347</v>
      </c>
      <c r="AA235" s="404"/>
      <c r="AB235" s="404"/>
      <c r="AC235" s="403"/>
      <c r="AD235" s="403"/>
      <c r="AE235" s="403"/>
      <c r="AF235" s="402"/>
      <c r="AG235" s="402"/>
      <c r="AH235" s="402"/>
      <c r="AI235" s="401"/>
      <c r="AJ235" s="437"/>
      <c r="AK235" s="438" t="s">
        <v>1537</v>
      </c>
      <c r="AL235" s="438"/>
      <c r="AM235" s="444"/>
      <c r="AN235" s="445"/>
    </row>
    <row r="236" spans="1:40" ht="15" hidden="1" customHeight="1" x14ac:dyDescent="0.15">
      <c r="A236"/>
      <c r="B236" s="419" t="s">
        <v>5316</v>
      </c>
      <c r="C236" s="405" t="s">
        <v>2405</v>
      </c>
      <c r="D236" s="492">
        <v>21</v>
      </c>
      <c r="E236" s="493" t="str">
        <f t="shared" si="7"/>
        <v>U7 Mixte</v>
      </c>
      <c r="F236" s="568" t="s">
        <v>2805</v>
      </c>
      <c r="G236" s="580" t="s">
        <v>5255</v>
      </c>
      <c r="H236" s="428">
        <v>2028</v>
      </c>
      <c r="I236" s="439">
        <v>44439</v>
      </c>
      <c r="J236" s="416" t="s">
        <v>5326</v>
      </c>
      <c r="K236" s="414" t="s">
        <v>5328</v>
      </c>
      <c r="L236" s="430" t="s">
        <v>5329</v>
      </c>
      <c r="M236" s="532" t="s">
        <v>5330</v>
      </c>
      <c r="N236" s="413"/>
      <c r="O236" s="413"/>
      <c r="P236" s="412"/>
      <c r="Q236" s="412"/>
      <c r="R236" s="399"/>
      <c r="S236" s="72"/>
      <c r="T236" s="398"/>
      <c r="U236" s="400"/>
      <c r="V236" s="72"/>
      <c r="W236" s="404"/>
      <c r="X236" s="404"/>
      <c r="Y236" s="404"/>
      <c r="Z236" s="404"/>
      <c r="AA236" s="404"/>
      <c r="AB236" s="404"/>
      <c r="AC236" s="403"/>
      <c r="AD236" s="403"/>
      <c r="AE236" s="403"/>
      <c r="AF236" s="402"/>
      <c r="AG236" s="402"/>
      <c r="AH236" s="402"/>
      <c r="AI236" s="401"/>
      <c r="AJ236" s="400"/>
      <c r="AK236" s="400"/>
      <c r="AL236" s="400"/>
      <c r="AM236" s="72"/>
      <c r="AN236" s="411"/>
    </row>
    <row r="237" spans="1:40" ht="15" hidden="1" customHeight="1" x14ac:dyDescent="0.15">
      <c r="A237"/>
      <c r="B237" s="419" t="s">
        <v>5316</v>
      </c>
      <c r="C237" s="405" t="s">
        <v>5317</v>
      </c>
      <c r="D237" s="492">
        <v>21</v>
      </c>
      <c r="E237" s="493" t="str">
        <f t="shared" si="7"/>
        <v>U7 Mixte</v>
      </c>
      <c r="F237" s="568" t="s">
        <v>2805</v>
      </c>
      <c r="G237" s="580" t="s">
        <v>5255</v>
      </c>
      <c r="H237" s="428">
        <v>2030</v>
      </c>
      <c r="I237" s="439">
        <v>44963</v>
      </c>
      <c r="J237" s="416" t="s">
        <v>5327</v>
      </c>
      <c r="K237" s="414" t="s">
        <v>5328</v>
      </c>
      <c r="L237" s="430" t="s">
        <v>5329</v>
      </c>
      <c r="M237" s="532" t="s">
        <v>5330</v>
      </c>
      <c r="N237" s="413"/>
      <c r="O237" s="413"/>
      <c r="P237" s="412"/>
      <c r="Q237" s="412"/>
      <c r="R237" s="399"/>
      <c r="S237" s="72"/>
      <c r="T237" s="398"/>
      <c r="U237" s="400"/>
      <c r="V237" s="72"/>
      <c r="W237" s="404"/>
      <c r="X237" s="404"/>
      <c r="Y237" s="404"/>
      <c r="Z237" s="404"/>
      <c r="AA237" s="404"/>
      <c r="AB237" s="404"/>
      <c r="AC237" s="403"/>
      <c r="AD237" s="403"/>
      <c r="AE237" s="403"/>
      <c r="AF237" s="402"/>
      <c r="AG237" s="402"/>
      <c r="AH237" s="402"/>
      <c r="AI237" s="401"/>
      <c r="AJ237" s="400"/>
      <c r="AK237" s="400"/>
      <c r="AL237" s="400"/>
      <c r="AM237" s="72"/>
      <c r="AN237" s="411"/>
    </row>
    <row r="238" spans="1:40" ht="15" hidden="1" customHeight="1" x14ac:dyDescent="0.15">
      <c r="A238"/>
      <c r="B238" s="419" t="s">
        <v>4407</v>
      </c>
      <c r="C238" s="405" t="s">
        <v>4408</v>
      </c>
      <c r="D238" s="492">
        <v>2</v>
      </c>
      <c r="E238" s="493" t="str">
        <f t="shared" ref="E238:E262" si="8">VLOOKUP(D238,CAT_JOUEUR,2,FALSE)</f>
        <v>Seniors - Hommes</v>
      </c>
      <c r="F238" s="423" t="s">
        <v>4475</v>
      </c>
      <c r="G238" s="369"/>
      <c r="H238" s="428">
        <v>2031</v>
      </c>
      <c r="I238" s="439">
        <v>37058</v>
      </c>
      <c r="J238" s="433" t="s">
        <v>4419</v>
      </c>
      <c r="K238" s="435"/>
      <c r="L238" s="697">
        <v>691203081</v>
      </c>
      <c r="M238" s="436" t="s">
        <v>4412</v>
      </c>
      <c r="N238" s="413"/>
      <c r="O238" s="413"/>
      <c r="P238" s="400"/>
      <c r="Q238" s="412"/>
      <c r="R238" s="398"/>
      <c r="S238" s="72"/>
      <c r="T238" s="398"/>
      <c r="U238" s="400"/>
      <c r="V238" s="72"/>
      <c r="W238" s="404"/>
      <c r="X238" s="404"/>
      <c r="Y238" s="404"/>
      <c r="Z238" s="404"/>
      <c r="AA238" s="404"/>
      <c r="AB238" s="404"/>
      <c r="AC238" s="403"/>
      <c r="AD238" s="403"/>
      <c r="AE238" s="403"/>
      <c r="AF238" s="402"/>
      <c r="AG238" s="402"/>
      <c r="AH238" s="402"/>
      <c r="AI238" s="401"/>
      <c r="AJ238" s="437"/>
      <c r="AK238" s="438"/>
      <c r="AL238" s="438"/>
      <c r="AM238" s="444"/>
      <c r="AN238" s="445"/>
    </row>
    <row r="239" spans="1:40" ht="15" hidden="1" customHeight="1" x14ac:dyDescent="0.15">
      <c r="A239"/>
      <c r="B239" s="419" t="s">
        <v>4505</v>
      </c>
      <c r="C239" s="405" t="s">
        <v>895</v>
      </c>
      <c r="D239" s="492">
        <v>6</v>
      </c>
      <c r="E239" s="493" t="str">
        <f t="shared" si="8"/>
        <v>U 13 Hommes</v>
      </c>
      <c r="F239" s="423" t="s">
        <v>4532</v>
      </c>
      <c r="G239" s="448"/>
      <c r="H239" s="617">
        <v>2025</v>
      </c>
      <c r="I239" s="439">
        <v>41321</v>
      </c>
      <c r="J239" s="433" t="s">
        <v>4509</v>
      </c>
      <c r="K239" s="435"/>
      <c r="L239" s="430" t="s">
        <v>4510</v>
      </c>
      <c r="M239" s="436" t="s">
        <v>4511</v>
      </c>
      <c r="N239" s="413"/>
      <c r="O239" s="413"/>
      <c r="P239" s="400"/>
      <c r="Q239" s="412"/>
      <c r="R239" s="398"/>
      <c r="S239" s="72"/>
      <c r="T239" s="398"/>
      <c r="U239" s="400"/>
      <c r="V239" s="72"/>
      <c r="W239" s="404"/>
      <c r="X239" s="404"/>
      <c r="Y239" s="404"/>
      <c r="Z239" s="404"/>
      <c r="AA239" s="404"/>
      <c r="AB239" s="404"/>
      <c r="AC239" s="403"/>
      <c r="AD239" s="403"/>
      <c r="AE239" s="403"/>
      <c r="AF239" s="402"/>
      <c r="AG239" s="402"/>
      <c r="AH239" s="402"/>
      <c r="AI239" s="401"/>
      <c r="AJ239" s="437"/>
      <c r="AK239" s="438"/>
      <c r="AL239" s="438"/>
      <c r="AM239" s="444"/>
      <c r="AN239" s="445"/>
    </row>
    <row r="240" spans="1:40" ht="15" hidden="1" customHeight="1" x14ac:dyDescent="0.15">
      <c r="A240"/>
      <c r="B240" s="419" t="s">
        <v>2607</v>
      </c>
      <c r="C240" s="405" t="s">
        <v>745</v>
      </c>
      <c r="D240" s="492">
        <v>2</v>
      </c>
      <c r="E240" s="493" t="str">
        <f t="shared" si="8"/>
        <v>Seniors - Hommes</v>
      </c>
      <c r="F240" s="423" t="s">
        <v>3440</v>
      </c>
      <c r="G240" s="448"/>
      <c r="H240" s="428">
        <v>2030</v>
      </c>
      <c r="I240" s="439">
        <v>36642</v>
      </c>
      <c r="J240" s="433" t="s">
        <v>3216</v>
      </c>
      <c r="K240" s="435"/>
      <c r="L240" s="430" t="s">
        <v>3218</v>
      </c>
      <c r="M240" s="691" t="s">
        <v>3751</v>
      </c>
      <c r="N240" s="413"/>
      <c r="O240" s="413"/>
      <c r="P240" s="400"/>
      <c r="Q240" s="412"/>
      <c r="R240" s="398"/>
      <c r="S240" s="72"/>
      <c r="T240" s="398"/>
      <c r="U240" s="400"/>
      <c r="V240" s="72"/>
      <c r="W240" s="404"/>
      <c r="X240" s="404"/>
      <c r="Y240" s="404"/>
      <c r="Z240" s="404"/>
      <c r="AA240" s="404"/>
      <c r="AB240" s="404"/>
      <c r="AC240" s="403"/>
      <c r="AD240" s="403"/>
      <c r="AE240" s="403"/>
      <c r="AF240" s="402"/>
      <c r="AG240" s="402"/>
      <c r="AH240" s="402"/>
      <c r="AI240" s="401"/>
      <c r="AJ240" s="437"/>
      <c r="AK240" s="438"/>
      <c r="AL240" s="438"/>
      <c r="AM240" s="444"/>
      <c r="AN240" s="445"/>
    </row>
    <row r="241" spans="1:41" ht="15" hidden="1" customHeight="1" x14ac:dyDescent="0.15">
      <c r="A241"/>
      <c r="B241" s="419" t="s">
        <v>5102</v>
      </c>
      <c r="C241" s="405" t="s">
        <v>5103</v>
      </c>
      <c r="D241" s="492">
        <v>12</v>
      </c>
      <c r="E241" s="493" t="str">
        <f t="shared" si="8"/>
        <v>Dames</v>
      </c>
      <c r="F241" s="423" t="s">
        <v>5123</v>
      </c>
      <c r="G241" s="448"/>
      <c r="H241" s="428">
        <v>2033</v>
      </c>
      <c r="I241" s="439">
        <v>37881</v>
      </c>
      <c r="J241" s="416" t="s">
        <v>5106</v>
      </c>
      <c r="K241" s="414"/>
      <c r="L241" s="440">
        <v>621720140</v>
      </c>
      <c r="M241" s="532" t="s">
        <v>5107</v>
      </c>
      <c r="N241" s="413"/>
      <c r="O241" s="413"/>
      <c r="P241" s="412"/>
      <c r="Q241" s="412"/>
      <c r="R241" s="399"/>
      <c r="S241" s="72"/>
      <c r="T241" s="398"/>
      <c r="U241" s="400"/>
      <c r="V241" s="72"/>
      <c r="W241" s="404"/>
      <c r="X241" s="404"/>
      <c r="Y241" s="404"/>
      <c r="Z241" s="404"/>
      <c r="AA241" s="404"/>
      <c r="AB241" s="404"/>
      <c r="AC241" s="403"/>
      <c r="AD241" s="403"/>
      <c r="AE241" s="403"/>
      <c r="AF241" s="402"/>
      <c r="AG241" s="402"/>
      <c r="AH241" s="402"/>
      <c r="AI241" s="401"/>
      <c r="AJ241" s="400"/>
      <c r="AK241" s="400"/>
      <c r="AL241" s="400"/>
      <c r="AM241" s="72"/>
      <c r="AN241" s="411"/>
    </row>
    <row r="242" spans="1:41" ht="15" hidden="1" customHeight="1" x14ac:dyDescent="0.15">
      <c r="A242"/>
      <c r="B242" s="419" t="s">
        <v>4667</v>
      </c>
      <c r="C242" s="405" t="s">
        <v>1212</v>
      </c>
      <c r="D242" s="492">
        <v>2</v>
      </c>
      <c r="E242" s="493" t="str">
        <f t="shared" si="8"/>
        <v>Seniors - Hommes</v>
      </c>
      <c r="F242" s="423" t="s">
        <v>4714</v>
      </c>
      <c r="G242" s="448"/>
      <c r="H242" s="13">
        <v>2031</v>
      </c>
      <c r="I242" s="18">
        <v>37229</v>
      </c>
      <c r="J242" s="19" t="s">
        <v>4668</v>
      </c>
      <c r="K242" s="435"/>
      <c r="L242" s="440">
        <v>621702377</v>
      </c>
      <c r="M242" s="436" t="s">
        <v>4924</v>
      </c>
      <c r="N242" s="413"/>
      <c r="O242" s="413"/>
      <c r="P242" s="400"/>
      <c r="Q242" s="540" t="s">
        <v>4413</v>
      </c>
      <c r="R242" s="398"/>
      <c r="S242" s="72"/>
      <c r="T242" s="541" t="s">
        <v>5002</v>
      </c>
      <c r="U242" s="400"/>
      <c r="V242" s="72"/>
      <c r="W242" s="404"/>
      <c r="X242" s="404"/>
      <c r="Y242" s="404"/>
      <c r="Z242" s="404"/>
      <c r="AA242" s="404"/>
      <c r="AB242" s="404"/>
      <c r="AC242" s="403"/>
      <c r="AD242" s="403"/>
      <c r="AE242" s="403"/>
      <c r="AF242" s="402"/>
      <c r="AG242" s="402"/>
      <c r="AH242" s="402"/>
      <c r="AI242" s="401"/>
      <c r="AJ242" s="437"/>
      <c r="AK242" s="438"/>
      <c r="AL242" s="438"/>
      <c r="AM242" s="444"/>
      <c r="AN242" s="445"/>
    </row>
    <row r="243" spans="1:41" ht="15" customHeight="1" x14ac:dyDescent="0.15">
      <c r="A243" s="703"/>
      <c r="B243" s="419" t="s">
        <v>1150</v>
      </c>
      <c r="C243" s="405" t="s">
        <v>1151</v>
      </c>
      <c r="D243" s="492">
        <v>2</v>
      </c>
      <c r="E243" s="493" t="str">
        <f t="shared" si="8"/>
        <v>Seniors - Hommes</v>
      </c>
      <c r="F243" s="423" t="s">
        <v>3079</v>
      </c>
      <c r="G243" s="571"/>
      <c r="H243" s="535">
        <v>2026</v>
      </c>
      <c r="I243" s="439">
        <v>35307</v>
      </c>
      <c r="J243" s="433" t="s">
        <v>2648</v>
      </c>
      <c r="K243" s="435"/>
      <c r="L243" s="536" t="s">
        <v>2649</v>
      </c>
      <c r="M243" s="537" t="s">
        <v>2024</v>
      </c>
      <c r="N243" s="538"/>
      <c r="O243" s="538"/>
      <c r="P243" s="539"/>
      <c r="Q243" s="412"/>
      <c r="R243" s="398"/>
      <c r="S243" s="72"/>
      <c r="T243" s="398"/>
      <c r="U243" s="400" t="s">
        <v>420</v>
      </c>
      <c r="V243" s="72"/>
      <c r="W243" s="404" t="s">
        <v>2813</v>
      </c>
      <c r="X243" s="404" t="s">
        <v>3151</v>
      </c>
      <c r="Y243" s="404"/>
      <c r="Z243" s="443" t="s">
        <v>988</v>
      </c>
      <c r="AA243" s="404"/>
      <c r="AB243" s="404"/>
      <c r="AC243" s="403"/>
      <c r="AD243" s="403"/>
      <c r="AE243" s="403"/>
      <c r="AF243" s="402"/>
      <c r="AG243" s="402"/>
      <c r="AH243" s="402"/>
      <c r="AI243" s="401"/>
      <c r="AJ243" s="437"/>
      <c r="AK243" s="438" t="s">
        <v>1537</v>
      </c>
      <c r="AL243" s="438"/>
      <c r="AM243" s="444"/>
      <c r="AN243" s="445"/>
    </row>
    <row r="244" spans="1:41" ht="15" hidden="1" customHeight="1" x14ac:dyDescent="0.15">
      <c r="A244"/>
      <c r="B244" s="419" t="s">
        <v>2662</v>
      </c>
      <c r="C244" s="405" t="s">
        <v>5309</v>
      </c>
      <c r="D244" s="492">
        <v>21</v>
      </c>
      <c r="E244" s="493" t="str">
        <f t="shared" si="8"/>
        <v>U7 Mixte</v>
      </c>
      <c r="F244" s="568" t="s">
        <v>2805</v>
      </c>
      <c r="G244" s="580" t="s">
        <v>5255</v>
      </c>
      <c r="H244" s="428">
        <v>2029</v>
      </c>
      <c r="I244" s="439">
        <v>44634</v>
      </c>
      <c r="J244" s="416" t="s">
        <v>5314</v>
      </c>
      <c r="K244" s="671"/>
      <c r="L244" s="696"/>
      <c r="M244" s="532" t="s">
        <v>5315</v>
      </c>
      <c r="N244" s="413" t="s">
        <v>252</v>
      </c>
      <c r="O244" s="413"/>
      <c r="P244" s="412"/>
      <c r="Q244" s="412"/>
      <c r="R244" s="399"/>
      <c r="S244" s="72"/>
      <c r="T244" s="398"/>
      <c r="U244" s="400"/>
      <c r="V244" s="72"/>
      <c r="W244" s="404"/>
      <c r="X244" s="404"/>
      <c r="Y244" s="404"/>
      <c r="Z244" s="404"/>
      <c r="AA244" s="404"/>
      <c r="AB244" s="404"/>
      <c r="AC244" s="403"/>
      <c r="AD244" s="403"/>
      <c r="AE244" s="403"/>
      <c r="AF244" s="402"/>
      <c r="AG244" s="402"/>
      <c r="AH244" s="402"/>
      <c r="AI244" s="401"/>
      <c r="AJ244" s="400"/>
      <c r="AK244" s="400"/>
      <c r="AL244" s="400"/>
      <c r="AM244" s="72"/>
      <c r="AN244" s="411"/>
    </row>
    <row r="245" spans="1:41" ht="15" hidden="1" customHeight="1" x14ac:dyDescent="0.15">
      <c r="A245"/>
      <c r="B245" s="419" t="s">
        <v>2662</v>
      </c>
      <c r="C245" s="405" t="s">
        <v>415</v>
      </c>
      <c r="D245" s="492">
        <v>9</v>
      </c>
      <c r="E245" s="493" t="str">
        <f t="shared" si="8"/>
        <v>Vétérans - Hommes</v>
      </c>
      <c r="F245" s="423" t="s">
        <v>3081</v>
      </c>
      <c r="G245" s="448"/>
      <c r="H245" s="62">
        <v>2029</v>
      </c>
      <c r="I245" s="18">
        <v>30867</v>
      </c>
      <c r="J245" s="19" t="s">
        <v>4357</v>
      </c>
      <c r="K245" s="435" t="s">
        <v>252</v>
      </c>
      <c r="L245" s="440">
        <v>661802747</v>
      </c>
      <c r="M245" s="436" t="s">
        <v>2664</v>
      </c>
      <c r="N245" s="413"/>
      <c r="O245" s="413"/>
      <c r="P245" s="400"/>
      <c r="Q245" s="412"/>
      <c r="R245" s="398"/>
      <c r="S245" s="72"/>
      <c r="T245" s="398"/>
      <c r="U245" s="400"/>
      <c r="V245" s="72"/>
      <c r="W245" s="404"/>
      <c r="X245" s="404"/>
      <c r="Y245" s="404"/>
      <c r="Z245" s="404"/>
      <c r="AA245" s="404"/>
      <c r="AB245" s="404"/>
      <c r="AC245" s="403"/>
      <c r="AD245" s="403"/>
      <c r="AE245" s="403"/>
      <c r="AF245" s="402"/>
      <c r="AG245" s="402"/>
      <c r="AH245" s="402"/>
      <c r="AI245" s="401"/>
      <c r="AJ245" s="437"/>
      <c r="AK245" s="438"/>
      <c r="AL245" s="438"/>
      <c r="AM245" s="444"/>
      <c r="AN245" s="445"/>
    </row>
    <row r="246" spans="1:41" ht="15" customHeight="1" x14ac:dyDescent="0.15">
      <c r="A246" s="699"/>
      <c r="B246" s="419" t="s">
        <v>2662</v>
      </c>
      <c r="C246" s="405" t="s">
        <v>2268</v>
      </c>
      <c r="D246" s="492">
        <v>5</v>
      </c>
      <c r="E246" s="493" t="str">
        <f t="shared" si="8"/>
        <v>U 15 Hommes</v>
      </c>
      <c r="F246" s="423" t="s">
        <v>3859</v>
      </c>
      <c r="G246" s="448"/>
      <c r="H246" s="428">
        <v>2026</v>
      </c>
      <c r="I246" s="439">
        <v>40592</v>
      </c>
      <c r="J246" s="433" t="s">
        <v>3854</v>
      </c>
      <c r="K246" s="435" t="s">
        <v>252</v>
      </c>
      <c r="L246" s="528" t="s">
        <v>4150</v>
      </c>
      <c r="M246" s="436" t="s">
        <v>3855</v>
      </c>
      <c r="N246" s="413"/>
      <c r="O246" s="413"/>
      <c r="P246" s="400"/>
      <c r="Q246" s="412"/>
      <c r="R246" s="398"/>
      <c r="S246" s="72"/>
      <c r="T246" s="398"/>
      <c r="U246" s="400"/>
      <c r="V246" s="72"/>
      <c r="W246" s="404"/>
      <c r="X246" s="404"/>
      <c r="Y246" s="404"/>
      <c r="Z246" s="404"/>
      <c r="AA246" s="404"/>
      <c r="AB246" s="404"/>
      <c r="AC246" s="403"/>
      <c r="AD246" s="403"/>
      <c r="AE246" s="403"/>
      <c r="AF246" s="402"/>
      <c r="AG246" s="402"/>
      <c r="AH246" s="402"/>
      <c r="AI246" s="401"/>
      <c r="AJ246" s="437"/>
      <c r="AK246" s="438"/>
      <c r="AL246" s="438"/>
      <c r="AM246" s="444"/>
      <c r="AN246" s="445"/>
    </row>
    <row r="247" spans="1:41" ht="15" hidden="1" customHeight="1" x14ac:dyDescent="0.15">
      <c r="A247"/>
      <c r="B247" s="419" t="s">
        <v>5290</v>
      </c>
      <c r="C247" s="405" t="s">
        <v>5291</v>
      </c>
      <c r="D247" s="492">
        <v>17</v>
      </c>
      <c r="E247" s="493" t="str">
        <f t="shared" si="8"/>
        <v>U 11 Dames</v>
      </c>
      <c r="F247" s="423" t="s">
        <v>5302</v>
      </c>
      <c r="G247" s="425" t="s">
        <v>5173</v>
      </c>
      <c r="H247" s="428">
        <v>2028</v>
      </c>
      <c r="I247" s="439">
        <v>42520</v>
      </c>
      <c r="J247" s="416" t="s">
        <v>5295</v>
      </c>
      <c r="K247" s="430" t="s">
        <v>5296</v>
      </c>
      <c r="L247" s="39" t="s">
        <v>5297</v>
      </c>
      <c r="M247" s="532" t="s">
        <v>5298</v>
      </c>
      <c r="N247" s="413"/>
      <c r="O247" s="413"/>
      <c r="P247" s="412"/>
      <c r="Q247" s="412"/>
      <c r="R247" s="399"/>
      <c r="S247" s="72"/>
      <c r="T247" s="398"/>
      <c r="U247" s="400"/>
      <c r="V247" s="72"/>
      <c r="W247" s="404"/>
      <c r="X247" s="404"/>
      <c r="Y247" s="404"/>
      <c r="Z247" s="404"/>
      <c r="AA247" s="404"/>
      <c r="AB247" s="404"/>
      <c r="AC247" s="403"/>
      <c r="AD247" s="403"/>
      <c r="AE247" s="403"/>
      <c r="AF247" s="402"/>
      <c r="AG247" s="402"/>
      <c r="AH247" s="402"/>
      <c r="AI247" s="401"/>
      <c r="AJ247" s="400"/>
      <c r="AK247" s="400"/>
      <c r="AL247" s="400"/>
      <c r="AM247" s="72"/>
      <c r="AN247" s="411"/>
    </row>
    <row r="248" spans="1:41" ht="15" hidden="1" customHeight="1" x14ac:dyDescent="0.15">
      <c r="A248"/>
      <c r="B248" s="419" t="s">
        <v>4386</v>
      </c>
      <c r="C248" s="405" t="s">
        <v>5369</v>
      </c>
      <c r="D248" s="492">
        <v>17</v>
      </c>
      <c r="E248" s="493" t="str">
        <f t="shared" si="8"/>
        <v>U 11 Dames</v>
      </c>
      <c r="F248" s="568" t="s">
        <v>2805</v>
      </c>
      <c r="G248" s="425" t="s">
        <v>5173</v>
      </c>
      <c r="H248" s="428">
        <v>2028</v>
      </c>
      <c r="I248" s="439">
        <v>44268</v>
      </c>
      <c r="J248" s="416" t="s">
        <v>5370</v>
      </c>
      <c r="K248" s="414" t="s">
        <v>5371</v>
      </c>
      <c r="L248" s="430" t="s">
        <v>5372</v>
      </c>
      <c r="M248" s="532" t="s">
        <v>5373</v>
      </c>
      <c r="N248" s="413"/>
      <c r="O248" s="413"/>
      <c r="P248" s="412"/>
      <c r="Q248" s="412"/>
      <c r="R248" s="399"/>
      <c r="S248" s="72"/>
      <c r="T248" s="398"/>
      <c r="U248" s="400"/>
      <c r="V248" s="72"/>
      <c r="W248" s="404"/>
      <c r="X248" s="404"/>
      <c r="Y248" s="404"/>
      <c r="Z248" s="404"/>
      <c r="AA248" s="404"/>
      <c r="AB248" s="404"/>
      <c r="AC248" s="403"/>
      <c r="AD248" s="403"/>
      <c r="AE248" s="403"/>
      <c r="AF248" s="402"/>
      <c r="AG248" s="402"/>
      <c r="AH248" s="402"/>
      <c r="AI248" s="401"/>
      <c r="AJ248" s="400"/>
      <c r="AK248" s="400"/>
      <c r="AL248" s="400"/>
      <c r="AM248" s="72"/>
      <c r="AN248" s="411"/>
    </row>
    <row r="249" spans="1:41" ht="15" hidden="1" customHeight="1" x14ac:dyDescent="0.15">
      <c r="A249"/>
      <c r="B249" s="419" t="s">
        <v>1202</v>
      </c>
      <c r="C249" s="405" t="s">
        <v>5379</v>
      </c>
      <c r="D249" s="492">
        <v>21</v>
      </c>
      <c r="E249" s="493" t="str">
        <f t="shared" si="8"/>
        <v>U7 Mixte</v>
      </c>
      <c r="F249" s="568" t="s">
        <v>2805</v>
      </c>
      <c r="G249" s="425" t="s">
        <v>5173</v>
      </c>
      <c r="H249" s="428">
        <v>2030</v>
      </c>
      <c r="I249" s="439">
        <v>44948</v>
      </c>
      <c r="J249" s="416" t="s">
        <v>5382</v>
      </c>
      <c r="K249" s="414"/>
      <c r="L249" s="440">
        <v>691813046</v>
      </c>
      <c r="M249" s="532" t="s">
        <v>5383</v>
      </c>
      <c r="N249" s="413"/>
      <c r="O249" s="413"/>
      <c r="P249" s="412"/>
      <c r="Q249" s="412"/>
      <c r="R249" s="399"/>
      <c r="S249" s="72"/>
      <c r="T249" s="398"/>
      <c r="U249" s="400"/>
      <c r="V249" s="72"/>
      <c r="W249" s="404"/>
      <c r="X249" s="404"/>
      <c r="Y249" s="404"/>
      <c r="Z249" s="404"/>
      <c r="AA249" s="404"/>
      <c r="AB249" s="404"/>
      <c r="AC249" s="403"/>
      <c r="AD249" s="403"/>
      <c r="AE249" s="403"/>
      <c r="AF249" s="402"/>
      <c r="AG249" s="402"/>
      <c r="AH249" s="402"/>
      <c r="AI249" s="401"/>
      <c r="AJ249" s="400"/>
      <c r="AK249" s="400"/>
      <c r="AL249" s="400"/>
      <c r="AM249" s="72"/>
      <c r="AN249" s="411"/>
    </row>
    <row r="250" spans="1:41" ht="15" hidden="1" customHeight="1" x14ac:dyDescent="0.15">
      <c r="A250"/>
      <c r="B250" s="419" t="s">
        <v>4914</v>
      </c>
      <c r="C250" s="405" t="s">
        <v>4916</v>
      </c>
      <c r="D250" s="492">
        <v>6</v>
      </c>
      <c r="E250" s="493" t="str">
        <f t="shared" si="8"/>
        <v>U 13 Hommes</v>
      </c>
      <c r="F250" s="423" t="s">
        <v>4923</v>
      </c>
      <c r="G250" s="448"/>
      <c r="H250" s="617">
        <v>2025</v>
      </c>
      <c r="I250" s="439">
        <v>41345</v>
      </c>
      <c r="J250" s="433" t="s">
        <v>5289</v>
      </c>
      <c r="K250" s="435"/>
      <c r="L250" s="440">
        <v>621295056</v>
      </c>
      <c r="M250" s="436" t="s">
        <v>4921</v>
      </c>
      <c r="N250" s="413"/>
      <c r="O250" s="413"/>
      <c r="P250" s="400"/>
      <c r="Q250" s="412"/>
      <c r="R250" s="398"/>
      <c r="S250" s="72"/>
      <c r="T250" s="398"/>
      <c r="U250" s="400"/>
      <c r="V250" s="72"/>
      <c r="W250" s="404"/>
      <c r="X250" s="404"/>
      <c r="Y250" s="404"/>
      <c r="Z250" s="404"/>
      <c r="AA250" s="404"/>
      <c r="AB250" s="404"/>
      <c r="AC250" s="403"/>
      <c r="AD250" s="403"/>
      <c r="AE250" s="403"/>
      <c r="AF250" s="402"/>
      <c r="AG250" s="402"/>
      <c r="AH250" s="402"/>
      <c r="AI250" s="401"/>
      <c r="AJ250" s="437"/>
      <c r="AK250" s="438"/>
      <c r="AL250" s="438"/>
      <c r="AM250" s="444"/>
      <c r="AN250" s="445"/>
    </row>
    <row r="251" spans="1:41" ht="15" hidden="1" customHeight="1" x14ac:dyDescent="0.15">
      <c r="A251"/>
      <c r="B251" s="419" t="s">
        <v>4478</v>
      </c>
      <c r="C251" s="405" t="s">
        <v>4479</v>
      </c>
      <c r="D251" s="492">
        <v>6</v>
      </c>
      <c r="E251" s="493" t="str">
        <f t="shared" si="8"/>
        <v>U 13 Hommes</v>
      </c>
      <c r="F251" s="423" t="s">
        <v>4495</v>
      </c>
      <c r="G251" s="448"/>
      <c r="H251" s="428">
        <v>2028</v>
      </c>
      <c r="I251" s="439">
        <v>41393</v>
      </c>
      <c r="J251" s="433" t="s">
        <v>4485</v>
      </c>
      <c r="K251" s="435" t="s">
        <v>4486</v>
      </c>
      <c r="L251" s="440" t="s">
        <v>4488</v>
      </c>
      <c r="M251" s="350" t="s">
        <v>4487</v>
      </c>
      <c r="N251" s="413"/>
      <c r="O251" s="413"/>
      <c r="P251" s="400"/>
      <c r="Q251" s="412"/>
      <c r="R251" s="398"/>
      <c r="S251" s="72"/>
      <c r="T251" s="398"/>
      <c r="U251" s="400"/>
      <c r="V251" s="72"/>
      <c r="W251" s="404"/>
      <c r="X251" s="404"/>
      <c r="Y251" s="404"/>
      <c r="Z251" s="404"/>
      <c r="AA251" s="404"/>
      <c r="AB251" s="404"/>
      <c r="AC251" s="403"/>
      <c r="AD251" s="403"/>
      <c r="AE251" s="403"/>
      <c r="AF251" s="402"/>
      <c r="AG251" s="402"/>
      <c r="AH251" s="402"/>
      <c r="AI251" s="401"/>
      <c r="AJ251" s="437"/>
      <c r="AK251" s="438"/>
      <c r="AL251" s="438"/>
      <c r="AM251" s="444"/>
      <c r="AN251" s="445"/>
    </row>
    <row r="252" spans="1:41" ht="15" hidden="1" customHeight="1" x14ac:dyDescent="0.15">
      <c r="A252"/>
      <c r="B252" s="555" t="s">
        <v>1181</v>
      </c>
      <c r="C252" s="556" t="s">
        <v>488</v>
      </c>
      <c r="D252" s="492">
        <v>2</v>
      </c>
      <c r="E252" s="493" t="str">
        <f t="shared" si="8"/>
        <v>Seniors - Hommes</v>
      </c>
      <c r="F252" s="545" t="s">
        <v>3084</v>
      </c>
      <c r="G252" s="580" t="s">
        <v>5255</v>
      </c>
      <c r="H252" s="564">
        <v>2033</v>
      </c>
      <c r="I252" s="622">
        <v>37908</v>
      </c>
      <c r="J252" s="695" t="s">
        <v>2685</v>
      </c>
      <c r="K252" s="547"/>
      <c r="L252" s="582" t="s">
        <v>2686</v>
      </c>
      <c r="M252" s="566" t="s">
        <v>2815</v>
      </c>
      <c r="N252" s="538"/>
      <c r="O252" s="413"/>
      <c r="P252" s="531"/>
      <c r="Q252" s="531"/>
      <c r="R252" s="546"/>
      <c r="S252" s="547"/>
      <c r="T252" s="548"/>
      <c r="U252" s="549"/>
      <c r="V252" s="547"/>
      <c r="W252" s="550"/>
      <c r="X252" s="550"/>
      <c r="Y252" s="550"/>
      <c r="Z252" s="550"/>
      <c r="AA252" s="550"/>
      <c r="AB252" s="550"/>
      <c r="AC252" s="551"/>
      <c r="AD252" s="551"/>
      <c r="AE252" s="551"/>
      <c r="AF252" s="552"/>
      <c r="AG252" s="552"/>
      <c r="AH252" s="552"/>
      <c r="AI252" s="553"/>
      <c r="AJ252" s="549"/>
      <c r="AK252" s="549"/>
      <c r="AL252" s="549"/>
      <c r="AM252" s="547"/>
      <c r="AN252" s="554"/>
      <c r="AO252" s="111"/>
    </row>
    <row r="253" spans="1:41" ht="15" hidden="1" customHeight="1" x14ac:dyDescent="0.15">
      <c r="A253"/>
      <c r="B253" s="419" t="s">
        <v>1183</v>
      </c>
      <c r="C253" s="405" t="s">
        <v>3729</v>
      </c>
      <c r="D253" s="492">
        <v>2</v>
      </c>
      <c r="E253" s="493" t="str">
        <f t="shared" si="8"/>
        <v>Seniors - Hommes</v>
      </c>
      <c r="F253" s="423" t="s">
        <v>3739</v>
      </c>
      <c r="G253" s="571"/>
      <c r="H253" s="428">
        <v>2030</v>
      </c>
      <c r="I253" s="439">
        <v>33196</v>
      </c>
      <c r="J253" s="433" t="s">
        <v>3733</v>
      </c>
      <c r="K253" s="435"/>
      <c r="L253" s="440">
        <v>621452453</v>
      </c>
      <c r="M253" s="578" t="s">
        <v>3734</v>
      </c>
      <c r="N253" s="413"/>
      <c r="O253" s="413"/>
      <c r="P253" s="400"/>
      <c r="Q253" s="412"/>
      <c r="R253" s="398"/>
      <c r="S253" s="72"/>
      <c r="T253" s="398"/>
      <c r="U253" s="400"/>
      <c r="V253" s="72"/>
      <c r="W253" s="404"/>
      <c r="X253" s="404"/>
      <c r="Y253" s="404"/>
      <c r="Z253" s="404"/>
      <c r="AA253" s="404"/>
      <c r="AB253" s="404"/>
      <c r="AC253" s="403"/>
      <c r="AD253" s="403"/>
      <c r="AE253" s="403"/>
      <c r="AF253" s="402"/>
      <c r="AG253" s="402"/>
      <c r="AH253" s="402"/>
      <c r="AI253" s="401"/>
      <c r="AJ253" s="437"/>
      <c r="AK253" s="438"/>
      <c r="AL253" s="438"/>
      <c r="AM253" s="444"/>
      <c r="AN253" s="445"/>
    </row>
    <row r="254" spans="1:41" ht="15" customHeight="1" x14ac:dyDescent="0.15">
      <c r="A254" s="703"/>
      <c r="B254" s="419" t="s">
        <v>4681</v>
      </c>
      <c r="C254" s="405" t="s">
        <v>4682</v>
      </c>
      <c r="D254" s="492">
        <v>9</v>
      </c>
      <c r="E254" s="493" t="str">
        <f t="shared" si="8"/>
        <v>Vétérans - Hommes</v>
      </c>
      <c r="F254" s="423" t="s">
        <v>4715</v>
      </c>
      <c r="G254" s="469"/>
      <c r="H254" s="428">
        <v>2026</v>
      </c>
      <c r="I254" s="439">
        <v>29733</v>
      </c>
      <c r="J254" s="433" t="s">
        <v>4686</v>
      </c>
      <c r="K254" s="435"/>
      <c r="L254" s="440">
        <v>691569890</v>
      </c>
      <c r="M254" s="436" t="s">
        <v>4687</v>
      </c>
      <c r="N254" s="413"/>
      <c r="O254" s="413"/>
      <c r="P254" s="400"/>
      <c r="Q254" s="412"/>
      <c r="R254" s="398"/>
      <c r="S254" s="72"/>
      <c r="T254" s="398"/>
      <c r="U254" s="400"/>
      <c r="V254" s="72"/>
      <c r="W254" s="404"/>
      <c r="X254" s="404"/>
      <c r="Y254" s="404"/>
      <c r="Z254" s="404"/>
      <c r="AA254" s="404"/>
      <c r="AB254" s="404"/>
      <c r="AC254" s="403"/>
      <c r="AD254" s="403"/>
      <c r="AE254" s="403"/>
      <c r="AF254" s="402"/>
      <c r="AG254" s="402"/>
      <c r="AH254" s="402"/>
      <c r="AI254" s="401"/>
      <c r="AJ254" s="437"/>
      <c r="AK254" s="438"/>
      <c r="AL254" s="438"/>
      <c r="AM254" s="444"/>
      <c r="AN254" s="445"/>
    </row>
    <row r="255" spans="1:41" ht="15" hidden="1" customHeight="1" x14ac:dyDescent="0.15">
      <c r="A255"/>
      <c r="B255" s="419" t="s">
        <v>3984</v>
      </c>
      <c r="C255" s="405" t="s">
        <v>3985</v>
      </c>
      <c r="D255" s="492">
        <v>3</v>
      </c>
      <c r="E255" s="493" t="str">
        <f t="shared" si="8"/>
        <v>U 21 Hommes</v>
      </c>
      <c r="F255" s="423" t="s">
        <v>3993</v>
      </c>
      <c r="G255" s="469"/>
      <c r="H255" s="613">
        <v>2023</v>
      </c>
      <c r="I255" s="439">
        <v>39787</v>
      </c>
      <c r="J255" s="433" t="s">
        <v>3989</v>
      </c>
      <c r="K255" s="435"/>
      <c r="L255" s="440">
        <v>621472087</v>
      </c>
      <c r="M255" s="436" t="s">
        <v>3990</v>
      </c>
      <c r="N255" s="413"/>
      <c r="O255" s="413"/>
      <c r="P255" s="400"/>
      <c r="Q255" s="412"/>
      <c r="R255" s="398"/>
      <c r="S255" s="72"/>
      <c r="T255" s="398"/>
      <c r="U255" s="400"/>
      <c r="V255" s="72"/>
      <c r="W255" s="404"/>
      <c r="X255" s="404"/>
      <c r="Y255" s="404"/>
      <c r="Z255" s="404"/>
      <c r="AA255" s="404"/>
      <c r="AB255" s="404"/>
      <c r="AC255" s="403"/>
      <c r="AD255" s="403"/>
      <c r="AE255" s="403"/>
      <c r="AF255" s="402"/>
      <c r="AG255" s="402"/>
      <c r="AH255" s="402"/>
      <c r="AI255" s="401"/>
      <c r="AJ255" s="437"/>
      <c r="AK255" s="438"/>
      <c r="AL255" s="438"/>
      <c r="AM255" s="444"/>
      <c r="AN255" s="445"/>
    </row>
    <row r="256" spans="1:41" ht="15" hidden="1" customHeight="1" x14ac:dyDescent="0.15">
      <c r="A256"/>
      <c r="B256" s="419" t="s">
        <v>4646</v>
      </c>
      <c r="C256" s="405" t="s">
        <v>845</v>
      </c>
      <c r="D256" s="492">
        <v>21</v>
      </c>
      <c r="E256" s="493" t="str">
        <f t="shared" si="8"/>
        <v>U7 Mixte</v>
      </c>
      <c r="F256" s="423" t="s">
        <v>4674</v>
      </c>
      <c r="G256" s="448"/>
      <c r="H256" s="428">
        <v>2029</v>
      </c>
      <c r="I256" s="439">
        <v>44601</v>
      </c>
      <c r="J256" s="690" t="s">
        <v>4669</v>
      </c>
      <c r="K256" s="435" t="s">
        <v>4650</v>
      </c>
      <c r="L256" s="430" t="s">
        <v>4651</v>
      </c>
      <c r="M256" s="436" t="s">
        <v>4652</v>
      </c>
      <c r="N256" s="413"/>
      <c r="O256" s="413"/>
      <c r="P256" s="400"/>
      <c r="Q256" s="412"/>
      <c r="R256" s="398"/>
      <c r="S256" s="72"/>
      <c r="T256" s="398"/>
      <c r="U256" s="400"/>
      <c r="V256" s="72"/>
      <c r="W256" s="404"/>
      <c r="X256" s="404"/>
      <c r="Y256" s="404"/>
      <c r="Z256" s="404"/>
      <c r="AA256" s="404"/>
      <c r="AB256" s="404"/>
      <c r="AC256" s="403"/>
      <c r="AD256" s="403"/>
      <c r="AE256" s="403"/>
      <c r="AF256" s="402"/>
      <c r="AG256" s="402"/>
      <c r="AH256" s="402"/>
      <c r="AI256" s="401"/>
      <c r="AJ256" s="437"/>
      <c r="AK256" s="438"/>
      <c r="AL256" s="438"/>
      <c r="AM256" s="444"/>
      <c r="AN256" s="445"/>
    </row>
    <row r="257" spans="1:40" ht="15" hidden="1" customHeight="1" x14ac:dyDescent="0.15">
      <c r="A257"/>
      <c r="B257" s="419" t="s">
        <v>4646</v>
      </c>
      <c r="C257" s="405" t="s">
        <v>1488</v>
      </c>
      <c r="D257" s="492">
        <v>8</v>
      </c>
      <c r="E257" s="493" t="str">
        <f t="shared" si="8"/>
        <v xml:space="preserve">U 9 Hommes </v>
      </c>
      <c r="F257" s="423" t="s">
        <v>4673</v>
      </c>
      <c r="G257" s="448"/>
      <c r="H257" s="428">
        <v>2030</v>
      </c>
      <c r="I257" s="439">
        <v>43350</v>
      </c>
      <c r="J257" s="433" t="s">
        <v>4649</v>
      </c>
      <c r="K257" s="435" t="s">
        <v>4650</v>
      </c>
      <c r="L257" s="430" t="s">
        <v>4651</v>
      </c>
      <c r="M257" s="436" t="s">
        <v>4652</v>
      </c>
      <c r="N257" s="413"/>
      <c r="O257" s="413"/>
      <c r="P257" s="400"/>
      <c r="Q257" s="412"/>
      <c r="R257" s="398"/>
      <c r="S257" s="72"/>
      <c r="T257" s="398"/>
      <c r="U257" s="400"/>
      <c r="V257" s="72"/>
      <c r="W257" s="404"/>
      <c r="X257" s="404"/>
      <c r="Y257" s="404"/>
      <c r="Z257" s="404"/>
      <c r="AA257" s="404"/>
      <c r="AB257" s="404"/>
      <c r="AC257" s="403"/>
      <c r="AD257" s="403"/>
      <c r="AE257" s="403"/>
      <c r="AF257" s="402"/>
      <c r="AG257" s="402"/>
      <c r="AH257" s="402"/>
      <c r="AI257" s="401"/>
      <c r="AJ257" s="437"/>
      <c r="AK257" s="438"/>
      <c r="AL257" s="438"/>
      <c r="AM257" s="444"/>
      <c r="AN257" s="445"/>
    </row>
    <row r="258" spans="1:40" ht="15" customHeight="1" x14ac:dyDescent="0.15">
      <c r="A258" s="699"/>
      <c r="B258" s="419" t="s">
        <v>4654</v>
      </c>
      <c r="C258" s="405" t="s">
        <v>4656</v>
      </c>
      <c r="D258" s="492">
        <v>6</v>
      </c>
      <c r="E258" s="493" t="str">
        <f t="shared" si="8"/>
        <v>U 13 Hommes</v>
      </c>
      <c r="F258" s="423" t="s">
        <v>4670</v>
      </c>
      <c r="G258" s="448"/>
      <c r="H258" s="428">
        <v>2026</v>
      </c>
      <c r="I258" s="439">
        <v>41744</v>
      </c>
      <c r="J258" s="433" t="s">
        <v>4662</v>
      </c>
      <c r="K258" s="435" t="s">
        <v>4663</v>
      </c>
      <c r="L258" s="430" t="s">
        <v>4664</v>
      </c>
      <c r="M258" s="450" t="s">
        <v>4666</v>
      </c>
      <c r="N258" s="413"/>
      <c r="O258" s="413"/>
      <c r="P258" s="400"/>
      <c r="Q258" s="412"/>
      <c r="R258" s="398"/>
      <c r="S258" s="72"/>
      <c r="T258" s="398"/>
      <c r="U258" s="400"/>
      <c r="V258" s="72"/>
      <c r="W258" s="404"/>
      <c r="X258" s="404"/>
      <c r="Y258" s="404"/>
      <c r="Z258" s="404"/>
      <c r="AA258" s="404"/>
      <c r="AB258" s="404"/>
      <c r="AC258" s="403"/>
      <c r="AD258" s="403"/>
      <c r="AE258" s="403"/>
      <c r="AF258" s="402"/>
      <c r="AG258" s="402"/>
      <c r="AH258" s="402"/>
      <c r="AI258" s="401"/>
      <c r="AJ258" s="437"/>
      <c r="AK258" s="438"/>
      <c r="AL258" s="438"/>
      <c r="AM258" s="444"/>
      <c r="AN258" s="445"/>
    </row>
    <row r="259" spans="1:40" ht="15" hidden="1" customHeight="1" x14ac:dyDescent="0.15">
      <c r="A259"/>
      <c r="B259" s="419" t="s">
        <v>2837</v>
      </c>
      <c r="C259" s="405" t="s">
        <v>1029</v>
      </c>
      <c r="D259" s="492">
        <v>12</v>
      </c>
      <c r="E259" s="493" t="str">
        <f t="shared" si="8"/>
        <v>Dames</v>
      </c>
      <c r="F259" s="423" t="s">
        <v>2903</v>
      </c>
      <c r="G259" s="448"/>
      <c r="H259" s="613">
        <v>2023</v>
      </c>
      <c r="I259" s="439">
        <v>37686</v>
      </c>
      <c r="J259" s="433" t="s">
        <v>2841</v>
      </c>
      <c r="K259" s="435"/>
      <c r="L259" s="430" t="s">
        <v>2843</v>
      </c>
      <c r="M259" s="436"/>
      <c r="N259" s="413"/>
      <c r="O259" s="413"/>
      <c r="P259" s="400"/>
      <c r="Q259" s="412"/>
      <c r="R259" s="398"/>
      <c r="S259" s="72"/>
      <c r="T259" s="398"/>
      <c r="U259" s="400" t="s">
        <v>533</v>
      </c>
      <c r="V259" s="72"/>
      <c r="W259" s="468" t="s">
        <v>3163</v>
      </c>
      <c r="X259" s="404"/>
      <c r="Y259" s="404"/>
      <c r="Z259" s="404"/>
      <c r="AA259" s="404"/>
      <c r="AB259" s="404"/>
      <c r="AC259" s="403"/>
      <c r="AD259" s="403"/>
      <c r="AE259" s="403"/>
      <c r="AF259" s="402"/>
      <c r="AG259" s="402"/>
      <c r="AH259" s="402"/>
      <c r="AI259" s="401"/>
      <c r="AJ259" s="437"/>
      <c r="AK259" s="438"/>
      <c r="AL259" s="438"/>
      <c r="AM259" s="444"/>
      <c r="AN259" s="445"/>
    </row>
    <row r="260" spans="1:40" ht="15" hidden="1" customHeight="1" x14ac:dyDescent="0.15">
      <c r="A260"/>
      <c r="B260" s="419" t="s">
        <v>5010</v>
      </c>
      <c r="C260" s="405" t="s">
        <v>5011</v>
      </c>
      <c r="D260" s="492">
        <v>21</v>
      </c>
      <c r="E260" s="493" t="str">
        <f t="shared" si="8"/>
        <v>U7 Mixte</v>
      </c>
      <c r="F260" s="423" t="s">
        <v>5012</v>
      </c>
      <c r="G260" s="448"/>
      <c r="H260" s="428">
        <v>2029</v>
      </c>
      <c r="I260" s="439">
        <v>44575</v>
      </c>
      <c r="J260" s="433" t="s">
        <v>5013</v>
      </c>
      <c r="K260" s="435" t="s">
        <v>5015</v>
      </c>
      <c r="L260" s="430" t="s">
        <v>5016</v>
      </c>
      <c r="M260" s="436" t="s">
        <v>5014</v>
      </c>
      <c r="N260" s="413"/>
      <c r="O260" s="413"/>
      <c r="P260" s="400"/>
      <c r="Q260" s="412"/>
      <c r="R260" s="398"/>
      <c r="S260" s="72"/>
      <c r="T260" s="398"/>
      <c r="U260" s="400"/>
      <c r="V260" s="72"/>
      <c r="W260" s="404"/>
      <c r="X260" s="404"/>
      <c r="Y260" s="404"/>
      <c r="Z260" s="404"/>
      <c r="AA260" s="404"/>
      <c r="AB260" s="404"/>
      <c r="AC260" s="403"/>
      <c r="AD260" s="403"/>
      <c r="AE260" s="403"/>
      <c r="AF260" s="402"/>
      <c r="AG260" s="402"/>
      <c r="AH260" s="402"/>
      <c r="AI260" s="401"/>
      <c r="AJ260" s="437"/>
      <c r="AK260" s="438"/>
      <c r="AL260" s="438"/>
      <c r="AM260" s="444"/>
      <c r="AN260" s="445"/>
    </row>
    <row r="261" spans="1:40" ht="15" customHeight="1" x14ac:dyDescent="0.15">
      <c r="A261" s="700" t="s">
        <v>5490</v>
      </c>
      <c r="B261" s="419" t="s">
        <v>3184</v>
      </c>
      <c r="C261" s="405" t="s">
        <v>1203</v>
      </c>
      <c r="D261" s="492">
        <v>3</v>
      </c>
      <c r="E261" s="493" t="str">
        <f t="shared" si="8"/>
        <v>U 21 Hommes</v>
      </c>
      <c r="F261" s="423" t="s">
        <v>3224</v>
      </c>
      <c r="G261" s="425"/>
      <c r="H261" s="428">
        <v>2026</v>
      </c>
      <c r="I261" s="439">
        <v>38840</v>
      </c>
      <c r="J261" s="433" t="s">
        <v>3187</v>
      </c>
      <c r="K261" s="435"/>
      <c r="L261" s="430" t="s">
        <v>3190</v>
      </c>
      <c r="M261" s="679" t="s">
        <v>3193</v>
      </c>
      <c r="N261" s="413"/>
      <c r="O261" s="413"/>
      <c r="P261" s="400"/>
      <c r="Q261" s="412"/>
      <c r="R261" s="398"/>
      <c r="S261" s="72"/>
      <c r="T261" s="398"/>
      <c r="U261" s="400"/>
      <c r="V261" s="72"/>
      <c r="W261" s="404"/>
      <c r="X261" s="404"/>
      <c r="Y261" s="404"/>
      <c r="Z261" s="443" t="s">
        <v>347</v>
      </c>
      <c r="AA261" s="404"/>
      <c r="AB261" s="404"/>
      <c r="AC261" s="403"/>
      <c r="AD261" s="403"/>
      <c r="AE261" s="403"/>
      <c r="AF261" s="402"/>
      <c r="AG261" s="402"/>
      <c r="AH261" s="402"/>
      <c r="AI261" s="401"/>
      <c r="AJ261" s="437"/>
      <c r="AK261" s="438"/>
      <c r="AL261" s="438"/>
      <c r="AM261" s="444"/>
      <c r="AN261" s="445"/>
    </row>
    <row r="262" spans="1:40" ht="15" hidden="1" customHeight="1" x14ac:dyDescent="0.15">
      <c r="A262"/>
      <c r="B262" s="419" t="s">
        <v>4688</v>
      </c>
      <c r="C262" s="405" t="s">
        <v>4689</v>
      </c>
      <c r="D262" s="492">
        <v>21</v>
      </c>
      <c r="E262" s="493" t="str">
        <f t="shared" si="8"/>
        <v>U7 Mixte</v>
      </c>
      <c r="F262" s="423" t="s">
        <v>4791</v>
      </c>
      <c r="G262" s="425"/>
      <c r="H262" s="428">
        <v>2028</v>
      </c>
      <c r="I262" s="439">
        <v>44531</v>
      </c>
      <c r="J262" s="433" t="s">
        <v>4692</v>
      </c>
      <c r="K262" s="435" t="s">
        <v>4698</v>
      </c>
      <c r="L262" s="430" t="s">
        <v>4699</v>
      </c>
      <c r="M262" s="436" t="s">
        <v>4701</v>
      </c>
      <c r="N262" s="413"/>
      <c r="O262" s="413"/>
      <c r="P262" s="400"/>
      <c r="Q262" s="412"/>
      <c r="R262" s="398"/>
      <c r="S262" s="72"/>
      <c r="T262" s="398"/>
      <c r="U262" s="400"/>
      <c r="V262" s="72"/>
      <c r="W262" s="404"/>
      <c r="X262" s="404"/>
      <c r="Y262" s="404"/>
      <c r="Z262" s="404"/>
      <c r="AA262" s="404"/>
      <c r="AB262" s="404"/>
      <c r="AC262" s="403"/>
      <c r="AD262" s="403"/>
      <c r="AE262" s="403"/>
      <c r="AF262" s="402"/>
      <c r="AG262" s="402"/>
      <c r="AH262" s="402"/>
      <c r="AI262" s="401"/>
      <c r="AJ262" s="437"/>
      <c r="AK262" s="438"/>
      <c r="AL262" s="438"/>
      <c r="AM262" s="444"/>
      <c r="AN262" s="446" t="s">
        <v>252</v>
      </c>
    </row>
    <row r="17190" spans="1:45" s="39" customFormat="1" ht="12.75" customHeight="1" x14ac:dyDescent="0.15">
      <c r="A17190" s="388"/>
      <c r="B17190" s="348"/>
      <c r="C17190" s="348"/>
      <c r="D17190" s="494"/>
      <c r="E17190" s="495"/>
      <c r="F17190" s="391"/>
      <c r="G17190" s="426"/>
      <c r="H17190" s="388"/>
      <c r="I17190" s="385"/>
      <c r="J17190" s="385"/>
      <c r="K17190" s="63"/>
      <c r="M17190"/>
      <c r="N17190" s="236"/>
      <c r="O17190" s="236"/>
      <c r="R17190" s="388"/>
      <c r="S17190"/>
      <c r="T17190"/>
      <c r="U17190"/>
      <c r="V17190"/>
      <c r="W17190" s="60"/>
      <c r="X17190" s="60"/>
      <c r="Y17190" s="60"/>
      <c r="Z17190" s="60"/>
      <c r="AA17190" s="60"/>
      <c r="AB17190" s="60"/>
      <c r="AC17190" s="140"/>
      <c r="AD17190" s="140"/>
      <c r="AE17190" s="140"/>
      <c r="AF17190" s="233"/>
      <c r="AG17190" s="233"/>
      <c r="AH17190" s="233"/>
      <c r="AI17190" s="234"/>
      <c r="AJ17190"/>
      <c r="AK17190"/>
      <c r="AL17190"/>
      <c r="AM17190"/>
      <c r="AN17190" s="159"/>
      <c r="AO17190"/>
      <c r="AP17190"/>
      <c r="AQ17190"/>
      <c r="AR17190"/>
      <c r="AS17190"/>
    </row>
    <row r="17191" spans="1:45" s="39" customFormat="1" ht="12.75" customHeight="1" x14ac:dyDescent="0.15">
      <c r="A17191" s="388"/>
      <c r="B17191" s="348"/>
      <c r="C17191" s="348"/>
      <c r="D17191" s="494"/>
      <c r="E17191" s="495"/>
      <c r="F17191" s="391"/>
      <c r="G17191" s="426"/>
      <c r="H17191" s="388"/>
      <c r="I17191" s="385"/>
      <c r="J17191" s="385"/>
      <c r="K17191" s="40" t="s">
        <v>252</v>
      </c>
      <c r="M17191"/>
      <c r="N17191" s="236"/>
      <c r="O17191" s="236"/>
      <c r="R17191" s="388"/>
      <c r="S17191"/>
      <c r="T17191"/>
      <c r="U17191"/>
      <c r="V17191"/>
      <c r="W17191" s="60"/>
      <c r="X17191" s="60"/>
      <c r="Y17191" s="60"/>
      <c r="Z17191" s="60"/>
      <c r="AA17191" s="60"/>
      <c r="AB17191" s="60"/>
      <c r="AC17191" s="140"/>
      <c r="AD17191" s="140"/>
      <c r="AE17191" s="140"/>
      <c r="AF17191" s="233"/>
      <c r="AG17191" s="233"/>
      <c r="AH17191" s="233"/>
      <c r="AI17191" s="234"/>
      <c r="AJ17191"/>
      <c r="AK17191"/>
      <c r="AL17191"/>
      <c r="AM17191"/>
      <c r="AN17191" s="159"/>
      <c r="AO17191"/>
      <c r="AP17191"/>
      <c r="AQ17191"/>
      <c r="AR17191"/>
      <c r="AS17191"/>
    </row>
    <row r="17192" spans="1:45" s="39" customFormat="1" ht="12.75" customHeight="1" x14ac:dyDescent="0.15">
      <c r="A17192" s="388"/>
      <c r="B17192" s="348"/>
      <c r="C17192" s="348"/>
      <c r="D17192" s="494"/>
      <c r="E17192" s="495"/>
      <c r="F17192" s="391"/>
      <c r="G17192" s="426"/>
      <c r="H17192" s="388"/>
      <c r="I17192" s="385"/>
      <c r="J17192" s="385"/>
      <c r="K17192" s="40"/>
      <c r="M17192"/>
      <c r="N17192" s="236"/>
      <c r="O17192" s="236"/>
      <c r="R17192" s="388"/>
      <c r="S17192"/>
      <c r="T17192"/>
      <c r="U17192"/>
      <c r="V17192"/>
      <c r="W17192" s="60"/>
      <c r="X17192" s="60"/>
      <c r="Y17192" s="60"/>
      <c r="Z17192" s="60"/>
      <c r="AA17192" s="60"/>
      <c r="AB17192" s="60"/>
      <c r="AC17192" s="140"/>
      <c r="AD17192" s="140"/>
      <c r="AE17192" s="140"/>
      <c r="AF17192" s="233"/>
      <c r="AG17192" s="233"/>
      <c r="AH17192" s="233"/>
      <c r="AI17192" s="234"/>
      <c r="AJ17192"/>
      <c r="AK17192"/>
      <c r="AL17192"/>
      <c r="AM17192"/>
      <c r="AN17192" s="159"/>
      <c r="AO17192"/>
      <c r="AP17192"/>
      <c r="AQ17192"/>
      <c r="AR17192"/>
      <c r="AS17192"/>
    </row>
    <row r="17193" spans="1:45" s="39" customFormat="1" ht="12.75" customHeight="1" x14ac:dyDescent="0.15">
      <c r="A17193" s="388"/>
      <c r="B17193" s="348"/>
      <c r="C17193" s="348"/>
      <c r="D17193" s="494"/>
      <c r="E17193" s="495"/>
      <c r="F17193" s="391"/>
      <c r="G17193" s="426"/>
      <c r="H17193" s="388"/>
      <c r="I17193" s="385"/>
      <c r="J17193" s="385"/>
      <c r="K17193" s="40" t="s">
        <v>252</v>
      </c>
      <c r="M17193"/>
      <c r="N17193" s="236"/>
      <c r="O17193" s="236"/>
      <c r="R17193" s="388"/>
      <c r="S17193"/>
      <c r="T17193"/>
      <c r="U17193"/>
      <c r="V17193"/>
      <c r="W17193" s="60"/>
      <c r="X17193" s="60"/>
      <c r="Y17193" s="60"/>
      <c r="Z17193" s="60"/>
      <c r="AA17193" s="60"/>
      <c r="AB17193" s="60"/>
      <c r="AC17193" s="140"/>
      <c r="AD17193" s="140"/>
      <c r="AE17193" s="140"/>
      <c r="AF17193" s="233"/>
      <c r="AG17193" s="233"/>
      <c r="AH17193" s="233"/>
      <c r="AI17193" s="234"/>
      <c r="AJ17193"/>
      <c r="AK17193"/>
      <c r="AL17193"/>
      <c r="AM17193"/>
      <c r="AN17193" s="159"/>
      <c r="AO17193"/>
      <c r="AP17193"/>
      <c r="AQ17193"/>
      <c r="AR17193"/>
      <c r="AS17193"/>
    </row>
  </sheetData>
  <autoFilter ref="B1:AN262" xr:uid="{DF8BA62E-FCAF-4C0A-BCB7-21D18FFE2076}">
    <filterColumn colId="4">
      <filters>
        <filter val="100027"/>
        <filter val="100216"/>
        <filter val="100666"/>
        <filter val="100744"/>
        <filter val="100763"/>
        <filter val="100778"/>
        <filter val="100781"/>
        <filter val="130450"/>
        <filter val="400134"/>
        <filter val="400162"/>
        <filter val="400209"/>
        <filter val="400605"/>
        <filter val="400648"/>
        <filter val="400772"/>
        <filter val="400860"/>
        <filter val="401008"/>
        <filter val="401085"/>
        <filter val="401086"/>
        <filter val="401110"/>
        <filter val="401111"/>
        <filter val="401135"/>
        <filter val="401157"/>
        <filter val="401332"/>
        <filter val="401508"/>
        <filter val="401525"/>
        <filter val="401603"/>
        <filter val="401611"/>
        <filter val="402004"/>
        <filter val="402087"/>
        <filter val="402088"/>
        <filter val="402185"/>
        <filter val="402200"/>
        <filter val="402519"/>
        <filter val="402777"/>
        <filter val="402846"/>
        <filter val="402857"/>
        <filter val="402861"/>
        <filter val="402978"/>
        <filter val="403008"/>
        <filter val="403225"/>
      </filters>
    </filterColumn>
    <filterColumn colId="6">
      <filters>
        <filter val="2026"/>
      </filters>
    </filterColumn>
    <sortState xmlns:xlrd2="http://schemas.microsoft.com/office/spreadsheetml/2017/richdata2" ref="B2:AN108">
      <sortCondition ref="B2:B108"/>
      <sortCondition ref="C2:C108"/>
    </sortState>
  </autoFilter>
  <hyperlinks>
    <hyperlink ref="M14" r:id="rId1" xr:uid="{04AA4BBD-8B36-4BB7-ADE0-283CFF5AB265}"/>
    <hyperlink ref="M25" r:id="rId2" xr:uid="{31960861-69ED-442C-A4C7-1E0091A5D352}"/>
    <hyperlink ref="M39" r:id="rId3" xr:uid="{2A9A2A9B-07F6-4A6E-A34F-6793A1429B30}"/>
    <hyperlink ref="M49" r:id="rId4" xr:uid="{28BC037D-9B6F-43B0-90F1-623AFE369765}"/>
    <hyperlink ref="M50" r:id="rId5" xr:uid="{E372D324-1E80-432E-9F7D-442899C5E15A}"/>
    <hyperlink ref="M66" r:id="rId6" xr:uid="{E2626359-D542-4E0B-98F5-921398A9CB42}"/>
    <hyperlink ref="M72" r:id="rId7" xr:uid="{F700108E-0942-4FD8-9E32-0EC4E34F5409}"/>
    <hyperlink ref="M88" r:id="rId8" xr:uid="{2DA432B2-A63B-431C-924C-8B2BF4BAFD43}"/>
    <hyperlink ref="M90" r:id="rId9" xr:uid="{6C827E12-CCD8-4D47-9A75-D601A10A0D25}"/>
    <hyperlink ref="M99" r:id="rId10" xr:uid="{95EA09D2-808A-4288-85DC-C69F633BED3D}"/>
    <hyperlink ref="M125" r:id="rId11" xr:uid="{CFEB3ACD-5C17-4B0F-8176-BA31B5F12387}"/>
    <hyperlink ref="M135" r:id="rId12" xr:uid="{15F36F48-0951-495E-BE90-BE5302105B4D}"/>
    <hyperlink ref="M137" r:id="rId13" xr:uid="{EA0D75C2-B59F-4A13-AFAF-5C58B9525BE9}"/>
    <hyperlink ref="M51" r:id="rId14" xr:uid="{1EF9923B-21BB-46F8-86C7-9CA05253E952}"/>
    <hyperlink ref="M157" r:id="rId15" xr:uid="{01E14B25-BA56-48C7-8543-6E5391D96D46}"/>
    <hyperlink ref="M159" r:id="rId16" display="joelrollinger@yahoo.de" xr:uid="{EF1B6EAE-AAA1-4008-863C-7A3A68EE8579}"/>
    <hyperlink ref="M161" r:id="rId17" xr:uid="{A5A1FA9E-68E3-4303-BB12-4206126B0196}"/>
    <hyperlink ref="M162" r:id="rId18" xr:uid="{758C011F-BB8F-4E4C-AB2A-E679998C5750}"/>
    <hyperlink ref="M163" r:id="rId19" xr:uid="{ED60A654-0D33-4CE1-B70D-E295313DFA51}"/>
    <hyperlink ref="M165" r:id="rId20" xr:uid="{E913C86A-761B-401E-8749-9F49BF9BF3DA}"/>
    <hyperlink ref="M170" r:id="rId21" xr:uid="{4C13CD9D-6BF8-4B95-86DA-09A7B832503D}"/>
    <hyperlink ref="M175" r:id="rId22" xr:uid="{F3CC36EB-FC9E-4998-B637-17A63FC125DA}"/>
    <hyperlink ref="M178" r:id="rId23" xr:uid="{A1AA225B-158E-48BE-A650-647C8C295F65}"/>
    <hyperlink ref="M184" r:id="rId24" xr:uid="{D57777FD-B25F-412D-97CE-9C4FB9274CC6}"/>
    <hyperlink ref="M191" r:id="rId25" xr:uid="{F1435425-058A-498A-884E-FA54727351AD}"/>
    <hyperlink ref="M201" r:id="rId26" xr:uid="{6C3603E3-0A95-44C3-8B5A-B5C0C0564984}"/>
    <hyperlink ref="M204" r:id="rId27" xr:uid="{7C5A2D0D-4D07-48D6-8E4A-A270FCBF07FE}"/>
    <hyperlink ref="M213" r:id="rId28" xr:uid="{78CD2A3D-93D2-4EF8-BC4F-08505A7BF3C0}"/>
    <hyperlink ref="M227" r:id="rId29" xr:uid="{21CB6BF2-535A-4C1B-A6DF-4D9924D5B829}"/>
    <hyperlink ref="M232" r:id="rId30" xr:uid="{41C52DE0-95E0-4897-A3D6-681DFA7336CA}"/>
    <hyperlink ref="M233" r:id="rId31" xr:uid="{248DE8BF-FE3A-4597-B391-9A3E1E790F4A}"/>
    <hyperlink ref="M243" r:id="rId32" xr:uid="{DD21EBC6-7E5E-4376-B3AC-8A3CF5D44A2D}"/>
    <hyperlink ref="M147" r:id="rId33" xr:uid="{32C7D689-88D1-4920-AE01-6ED3C35C3113}"/>
    <hyperlink ref="M74" r:id="rId34" xr:uid="{05E25FE7-BAD2-4926-B3FB-DBDC1FFADFA1}"/>
    <hyperlink ref="M174" r:id="rId35" xr:uid="{A9C51787-9B4D-4BFA-B503-4422B23158BD}"/>
    <hyperlink ref="M198" r:id="rId36" xr:uid="{7393D26A-239E-4D2D-B88F-2C25B03F370F}"/>
    <hyperlink ref="M183" r:id="rId37" xr:uid="{B9720D01-3BFB-402A-8A47-F089F7740B58}"/>
    <hyperlink ref="M146" r:id="rId38" xr:uid="{8C51A650-C338-4798-82B0-D90AEB8AD3AC}"/>
    <hyperlink ref="M140" r:id="rId39" xr:uid="{D2896C62-700B-4D01-882F-57A54D7E66D0}"/>
    <hyperlink ref="M261" r:id="rId40" xr:uid="{5D811082-4D01-4590-9A71-108C79DD0568}"/>
    <hyperlink ref="M22" r:id="rId41" xr:uid="{77FF5648-1807-400E-9F82-61E8E6933AA1}"/>
    <hyperlink ref="M206" r:id="rId42" xr:uid="{776230D1-A0E8-4766-A55B-3F88F439885C}"/>
    <hyperlink ref="M207" r:id="rId43" xr:uid="{6AB7409A-ED90-4030-9299-218C00B92B78}"/>
    <hyperlink ref="M240" r:id="rId44" display="jilleydt@pt.lu" xr:uid="{CEE48C72-1F83-4A34-A77F-C6FF04DF3A99}"/>
    <hyperlink ref="M144" r:id="rId45" xr:uid="{06AB4CB2-FE3B-426B-8B4D-74EE56F428FC}"/>
    <hyperlink ref="M152" r:id="rId46" xr:uid="{4E6B9B03-ED52-4215-AB91-40E619D3BEDA}"/>
    <hyperlink ref="M219" r:id="rId47" xr:uid="{01F9CB35-5ACE-453F-B7A8-9A4D49D12788}"/>
    <hyperlink ref="M176" r:id="rId48" xr:uid="{68EC35E9-2A76-46EF-BB2C-4DD9166DBE7A}"/>
    <hyperlink ref="M141" r:id="rId49" xr:uid="{99046DB9-B6E9-4163-9BAA-5F52A60D786D}"/>
    <hyperlink ref="M139" r:id="rId50" xr:uid="{B0D8957F-53CD-40C8-9427-AFE668983554}"/>
    <hyperlink ref="M138" r:id="rId51" xr:uid="{5D82C29A-5557-467B-8147-CBA3BFC81DC4}"/>
    <hyperlink ref="M84" r:id="rId52" xr:uid="{6469DDA3-09D9-49E9-BB18-FFCF7083B801}"/>
    <hyperlink ref="M55" r:id="rId53" xr:uid="{A9F6CC16-27B8-4470-92D4-CF74AFA95B8A}"/>
    <hyperlink ref="M28" r:id="rId54" xr:uid="{F4820EB4-E9D6-459B-B2D0-D9C63907770D}"/>
    <hyperlink ref="M154" r:id="rId55" xr:uid="{E5C018D8-9F96-4156-8836-E59E1B3CB9C0}"/>
    <hyperlink ref="M155" r:id="rId56" xr:uid="{46344AEF-0088-4968-A009-29847C1634AB}"/>
    <hyperlink ref="M216" r:id="rId57" xr:uid="{13BF5512-0F4D-423A-9D27-D395C94D14A9}"/>
    <hyperlink ref="M132" r:id="rId58" xr:uid="{FCB01769-F93C-46E3-B89A-F8759FF9364C}"/>
    <hyperlink ref="M103" r:id="rId59" xr:uid="{9AB6DEB5-ADA3-41B4-966F-075F04FEB660}"/>
    <hyperlink ref="M83" r:id="rId60" xr:uid="{1FABB5EC-5391-402D-B430-D411E2FA71F1}"/>
    <hyperlink ref="M97" r:id="rId61" display="jetti.rossy@education.lu" xr:uid="{1E40D1CA-D5C7-4018-8840-8E8183120E47}"/>
    <hyperlink ref="M131" r:id="rId62" xr:uid="{800280BD-5A48-465F-8AA8-D42E4E171F4C}"/>
    <hyperlink ref="M86" r:id="rId63" xr:uid="{435ECD76-FD1A-4872-97DA-1ABE93BD2FC3}"/>
    <hyperlink ref="M186" r:id="rId64" xr:uid="{B437165C-6F93-4734-B8E1-ACEEDD60D64F}"/>
    <hyperlink ref="M43" r:id="rId65" xr:uid="{CAFD407A-2BBF-4110-90F3-458AF4383A8F}"/>
    <hyperlink ref="M133" r:id="rId66" xr:uid="{5F386923-E187-42CC-960E-2DE71FB5C6F1}"/>
    <hyperlink ref="M150" r:id="rId67" xr:uid="{96D0F549-DBE3-439C-ADE1-484893EB1B35}"/>
    <hyperlink ref="M85" r:id="rId68" xr:uid="{D02608FB-9C3F-4946-8769-C53C5C61274E}"/>
    <hyperlink ref="M253" r:id="rId69" xr:uid="{653D723D-B89E-4337-A866-FA691CCD3052}"/>
    <hyperlink ref="M114" r:id="rId70" xr:uid="{0B15F0FD-1D0C-4212-9C8E-3C8680D6C370}"/>
    <hyperlink ref="M63" r:id="rId71" xr:uid="{D005611D-87FD-4D80-BFC5-3256781B0465}"/>
    <hyperlink ref="M116" r:id="rId72" xr:uid="{E5260E03-854F-4AB3-817C-5A29CC0BFBDE}"/>
    <hyperlink ref="M115" r:id="rId73" xr:uid="{46D3B4F0-9990-427F-B88F-B158DF8811FB}"/>
    <hyperlink ref="M12" r:id="rId74" xr:uid="{9E6790F6-91E1-473E-A611-AD62B20AECDA}"/>
    <hyperlink ref="M27" r:id="rId75" xr:uid="{B1295E81-7CD7-4331-8309-4A8231BE44D3}"/>
    <hyperlink ref="M188" r:id="rId76" xr:uid="{01F7A188-4881-4E77-AC43-52FA6A0730BE}"/>
    <hyperlink ref="M215" r:id="rId77" xr:uid="{F33D7C8A-320A-4CB6-8455-969BBB594BF2}"/>
    <hyperlink ref="M246" r:id="rId78" xr:uid="{B3BCB6E1-F374-40D7-8B4F-FE1C20E0C4EF}"/>
    <hyperlink ref="M202" r:id="rId79" xr:uid="{B86F7623-FE57-4B4D-9A66-1EF0941F3C64}"/>
    <hyperlink ref="M56" r:id="rId80" xr:uid="{27697A72-6825-4ADD-983F-398351D74B9A}"/>
    <hyperlink ref="M156" r:id="rId81" xr:uid="{23F7C4FC-21B2-4E3E-B8E5-4471286AC47C}"/>
    <hyperlink ref="M61" r:id="rId82" xr:uid="{B4563A28-645C-411D-B3EE-F82C3A51728B}"/>
    <hyperlink ref="M148" r:id="rId83" xr:uid="{260313D3-2A6B-43B1-9E2C-1216ECACB852}"/>
    <hyperlink ref="M134" r:id="rId84" xr:uid="{DD72FF3C-27FF-4F2B-AD1C-6F49F6CB43CA}"/>
    <hyperlink ref="M79" r:id="rId85" xr:uid="{39AC07D2-DCFD-4840-AB8A-37E987D346C5}"/>
    <hyperlink ref="M57" r:id="rId86" xr:uid="{4FBC7D4D-C671-4ED5-A45E-A72EBA6176A8}"/>
    <hyperlink ref="M19" r:id="rId87" xr:uid="{7993ADFA-C74B-4CEA-8584-FA216A4CE6EF}"/>
    <hyperlink ref="M123" r:id="rId88" display="molitort@pt.lu" xr:uid="{61879B7B-2AE1-4A20-862F-49DF16D16450}"/>
    <hyperlink ref="M73" r:id="rId89" xr:uid="{4289C187-F37A-4ABD-80C6-2954D68AD45C}"/>
    <hyperlink ref="M38" r:id="rId90" xr:uid="{9BA90881-4D2E-43E6-ADAF-B24D9B6DD9C0}"/>
    <hyperlink ref="M160" r:id="rId91" xr:uid="{646497E9-1439-4807-A3AD-B7A68C0A0080}"/>
    <hyperlink ref="M37" r:id="rId92" xr:uid="{FC9D3BF6-510D-44AD-A876-27C92DE396C5}"/>
    <hyperlink ref="M255" r:id="rId93" xr:uid="{697C4107-0F35-4D6C-B043-35292BE2CC2F}"/>
    <hyperlink ref="M54" r:id="rId94" xr:uid="{F413FCF5-766A-4714-9266-046D590E63BB}"/>
    <hyperlink ref="M235" r:id="rId95" xr:uid="{016D6A6A-D280-4D48-9BDE-9FF2D4C00CC6}"/>
    <hyperlink ref="M58" r:id="rId96" xr:uid="{529C5627-23D1-45CB-8952-E5826917FDAF}"/>
    <hyperlink ref="M166" r:id="rId97" xr:uid="{5A2104E1-64FB-4CC4-B842-BC3C094A332A}"/>
    <hyperlink ref="M67" r:id="rId98" xr:uid="{8CE46052-B90E-4C12-BB7E-E6BC5B5D8982}"/>
    <hyperlink ref="M15" r:id="rId99" xr:uid="{2541CFA5-3ED2-4E54-A56B-AE0E72A9BFC2}"/>
    <hyperlink ref="M142" r:id="rId100" xr:uid="{6826FF3A-8273-439A-80CF-961D8356435F}"/>
    <hyperlink ref="M169" r:id="rId101" xr:uid="{7B09C114-07D9-450E-B73D-6C97320074B2}"/>
    <hyperlink ref="M106" r:id="rId102" xr:uid="{FDAD7441-A1AF-4E04-BD7B-B8960B755314}"/>
    <hyperlink ref="M36" r:id="rId103" xr:uid="{98276EB1-B281-4368-B3F0-E10D217C159D}"/>
    <hyperlink ref="M70" r:id="rId104" xr:uid="{7FD9C48C-503A-4A60-A635-C9AD311AF707}"/>
    <hyperlink ref="M136" r:id="rId105" display="adoberdolani@gmail.com" xr:uid="{627D4B2D-5D7A-4C1F-B001-8A258A5D41C0}"/>
    <hyperlink ref="K119" r:id="rId106" xr:uid="{1F3ADA2D-8C58-49D5-903A-5487AC974769}"/>
    <hyperlink ref="M194" r:id="rId107" xr:uid="{4B781CEE-FE43-44E5-A525-182FAAB57593}"/>
    <hyperlink ref="M212" r:id="rId108" xr:uid="{89E404D8-1EF1-4468-86F7-3E5E1A88B368}"/>
    <hyperlink ref="M2" r:id="rId109" xr:uid="{4068B200-8226-44AB-B53E-C13CA1A67F2E}"/>
    <hyperlink ref="M225" r:id="rId110" xr:uid="{9783FCFE-F74F-4B37-9F4E-FFBA82281E91}"/>
    <hyperlink ref="M141:M142" r:id="rId111" display="flament.ma@gmail.com" xr:uid="{24BCD25C-53BA-41CA-8017-5FA9CB0D2966}"/>
    <hyperlink ref="M117" r:id="rId112" xr:uid="{693C8050-34CE-46F7-9AC1-AE3EED4649E0}"/>
    <hyperlink ref="M45" r:id="rId113" xr:uid="{25298F90-EFBC-4279-AEB3-4D0C81FDC9F0}"/>
    <hyperlink ref="M193" r:id="rId114" xr:uid="{E3996E4D-AA96-4136-8511-CFA8D3568E1A}"/>
    <hyperlink ref="M80" r:id="rId115" xr:uid="{B503B1B9-1257-472A-BFD7-6DCF5AFBFB20}"/>
    <hyperlink ref="M127" r:id="rId116" xr:uid="{29CD6E07-67D5-4ED0-802B-D475DE0734A2}"/>
    <hyperlink ref="M60" r:id="rId117" xr:uid="{21360D7C-6474-4CA1-B6F8-57CD6067EB8D}"/>
    <hyperlink ref="M42" r:id="rId118" xr:uid="{6EF35051-F7AB-4DF9-94AA-067748D3A191}"/>
    <hyperlink ref="M76" r:id="rId119" xr:uid="{F3C1C3CE-3752-4068-9F0A-7EAE935FFE9F}"/>
    <hyperlink ref="M46" r:id="rId120" xr:uid="{D950E7AA-A01E-4A50-AC8E-73E9C0765735}"/>
    <hyperlink ref="M47" r:id="rId121" xr:uid="{7F7B502F-575A-4F73-B6B9-71C8A02F006E}"/>
    <hyperlink ref="M151" r:id="rId122" xr:uid="{9368DEEA-9C4B-47D3-9790-403E2F13B30C}"/>
    <hyperlink ref="M245" r:id="rId123" xr:uid="{4A4F9A97-43B2-4EE0-B882-D37ABEBCE206}"/>
    <hyperlink ref="M108" r:id="rId124" xr:uid="{F58A6480-2571-426D-B9F9-E77AFE6BDB2D}"/>
    <hyperlink ref="M121" r:id="rId125" xr:uid="{6E9CABF8-0982-4B8B-99FF-98AE24C5E9AF}"/>
    <hyperlink ref="M59" r:id="rId126" display="ana.ribeiro@education.lu" xr:uid="{1BF9FB1E-5306-4D5A-ABFD-DEE51030763E}"/>
    <hyperlink ref="M24" r:id="rId127" xr:uid="{E33A67CD-45B9-4E22-BD4D-1B8339A16420}"/>
    <hyperlink ref="M173" r:id="rId128" xr:uid="{9A637B67-EBCA-4470-8878-D08452923501}"/>
    <hyperlink ref="M152" r:id="rId129" display="jeamed@pt.lu" xr:uid="{FCA4808A-2410-46A6-B837-A3B178346A5B}"/>
    <hyperlink ref="M149" r:id="rId130" xr:uid="{E301F640-3412-457C-85E0-0AA01E965206}"/>
    <hyperlink ref="M238" r:id="rId131" xr:uid="{51AFDA47-75D2-4DBD-8B8B-1B8480079DBA}"/>
    <hyperlink ref="M222" r:id="rId132" xr:uid="{6F76B634-B18C-42DC-9066-D88AC3AD2D87}"/>
    <hyperlink ref="M129" r:id="rId133" xr:uid="{16824408-89AA-4EB8-A4DA-68FAF5BB2B50}"/>
    <hyperlink ref="M157" r:id="rId134" display="adrienjacquelin@gmail.com" xr:uid="{6C4369EF-AB47-47A7-B7BD-1291F0EA07D0}"/>
    <hyperlink ref="M16" r:id="rId135" xr:uid="{8A357A69-5394-412B-AF26-A3A44DD914DF}"/>
    <hyperlink ref="M251" r:id="rId136" xr:uid="{C3D897F9-C821-405C-A873-352E4DFA213D}"/>
    <hyperlink ref="M98" r:id="rId137" xr:uid="{B8AF5D27-0ED7-4B70-A66C-4021DF7F565B}"/>
    <hyperlink ref="M239" r:id="rId138" xr:uid="{76FBFA66-5F0E-4CAD-B6F4-6467CE1DD76E}"/>
    <hyperlink ref="M192" r:id="rId139" xr:uid="{715D2EF3-3F77-4F32-BFEA-59D015706127}"/>
    <hyperlink ref="M87" r:id="rId140" xr:uid="{6AF367EC-CDCA-4839-A435-FE172F453022}"/>
    <hyperlink ref="M9" r:id="rId141" xr:uid="{5C614850-2566-46D0-ABC0-50C77056AA13}"/>
    <hyperlink ref="M190" r:id="rId142" xr:uid="{09110C40-1940-4678-85EE-50E80ADB14CB}"/>
    <hyperlink ref="M130" r:id="rId143" xr:uid="{292F668F-D20F-44BD-BE38-C437DBFD19DE}"/>
    <hyperlink ref="M41" r:id="rId144" xr:uid="{9A7EE700-C012-480A-A1E3-C34870F46BF8}"/>
    <hyperlink ref="M13" r:id="rId145" xr:uid="{FA14B0F7-7FEB-4675-9CDD-439C0324BF96}"/>
    <hyperlink ref="M122" r:id="rId146" xr:uid="{0C927F7F-670E-44E6-AE4C-5401E6F9765E}"/>
    <hyperlink ref="M223" r:id="rId147" xr:uid="{505728A8-C42C-46BC-A728-2948C5915D01}"/>
    <hyperlink ref="M143" r:id="rId148" xr:uid="{7E21DE2C-82BB-4ECD-91A4-B3032341FEB9}"/>
    <hyperlink ref="M200" r:id="rId149" xr:uid="{85BED48B-B570-4130-A967-A80A08C92C06}"/>
    <hyperlink ref="M107" r:id="rId150" xr:uid="{A60C194B-8822-4A19-8C00-9AAFD23AB3D6}"/>
    <hyperlink ref="M32" r:id="rId151" xr:uid="{04B5EFC3-A052-4DCF-A05E-BBE6CBC1AE52}"/>
    <hyperlink ref="M68" r:id="rId152" xr:uid="{7415FDF3-A503-400A-9874-BF9C4D4BADC4}"/>
    <hyperlink ref="M257" r:id="rId153" xr:uid="{ABA3A357-9397-47B1-B070-57E44735F7BB}"/>
    <hyperlink ref="M256" r:id="rId154" xr:uid="{3EC53BA8-F286-4A0E-8F74-0C0E242D2048}"/>
    <hyperlink ref="M254" r:id="rId155" xr:uid="{4232C420-AAB9-4168-9BEB-6D0D57152F9B}"/>
    <hyperlink ref="M95" r:id="rId156" xr:uid="{00920491-8705-4DE9-B1AE-CA595566B58A}"/>
    <hyperlink ref="M184" r:id="rId157" display="fihl@pt.lu" xr:uid="{EE88D7D4-D05F-49DC-B85C-FE18ADC0B25D}"/>
    <hyperlink ref="M34" r:id="rId158" xr:uid="{1952BAFD-F5D8-449D-8BEF-C01A87FAEAC4}"/>
    <hyperlink ref="M31" r:id="rId159" xr:uid="{CE3FA8CA-E165-4B70-A34C-9DE37581B027}"/>
    <hyperlink ref="M111" r:id="rId160" xr:uid="{FEBD2D5D-E590-44FC-89A8-8D6D852C7EF4}"/>
    <hyperlink ref="M120" r:id="rId161" xr:uid="{5424BB14-0B65-4E9F-AE76-F2A7E9CDCF38}"/>
    <hyperlink ref="M187" r:id="rId162" xr:uid="{F6369289-451C-41AC-BAB8-351ECBFDE310}"/>
    <hyperlink ref="M167" r:id="rId163" xr:uid="{3D419236-CD8F-4814-B792-DBA6E43D20DD}"/>
    <hyperlink ref="M126" r:id="rId164" xr:uid="{B6A5E53B-C00C-4B62-8FC8-9E7A3CEEED4E}"/>
    <hyperlink ref="M181" r:id="rId165" xr:uid="{B7DB8142-21BD-44EA-AB30-2C8912511233}"/>
    <hyperlink ref="M75" r:id="rId166" xr:uid="{2FD194C4-0C12-434C-811C-5A8264AD3308}"/>
    <hyperlink ref="M190" r:id="rId167" display="eeckhaut.radogna@gmail.com" xr:uid="{E11333F8-7DAB-4F83-A834-EF88823AF349}"/>
    <hyperlink ref="M59" r:id="rId168" xr:uid="{C9B07137-1FB0-4032-BA75-E9B7AB218748}"/>
    <hyperlink ref="M136" r:id="rId169" xr:uid="{41D864C9-EA85-4E6B-A2C4-336A6150234E}"/>
    <hyperlink ref="M180" r:id="rId170" xr:uid="{C28CDCCC-580C-4DCE-9660-C377F9D13F65}"/>
    <hyperlink ref="M231" r:id="rId171" xr:uid="{A20675A3-CC95-4D0B-9C87-D701FD128A4F}"/>
    <hyperlink ref="M35" r:id="rId172" xr:uid="{9FFFF1C8-81B6-4530-90AB-C89D9808BB87}"/>
    <hyperlink ref="M179" r:id="rId173" xr:uid="{2CB3E9EF-E657-4448-B17E-031F3148758F}"/>
    <hyperlink ref="M250" r:id="rId174" xr:uid="{48CE61BA-AAF0-4BFE-8BC8-23C8C5FCF91F}"/>
    <hyperlink ref="M242" r:id="rId175" xr:uid="{681A26DD-5613-4DF6-B16B-4F24B02E816D}"/>
    <hyperlink ref="M92" r:id="rId176" xr:uid="{9FB4CF2B-AD71-432B-98BF-3664F32504BB}"/>
    <hyperlink ref="M21" r:id="rId177" xr:uid="{BBD864EA-20C7-4F3F-82C5-9A2AEC7755C7}"/>
    <hyperlink ref="M221" r:id="rId178" xr:uid="{FE72CEBB-5FCF-4064-88A3-3B0FC380EF19}"/>
    <hyperlink ref="G82" r:id="rId179" display="isabellepirson@pt.lu" xr:uid="{C823B865-D2C5-41C3-8899-BF9A4DCA47AD}"/>
    <hyperlink ref="M82" r:id="rId180" xr:uid="{FB913ECE-B2A1-437D-8817-5E6D27736679}"/>
    <hyperlink ref="M3" r:id="rId181" xr:uid="{97B3FE9E-8095-4368-9D45-84E1FE4DA61F}"/>
    <hyperlink ref="M7" r:id="rId182" xr:uid="{0E26F189-96DB-4AAD-BBC5-2FBA41FD2CE4}"/>
    <hyperlink ref="M105" r:id="rId183" xr:uid="{82FA5511-0973-4486-B442-510059079639}"/>
    <hyperlink ref="M52" r:id="rId184" xr:uid="{0986C51D-01D9-4EFD-BE1F-EE076BDFBE96}"/>
    <hyperlink ref="M260" r:id="rId185" xr:uid="{763B04D8-4C15-48D6-8EA2-A47A3710B077}"/>
    <hyperlink ref="M208" r:id="rId186" display="sjzebrowsky@gmail.com" xr:uid="{690EC5EE-4BF4-475B-8055-BB73943FB671}"/>
    <hyperlink ref="M109" r:id="rId187" xr:uid="{3EDA1D64-0E58-4060-B050-C85EA3441A19}"/>
    <hyperlink ref="M228" r:id="rId188" xr:uid="{047D59CF-52D0-4693-BEA8-C74E06F32EC3}"/>
    <hyperlink ref="M209" r:id="rId189" xr:uid="{FA1C22FE-81AA-4D81-A8BF-D65A21355E10}"/>
    <hyperlink ref="M101" r:id="rId190" xr:uid="{2705853E-BC50-41C2-BE3A-5E497C00EC29}"/>
    <hyperlink ref="M40" r:id="rId191" display="mailto:marc.buchler@education.lu" xr:uid="{51041708-A4F2-45FE-8862-7B5F13259BE7}"/>
    <hyperlink ref="M5" r:id="rId192" xr:uid="{4626ACCE-AAB8-487C-8EF3-1E6CD1BEB9B5}"/>
    <hyperlink ref="M100" r:id="rId193" xr:uid="{2092C908-5E8F-4800-9A6F-CB2CE52D67A5}"/>
    <hyperlink ref="M4" r:id="rId194" xr:uid="{6AE8AE73-29B8-4C29-B59A-CAB03C7C98A3}"/>
    <hyperlink ref="M164" r:id="rId195" xr:uid="{7C28BA25-3790-4B40-9A5A-120FB37045B4}"/>
    <hyperlink ref="M216" r:id="rId196" display="domingogomartinez@gmail.com" xr:uid="{0B392B5B-F272-4078-B8EB-3CEABE6B8546}"/>
    <hyperlink ref="M182" r:id="rId197" xr:uid="{1A2714B6-A57C-47F9-A123-C74D913268FD}"/>
    <hyperlink ref="M208" r:id="rId198" xr:uid="{FED8C379-8E04-4D09-BE6E-9C9496F2E22A}"/>
    <hyperlink ref="M62" r:id="rId199" xr:uid="{A01939D8-C7E6-4A49-8E35-25732A36601F}"/>
    <hyperlink ref="M241" r:id="rId200" xr:uid="{82F73C0F-2502-4C8E-8599-DD4592ACDA00}"/>
    <hyperlink ref="M20" r:id="rId201" xr:uid="{0CC77533-76AE-455F-BFBC-9CD3C7D591BA}"/>
    <hyperlink ref="M112" r:id="rId202" xr:uid="{2C1512D5-B37F-4BEA-ADE1-B2413FF5EEB2}"/>
    <hyperlink ref="M44" r:id="rId203" xr:uid="{963E13C8-B69D-4BD1-BB80-9222DAD8467D}"/>
    <hyperlink ref="M17" r:id="rId204" xr:uid="{8AE5F4B0-EDD0-412E-86A5-EABA67271587}"/>
    <hyperlink ref="M223" r:id="rId205" display="begicbelma@hotmail.com" xr:uid="{B7D034D9-2E45-417E-B565-D635DE033A60}"/>
    <hyperlink ref="M10" r:id="rId206" xr:uid="{79CD216B-0AE1-4EEC-91E1-985DD0B4846C}"/>
    <hyperlink ref="M48" r:id="rId207" xr:uid="{AB0BC827-0918-4503-A855-8BA91BE09515}"/>
    <hyperlink ref="M102" r:id="rId208" xr:uid="{6E78129D-C30F-4D8C-BC5D-5898669361AD}"/>
    <hyperlink ref="M94" r:id="rId209" xr:uid="{22B52AA6-40AC-4FC3-868E-936B61B55265}"/>
    <hyperlink ref="M168" r:id="rId210" xr:uid="{C7DDE187-CE62-492A-BD01-C84F606AA7D8}"/>
    <hyperlink ref="M224" r:id="rId211" xr:uid="{EE25A558-5CAB-4246-A821-E0B36BCB2892}"/>
    <hyperlink ref="M252" r:id="rId212" xr:uid="{12D9C92A-68DF-4ED4-9463-005B80DD79DA}"/>
    <hyperlink ref="M77" r:id="rId213" xr:uid="{40619E12-C378-421D-8670-BD4536924D57}"/>
    <hyperlink ref="M64" r:id="rId214" xr:uid="{AC8E247D-FD56-4934-8142-F1F5E9877F0C}"/>
    <hyperlink ref="M78" r:id="rId215" xr:uid="{C3C7614F-60A1-4784-A94B-4E097BC934C3}"/>
    <hyperlink ref="M203" r:id="rId216" xr:uid="{FB0E7358-0613-4B5C-A74F-9784CC7E35D4}"/>
    <hyperlink ref="M247" r:id="rId217" xr:uid="{4595C0EE-9C42-40D9-9A7D-13EE564ABA2B}"/>
    <hyperlink ref="M239" r:id="rId218" display="simon120414@gmail.com" xr:uid="{2257343A-D137-48A5-A2B0-8A6860426E0B}"/>
    <hyperlink ref="M196" r:id="rId219" display="fihl@pt.lu" xr:uid="{C1A4D13C-DE46-4864-826F-226C17245971}"/>
    <hyperlink ref="M244" r:id="rId220" xr:uid="{6BD57732-EB79-4067-B6A2-6042E7224C52}"/>
    <hyperlink ref="M236" r:id="rId221" xr:uid="{BF159914-423B-4546-8643-A0FD28CC264B}"/>
    <hyperlink ref="M211" r:id="rId222" xr:uid="{96E5DA48-0993-40D0-AC3A-0C67C47CA67F}"/>
    <hyperlink ref="M171" r:id="rId223" xr:uid="{2921DE8A-089F-46B2-A8DA-7B5173FCC14D}"/>
    <hyperlink ref="M18" r:id="rId224" xr:uid="{7D40DA5E-7785-4076-9A5E-9B5042CD69EC}"/>
    <hyperlink ref="M248" r:id="rId225" xr:uid="{FE179088-A8C4-4FA4-BAAD-081DFED69235}"/>
    <hyperlink ref="M11" r:id="rId226" xr:uid="{D4DEE2AC-D7C0-4936-90AE-66437F2645E9}"/>
    <hyperlink ref="M249" r:id="rId227" xr:uid="{78135CE1-6815-481A-A1B8-2071B71FE36C}"/>
    <hyperlink ref="M172" r:id="rId228" xr:uid="{375A7715-5794-4492-9FA1-DC73D601ADAD}"/>
    <hyperlink ref="M205" r:id="rId229" xr:uid="{24EC1253-2BF2-4E70-8987-EA577206CD95}"/>
    <hyperlink ref="M71" r:id="rId230" xr:uid="{017545AD-9D26-4AE0-938E-7DD6533150D4}"/>
    <hyperlink ref="M218" r:id="rId231" xr:uid="{C8CF1754-D010-4D93-BBE1-8D22A98440E1}"/>
    <hyperlink ref="M145" r:id="rId232" xr:uid="{CB3ECAE6-4C23-49E1-99F1-FB6739E3F626}"/>
    <hyperlink ref="M158" r:id="rId233" xr:uid="{B53D85B2-E1C9-40C8-BD18-DCB11B4982CC}"/>
    <hyperlink ref="M97" r:id="rId234" xr:uid="{648CEFE6-7879-4C08-B6DE-4B1C9A1A249F}"/>
    <hyperlink ref="M124" r:id="rId235" xr:uid="{B8DCFAF0-8DE4-4FBB-9408-05BEABB1F1F5}"/>
    <hyperlink ref="M177" r:id="rId236" xr:uid="{9F747EF4-0CBF-445E-9E3C-81A42AB70C42}"/>
  </hyperlinks>
  <printOptions horizontalCentered="1" verticalCentered="1" gridLines="1"/>
  <pageMargins left="0" right="0" top="0.39370078740157483" bottom="0.39370078740157483" header="0" footer="0"/>
  <pageSetup paperSize="9" scale="82" fitToHeight="0" orientation="landscape" r:id="rId237"/>
  <headerFooter>
    <oddHeader>&amp;CMemberslescht Saison 2023 / 2024</oddHeader>
    <oddFooter>&amp;LFF0000Update vum 10-03-2026 GC 2026-03-10&amp;Rpage &amp;P of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  <pageSetUpPr fitToPage="1"/>
  </sheetPr>
  <dimension ref="A1:I77"/>
  <sheetViews>
    <sheetView workbookViewId="0">
      <selection activeCell="C12" sqref="C12"/>
    </sheetView>
  </sheetViews>
  <sheetFormatPr baseColWidth="10" defaultColWidth="14.5" defaultRowHeight="13" x14ac:dyDescent="0.15"/>
  <cols>
    <col min="1" max="1" width="9.1640625" customWidth="1"/>
    <col min="2" max="2" width="38.6640625" customWidth="1"/>
    <col min="3" max="3" width="18.6640625" customWidth="1"/>
    <col min="4" max="4" width="11.5" style="385" customWidth="1"/>
    <col min="5" max="5" width="11.5" customWidth="1"/>
    <col min="6" max="6" width="11" bestFit="1" customWidth="1"/>
    <col min="7" max="7" width="23.33203125" style="776" customWidth="1"/>
    <col min="8" max="8" width="81.5" customWidth="1"/>
    <col min="9" max="9" width="15" customWidth="1"/>
    <col min="10" max="11" width="11.5" customWidth="1"/>
  </cols>
  <sheetData>
    <row r="1" spans="1:9" ht="14" x14ac:dyDescent="0.15">
      <c r="A1" s="365" t="s">
        <v>0</v>
      </c>
      <c r="B1" s="366" t="s">
        <v>1</v>
      </c>
      <c r="C1" s="367" t="s">
        <v>2</v>
      </c>
      <c r="D1" s="780" t="s">
        <v>5153</v>
      </c>
      <c r="E1" s="781" t="s">
        <v>5596</v>
      </c>
      <c r="F1" s="766"/>
      <c r="G1" s="768" t="s">
        <v>5</v>
      </c>
      <c r="H1" s="90" t="s">
        <v>8</v>
      </c>
      <c r="I1" s="73"/>
    </row>
    <row r="2" spans="1:9" x14ac:dyDescent="0.15">
      <c r="A2" s="74">
        <v>0</v>
      </c>
      <c r="B2" s="1" t="s">
        <v>17</v>
      </c>
      <c r="C2" s="206"/>
      <c r="D2" s="763"/>
      <c r="E2" s="754"/>
      <c r="F2" s="767"/>
      <c r="G2" s="363"/>
      <c r="H2" s="91"/>
      <c r="I2" s="73"/>
    </row>
    <row r="3" spans="1:9" ht="14" x14ac:dyDescent="0.15">
      <c r="A3" s="75">
        <v>2</v>
      </c>
      <c r="B3" s="1" t="s">
        <v>29</v>
      </c>
      <c r="C3" s="206"/>
      <c r="D3" s="761" t="s">
        <v>5154</v>
      </c>
      <c r="E3" s="755" t="s">
        <v>5597</v>
      </c>
      <c r="F3" s="765"/>
      <c r="G3" s="363" t="s">
        <v>27</v>
      </c>
      <c r="H3" s="81" t="s">
        <v>30</v>
      </c>
      <c r="I3" s="73"/>
    </row>
    <row r="4" spans="1:9" ht="14" x14ac:dyDescent="0.15">
      <c r="A4" s="75">
        <v>3</v>
      </c>
      <c r="B4" s="1" t="s">
        <v>1261</v>
      </c>
      <c r="C4" s="206"/>
      <c r="D4" s="759" t="s">
        <v>5155</v>
      </c>
      <c r="E4" s="756" t="s">
        <v>5598</v>
      </c>
      <c r="F4" s="764"/>
      <c r="G4" s="363" t="s">
        <v>6</v>
      </c>
      <c r="H4" s="82" t="s">
        <v>32</v>
      </c>
      <c r="I4" s="84"/>
    </row>
    <row r="5" spans="1:9" ht="28" x14ac:dyDescent="0.15">
      <c r="A5" s="77">
        <v>4</v>
      </c>
      <c r="B5" s="360" t="s">
        <v>34</v>
      </c>
      <c r="C5" s="361"/>
      <c r="D5" s="759" t="s">
        <v>5156</v>
      </c>
      <c r="E5" s="756" t="s">
        <v>5599</v>
      </c>
      <c r="F5" s="764"/>
      <c r="G5" s="363" t="s">
        <v>7</v>
      </c>
      <c r="H5" s="92" t="s">
        <v>36</v>
      </c>
      <c r="I5" s="73"/>
    </row>
    <row r="6" spans="1:9" ht="14" x14ac:dyDescent="0.15">
      <c r="A6" s="74">
        <v>5</v>
      </c>
      <c r="B6" s="1" t="s">
        <v>37</v>
      </c>
      <c r="C6" s="206"/>
      <c r="D6" s="759" t="s">
        <v>5157</v>
      </c>
      <c r="E6" s="756" t="s">
        <v>5600</v>
      </c>
      <c r="F6" s="764"/>
      <c r="G6" s="363" t="s">
        <v>9</v>
      </c>
      <c r="H6" s="91" t="s">
        <v>40</v>
      </c>
      <c r="I6" s="73"/>
    </row>
    <row r="7" spans="1:9" ht="14" x14ac:dyDescent="0.15">
      <c r="A7" s="74">
        <v>9</v>
      </c>
      <c r="B7" s="1" t="s">
        <v>101</v>
      </c>
      <c r="C7" s="206"/>
      <c r="D7" s="761" t="s">
        <v>5158</v>
      </c>
      <c r="E7" s="754" t="s">
        <v>5601</v>
      </c>
      <c r="F7" s="87"/>
      <c r="G7" s="363" t="s">
        <v>41</v>
      </c>
      <c r="H7" s="91" t="s">
        <v>42</v>
      </c>
      <c r="I7" s="73"/>
    </row>
    <row r="8" spans="1:9" ht="14" x14ac:dyDescent="0.15">
      <c r="A8" s="75">
        <v>6</v>
      </c>
      <c r="B8" s="1" t="s">
        <v>43</v>
      </c>
      <c r="C8" s="206"/>
      <c r="D8" s="759" t="s">
        <v>5159</v>
      </c>
      <c r="E8" s="756" t="s">
        <v>5602</v>
      </c>
      <c r="F8" s="764"/>
      <c r="G8" s="363" t="s">
        <v>11</v>
      </c>
      <c r="H8" s="91" t="s">
        <v>44</v>
      </c>
      <c r="I8" s="73"/>
    </row>
    <row r="9" spans="1:9" ht="14" x14ac:dyDescent="0.15">
      <c r="A9" s="75">
        <v>7</v>
      </c>
      <c r="B9" s="1" t="s">
        <v>45</v>
      </c>
      <c r="C9" s="206"/>
      <c r="D9" s="759" t="s">
        <v>5160</v>
      </c>
      <c r="E9" s="756" t="s">
        <v>5603</v>
      </c>
      <c r="F9" s="764"/>
      <c r="G9" s="769" t="s">
        <v>12</v>
      </c>
      <c r="H9" s="93" t="s">
        <v>54</v>
      </c>
      <c r="I9" s="73"/>
    </row>
    <row r="10" spans="1:9" ht="28" x14ac:dyDescent="0.15">
      <c r="A10" s="77">
        <v>8</v>
      </c>
      <c r="B10" s="360" t="s">
        <v>4809</v>
      </c>
      <c r="C10" s="361"/>
      <c r="D10" s="761" t="s">
        <v>5161</v>
      </c>
      <c r="E10" s="754" t="s">
        <v>5604</v>
      </c>
      <c r="F10" s="87"/>
      <c r="G10" s="362" t="s">
        <v>57</v>
      </c>
      <c r="H10" s="94" t="s">
        <v>60</v>
      </c>
      <c r="I10" s="73"/>
    </row>
    <row r="11" spans="1:9" ht="14" x14ac:dyDescent="0.15">
      <c r="A11" s="75">
        <v>10</v>
      </c>
      <c r="B11" s="1" t="s">
        <v>62</v>
      </c>
      <c r="C11" s="206"/>
      <c r="D11" s="760"/>
      <c r="E11" s="754"/>
      <c r="F11" s="87"/>
      <c r="G11" s="363" t="s">
        <v>13</v>
      </c>
      <c r="H11" s="91" t="s">
        <v>63</v>
      </c>
      <c r="I11" s="73"/>
    </row>
    <row r="12" spans="1:9" ht="28" x14ac:dyDescent="0.15">
      <c r="A12" s="77">
        <v>12</v>
      </c>
      <c r="B12" s="360" t="s">
        <v>64</v>
      </c>
      <c r="C12" s="361"/>
      <c r="D12" s="761" t="s">
        <v>5162</v>
      </c>
      <c r="E12" s="755" t="s">
        <v>5605</v>
      </c>
      <c r="F12" s="765"/>
      <c r="G12" s="363" t="s">
        <v>14</v>
      </c>
      <c r="H12" s="91" t="s">
        <v>65</v>
      </c>
      <c r="I12" s="73"/>
    </row>
    <row r="13" spans="1:9" ht="14" x14ac:dyDescent="0.15">
      <c r="A13" s="75">
        <v>14</v>
      </c>
      <c r="B13" s="1" t="s">
        <v>4365</v>
      </c>
      <c r="C13" s="206"/>
      <c r="D13" s="759" t="s">
        <v>5156</v>
      </c>
      <c r="E13" s="756" t="s">
        <v>5599</v>
      </c>
      <c r="F13" s="764"/>
      <c r="G13" s="363" t="s">
        <v>13</v>
      </c>
      <c r="H13" s="91" t="s">
        <v>63</v>
      </c>
      <c r="I13" s="73"/>
    </row>
    <row r="14" spans="1:9" ht="28" x14ac:dyDescent="0.15">
      <c r="A14" s="75">
        <v>15</v>
      </c>
      <c r="B14" s="1" t="s">
        <v>92</v>
      </c>
      <c r="C14" s="206"/>
      <c r="D14" s="759" t="s">
        <v>5159</v>
      </c>
      <c r="E14" s="756" t="s">
        <v>5602</v>
      </c>
      <c r="F14" s="764"/>
      <c r="G14" s="770" t="s">
        <v>3359</v>
      </c>
      <c r="H14" s="91" t="s">
        <v>91</v>
      </c>
      <c r="I14" s="73"/>
    </row>
    <row r="15" spans="1:9" ht="28" x14ac:dyDescent="0.15">
      <c r="A15" s="75">
        <v>20</v>
      </c>
      <c r="B15" s="1" t="s">
        <v>3524</v>
      </c>
      <c r="C15" s="206"/>
      <c r="D15" s="759" t="s">
        <v>5163</v>
      </c>
      <c r="E15" s="756" t="s">
        <v>5606</v>
      </c>
      <c r="F15" s="764"/>
      <c r="G15" s="363" t="s">
        <v>13</v>
      </c>
      <c r="H15" s="91" t="s">
        <v>93</v>
      </c>
      <c r="I15" s="73"/>
    </row>
    <row r="16" spans="1:9" ht="28" x14ac:dyDescent="0.15">
      <c r="A16" s="75">
        <v>17</v>
      </c>
      <c r="B16" s="1" t="s">
        <v>94</v>
      </c>
      <c r="C16" s="206"/>
      <c r="D16" s="759" t="s">
        <v>5160</v>
      </c>
      <c r="E16" s="756" t="s">
        <v>5603</v>
      </c>
      <c r="F16" s="764"/>
      <c r="G16" s="770" t="s">
        <v>3360</v>
      </c>
      <c r="H16" s="91" t="s">
        <v>91</v>
      </c>
      <c r="I16" s="73"/>
    </row>
    <row r="17" spans="1:9" ht="42" x14ac:dyDescent="0.15">
      <c r="A17" s="359">
        <v>18</v>
      </c>
      <c r="B17" s="360" t="s">
        <v>4808</v>
      </c>
      <c r="C17" s="361"/>
      <c r="D17" s="759" t="s">
        <v>5161</v>
      </c>
      <c r="E17" s="756" t="s">
        <v>5604</v>
      </c>
      <c r="F17" s="764"/>
      <c r="G17" s="100" t="s">
        <v>3361</v>
      </c>
      <c r="H17" s="100" t="s">
        <v>3365</v>
      </c>
      <c r="I17" s="73"/>
    </row>
    <row r="18" spans="1:9" ht="14" x14ac:dyDescent="0.15">
      <c r="A18" s="75">
        <v>1</v>
      </c>
      <c r="B18" s="1" t="s">
        <v>96</v>
      </c>
      <c r="C18" s="206"/>
      <c r="D18" s="760"/>
      <c r="E18" s="754"/>
      <c r="F18" s="87"/>
      <c r="G18" s="100" t="s">
        <v>3362</v>
      </c>
      <c r="H18" s="101" t="s">
        <v>3364</v>
      </c>
      <c r="I18" s="85"/>
    </row>
    <row r="19" spans="1:9" ht="28" x14ac:dyDescent="0.15">
      <c r="A19" s="75">
        <v>11</v>
      </c>
      <c r="B19" s="1" t="s">
        <v>100</v>
      </c>
      <c r="C19" s="206"/>
      <c r="D19" s="760"/>
      <c r="E19" s="754"/>
      <c r="F19" s="87"/>
      <c r="G19" s="100" t="s">
        <v>3363</v>
      </c>
      <c r="H19" s="100" t="s">
        <v>3366</v>
      </c>
      <c r="I19" s="73"/>
    </row>
    <row r="20" spans="1:9" ht="42" x14ac:dyDescent="0.15">
      <c r="A20" s="77">
        <v>16</v>
      </c>
      <c r="B20" s="385" t="s">
        <v>4960</v>
      </c>
      <c r="C20" s="206"/>
      <c r="D20" s="762" t="s">
        <v>5157</v>
      </c>
      <c r="E20" s="757" t="s">
        <v>5600</v>
      </c>
      <c r="F20" s="364"/>
      <c r="G20" s="363" t="s">
        <v>46</v>
      </c>
      <c r="H20" s="91" t="s">
        <v>95</v>
      </c>
      <c r="I20" s="73"/>
    </row>
    <row r="21" spans="1:9" ht="42" x14ac:dyDescent="0.15">
      <c r="A21" s="75">
        <v>19</v>
      </c>
      <c r="B21" s="360" t="s">
        <v>102</v>
      </c>
      <c r="C21" s="206"/>
      <c r="D21" s="761" t="s">
        <v>5158</v>
      </c>
      <c r="E21" s="754" t="s">
        <v>5601</v>
      </c>
      <c r="F21" s="87"/>
      <c r="G21" s="363" t="s">
        <v>47</v>
      </c>
      <c r="H21" s="91" t="s">
        <v>95</v>
      </c>
      <c r="I21" s="73"/>
    </row>
    <row r="22" spans="1:9" ht="42" x14ac:dyDescent="0.15">
      <c r="A22" s="75">
        <v>21</v>
      </c>
      <c r="B22" s="360" t="s">
        <v>5152</v>
      </c>
      <c r="C22" s="206"/>
      <c r="D22" s="759" t="s">
        <v>5164</v>
      </c>
      <c r="E22" s="756" t="s">
        <v>5607</v>
      </c>
      <c r="F22" s="764"/>
      <c r="G22" s="363" t="s">
        <v>48</v>
      </c>
      <c r="H22" s="91" t="s">
        <v>95</v>
      </c>
      <c r="I22" s="73"/>
    </row>
    <row r="23" spans="1:9" ht="42" x14ac:dyDescent="0.15">
      <c r="A23" s="75">
        <v>50</v>
      </c>
      <c r="B23" s="360" t="s">
        <v>104</v>
      </c>
      <c r="C23" s="361" t="s">
        <v>56</v>
      </c>
      <c r="D23" s="777"/>
      <c r="E23" s="72"/>
      <c r="F23" s="364"/>
      <c r="G23" s="363" t="s">
        <v>49</v>
      </c>
      <c r="H23" s="91" t="s">
        <v>95</v>
      </c>
      <c r="I23" s="73"/>
    </row>
    <row r="24" spans="1:9" ht="42" x14ac:dyDescent="0.15">
      <c r="A24" s="75">
        <v>102</v>
      </c>
      <c r="B24" s="360" t="s">
        <v>105</v>
      </c>
      <c r="C24" s="361" t="s">
        <v>56</v>
      </c>
      <c r="D24" s="777"/>
      <c r="E24" s="72"/>
      <c r="F24" s="87"/>
      <c r="G24" s="363" t="s">
        <v>50</v>
      </c>
      <c r="H24" s="91" t="s">
        <v>95</v>
      </c>
      <c r="I24" s="73"/>
    </row>
    <row r="25" spans="1:9" ht="42" x14ac:dyDescent="0.15">
      <c r="A25" s="75">
        <v>109</v>
      </c>
      <c r="B25" s="360" t="s">
        <v>108</v>
      </c>
      <c r="C25" s="361" t="s">
        <v>56</v>
      </c>
      <c r="D25" s="777"/>
      <c r="E25" s="72"/>
      <c r="F25" s="87"/>
      <c r="G25" s="363" t="s">
        <v>51</v>
      </c>
      <c r="H25" s="91" t="s">
        <v>95</v>
      </c>
      <c r="I25" s="73"/>
    </row>
    <row r="26" spans="1:9" ht="42" x14ac:dyDescent="0.15">
      <c r="A26" s="75">
        <v>112</v>
      </c>
      <c r="B26" s="360" t="s">
        <v>113</v>
      </c>
      <c r="C26" s="361" t="s">
        <v>56</v>
      </c>
      <c r="D26" s="777"/>
      <c r="E26" s="72"/>
      <c r="F26" s="87"/>
      <c r="G26" s="363" t="s">
        <v>52</v>
      </c>
      <c r="H26" s="91" t="s">
        <v>95</v>
      </c>
      <c r="I26" s="73"/>
    </row>
    <row r="27" spans="1:9" ht="14" x14ac:dyDescent="0.15">
      <c r="A27" s="75">
        <v>150</v>
      </c>
      <c r="B27" s="360" t="s">
        <v>115</v>
      </c>
      <c r="C27" s="361" t="s">
        <v>56</v>
      </c>
      <c r="D27" s="777"/>
      <c r="E27" s="72"/>
      <c r="F27" s="87"/>
      <c r="G27" s="771" t="s">
        <v>16</v>
      </c>
      <c r="H27" s="95" t="s">
        <v>106</v>
      </c>
      <c r="I27" s="73"/>
    </row>
    <row r="28" spans="1:9" ht="28" x14ac:dyDescent="0.15">
      <c r="A28" s="75">
        <v>188</v>
      </c>
      <c r="B28" s="360" t="s">
        <v>117</v>
      </c>
      <c r="C28" s="361" t="s">
        <v>56</v>
      </c>
      <c r="D28" s="777"/>
      <c r="E28" s="72"/>
      <c r="F28" s="87"/>
      <c r="G28" s="772" t="s">
        <v>55</v>
      </c>
      <c r="H28" s="96" t="s">
        <v>112</v>
      </c>
      <c r="I28" s="73"/>
    </row>
    <row r="29" spans="1:9" ht="28" x14ac:dyDescent="0.15">
      <c r="A29" s="75">
        <v>200</v>
      </c>
      <c r="B29" s="360" t="s">
        <v>120</v>
      </c>
      <c r="C29" s="361" t="s">
        <v>56</v>
      </c>
      <c r="D29" s="777"/>
      <c r="E29" s="72"/>
      <c r="F29" s="87"/>
      <c r="G29" s="772" t="s">
        <v>58</v>
      </c>
      <c r="H29" s="96" t="s">
        <v>114</v>
      </c>
      <c r="I29" s="73"/>
    </row>
    <row r="30" spans="1:9" ht="28" x14ac:dyDescent="0.15">
      <c r="A30" s="75">
        <v>201</v>
      </c>
      <c r="B30" s="360" t="s">
        <v>122</v>
      </c>
      <c r="C30" s="361" t="s">
        <v>56</v>
      </c>
      <c r="D30" s="777"/>
      <c r="E30" s="72"/>
      <c r="F30" s="87"/>
      <c r="G30" s="363" t="s">
        <v>59</v>
      </c>
      <c r="H30" s="91" t="s">
        <v>116</v>
      </c>
      <c r="I30" s="73"/>
    </row>
    <row r="31" spans="1:9" ht="28" x14ac:dyDescent="0.15">
      <c r="A31" s="75">
        <v>202</v>
      </c>
      <c r="B31" s="360" t="s">
        <v>124</v>
      </c>
      <c r="C31" s="361" t="s">
        <v>56</v>
      </c>
      <c r="D31" s="777"/>
      <c r="E31" s="72"/>
      <c r="F31" s="87"/>
      <c r="G31" s="772" t="s">
        <v>61</v>
      </c>
      <c r="H31" s="96" t="s">
        <v>118</v>
      </c>
      <c r="I31" s="73"/>
    </row>
    <row r="32" spans="1:9" ht="28" x14ac:dyDescent="0.15">
      <c r="A32" s="75">
        <v>210</v>
      </c>
      <c r="B32" s="360" t="s">
        <v>126</v>
      </c>
      <c r="C32" s="361" t="s">
        <v>56</v>
      </c>
      <c r="D32" s="777"/>
      <c r="E32" s="72"/>
      <c r="F32" s="87"/>
      <c r="G32" s="772" t="s">
        <v>66</v>
      </c>
      <c r="H32" s="97" t="s">
        <v>121</v>
      </c>
      <c r="I32" s="73"/>
    </row>
    <row r="33" spans="1:9" ht="28" x14ac:dyDescent="0.15">
      <c r="A33" s="75">
        <v>211</v>
      </c>
      <c r="B33" s="360" t="s">
        <v>128</v>
      </c>
      <c r="C33" s="361" t="s">
        <v>56</v>
      </c>
      <c r="D33" s="777"/>
      <c r="E33" s="72"/>
      <c r="F33" s="87"/>
      <c r="G33" s="771" t="s">
        <v>20</v>
      </c>
      <c r="H33" s="95" t="s">
        <v>123</v>
      </c>
      <c r="I33" s="73"/>
    </row>
    <row r="34" spans="1:9" ht="14" x14ac:dyDescent="0.15">
      <c r="A34" s="75">
        <v>212</v>
      </c>
      <c r="B34" s="360" t="s">
        <v>131</v>
      </c>
      <c r="C34" s="361" t="s">
        <v>56</v>
      </c>
      <c r="D34" s="777"/>
      <c r="E34" s="72"/>
      <c r="F34" s="87"/>
      <c r="G34" s="772" t="s">
        <v>67</v>
      </c>
      <c r="H34" s="96" t="s">
        <v>125</v>
      </c>
      <c r="I34" s="73"/>
    </row>
    <row r="35" spans="1:9" ht="28" x14ac:dyDescent="0.15">
      <c r="A35" s="75">
        <v>213</v>
      </c>
      <c r="B35" s="360" t="s">
        <v>1036</v>
      </c>
      <c r="C35" s="361" t="s">
        <v>56</v>
      </c>
      <c r="D35" s="777"/>
      <c r="E35" s="72"/>
      <c r="F35" s="87"/>
      <c r="G35" s="771" t="s">
        <v>22</v>
      </c>
      <c r="H35" s="96" t="s">
        <v>127</v>
      </c>
      <c r="I35" s="73"/>
    </row>
    <row r="36" spans="1:9" ht="14" x14ac:dyDescent="0.15">
      <c r="A36" s="75">
        <v>220</v>
      </c>
      <c r="B36" s="360" t="s">
        <v>136</v>
      </c>
      <c r="C36" s="361" t="s">
        <v>56</v>
      </c>
      <c r="D36" s="777"/>
      <c r="E36" s="72"/>
      <c r="F36" s="87"/>
      <c r="G36" s="363" t="s">
        <v>23</v>
      </c>
      <c r="H36" s="91" t="s">
        <v>129</v>
      </c>
      <c r="I36" s="73"/>
    </row>
    <row r="37" spans="1:9" ht="14" x14ac:dyDescent="0.15">
      <c r="A37" s="75">
        <v>221</v>
      </c>
      <c r="B37" s="360" t="s">
        <v>137</v>
      </c>
      <c r="C37" s="361" t="s">
        <v>56</v>
      </c>
      <c r="D37" s="777"/>
      <c r="E37" s="72"/>
      <c r="F37" s="87"/>
      <c r="G37" s="363" t="s">
        <v>24</v>
      </c>
      <c r="H37" s="91" t="s">
        <v>129</v>
      </c>
      <c r="I37" s="73"/>
    </row>
    <row r="38" spans="1:9" x14ac:dyDescent="0.15">
      <c r="A38" s="75">
        <v>240</v>
      </c>
      <c r="B38" s="360" t="s">
        <v>139</v>
      </c>
      <c r="C38" s="361" t="s">
        <v>56</v>
      </c>
      <c r="D38" s="777"/>
      <c r="E38" s="72"/>
      <c r="F38" s="87"/>
      <c r="G38" s="363"/>
      <c r="H38" s="91"/>
      <c r="I38" s="73"/>
    </row>
    <row r="39" spans="1:9" ht="14" x14ac:dyDescent="0.15">
      <c r="A39" s="75">
        <v>250</v>
      </c>
      <c r="B39" s="360" t="s">
        <v>141</v>
      </c>
      <c r="C39" s="361" t="s">
        <v>56</v>
      </c>
      <c r="D39" s="777"/>
      <c r="E39" s="72"/>
      <c r="F39" s="87"/>
      <c r="G39" s="769" t="s">
        <v>25</v>
      </c>
      <c r="H39" s="91" t="s">
        <v>129</v>
      </c>
      <c r="I39" s="73"/>
    </row>
    <row r="40" spans="1:9" ht="14" x14ac:dyDescent="0.15">
      <c r="A40" s="75">
        <v>251</v>
      </c>
      <c r="B40" s="360" t="s">
        <v>143</v>
      </c>
      <c r="C40" s="361" t="s">
        <v>56</v>
      </c>
      <c r="D40" s="777"/>
      <c r="E40" s="72"/>
      <c r="F40" s="87"/>
      <c r="G40" s="769" t="s">
        <v>26</v>
      </c>
      <c r="H40" s="93" t="s">
        <v>138</v>
      </c>
      <c r="I40" s="73"/>
    </row>
    <row r="41" spans="1:9" ht="14" x14ac:dyDescent="0.15">
      <c r="A41" s="75">
        <v>252</v>
      </c>
      <c r="B41" s="360" t="s">
        <v>145</v>
      </c>
      <c r="C41" s="361" t="s">
        <v>56</v>
      </c>
      <c r="D41" s="777"/>
      <c r="E41" s="72"/>
      <c r="F41" s="87"/>
      <c r="G41" s="363" t="s">
        <v>69</v>
      </c>
      <c r="H41" s="98" t="s">
        <v>140</v>
      </c>
      <c r="I41" s="73"/>
    </row>
    <row r="42" spans="1:9" ht="28" x14ac:dyDescent="0.15">
      <c r="A42" s="75">
        <v>253</v>
      </c>
      <c r="B42" s="360" t="s">
        <v>147</v>
      </c>
      <c r="C42" s="361" t="s">
        <v>56</v>
      </c>
      <c r="D42" s="777"/>
      <c r="E42" s="72"/>
      <c r="F42" s="87"/>
      <c r="G42" s="363" t="s">
        <v>70</v>
      </c>
      <c r="H42" s="98" t="s">
        <v>142</v>
      </c>
      <c r="I42" s="73"/>
    </row>
    <row r="43" spans="1:9" ht="14" x14ac:dyDescent="0.15">
      <c r="A43" s="75">
        <v>254</v>
      </c>
      <c r="B43" s="360" t="s">
        <v>149</v>
      </c>
      <c r="C43" s="361" t="s">
        <v>56</v>
      </c>
      <c r="D43" s="777"/>
      <c r="E43" s="72"/>
      <c r="F43" s="87"/>
      <c r="G43" s="363" t="s">
        <v>71</v>
      </c>
      <c r="H43" s="98" t="s">
        <v>144</v>
      </c>
      <c r="I43" s="73"/>
    </row>
    <row r="44" spans="1:9" ht="28" x14ac:dyDescent="0.15">
      <c r="A44" s="75">
        <v>255</v>
      </c>
      <c r="B44" s="360" t="s">
        <v>3356</v>
      </c>
      <c r="C44" s="361" t="s">
        <v>56</v>
      </c>
      <c r="D44" s="777"/>
      <c r="E44" s="72"/>
      <c r="F44" s="87"/>
      <c r="G44" s="363" t="s">
        <v>72</v>
      </c>
      <c r="H44" s="98" t="s">
        <v>146</v>
      </c>
      <c r="I44" s="73"/>
    </row>
    <row r="45" spans="1:9" ht="14" x14ac:dyDescent="0.15">
      <c r="A45" s="75">
        <v>256</v>
      </c>
      <c r="B45" s="360" t="s">
        <v>3661</v>
      </c>
      <c r="C45" s="361" t="s">
        <v>56</v>
      </c>
      <c r="D45" s="777"/>
      <c r="E45" s="72"/>
      <c r="F45" s="87"/>
      <c r="G45" s="363" t="s">
        <v>73</v>
      </c>
      <c r="H45" s="98" t="s">
        <v>148</v>
      </c>
      <c r="I45" s="73"/>
    </row>
    <row r="46" spans="1:9" ht="42" x14ac:dyDescent="0.15">
      <c r="A46" s="75">
        <v>300</v>
      </c>
      <c r="B46" s="360" t="s">
        <v>3812</v>
      </c>
      <c r="C46" s="361" t="s">
        <v>56</v>
      </c>
      <c r="D46" s="777"/>
      <c r="E46" s="72"/>
      <c r="F46" s="87"/>
      <c r="G46" s="771" t="s">
        <v>150</v>
      </c>
      <c r="H46" s="95" t="s">
        <v>151</v>
      </c>
      <c r="I46" s="73"/>
    </row>
    <row r="47" spans="1:9" ht="42" x14ac:dyDescent="0.15">
      <c r="A47" s="75">
        <v>301</v>
      </c>
      <c r="B47" s="360" t="s">
        <v>3813</v>
      </c>
      <c r="C47" s="361" t="s">
        <v>56</v>
      </c>
      <c r="D47" s="777"/>
      <c r="E47" s="72"/>
      <c r="F47" s="87"/>
      <c r="G47" s="771" t="s">
        <v>152</v>
      </c>
      <c r="H47" s="95" t="s">
        <v>151</v>
      </c>
      <c r="I47" s="73"/>
    </row>
    <row r="48" spans="1:9" ht="42" x14ac:dyDescent="0.15">
      <c r="A48" s="75">
        <v>302</v>
      </c>
      <c r="B48" s="360" t="s">
        <v>3814</v>
      </c>
      <c r="C48" s="361" t="s">
        <v>56</v>
      </c>
      <c r="D48" s="777"/>
      <c r="E48" s="72"/>
      <c r="F48" s="87"/>
      <c r="G48" s="771" t="s">
        <v>153</v>
      </c>
      <c r="H48" s="95" t="s">
        <v>151</v>
      </c>
      <c r="I48" s="73"/>
    </row>
    <row r="49" spans="1:9" x14ac:dyDescent="0.15">
      <c r="A49" s="75">
        <v>303</v>
      </c>
      <c r="B49" s="360" t="s">
        <v>3815</v>
      </c>
      <c r="C49" s="361" t="s">
        <v>56</v>
      </c>
      <c r="D49" s="777"/>
      <c r="E49" s="72"/>
      <c r="F49" s="87"/>
      <c r="G49" s="363"/>
      <c r="H49" s="91"/>
      <c r="I49" s="73"/>
    </row>
    <row r="50" spans="1:9" x14ac:dyDescent="0.15">
      <c r="A50" s="75">
        <v>304</v>
      </c>
      <c r="B50" s="360" t="s">
        <v>4003</v>
      </c>
      <c r="C50" s="361" t="s">
        <v>56</v>
      </c>
      <c r="D50" s="777"/>
      <c r="E50" s="72"/>
      <c r="F50" s="87"/>
      <c r="G50" s="363"/>
      <c r="H50" s="91"/>
      <c r="I50" s="73"/>
    </row>
    <row r="51" spans="1:9" ht="42" x14ac:dyDescent="0.15">
      <c r="A51" s="75">
        <v>976</v>
      </c>
      <c r="B51" s="360" t="s">
        <v>161</v>
      </c>
      <c r="C51" s="361" t="s">
        <v>56</v>
      </c>
      <c r="D51" s="777"/>
      <c r="E51" s="72"/>
      <c r="F51" s="87"/>
      <c r="G51" s="771" t="s">
        <v>77</v>
      </c>
      <c r="H51" s="95" t="s">
        <v>158</v>
      </c>
      <c r="I51" s="73"/>
    </row>
    <row r="52" spans="1:9" ht="28" x14ac:dyDescent="0.15">
      <c r="A52" s="75">
        <v>977</v>
      </c>
      <c r="B52" s="360" t="s">
        <v>163</v>
      </c>
      <c r="C52" s="361" t="s">
        <v>56</v>
      </c>
      <c r="D52" s="777"/>
      <c r="E52" s="72"/>
      <c r="F52" s="87"/>
      <c r="G52" s="769" t="s">
        <v>78</v>
      </c>
      <c r="H52" s="93" t="s">
        <v>160</v>
      </c>
      <c r="I52" s="73"/>
    </row>
    <row r="53" spans="1:9" ht="28" x14ac:dyDescent="0.15">
      <c r="A53" s="76">
        <v>978</v>
      </c>
      <c r="B53" s="360" t="s">
        <v>166</v>
      </c>
      <c r="C53" s="361" t="s">
        <v>56</v>
      </c>
      <c r="D53" s="777"/>
      <c r="E53" s="72"/>
      <c r="F53" s="87"/>
      <c r="G53" s="771" t="s">
        <v>79</v>
      </c>
      <c r="H53" s="93" t="s">
        <v>162</v>
      </c>
      <c r="I53" s="73"/>
    </row>
    <row r="54" spans="1:9" ht="28" x14ac:dyDescent="0.15">
      <c r="A54" s="75">
        <v>979</v>
      </c>
      <c r="B54" s="360" t="s">
        <v>169</v>
      </c>
      <c r="C54" s="361" t="s">
        <v>56</v>
      </c>
      <c r="D54" s="777"/>
      <c r="E54" s="72"/>
      <c r="F54" s="87"/>
      <c r="G54" s="769" t="s">
        <v>80</v>
      </c>
      <c r="H54" s="93" t="s">
        <v>164</v>
      </c>
      <c r="I54" s="86" t="s">
        <v>173</v>
      </c>
    </row>
    <row r="55" spans="1:9" ht="42" x14ac:dyDescent="0.15">
      <c r="A55" s="75">
        <v>980</v>
      </c>
      <c r="B55" s="360" t="s">
        <v>171</v>
      </c>
      <c r="C55" s="361" t="s">
        <v>56</v>
      </c>
      <c r="D55" s="777"/>
      <c r="E55" s="72"/>
      <c r="F55" s="87"/>
      <c r="G55" s="771" t="s">
        <v>167</v>
      </c>
      <c r="H55" s="95" t="s">
        <v>168</v>
      </c>
      <c r="I55" s="73"/>
    </row>
    <row r="56" spans="1:9" ht="14" x14ac:dyDescent="0.15">
      <c r="A56" s="75">
        <v>981</v>
      </c>
      <c r="B56" s="360" t="s">
        <v>178</v>
      </c>
      <c r="C56" s="361" t="s">
        <v>56</v>
      </c>
      <c r="D56" s="777"/>
      <c r="E56" s="72"/>
      <c r="F56" s="87"/>
      <c r="G56" s="771" t="s">
        <v>84</v>
      </c>
      <c r="H56" s="95" t="s">
        <v>170</v>
      </c>
      <c r="I56" s="73"/>
    </row>
    <row r="57" spans="1:9" ht="28" x14ac:dyDescent="0.15">
      <c r="A57" s="75">
        <v>982</v>
      </c>
      <c r="B57" s="360" t="s">
        <v>180</v>
      </c>
      <c r="C57" s="361" t="s">
        <v>56</v>
      </c>
      <c r="D57" s="777"/>
      <c r="E57" s="72"/>
      <c r="F57" s="87"/>
      <c r="G57" s="771" t="s">
        <v>85</v>
      </c>
      <c r="H57" s="95" t="s">
        <v>172</v>
      </c>
      <c r="I57" s="73"/>
    </row>
    <row r="58" spans="1:9" ht="98" x14ac:dyDescent="0.15">
      <c r="A58" s="75">
        <v>983</v>
      </c>
      <c r="B58" s="360" t="s">
        <v>182</v>
      </c>
      <c r="C58" s="361" t="s">
        <v>56</v>
      </c>
      <c r="D58" s="777"/>
      <c r="E58" s="72"/>
      <c r="F58" s="87"/>
      <c r="G58" s="771" t="s">
        <v>86</v>
      </c>
      <c r="H58" s="95" t="s">
        <v>179</v>
      </c>
      <c r="I58" s="73"/>
    </row>
    <row r="59" spans="1:9" ht="14" x14ac:dyDescent="0.15">
      <c r="A59" s="75">
        <v>984</v>
      </c>
      <c r="B59" s="360" t="s">
        <v>186</v>
      </c>
      <c r="C59" s="361" t="s">
        <v>56</v>
      </c>
      <c r="D59" s="777"/>
      <c r="E59" s="72"/>
      <c r="F59" s="87"/>
      <c r="G59" s="769" t="s">
        <v>87</v>
      </c>
      <c r="H59" s="93" t="s">
        <v>181</v>
      </c>
      <c r="I59" s="73"/>
    </row>
    <row r="60" spans="1:9" ht="42" x14ac:dyDescent="0.15">
      <c r="A60" s="75">
        <v>985</v>
      </c>
      <c r="B60" s="360" t="s">
        <v>3357</v>
      </c>
      <c r="C60" s="361" t="s">
        <v>56</v>
      </c>
      <c r="D60" s="777"/>
      <c r="E60" s="72"/>
      <c r="F60" s="87"/>
      <c r="G60" s="773" t="s">
        <v>89</v>
      </c>
      <c r="H60" s="99" t="s">
        <v>184</v>
      </c>
      <c r="I60" s="73"/>
    </row>
    <row r="61" spans="1:9" ht="28" x14ac:dyDescent="0.15">
      <c r="A61" s="75"/>
      <c r="B61" s="360"/>
      <c r="C61" s="361"/>
      <c r="D61" s="777"/>
      <c r="E61" s="72"/>
      <c r="F61" s="87"/>
      <c r="G61" s="773" t="s">
        <v>97</v>
      </c>
      <c r="H61" s="99" t="s">
        <v>187</v>
      </c>
      <c r="I61" s="73"/>
    </row>
    <row r="62" spans="1:9" ht="28" x14ac:dyDescent="0.15">
      <c r="A62" s="75">
        <v>988</v>
      </c>
      <c r="B62" s="360" t="s">
        <v>190</v>
      </c>
      <c r="C62" s="361" t="s">
        <v>56</v>
      </c>
      <c r="D62" s="777"/>
      <c r="E62" s="72"/>
      <c r="F62" s="87"/>
      <c r="G62" s="773" t="s">
        <v>98</v>
      </c>
      <c r="H62" s="99" t="s">
        <v>187</v>
      </c>
      <c r="I62" s="73"/>
    </row>
    <row r="63" spans="1:9" ht="14" x14ac:dyDescent="0.15">
      <c r="A63" s="75">
        <v>991</v>
      </c>
      <c r="B63" s="360" t="s">
        <v>193</v>
      </c>
      <c r="C63" s="361" t="s">
        <v>56</v>
      </c>
      <c r="D63" s="777"/>
      <c r="E63" s="72"/>
      <c r="F63" s="87"/>
      <c r="G63" s="773" t="s">
        <v>188</v>
      </c>
      <c r="H63" s="99" t="s">
        <v>187</v>
      </c>
      <c r="I63" s="73"/>
    </row>
    <row r="64" spans="1:9" ht="28" x14ac:dyDescent="0.15">
      <c r="A64" s="75">
        <v>992</v>
      </c>
      <c r="B64" s="360" t="s">
        <v>195</v>
      </c>
      <c r="C64" s="361" t="s">
        <v>56</v>
      </c>
      <c r="D64" s="777"/>
      <c r="E64" s="72"/>
      <c r="F64" s="87"/>
      <c r="G64" s="769" t="s">
        <v>189</v>
      </c>
      <c r="H64" s="93"/>
      <c r="I64" s="73"/>
    </row>
    <row r="65" spans="1:9" ht="14" x14ac:dyDescent="0.15">
      <c r="A65" s="75">
        <v>993</v>
      </c>
      <c r="B65" s="360" t="s">
        <v>201</v>
      </c>
      <c r="C65" s="361" t="s">
        <v>56</v>
      </c>
      <c r="D65" s="777"/>
      <c r="E65" s="72"/>
      <c r="F65" s="87"/>
      <c r="G65" s="769" t="s">
        <v>191</v>
      </c>
      <c r="H65" s="93"/>
      <c r="I65" s="73"/>
    </row>
    <row r="66" spans="1:9" ht="28" x14ac:dyDescent="0.15">
      <c r="A66" s="75">
        <v>994</v>
      </c>
      <c r="B66" s="360" t="s">
        <v>202</v>
      </c>
      <c r="C66" s="361" t="s">
        <v>56</v>
      </c>
      <c r="D66" s="777"/>
      <c r="E66" s="72"/>
      <c r="F66" s="87"/>
      <c r="G66" s="769" t="s">
        <v>194</v>
      </c>
      <c r="H66" s="93"/>
      <c r="I66" s="73"/>
    </row>
    <row r="67" spans="1:9" x14ac:dyDescent="0.15">
      <c r="A67" s="75"/>
      <c r="B67" s="360"/>
      <c r="C67" s="361" t="s">
        <v>56</v>
      </c>
      <c r="D67" s="777"/>
      <c r="E67" s="72"/>
      <c r="F67" s="87"/>
      <c r="G67" s="362"/>
      <c r="H67" s="94"/>
      <c r="I67" s="73"/>
    </row>
    <row r="68" spans="1:9" x14ac:dyDescent="0.15">
      <c r="A68" s="75">
        <v>996</v>
      </c>
      <c r="B68" s="360" t="s">
        <v>203</v>
      </c>
      <c r="C68" s="361" t="s">
        <v>56</v>
      </c>
      <c r="D68" s="777"/>
      <c r="E68" s="72"/>
      <c r="F68" s="87"/>
      <c r="G68" s="362"/>
      <c r="H68" s="94"/>
      <c r="I68" s="73"/>
    </row>
    <row r="69" spans="1:9" x14ac:dyDescent="0.15">
      <c r="A69" s="75">
        <v>997</v>
      </c>
      <c r="B69" s="360" t="s">
        <v>204</v>
      </c>
      <c r="C69" s="361" t="s">
        <v>56</v>
      </c>
      <c r="D69" s="777"/>
      <c r="E69" s="72"/>
      <c r="F69" s="87"/>
      <c r="G69" s="362"/>
      <c r="H69" s="94"/>
      <c r="I69" s="73"/>
    </row>
    <row r="70" spans="1:9" x14ac:dyDescent="0.15">
      <c r="A70" s="75"/>
      <c r="B70" s="360"/>
      <c r="C70" s="361" t="s">
        <v>56</v>
      </c>
      <c r="D70" s="777"/>
      <c r="E70" s="72"/>
      <c r="F70" s="87"/>
      <c r="G70" s="362"/>
      <c r="H70" s="94"/>
      <c r="I70" s="73"/>
    </row>
    <row r="71" spans="1:9" x14ac:dyDescent="0.15">
      <c r="A71" s="75">
        <v>999</v>
      </c>
      <c r="B71" s="360" t="s">
        <v>206</v>
      </c>
      <c r="C71" s="361" t="s">
        <v>56</v>
      </c>
      <c r="D71" s="777"/>
      <c r="E71" s="72"/>
      <c r="F71" s="87"/>
      <c r="G71" s="362"/>
      <c r="H71" s="94"/>
      <c r="I71" s="73"/>
    </row>
    <row r="72" spans="1:9" x14ac:dyDescent="0.15">
      <c r="A72" s="75"/>
      <c r="B72" s="360"/>
      <c r="C72" s="361" t="s">
        <v>56</v>
      </c>
      <c r="D72" s="777"/>
      <c r="E72" s="72"/>
      <c r="F72" s="87"/>
      <c r="G72" s="362"/>
      <c r="H72" s="94"/>
      <c r="I72" s="73"/>
    </row>
    <row r="73" spans="1:9" x14ac:dyDescent="0.15">
      <c r="A73" s="77"/>
      <c r="B73" s="16"/>
      <c r="C73" s="207"/>
      <c r="D73" s="777"/>
      <c r="E73" s="72"/>
      <c r="F73" s="87"/>
      <c r="G73" s="362"/>
      <c r="H73" s="94"/>
      <c r="I73" s="73"/>
    </row>
    <row r="74" spans="1:9" ht="14" thickBot="1" x14ac:dyDescent="0.2">
      <c r="A74" s="78"/>
      <c r="B74" s="79"/>
      <c r="C74" s="208"/>
      <c r="D74" s="778"/>
      <c r="E74" s="88"/>
      <c r="F74" s="89"/>
      <c r="G74" s="774"/>
      <c r="H74" s="83"/>
      <c r="I74" s="73"/>
    </row>
    <row r="75" spans="1:9" x14ac:dyDescent="0.15">
      <c r="D75" s="779"/>
      <c r="F75" s="73"/>
      <c r="G75" s="775"/>
      <c r="H75" s="80"/>
    </row>
    <row r="76" spans="1:9" x14ac:dyDescent="0.15">
      <c r="D76" s="779"/>
      <c r="F76" s="73"/>
      <c r="G76" s="775"/>
      <c r="H76" s="80"/>
    </row>
    <row r="77" spans="1:9" x14ac:dyDescent="0.15">
      <c r="D77" s="779"/>
      <c r="F77" s="73"/>
      <c r="G77" s="775"/>
      <c r="H77" s="80"/>
    </row>
  </sheetData>
  <phoneticPr fontId="17" type="noConversion"/>
  <printOptions horizontalCentered="1" verticalCentered="1"/>
  <pageMargins left="0" right="0" top="0" bottom="0" header="0" footer="0"/>
  <pageSetup paperSize="9" scale="4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C99AC-7069-496D-B9AB-04B311C80BDA}">
  <sheetPr>
    <tabColor rgb="FF002060"/>
  </sheetPr>
  <dimension ref="A1:BJ17528"/>
  <sheetViews>
    <sheetView workbookViewId="0">
      <pane xSplit="2" ySplit="1" topLeftCell="AF2" activePane="bottomRight" state="frozen"/>
      <selection pane="topRight" activeCell="C1" sqref="C1"/>
      <selection pane="bottomLeft" activeCell="A2" sqref="A2"/>
      <selection pane="bottomRight" activeCell="AI5" sqref="AI5"/>
    </sheetView>
  </sheetViews>
  <sheetFormatPr baseColWidth="10" defaultColWidth="7.1640625" defaultRowHeight="15" customHeight="1" x14ac:dyDescent="0.15"/>
  <cols>
    <col min="1" max="1" width="21.5" style="111" customWidth="1"/>
    <col min="2" max="2" width="13.6640625" style="111" customWidth="1"/>
    <col min="3" max="3" width="11.1640625" style="111" customWidth="1"/>
    <col min="4" max="4" width="11.6640625" style="111" customWidth="1"/>
    <col min="5" max="5" width="7.5" style="111" customWidth="1"/>
    <col min="6" max="6" width="13.1640625" style="111" customWidth="1"/>
    <col min="7" max="7" width="8.5" style="179" customWidth="1"/>
    <col min="8" max="8" width="8.33203125" style="60" customWidth="1"/>
    <col min="9" max="9" width="4.6640625" style="111" customWidth="1"/>
    <col min="10" max="10" width="21.5" style="111" customWidth="1"/>
    <col min="11" max="11" width="4.6640625" style="182" customWidth="1"/>
    <col min="12" max="12" width="16.6640625" style="133" customWidth="1"/>
    <col min="13" max="19" width="5.6640625" style="133" customWidth="1"/>
    <col min="20" max="21" width="10.6640625" style="56" customWidth="1"/>
    <col min="22" max="22" width="17" style="56" customWidth="1"/>
    <col min="23" max="23" width="10.6640625" style="56" customWidth="1"/>
    <col min="24" max="24" width="13" style="56" customWidth="1"/>
    <col min="25" max="25" width="10.6640625" style="171" customWidth="1"/>
    <col min="26" max="26" width="10.33203125" style="171" customWidth="1"/>
    <col min="27" max="27" width="14.33203125" style="171" customWidth="1"/>
    <col min="28" max="28" width="8.6640625" style="172" customWidth="1"/>
    <col min="29" max="30" width="11.5" customWidth="1"/>
    <col min="31" max="31" width="9.6640625" customWidth="1"/>
    <col min="32" max="32" width="11.5" customWidth="1"/>
    <col min="33" max="33" width="17" customWidth="1"/>
    <col min="34" max="34" width="10.5" style="193" customWidth="1"/>
    <col min="35" max="35" width="13.5" style="111" customWidth="1"/>
    <col min="36" max="36" width="16.1640625" style="111" customWidth="1"/>
    <col min="37" max="37" width="18.5" style="111" bestFit="1" customWidth="1"/>
    <col min="38" max="38" width="34" style="205" bestFit="1" customWidth="1"/>
    <col min="39" max="39" width="15.5" style="111" customWidth="1"/>
    <col min="40" max="40" width="11" style="193" customWidth="1"/>
    <col min="41" max="41" width="7.1640625" style="193" customWidth="1"/>
    <col min="42" max="43" width="7.1640625" style="111" customWidth="1"/>
    <col min="44" max="44" width="10.1640625" style="111" customWidth="1"/>
    <col min="45" max="47" width="7.1640625" style="111" customWidth="1"/>
    <col min="48" max="48" width="7.5" style="161" customWidth="1"/>
    <col min="49" max="49" width="7.1640625" style="111" customWidth="1"/>
    <col min="50" max="51" width="7.1640625" style="133" customWidth="1"/>
    <col min="52" max="52" width="8.6640625" style="133" customWidth="1"/>
    <col min="53" max="53" width="7.5" style="198" customWidth="1"/>
    <col min="54" max="54" width="8.33203125" style="133" customWidth="1"/>
    <col min="55" max="55" width="9.5" style="133" customWidth="1"/>
    <col min="56" max="58" width="9.5" style="111" customWidth="1"/>
    <col min="59" max="59" width="7.1640625" style="111" customWidth="1"/>
    <col min="60" max="60" width="8.33203125" style="111" customWidth="1"/>
    <col min="61" max="61" width="8" style="111" customWidth="1"/>
    <col min="62" max="62" width="20.5" style="159" customWidth="1"/>
  </cols>
  <sheetData>
    <row r="1" spans="1:62" ht="84" x14ac:dyDescent="0.15">
      <c r="A1" s="174" t="s">
        <v>27</v>
      </c>
      <c r="B1" s="175" t="s">
        <v>2751</v>
      </c>
      <c r="C1" s="175" t="s">
        <v>7</v>
      </c>
      <c r="D1" s="176" t="s">
        <v>9</v>
      </c>
      <c r="E1" s="175" t="s">
        <v>33</v>
      </c>
      <c r="F1" s="176" t="s">
        <v>11</v>
      </c>
      <c r="G1" s="177" t="s">
        <v>12</v>
      </c>
      <c r="H1" s="127" t="s">
        <v>35</v>
      </c>
      <c r="I1" s="175" t="s">
        <v>13</v>
      </c>
      <c r="J1" s="175" t="s">
        <v>14</v>
      </c>
      <c r="K1" s="131" t="s">
        <v>13</v>
      </c>
      <c r="L1" s="131" t="s">
        <v>3358</v>
      </c>
      <c r="M1" s="131" t="s">
        <v>46</v>
      </c>
      <c r="N1" s="131" t="s">
        <v>47</v>
      </c>
      <c r="O1" s="131" t="s">
        <v>48</v>
      </c>
      <c r="P1" s="134" t="s">
        <v>3370</v>
      </c>
      <c r="Q1" s="134" t="s">
        <v>3371</v>
      </c>
      <c r="R1" s="131" t="s">
        <v>51</v>
      </c>
      <c r="S1" s="131" t="s">
        <v>52</v>
      </c>
      <c r="T1" s="4" t="s">
        <v>3114</v>
      </c>
      <c r="U1" s="4" t="s">
        <v>3111</v>
      </c>
      <c r="V1" s="4" t="s">
        <v>3113</v>
      </c>
      <c r="W1" s="4" t="s">
        <v>3112</v>
      </c>
      <c r="X1" s="4" t="s">
        <v>3367</v>
      </c>
      <c r="Y1" s="162" t="s">
        <v>55</v>
      </c>
      <c r="Z1" s="162" t="s">
        <v>58</v>
      </c>
      <c r="AA1" s="163" t="s">
        <v>59</v>
      </c>
      <c r="AB1" s="163" t="s">
        <v>3551</v>
      </c>
      <c r="AC1" s="7" t="s">
        <v>61</v>
      </c>
      <c r="AD1" s="7" t="s">
        <v>66</v>
      </c>
      <c r="AE1" s="6" t="s">
        <v>20</v>
      </c>
      <c r="AF1" s="7" t="s">
        <v>67</v>
      </c>
      <c r="AG1" s="6" t="s">
        <v>22</v>
      </c>
      <c r="AH1" s="189" t="s">
        <v>2752</v>
      </c>
      <c r="AI1" s="175" t="s">
        <v>23</v>
      </c>
      <c r="AJ1" s="175" t="s">
        <v>24</v>
      </c>
      <c r="AK1" s="177" t="s">
        <v>25</v>
      </c>
      <c r="AL1" s="177" t="s">
        <v>26</v>
      </c>
      <c r="AM1" s="175" t="s">
        <v>2712</v>
      </c>
      <c r="AN1" s="175" t="s">
        <v>69</v>
      </c>
      <c r="AO1" s="175" t="s">
        <v>70</v>
      </c>
      <c r="AP1" s="175" t="s">
        <v>71</v>
      </c>
      <c r="AQ1" s="175" t="s">
        <v>72</v>
      </c>
      <c r="AR1" s="175" t="s">
        <v>73</v>
      </c>
      <c r="AS1" s="189" t="s">
        <v>74</v>
      </c>
      <c r="AT1" s="189" t="s">
        <v>75</v>
      </c>
      <c r="AU1" s="175" t="s">
        <v>76</v>
      </c>
      <c r="AV1" s="8" t="s">
        <v>81</v>
      </c>
      <c r="AW1" s="189" t="s">
        <v>2785</v>
      </c>
      <c r="AX1" s="194" t="s">
        <v>2786</v>
      </c>
      <c r="AY1" s="195" t="s">
        <v>2787</v>
      </c>
      <c r="AZ1" s="194" t="s">
        <v>2788</v>
      </c>
      <c r="BA1" s="196" t="s">
        <v>2789</v>
      </c>
      <c r="BB1" s="195" t="s">
        <v>2790</v>
      </c>
      <c r="BC1" s="195" t="s">
        <v>2791</v>
      </c>
      <c r="BD1" s="189" t="s">
        <v>3459</v>
      </c>
      <c r="BE1" s="189" t="s">
        <v>3460</v>
      </c>
      <c r="BF1" s="189" t="s">
        <v>3461</v>
      </c>
      <c r="BG1" s="189" t="s">
        <v>86</v>
      </c>
      <c r="BH1" s="177" t="s">
        <v>87</v>
      </c>
      <c r="BI1" s="177" t="s">
        <v>88</v>
      </c>
      <c r="BJ1" s="102" t="s">
        <v>3369</v>
      </c>
    </row>
    <row r="2" spans="1:62" s="157" customFormat="1" ht="13.5" customHeight="1" x14ac:dyDescent="0.15">
      <c r="A2" s="106" t="s">
        <v>267</v>
      </c>
      <c r="B2" s="107"/>
      <c r="C2" s="112"/>
      <c r="D2" s="112"/>
      <c r="E2" s="113"/>
      <c r="F2" s="110"/>
      <c r="G2" s="61" t="s">
        <v>268</v>
      </c>
      <c r="H2" s="156"/>
      <c r="I2" s="62">
        <v>200</v>
      </c>
      <c r="J2" s="110" t="str">
        <f>VLOOKUP(I2,CAT_JOUEUR,2,FALSE)</f>
        <v>Donateurs</v>
      </c>
      <c r="K2" s="180">
        <v>200</v>
      </c>
      <c r="L2" s="154" t="str">
        <f>VLOOKUP(K2,CAT_JOUEUR,2,FALSE)</f>
        <v>Donateurs</v>
      </c>
      <c r="M2" s="154"/>
      <c r="N2" s="154"/>
      <c r="O2" s="154"/>
      <c r="P2" s="154"/>
      <c r="Q2" s="154"/>
      <c r="R2" s="154"/>
      <c r="S2" s="154"/>
      <c r="T2" s="173"/>
      <c r="U2" s="173"/>
      <c r="V2" s="173"/>
      <c r="W2" s="173"/>
      <c r="X2" s="173"/>
      <c r="Y2" s="164"/>
      <c r="Z2" s="164"/>
      <c r="AA2" s="165"/>
      <c r="AB2" s="166"/>
      <c r="AC2" s="184" t="s">
        <v>242</v>
      </c>
      <c r="AD2" s="184"/>
      <c r="AE2" s="185" t="s">
        <v>242</v>
      </c>
      <c r="AF2" s="184" t="s">
        <v>242</v>
      </c>
      <c r="AG2" s="186" t="s">
        <v>244</v>
      </c>
      <c r="AH2" s="115"/>
      <c r="AI2" s="112"/>
      <c r="AJ2" s="112"/>
      <c r="AK2" s="112"/>
      <c r="AL2" s="25"/>
      <c r="AM2" s="112"/>
      <c r="AN2" s="110"/>
      <c r="AO2" s="112"/>
      <c r="AP2" s="110"/>
      <c r="AQ2" s="110"/>
      <c r="AR2" s="110"/>
      <c r="AS2" s="115"/>
      <c r="AT2" s="115"/>
      <c r="AU2" s="113"/>
      <c r="AV2" s="160"/>
      <c r="AW2" s="110" t="s">
        <v>290</v>
      </c>
      <c r="AX2" s="154" t="s">
        <v>292</v>
      </c>
      <c r="AY2" s="154" t="s">
        <v>292</v>
      </c>
      <c r="AZ2" s="154"/>
      <c r="BA2" s="197" t="s">
        <v>290</v>
      </c>
      <c r="BB2" s="154"/>
      <c r="BC2" s="154"/>
      <c r="BD2" s="110"/>
      <c r="BE2" s="110"/>
      <c r="BF2" s="110"/>
      <c r="BG2" s="115" t="s">
        <v>295</v>
      </c>
      <c r="BH2" s="199"/>
      <c r="BI2" s="199"/>
      <c r="BJ2" s="158"/>
    </row>
    <row r="3" spans="1:62" s="157" customFormat="1" ht="13.5" customHeight="1" x14ac:dyDescent="0.15">
      <c r="A3" s="106" t="s">
        <v>643</v>
      </c>
      <c r="B3" s="107" t="s">
        <v>644</v>
      </c>
      <c r="C3" s="112"/>
      <c r="D3" s="112"/>
      <c r="E3" s="113"/>
      <c r="F3" s="110"/>
      <c r="G3" s="61" t="s">
        <v>268</v>
      </c>
      <c r="H3" s="156"/>
      <c r="I3" s="62">
        <v>200</v>
      </c>
      <c r="J3" s="110" t="str">
        <f t="shared" ref="J3:J10" si="0">VLOOKUP(I3,CAT_JOUEUR,2,FALSE)</f>
        <v>Donateurs</v>
      </c>
      <c r="K3" s="180">
        <v>200</v>
      </c>
      <c r="L3" s="154" t="str">
        <f t="shared" ref="L3:L10" si="1">VLOOKUP(K3,CAT_JOUEUR,2,FALSE)</f>
        <v>Donateurs</v>
      </c>
      <c r="M3" s="154"/>
      <c r="N3" s="154"/>
      <c r="O3" s="154"/>
      <c r="P3" s="154"/>
      <c r="Q3" s="154"/>
      <c r="R3" s="154"/>
      <c r="S3" s="154"/>
      <c r="T3" s="173"/>
      <c r="U3" s="173"/>
      <c r="V3" s="173"/>
      <c r="W3" s="173"/>
      <c r="X3" s="173"/>
      <c r="Y3" s="164"/>
      <c r="Z3" s="164"/>
      <c r="AA3" s="165"/>
      <c r="AB3" s="166"/>
      <c r="AC3" s="184" t="s">
        <v>242</v>
      </c>
      <c r="AD3" s="184"/>
      <c r="AE3" s="185" t="s">
        <v>242</v>
      </c>
      <c r="AF3" s="184" t="s">
        <v>242</v>
      </c>
      <c r="AG3" s="186" t="s">
        <v>244</v>
      </c>
      <c r="AH3" s="115"/>
      <c r="AI3" s="112"/>
      <c r="AJ3" s="112"/>
      <c r="AK3" s="112"/>
      <c r="AL3" s="25"/>
      <c r="AM3" s="112"/>
      <c r="AN3" s="110"/>
      <c r="AO3" s="112"/>
      <c r="AP3" s="110"/>
      <c r="AQ3" s="110"/>
      <c r="AR3" s="110"/>
      <c r="AS3" s="115"/>
      <c r="AT3" s="115"/>
      <c r="AU3" s="113"/>
      <c r="AV3" s="160"/>
      <c r="AW3" s="110" t="s">
        <v>290</v>
      </c>
      <c r="AX3" s="154" t="s">
        <v>292</v>
      </c>
      <c r="AY3" s="154" t="s">
        <v>292</v>
      </c>
      <c r="AZ3" s="154"/>
      <c r="BA3" s="197" t="s">
        <v>290</v>
      </c>
      <c r="BB3" s="154"/>
      <c r="BC3" s="154"/>
      <c r="BD3" s="110"/>
      <c r="BE3" s="110"/>
      <c r="BF3" s="110"/>
      <c r="BG3" s="115"/>
      <c r="BH3" s="199"/>
      <c r="BI3" s="199"/>
      <c r="BJ3" s="158"/>
    </row>
    <row r="4" spans="1:62" s="157" customFormat="1" ht="13.5" customHeight="1" x14ac:dyDescent="0.15">
      <c r="A4" s="106" t="s">
        <v>1112</v>
      </c>
      <c r="B4" s="107" t="s">
        <v>644</v>
      </c>
      <c r="C4" s="112"/>
      <c r="D4" s="112"/>
      <c r="E4" s="113"/>
      <c r="F4" s="110" t="s">
        <v>252</v>
      </c>
      <c r="G4" s="61" t="s">
        <v>268</v>
      </c>
      <c r="H4" s="156"/>
      <c r="I4" s="62">
        <v>200</v>
      </c>
      <c r="J4" s="110" t="str">
        <f t="shared" si="0"/>
        <v>Donateurs</v>
      </c>
      <c r="K4" s="180">
        <v>200</v>
      </c>
      <c r="L4" s="154" t="str">
        <f t="shared" si="1"/>
        <v>Donateurs</v>
      </c>
      <c r="M4" s="154"/>
      <c r="N4" s="154"/>
      <c r="O4" s="154"/>
      <c r="P4" s="154"/>
      <c r="Q4" s="154"/>
      <c r="R4" s="154"/>
      <c r="S4" s="154"/>
      <c r="T4" s="173"/>
      <c r="U4" s="173"/>
      <c r="V4" s="173"/>
      <c r="W4" s="173"/>
      <c r="X4" s="173"/>
      <c r="Y4" s="164"/>
      <c r="Z4" s="164"/>
      <c r="AA4" s="165"/>
      <c r="AB4" s="166"/>
      <c r="AC4" s="184" t="s">
        <v>242</v>
      </c>
      <c r="AD4" s="184"/>
      <c r="AE4" s="185" t="s">
        <v>242</v>
      </c>
      <c r="AF4" s="185" t="s">
        <v>242</v>
      </c>
      <c r="AG4" s="186" t="s">
        <v>244</v>
      </c>
      <c r="AH4" s="115"/>
      <c r="AI4" s="112"/>
      <c r="AJ4" s="112"/>
      <c r="AK4" s="116"/>
      <c r="AL4" s="201" t="s">
        <v>1115</v>
      </c>
      <c r="AM4" s="119"/>
      <c r="AN4" s="113"/>
      <c r="AO4" s="112"/>
      <c r="AP4" s="110"/>
      <c r="AQ4" s="110"/>
      <c r="AR4" s="110"/>
      <c r="AS4" s="115"/>
      <c r="AT4" s="115"/>
      <c r="AU4" s="113"/>
      <c r="AV4" s="160"/>
      <c r="AW4" s="110" t="s">
        <v>290</v>
      </c>
      <c r="AX4" s="154" t="s">
        <v>292</v>
      </c>
      <c r="AY4" s="154" t="s">
        <v>292</v>
      </c>
      <c r="AZ4" s="154"/>
      <c r="BA4" s="197" t="s">
        <v>290</v>
      </c>
      <c r="BB4" s="154"/>
      <c r="BC4" s="154"/>
      <c r="BD4" s="110"/>
      <c r="BE4" s="110"/>
      <c r="BF4" s="110"/>
      <c r="BG4" s="115"/>
      <c r="BH4" s="199"/>
      <c r="BI4" s="199"/>
      <c r="BJ4" s="158"/>
    </row>
    <row r="5" spans="1:62" s="157" customFormat="1" ht="13.5" customHeight="1" x14ac:dyDescent="0.15">
      <c r="A5" s="106" t="s">
        <v>1130</v>
      </c>
      <c r="B5" s="107" t="s">
        <v>1131</v>
      </c>
      <c r="C5" s="112"/>
      <c r="D5" s="112"/>
      <c r="E5" s="113"/>
      <c r="F5" s="110"/>
      <c r="G5" s="61" t="s">
        <v>268</v>
      </c>
      <c r="H5" s="156"/>
      <c r="I5" s="62">
        <v>200</v>
      </c>
      <c r="J5" s="110" t="str">
        <f t="shared" si="0"/>
        <v>Donateurs</v>
      </c>
      <c r="K5" s="180">
        <v>200</v>
      </c>
      <c r="L5" s="154" t="str">
        <f t="shared" si="1"/>
        <v>Donateurs</v>
      </c>
      <c r="M5" s="154"/>
      <c r="N5" s="154"/>
      <c r="O5" s="154"/>
      <c r="P5" s="154"/>
      <c r="Q5" s="154"/>
      <c r="R5" s="154"/>
      <c r="S5" s="154"/>
      <c r="T5" s="173"/>
      <c r="U5" s="173"/>
      <c r="V5" s="173"/>
      <c r="W5" s="173"/>
      <c r="X5" s="173"/>
      <c r="Y5" s="164"/>
      <c r="Z5" s="164"/>
      <c r="AA5" s="165"/>
      <c r="AB5" s="166"/>
      <c r="AC5" s="184" t="s">
        <v>242</v>
      </c>
      <c r="AD5" s="184"/>
      <c r="AE5" s="185" t="s">
        <v>242</v>
      </c>
      <c r="AF5" s="185" t="s">
        <v>242</v>
      </c>
      <c r="AG5" s="186" t="s">
        <v>244</v>
      </c>
      <c r="AH5" s="115"/>
      <c r="AI5" s="112"/>
      <c r="AJ5" s="112"/>
      <c r="AK5" s="116"/>
      <c r="AL5" s="28"/>
      <c r="AM5" s="116"/>
      <c r="AN5" s="113"/>
      <c r="AO5" s="112"/>
      <c r="AP5" s="110"/>
      <c r="AQ5" s="110"/>
      <c r="AR5" s="110"/>
      <c r="AS5" s="115"/>
      <c r="AT5" s="115"/>
      <c r="AU5" s="113"/>
      <c r="AV5" s="160"/>
      <c r="AW5" s="110" t="s">
        <v>290</v>
      </c>
      <c r="AX5" s="154" t="s">
        <v>292</v>
      </c>
      <c r="AY5" s="154" t="s">
        <v>292</v>
      </c>
      <c r="AZ5" s="154"/>
      <c r="BA5" s="197" t="s">
        <v>290</v>
      </c>
      <c r="BB5" s="154"/>
      <c r="BC5" s="154"/>
      <c r="BD5" s="110"/>
      <c r="BE5" s="110"/>
      <c r="BF5" s="110"/>
      <c r="BG5" s="115"/>
      <c r="BH5" s="199"/>
      <c r="BI5" s="199"/>
      <c r="BJ5" s="158"/>
    </row>
    <row r="6" spans="1:62" s="157" customFormat="1" ht="13.5" customHeight="1" x14ac:dyDescent="0.15">
      <c r="A6" s="106" t="s">
        <v>1170</v>
      </c>
      <c r="B6" s="107" t="s">
        <v>1171</v>
      </c>
      <c r="C6" s="112"/>
      <c r="D6" s="112"/>
      <c r="E6" s="113"/>
      <c r="F6" s="110"/>
      <c r="G6" s="61" t="s">
        <v>268</v>
      </c>
      <c r="H6" s="156"/>
      <c r="I6" s="62">
        <v>200</v>
      </c>
      <c r="J6" s="110" t="str">
        <f t="shared" si="0"/>
        <v>Donateurs</v>
      </c>
      <c r="K6" s="180">
        <v>200</v>
      </c>
      <c r="L6" s="154" t="str">
        <f t="shared" si="1"/>
        <v>Donateurs</v>
      </c>
      <c r="M6" s="154"/>
      <c r="N6" s="154"/>
      <c r="O6" s="154"/>
      <c r="P6" s="154"/>
      <c r="Q6" s="154"/>
      <c r="R6" s="154"/>
      <c r="S6" s="154"/>
      <c r="T6" s="173"/>
      <c r="U6" s="173"/>
      <c r="V6" s="173"/>
      <c r="W6" s="173"/>
      <c r="X6" s="173"/>
      <c r="Y6" s="164"/>
      <c r="Z6" s="164"/>
      <c r="AA6" s="165"/>
      <c r="AB6" s="166"/>
      <c r="AC6" s="184" t="s">
        <v>242</v>
      </c>
      <c r="AD6" s="184"/>
      <c r="AE6" s="185" t="s">
        <v>242</v>
      </c>
      <c r="AF6" s="185" t="s">
        <v>242</v>
      </c>
      <c r="AG6" s="186" t="s">
        <v>244</v>
      </c>
      <c r="AH6" s="115"/>
      <c r="AI6" s="112"/>
      <c r="AJ6" s="112"/>
      <c r="AK6" s="112"/>
      <c r="AL6" s="25"/>
      <c r="AM6" s="112"/>
      <c r="AN6" s="110"/>
      <c r="AO6" s="112"/>
      <c r="AP6" s="110"/>
      <c r="AQ6" s="110"/>
      <c r="AR6" s="110"/>
      <c r="AS6" s="115"/>
      <c r="AT6" s="115"/>
      <c r="AU6" s="113"/>
      <c r="AV6" s="160"/>
      <c r="AW6" s="110" t="s">
        <v>290</v>
      </c>
      <c r="AX6" s="154" t="s">
        <v>292</v>
      </c>
      <c r="AY6" s="154" t="s">
        <v>292</v>
      </c>
      <c r="AZ6" s="154"/>
      <c r="BA6" s="197" t="s">
        <v>290</v>
      </c>
      <c r="BB6" s="154"/>
      <c r="BC6" s="154"/>
      <c r="BD6" s="110"/>
      <c r="BE6" s="110"/>
      <c r="BF6" s="110"/>
      <c r="BG6" s="115"/>
      <c r="BH6" s="199"/>
      <c r="BI6" s="199"/>
      <c r="BJ6" s="158"/>
    </row>
    <row r="7" spans="1:62" s="157" customFormat="1" ht="13.5" customHeight="1" x14ac:dyDescent="0.15">
      <c r="A7" s="106" t="s">
        <v>1395</v>
      </c>
      <c r="B7" s="107" t="s">
        <v>1396</v>
      </c>
      <c r="C7" s="112" t="s">
        <v>345</v>
      </c>
      <c r="D7" s="112" t="s">
        <v>1397</v>
      </c>
      <c r="E7" s="113" t="s">
        <v>1398</v>
      </c>
      <c r="F7" s="110" t="s">
        <v>241</v>
      </c>
      <c r="G7" s="61" t="s">
        <v>268</v>
      </c>
      <c r="H7" s="156"/>
      <c r="I7" s="62">
        <v>200</v>
      </c>
      <c r="J7" s="110" t="str">
        <f t="shared" si="0"/>
        <v>Donateurs</v>
      </c>
      <c r="K7" s="180">
        <v>200</v>
      </c>
      <c r="L7" s="154" t="str">
        <f t="shared" si="1"/>
        <v>Donateurs</v>
      </c>
      <c r="M7" s="154"/>
      <c r="N7" s="154"/>
      <c r="O7" s="154"/>
      <c r="P7" s="154"/>
      <c r="Q7" s="154"/>
      <c r="R7" s="154"/>
      <c r="S7" s="154"/>
      <c r="T7" s="173"/>
      <c r="U7" s="173"/>
      <c r="V7" s="173"/>
      <c r="W7" s="173"/>
      <c r="X7" s="173"/>
      <c r="Y7" s="164"/>
      <c r="Z7" s="164"/>
      <c r="AA7" s="165"/>
      <c r="AB7" s="166"/>
      <c r="AC7" s="187" t="s">
        <v>242</v>
      </c>
      <c r="AD7" s="184"/>
      <c r="AE7" s="185" t="s">
        <v>242</v>
      </c>
      <c r="AF7" s="187" t="s">
        <v>242</v>
      </c>
      <c r="AG7" s="186" t="s">
        <v>244</v>
      </c>
      <c r="AH7" s="115"/>
      <c r="AI7" s="112"/>
      <c r="AJ7" s="112"/>
      <c r="AK7" s="112"/>
      <c r="AL7" s="25"/>
      <c r="AM7" s="112"/>
      <c r="AN7" s="110"/>
      <c r="AO7" s="112"/>
      <c r="AP7" s="110"/>
      <c r="AQ7" s="110"/>
      <c r="AR7" s="110"/>
      <c r="AS7" s="115">
        <v>15</v>
      </c>
      <c r="AT7" s="115">
        <v>15</v>
      </c>
      <c r="AU7" s="113"/>
      <c r="AV7" s="160"/>
      <c r="AW7" s="110" t="s">
        <v>290</v>
      </c>
      <c r="AX7" s="154" t="s">
        <v>292</v>
      </c>
      <c r="AY7" s="154" t="s">
        <v>292</v>
      </c>
      <c r="AZ7" s="154"/>
      <c r="BA7" s="197" t="s">
        <v>290</v>
      </c>
      <c r="BB7" s="154"/>
      <c r="BC7" s="154"/>
      <c r="BD7" s="110"/>
      <c r="BE7" s="110"/>
      <c r="BF7" s="110"/>
      <c r="BG7" s="115"/>
      <c r="BH7" s="199"/>
      <c r="BI7" s="199"/>
      <c r="BJ7" s="158"/>
    </row>
    <row r="8" spans="1:62" s="157" customFormat="1" ht="13.5" customHeight="1" x14ac:dyDescent="0.15">
      <c r="A8" s="106" t="s">
        <v>1427</v>
      </c>
      <c r="B8" s="107"/>
      <c r="C8" s="112"/>
      <c r="D8" s="112"/>
      <c r="E8" s="113"/>
      <c r="F8" s="110"/>
      <c r="G8" s="61" t="s">
        <v>268</v>
      </c>
      <c r="H8" s="156"/>
      <c r="I8" s="62">
        <v>200</v>
      </c>
      <c r="J8" s="110" t="str">
        <f t="shared" si="0"/>
        <v>Donateurs</v>
      </c>
      <c r="K8" s="180">
        <v>200</v>
      </c>
      <c r="L8" s="154" t="str">
        <f t="shared" si="1"/>
        <v>Donateurs</v>
      </c>
      <c r="M8" s="154"/>
      <c r="N8" s="154"/>
      <c r="O8" s="154"/>
      <c r="P8" s="154"/>
      <c r="Q8" s="154"/>
      <c r="R8" s="154"/>
      <c r="S8" s="154"/>
      <c r="T8" s="173"/>
      <c r="U8" s="173"/>
      <c r="V8" s="173"/>
      <c r="W8" s="173"/>
      <c r="X8" s="173"/>
      <c r="Y8" s="164"/>
      <c r="Z8" s="164"/>
      <c r="AA8" s="165"/>
      <c r="AB8" s="166"/>
      <c r="AC8" s="185" t="s">
        <v>242</v>
      </c>
      <c r="AD8" s="185" t="s">
        <v>242</v>
      </c>
      <c r="AE8" s="185" t="s">
        <v>242</v>
      </c>
      <c r="AF8" s="185" t="s">
        <v>242</v>
      </c>
      <c r="AG8" s="186" t="s">
        <v>244</v>
      </c>
      <c r="AH8" s="115"/>
      <c r="AI8" s="112"/>
      <c r="AJ8" s="112"/>
      <c r="AK8" s="116"/>
      <c r="AL8" s="28"/>
      <c r="AM8" s="116"/>
      <c r="AN8" s="121"/>
      <c r="AO8" s="112"/>
      <c r="AP8" s="110"/>
      <c r="AQ8" s="110"/>
      <c r="AR8" s="110"/>
      <c r="AS8" s="115"/>
      <c r="AT8" s="115"/>
      <c r="AU8" s="113"/>
      <c r="AV8" s="160"/>
      <c r="AW8" s="110" t="s">
        <v>290</v>
      </c>
      <c r="AX8" s="154" t="s">
        <v>292</v>
      </c>
      <c r="AY8" s="154" t="s">
        <v>292</v>
      </c>
      <c r="AZ8" s="154"/>
      <c r="BA8" s="197" t="s">
        <v>290</v>
      </c>
      <c r="BB8" s="154"/>
      <c r="BC8" s="154"/>
      <c r="BD8" s="110"/>
      <c r="BE8" s="110"/>
      <c r="BF8" s="110"/>
      <c r="BG8" s="115"/>
      <c r="BH8" s="199"/>
      <c r="BI8" s="199"/>
      <c r="BJ8" s="158"/>
    </row>
    <row r="9" spans="1:62" s="157" customFormat="1" ht="13.5" customHeight="1" x14ac:dyDescent="0.15">
      <c r="A9" s="106" t="s">
        <v>1575</v>
      </c>
      <c r="B9" s="107" t="s">
        <v>479</v>
      </c>
      <c r="C9" s="112" t="s">
        <v>107</v>
      </c>
      <c r="D9" s="112" t="s">
        <v>1576</v>
      </c>
      <c r="E9" s="113" t="s">
        <v>256</v>
      </c>
      <c r="F9" s="112" t="s">
        <v>1577</v>
      </c>
      <c r="G9" s="61" t="s">
        <v>268</v>
      </c>
      <c r="H9" s="156"/>
      <c r="I9" s="62">
        <v>200</v>
      </c>
      <c r="J9" s="110" t="str">
        <f t="shared" si="0"/>
        <v>Donateurs</v>
      </c>
      <c r="K9" s="180">
        <v>200</v>
      </c>
      <c r="L9" s="154" t="str">
        <f t="shared" si="1"/>
        <v>Donateurs</v>
      </c>
      <c r="M9" s="154"/>
      <c r="N9" s="154"/>
      <c r="O9" s="154"/>
      <c r="P9" s="154"/>
      <c r="Q9" s="154"/>
      <c r="R9" s="154"/>
      <c r="S9" s="154"/>
      <c r="T9" s="173"/>
      <c r="U9" s="173"/>
      <c r="V9" s="173"/>
      <c r="W9" s="173"/>
      <c r="X9" s="173"/>
      <c r="Y9" s="164"/>
      <c r="Z9" s="164"/>
      <c r="AA9" s="165"/>
      <c r="AB9" s="166"/>
      <c r="AC9" s="187" t="s">
        <v>242</v>
      </c>
      <c r="AD9" s="187" t="s">
        <v>242</v>
      </c>
      <c r="AE9" s="187" t="s">
        <v>242</v>
      </c>
      <c r="AF9" s="187" t="s">
        <v>242</v>
      </c>
      <c r="AG9" s="186" t="s">
        <v>244</v>
      </c>
      <c r="AH9" s="115"/>
      <c r="AI9" s="112"/>
      <c r="AJ9" s="112"/>
      <c r="AK9" s="116"/>
      <c r="AL9" s="202"/>
      <c r="AM9" s="119"/>
      <c r="AN9" s="121"/>
      <c r="AO9" s="112"/>
      <c r="AP9" s="110"/>
      <c r="AQ9" s="110"/>
      <c r="AR9" s="110"/>
      <c r="AS9" s="115"/>
      <c r="AT9" s="115">
        <v>20</v>
      </c>
      <c r="AU9" s="113"/>
      <c r="AV9" s="160"/>
      <c r="AW9" s="110" t="s">
        <v>290</v>
      </c>
      <c r="AX9" s="154" t="s">
        <v>292</v>
      </c>
      <c r="AY9" s="154" t="s">
        <v>292</v>
      </c>
      <c r="AZ9" s="154"/>
      <c r="BA9" s="197" t="s">
        <v>290</v>
      </c>
      <c r="BB9" s="154"/>
      <c r="BC9" s="154"/>
      <c r="BD9" s="110"/>
      <c r="BE9" s="110"/>
      <c r="BF9" s="110"/>
      <c r="BG9" s="115"/>
      <c r="BH9" s="199"/>
      <c r="BI9" s="199"/>
      <c r="BJ9" s="158"/>
    </row>
    <row r="10" spans="1:62" s="157" customFormat="1" ht="13.5" customHeight="1" x14ac:dyDescent="0.15">
      <c r="A10" s="106" t="s">
        <v>3147</v>
      </c>
      <c r="B10" s="107" t="s">
        <v>3148</v>
      </c>
      <c r="C10" s="112" t="s">
        <v>107</v>
      </c>
      <c r="D10" s="112" t="s">
        <v>3149</v>
      </c>
      <c r="E10" s="113" t="s">
        <v>3150</v>
      </c>
      <c r="F10" s="110" t="s">
        <v>360</v>
      </c>
      <c r="G10" s="61" t="s">
        <v>268</v>
      </c>
      <c r="H10" s="156"/>
      <c r="I10" s="62">
        <v>200</v>
      </c>
      <c r="J10" s="110" t="str">
        <f t="shared" si="0"/>
        <v>Donateurs</v>
      </c>
      <c r="K10" s="180">
        <v>200</v>
      </c>
      <c r="L10" s="154" t="str">
        <f t="shared" si="1"/>
        <v>Donateurs</v>
      </c>
      <c r="M10" s="154"/>
      <c r="N10" s="154"/>
      <c r="O10" s="154"/>
      <c r="P10" s="154"/>
      <c r="Q10" s="154"/>
      <c r="R10" s="154"/>
      <c r="S10" s="154"/>
      <c r="T10" s="173"/>
      <c r="U10" s="173"/>
      <c r="V10" s="173"/>
      <c r="W10" s="173"/>
      <c r="X10" s="173"/>
      <c r="Y10" s="164"/>
      <c r="Z10" s="164"/>
      <c r="AA10" s="167"/>
      <c r="AB10" s="166"/>
      <c r="AC10" s="184" t="s">
        <v>242</v>
      </c>
      <c r="AD10" s="184" t="s">
        <v>242</v>
      </c>
      <c r="AE10" s="185" t="s">
        <v>242</v>
      </c>
      <c r="AF10" s="184" t="s">
        <v>242</v>
      </c>
      <c r="AG10" s="186" t="s">
        <v>244</v>
      </c>
      <c r="AH10" s="115"/>
      <c r="AI10" s="112"/>
      <c r="AJ10" s="112"/>
      <c r="AK10" s="112"/>
      <c r="AL10" s="203"/>
      <c r="AM10" s="118"/>
      <c r="AN10" s="110"/>
      <c r="AO10" s="112"/>
      <c r="AP10" s="110"/>
      <c r="AQ10" s="110"/>
      <c r="AR10" s="110"/>
      <c r="AS10" s="115"/>
      <c r="AT10" s="115"/>
      <c r="AU10" s="113"/>
      <c r="AV10" s="160"/>
      <c r="AW10" s="110" t="s">
        <v>290</v>
      </c>
      <c r="AX10" s="154" t="s">
        <v>292</v>
      </c>
      <c r="AY10" s="154" t="s">
        <v>292</v>
      </c>
      <c r="AZ10" s="154" t="s">
        <v>2136</v>
      </c>
      <c r="BA10" s="197">
        <v>40</v>
      </c>
      <c r="BB10" s="154"/>
      <c r="BC10" s="154"/>
      <c r="BD10" s="110"/>
      <c r="BE10" s="110"/>
      <c r="BF10" s="110"/>
      <c r="BG10" s="115"/>
      <c r="BH10" s="199"/>
      <c r="BI10" s="199"/>
      <c r="BJ10" s="158"/>
    </row>
    <row r="11" spans="1:62" s="157" customFormat="1" ht="14.25" customHeight="1" x14ac:dyDescent="0.15">
      <c r="A11" s="106" t="s">
        <v>2806</v>
      </c>
      <c r="B11" s="107" t="s">
        <v>1785</v>
      </c>
      <c r="C11" s="112" t="s">
        <v>263</v>
      </c>
      <c r="D11" s="110" t="s">
        <v>2793</v>
      </c>
      <c r="E11" s="113" t="s">
        <v>1129</v>
      </c>
      <c r="F11" s="110" t="s">
        <v>1322</v>
      </c>
      <c r="G11" s="61" t="s">
        <v>790</v>
      </c>
      <c r="H11" s="156"/>
      <c r="I11" s="62">
        <v>200</v>
      </c>
      <c r="J11" s="110" t="str">
        <f t="shared" ref="J11:J12" si="2">VLOOKUP(I11,CAT_JOUEUR,2,FALSE)</f>
        <v>Donateurs</v>
      </c>
      <c r="K11" s="180">
        <v>200</v>
      </c>
      <c r="L11" s="154" t="str">
        <f t="shared" ref="L11:L12" si="3">VLOOKUP(K11,CAT_JOUEUR,2,FALSE)</f>
        <v>Donateurs</v>
      </c>
      <c r="M11" s="154"/>
      <c r="N11" s="154"/>
      <c r="O11" s="154"/>
      <c r="P11" s="154"/>
      <c r="Q11" s="154"/>
      <c r="R11" s="154"/>
      <c r="S11" s="154"/>
      <c r="T11" s="173"/>
      <c r="U11" s="173"/>
      <c r="V11" s="173"/>
      <c r="W11" s="173"/>
      <c r="X11" s="173"/>
      <c r="Y11" s="164"/>
      <c r="Z11" s="164"/>
      <c r="AA11" s="165"/>
      <c r="AB11" s="166"/>
      <c r="AC11" s="184" t="s">
        <v>242</v>
      </c>
      <c r="AD11" s="184" t="s">
        <v>242</v>
      </c>
      <c r="AE11" s="184" t="s">
        <v>242</v>
      </c>
      <c r="AF11" s="184" t="s">
        <v>242</v>
      </c>
      <c r="AG11" s="186" t="s">
        <v>244</v>
      </c>
      <c r="AH11" s="115"/>
      <c r="AI11" s="112"/>
      <c r="AJ11" s="117"/>
      <c r="AK11" s="116"/>
      <c r="AL11" s="204"/>
      <c r="AM11" s="190"/>
      <c r="AN11" s="113"/>
      <c r="AO11" s="112"/>
      <c r="AP11" s="113"/>
      <c r="AQ11" s="110"/>
      <c r="AR11" s="110"/>
      <c r="AS11" s="115"/>
      <c r="AT11" s="115">
        <v>125</v>
      </c>
      <c r="AU11" s="113"/>
      <c r="AV11" s="160"/>
      <c r="AW11" s="110" t="s">
        <v>290</v>
      </c>
      <c r="AX11" s="154" t="s">
        <v>292</v>
      </c>
      <c r="AY11" s="154" t="s">
        <v>292</v>
      </c>
      <c r="AZ11" s="154"/>
      <c r="BA11" s="197" t="s">
        <v>290</v>
      </c>
      <c r="BB11" s="154"/>
      <c r="BC11" s="154"/>
      <c r="BD11" s="110"/>
      <c r="BE11" s="110"/>
      <c r="BF11" s="110"/>
      <c r="BG11" s="115"/>
      <c r="BH11" s="199"/>
      <c r="BI11" s="199"/>
      <c r="BJ11" s="158"/>
    </row>
    <row r="12" spans="1:62" s="157" customFormat="1" ht="13.5" customHeight="1" x14ac:dyDescent="0.15">
      <c r="A12" s="108" t="s">
        <v>1864</v>
      </c>
      <c r="B12" s="109" t="s">
        <v>1547</v>
      </c>
      <c r="C12" s="112"/>
      <c r="D12" s="120" t="s">
        <v>1865</v>
      </c>
      <c r="E12" s="178" t="s">
        <v>1866</v>
      </c>
      <c r="F12" s="121" t="s">
        <v>241</v>
      </c>
      <c r="G12" s="61" t="s">
        <v>268</v>
      </c>
      <c r="H12" s="156"/>
      <c r="I12" s="62">
        <v>200</v>
      </c>
      <c r="J12" s="110" t="str">
        <f t="shared" si="2"/>
        <v>Donateurs</v>
      </c>
      <c r="K12" s="180">
        <v>200</v>
      </c>
      <c r="L12" s="154" t="str">
        <f t="shared" si="3"/>
        <v>Donateurs</v>
      </c>
      <c r="M12" s="154"/>
      <c r="N12" s="154"/>
      <c r="O12" s="154"/>
      <c r="P12" s="154"/>
      <c r="Q12" s="154"/>
      <c r="R12" s="154"/>
      <c r="S12" s="154"/>
      <c r="T12" s="183"/>
      <c r="U12" s="183"/>
      <c r="V12" s="183"/>
      <c r="W12" s="183"/>
      <c r="X12" s="183"/>
      <c r="Y12" s="164"/>
      <c r="Z12" s="164"/>
      <c r="AA12" s="165"/>
      <c r="AB12" s="166"/>
      <c r="AC12" s="187" t="s">
        <v>210</v>
      </c>
      <c r="AD12" s="184"/>
      <c r="AE12" s="188" t="s">
        <v>242</v>
      </c>
      <c r="AF12" s="185" t="s">
        <v>242</v>
      </c>
      <c r="AG12" s="186" t="s">
        <v>244</v>
      </c>
      <c r="AH12" s="115"/>
      <c r="AI12" s="120"/>
      <c r="AJ12" s="120"/>
      <c r="AK12" s="191"/>
      <c r="AL12" s="202" t="s">
        <v>2814</v>
      </c>
      <c r="AM12" s="119"/>
      <c r="AN12" s="178"/>
      <c r="AO12" s="120"/>
      <c r="AP12" s="178"/>
      <c r="AQ12" s="121"/>
      <c r="AR12" s="121"/>
      <c r="AS12" s="115">
        <v>80</v>
      </c>
      <c r="AT12" s="115"/>
      <c r="AU12" s="113"/>
      <c r="AV12" s="160"/>
      <c r="AW12" s="110" t="s">
        <v>348</v>
      </c>
      <c r="AX12" s="154" t="s">
        <v>2813</v>
      </c>
      <c r="AY12" s="154" t="s">
        <v>292</v>
      </c>
      <c r="AZ12" s="154" t="s">
        <v>1168</v>
      </c>
      <c r="BA12" s="197">
        <v>30</v>
      </c>
      <c r="BB12" s="154"/>
      <c r="BC12" s="154"/>
      <c r="BD12" s="110"/>
      <c r="BE12" s="110"/>
      <c r="BF12" s="110"/>
      <c r="BG12" s="115"/>
      <c r="BH12" s="199"/>
      <c r="BI12" s="199"/>
      <c r="BJ12" s="158"/>
    </row>
    <row r="13" spans="1:62" s="157" customFormat="1" ht="13.5" customHeight="1" x14ac:dyDescent="0.15">
      <c r="A13" s="106" t="s">
        <v>1979</v>
      </c>
      <c r="B13" s="107" t="s">
        <v>1980</v>
      </c>
      <c r="C13" s="112" t="s">
        <v>252</v>
      </c>
      <c r="D13" s="112"/>
      <c r="E13" s="113"/>
      <c r="F13" s="110"/>
      <c r="G13" s="61" t="s">
        <v>268</v>
      </c>
      <c r="H13" s="156"/>
      <c r="I13" s="62">
        <v>200</v>
      </c>
      <c r="J13" s="110" t="str">
        <f t="shared" ref="J13:J14" si="4">VLOOKUP(I13,CAT_JOUEUR,2,FALSE)</f>
        <v>Donateurs</v>
      </c>
      <c r="K13" s="180">
        <v>200</v>
      </c>
      <c r="L13" s="154" t="str">
        <f t="shared" ref="L13:L15" si="5">VLOOKUP(K13,CAT_JOUEUR,2,FALSE)</f>
        <v>Donateurs</v>
      </c>
      <c r="M13" s="154"/>
      <c r="N13" s="154"/>
      <c r="O13" s="154"/>
      <c r="P13" s="154"/>
      <c r="Q13" s="154"/>
      <c r="R13" s="154"/>
      <c r="S13" s="154"/>
      <c r="T13" s="173"/>
      <c r="U13" s="173"/>
      <c r="V13" s="173"/>
      <c r="W13" s="173"/>
      <c r="X13" s="173"/>
      <c r="Y13" s="164"/>
      <c r="Z13" s="164"/>
      <c r="AA13" s="165"/>
      <c r="AB13" s="166"/>
      <c r="AC13" s="184" t="s">
        <v>242</v>
      </c>
      <c r="AD13" s="184"/>
      <c r="AE13" s="185" t="s">
        <v>242</v>
      </c>
      <c r="AF13" s="185" t="s">
        <v>242</v>
      </c>
      <c r="AG13" s="186" t="s">
        <v>244</v>
      </c>
      <c r="AH13" s="115"/>
      <c r="AI13" s="112"/>
      <c r="AJ13" s="112"/>
      <c r="AK13" s="112"/>
      <c r="AL13" s="25"/>
      <c r="AM13" s="112"/>
      <c r="AN13" s="110"/>
      <c r="AO13" s="112"/>
      <c r="AP13" s="110"/>
      <c r="AQ13" s="110"/>
      <c r="AR13" s="110"/>
      <c r="AS13" s="115"/>
      <c r="AT13" s="115"/>
      <c r="AU13" s="113"/>
      <c r="AV13" s="160"/>
      <c r="AW13" s="110" t="s">
        <v>290</v>
      </c>
      <c r="AX13" s="154" t="s">
        <v>292</v>
      </c>
      <c r="AY13" s="154" t="s">
        <v>292</v>
      </c>
      <c r="AZ13" s="154"/>
      <c r="BA13" s="197" t="s">
        <v>290</v>
      </c>
      <c r="BB13" s="154"/>
      <c r="BC13" s="154"/>
      <c r="BD13" s="110"/>
      <c r="BE13" s="110"/>
      <c r="BF13" s="110"/>
      <c r="BG13" s="115"/>
      <c r="BH13" s="199"/>
      <c r="BI13" s="199"/>
      <c r="BJ13" s="158"/>
    </row>
    <row r="14" spans="1:62" s="157" customFormat="1" ht="13.5" customHeight="1" x14ac:dyDescent="0.15">
      <c r="A14" s="106" t="s">
        <v>1981</v>
      </c>
      <c r="B14" s="107" t="s">
        <v>280</v>
      </c>
      <c r="C14" s="112"/>
      <c r="D14" s="112"/>
      <c r="E14" s="113"/>
      <c r="F14" s="110"/>
      <c r="G14" s="61" t="s">
        <v>268</v>
      </c>
      <c r="H14" s="156"/>
      <c r="I14" s="62">
        <v>200</v>
      </c>
      <c r="J14" s="110" t="str">
        <f t="shared" si="4"/>
        <v>Donateurs</v>
      </c>
      <c r="K14" s="180">
        <v>200</v>
      </c>
      <c r="L14" s="154" t="str">
        <f t="shared" si="5"/>
        <v>Donateurs</v>
      </c>
      <c r="M14" s="154"/>
      <c r="N14" s="154"/>
      <c r="O14" s="154"/>
      <c r="P14" s="154"/>
      <c r="Q14" s="154"/>
      <c r="R14" s="154"/>
      <c r="S14" s="154"/>
      <c r="T14" s="173"/>
      <c r="U14" s="173"/>
      <c r="V14" s="173"/>
      <c r="W14" s="173"/>
      <c r="X14" s="173"/>
      <c r="Y14" s="164"/>
      <c r="Z14" s="164"/>
      <c r="AA14" s="165"/>
      <c r="AB14" s="166"/>
      <c r="AC14" s="184" t="s">
        <v>242</v>
      </c>
      <c r="AD14" s="184"/>
      <c r="AE14" s="185" t="s">
        <v>242</v>
      </c>
      <c r="AF14" s="185" t="s">
        <v>242</v>
      </c>
      <c r="AG14" s="186"/>
      <c r="AH14" s="115"/>
      <c r="AI14" s="112"/>
      <c r="AJ14" s="112"/>
      <c r="AK14" s="112" t="s">
        <v>252</v>
      </c>
      <c r="AL14" s="25"/>
      <c r="AM14" s="112"/>
      <c r="AN14" s="110"/>
      <c r="AO14" s="112"/>
      <c r="AP14" s="110"/>
      <c r="AQ14" s="110"/>
      <c r="AR14" s="110"/>
      <c r="AS14" s="115"/>
      <c r="AT14" s="115"/>
      <c r="AU14" s="113"/>
      <c r="AV14" s="160"/>
      <c r="AW14" s="110" t="s">
        <v>290</v>
      </c>
      <c r="AX14" s="154" t="s">
        <v>292</v>
      </c>
      <c r="AY14" s="154" t="s">
        <v>292</v>
      </c>
      <c r="AZ14" s="154"/>
      <c r="BA14" s="197" t="s">
        <v>290</v>
      </c>
      <c r="BB14" s="154"/>
      <c r="BC14" s="154"/>
      <c r="BD14" s="110"/>
      <c r="BE14" s="110"/>
      <c r="BF14" s="110"/>
      <c r="BG14" s="115"/>
      <c r="BH14" s="199"/>
      <c r="BI14" s="199"/>
      <c r="BJ14" s="158"/>
    </row>
    <row r="15" spans="1:62" s="157" customFormat="1" ht="13.5" customHeight="1" x14ac:dyDescent="0.15">
      <c r="A15" s="106" t="s">
        <v>2038</v>
      </c>
      <c r="B15" s="107" t="s">
        <v>2039</v>
      </c>
      <c r="C15" s="112"/>
      <c r="D15" s="112"/>
      <c r="E15" s="113"/>
      <c r="F15" s="110"/>
      <c r="G15" s="61" t="s">
        <v>268</v>
      </c>
      <c r="H15" s="156"/>
      <c r="I15" s="62">
        <v>200</v>
      </c>
      <c r="J15" s="110" t="str">
        <f t="shared" ref="J15" si="6">VLOOKUP(I15,CAT_JOUEUR,2,FALSE)</f>
        <v>Donateurs</v>
      </c>
      <c r="K15" s="180">
        <v>200</v>
      </c>
      <c r="L15" s="154" t="str">
        <f t="shared" si="5"/>
        <v>Donateurs</v>
      </c>
      <c r="M15" s="154"/>
      <c r="N15" s="154"/>
      <c r="O15" s="154"/>
      <c r="P15" s="154"/>
      <c r="Q15" s="154"/>
      <c r="R15" s="154"/>
      <c r="S15" s="154"/>
      <c r="T15" s="173"/>
      <c r="U15" s="173"/>
      <c r="V15" s="173"/>
      <c r="W15" s="173"/>
      <c r="X15" s="173"/>
      <c r="Y15" s="164"/>
      <c r="Z15" s="164"/>
      <c r="AA15" s="165"/>
      <c r="AB15" s="166"/>
      <c r="AC15" s="184" t="s">
        <v>242</v>
      </c>
      <c r="AD15" s="184"/>
      <c r="AE15" s="185" t="s">
        <v>242</v>
      </c>
      <c r="AF15" s="185" t="s">
        <v>242</v>
      </c>
      <c r="AG15" s="186" t="s">
        <v>244</v>
      </c>
      <c r="AH15" s="115"/>
      <c r="AI15" s="112"/>
      <c r="AJ15" s="112"/>
      <c r="AK15" s="112"/>
      <c r="AL15" s="25"/>
      <c r="AM15" s="112"/>
      <c r="AN15" s="110"/>
      <c r="AO15" s="112"/>
      <c r="AP15" s="110"/>
      <c r="AQ15" s="110"/>
      <c r="AR15" s="110"/>
      <c r="AS15" s="115"/>
      <c r="AT15" s="115"/>
      <c r="AU15" s="113"/>
      <c r="AV15" s="160"/>
      <c r="AW15" s="110" t="s">
        <v>290</v>
      </c>
      <c r="AX15" s="154" t="s">
        <v>292</v>
      </c>
      <c r="AY15" s="154" t="s">
        <v>292</v>
      </c>
      <c r="AZ15" s="154"/>
      <c r="BA15" s="197" t="s">
        <v>290</v>
      </c>
      <c r="BB15" s="154"/>
      <c r="BC15" s="154"/>
      <c r="BD15" s="110"/>
      <c r="BE15" s="110"/>
      <c r="BF15" s="110"/>
      <c r="BG15" s="115"/>
      <c r="BH15" s="199"/>
      <c r="BI15" s="199"/>
      <c r="BJ15" s="158"/>
    </row>
    <row r="16" spans="1:62" s="157" customFormat="1" ht="13.5" customHeight="1" x14ac:dyDescent="0.15">
      <c r="A16" s="106" t="s">
        <v>2052</v>
      </c>
      <c r="B16" s="107" t="s">
        <v>2053</v>
      </c>
      <c r="C16" s="112" t="s">
        <v>107</v>
      </c>
      <c r="D16" s="112" t="s">
        <v>2054</v>
      </c>
      <c r="E16" s="113" t="s">
        <v>773</v>
      </c>
      <c r="F16" s="110" t="s">
        <v>774</v>
      </c>
      <c r="G16" s="61" t="s">
        <v>268</v>
      </c>
      <c r="H16" s="156"/>
      <c r="I16" s="62">
        <v>200</v>
      </c>
      <c r="J16" s="110" t="str">
        <f t="shared" ref="J16:J19" si="7">VLOOKUP(I16,CAT_JOUEUR,2,FALSE)</f>
        <v>Donateurs</v>
      </c>
      <c r="K16" s="180">
        <v>200</v>
      </c>
      <c r="L16" s="154" t="str">
        <f t="shared" ref="L16:L19" si="8">VLOOKUP(K16,CAT_JOUEUR,2,FALSE)</f>
        <v>Donateurs</v>
      </c>
      <c r="M16" s="154"/>
      <c r="N16" s="154"/>
      <c r="O16" s="154"/>
      <c r="P16" s="154"/>
      <c r="Q16" s="154"/>
      <c r="R16" s="154"/>
      <c r="S16" s="154"/>
      <c r="T16" s="173"/>
      <c r="U16" s="173"/>
      <c r="V16" s="173"/>
      <c r="W16" s="173"/>
      <c r="X16" s="173"/>
      <c r="Y16" s="164"/>
      <c r="Z16" s="164"/>
      <c r="AA16" s="165"/>
      <c r="AB16" s="166"/>
      <c r="AC16" s="184" t="s">
        <v>242</v>
      </c>
      <c r="AD16" s="184"/>
      <c r="AE16" s="185" t="s">
        <v>242</v>
      </c>
      <c r="AF16" s="185" t="s">
        <v>242</v>
      </c>
      <c r="AG16" s="186" t="s">
        <v>244</v>
      </c>
      <c r="AH16" s="115"/>
      <c r="AI16" s="112"/>
      <c r="AJ16" s="112"/>
      <c r="AK16" s="112"/>
      <c r="AL16" s="25"/>
      <c r="AM16" s="112"/>
      <c r="AN16" s="110"/>
      <c r="AO16" s="112"/>
      <c r="AP16" s="110"/>
      <c r="AQ16" s="110"/>
      <c r="AR16" s="110"/>
      <c r="AS16" s="115">
        <v>20</v>
      </c>
      <c r="AT16" s="115"/>
      <c r="AU16" s="113"/>
      <c r="AV16" s="160"/>
      <c r="AW16" s="110" t="s">
        <v>290</v>
      </c>
      <c r="AX16" s="154" t="s">
        <v>292</v>
      </c>
      <c r="AY16" s="154" t="s">
        <v>292</v>
      </c>
      <c r="AZ16" s="154"/>
      <c r="BA16" s="197" t="s">
        <v>290</v>
      </c>
      <c r="BB16" s="154"/>
      <c r="BC16" s="154"/>
      <c r="BD16" s="110"/>
      <c r="BE16" s="110"/>
      <c r="BF16" s="110"/>
      <c r="BG16" s="115"/>
      <c r="BH16" s="199"/>
      <c r="BI16" s="199"/>
      <c r="BJ16" s="158"/>
    </row>
    <row r="17" spans="1:62" s="157" customFormat="1" ht="13.5" customHeight="1" x14ac:dyDescent="0.15">
      <c r="A17" s="106" t="s">
        <v>378</v>
      </c>
      <c r="B17" s="107" t="s">
        <v>644</v>
      </c>
      <c r="C17" s="112"/>
      <c r="D17" s="112"/>
      <c r="E17" s="113"/>
      <c r="F17" s="110" t="s">
        <v>252</v>
      </c>
      <c r="G17" s="61" t="s">
        <v>268</v>
      </c>
      <c r="H17" s="156"/>
      <c r="I17" s="62">
        <v>200</v>
      </c>
      <c r="J17" s="110" t="str">
        <f t="shared" si="7"/>
        <v>Donateurs</v>
      </c>
      <c r="K17" s="180">
        <v>200</v>
      </c>
      <c r="L17" s="154" t="str">
        <f t="shared" si="8"/>
        <v>Donateurs</v>
      </c>
      <c r="M17" s="154"/>
      <c r="N17" s="154"/>
      <c r="O17" s="154"/>
      <c r="P17" s="154"/>
      <c r="Q17" s="154"/>
      <c r="R17" s="154"/>
      <c r="S17" s="154"/>
      <c r="T17" s="173"/>
      <c r="U17" s="173"/>
      <c r="V17" s="173"/>
      <c r="W17" s="173"/>
      <c r="X17" s="173"/>
      <c r="Y17" s="164"/>
      <c r="Z17" s="164"/>
      <c r="AA17" s="165"/>
      <c r="AB17" s="166"/>
      <c r="AC17" s="184" t="s">
        <v>242</v>
      </c>
      <c r="AD17" s="184"/>
      <c r="AE17" s="185" t="s">
        <v>242</v>
      </c>
      <c r="AF17" s="185" t="s">
        <v>242</v>
      </c>
      <c r="AG17" s="186" t="s">
        <v>244</v>
      </c>
      <c r="AH17" s="115"/>
      <c r="AI17" s="112"/>
      <c r="AJ17" s="112"/>
      <c r="AK17" s="112"/>
      <c r="AL17" s="25"/>
      <c r="AM17" s="112"/>
      <c r="AN17" s="110"/>
      <c r="AO17" s="112"/>
      <c r="AP17" s="110"/>
      <c r="AQ17" s="110"/>
      <c r="AR17" s="110"/>
      <c r="AS17" s="115"/>
      <c r="AT17" s="115"/>
      <c r="AU17" s="113"/>
      <c r="AV17" s="160"/>
      <c r="AW17" s="110" t="s">
        <v>290</v>
      </c>
      <c r="AX17" s="154" t="s">
        <v>292</v>
      </c>
      <c r="AY17" s="154" t="s">
        <v>292</v>
      </c>
      <c r="AZ17" s="154"/>
      <c r="BA17" s="197" t="s">
        <v>290</v>
      </c>
      <c r="BB17" s="154"/>
      <c r="BC17" s="154"/>
      <c r="BD17" s="110"/>
      <c r="BE17" s="110"/>
      <c r="BF17" s="110"/>
      <c r="BG17" s="115"/>
      <c r="BH17" s="199"/>
      <c r="BI17" s="199"/>
      <c r="BJ17" s="158"/>
    </row>
    <row r="18" spans="1:62" s="157" customFormat="1" ht="12.75" customHeight="1" x14ac:dyDescent="0.15">
      <c r="A18" s="106" t="s">
        <v>2121</v>
      </c>
      <c r="B18" s="107"/>
      <c r="C18" s="112"/>
      <c r="D18" s="112"/>
      <c r="E18" s="113"/>
      <c r="F18" s="110"/>
      <c r="G18" s="61" t="s">
        <v>268</v>
      </c>
      <c r="H18" s="156"/>
      <c r="I18" s="62">
        <v>200</v>
      </c>
      <c r="J18" s="110" t="str">
        <f t="shared" si="7"/>
        <v>Donateurs</v>
      </c>
      <c r="K18" s="180">
        <v>200</v>
      </c>
      <c r="L18" s="154" t="str">
        <f t="shared" si="8"/>
        <v>Donateurs</v>
      </c>
      <c r="M18" s="154"/>
      <c r="N18" s="154"/>
      <c r="O18" s="154"/>
      <c r="P18" s="154"/>
      <c r="Q18" s="154"/>
      <c r="R18" s="154"/>
      <c r="S18" s="154"/>
      <c r="T18" s="173"/>
      <c r="U18" s="173"/>
      <c r="V18" s="173"/>
      <c r="W18" s="173"/>
      <c r="X18" s="173"/>
      <c r="Y18" s="164"/>
      <c r="Z18" s="164"/>
      <c r="AA18" s="165"/>
      <c r="AB18" s="166"/>
      <c r="AC18" s="184" t="s">
        <v>242</v>
      </c>
      <c r="AD18" s="184"/>
      <c r="AE18" s="185" t="s">
        <v>242</v>
      </c>
      <c r="AF18" s="185" t="s">
        <v>242</v>
      </c>
      <c r="AG18" s="186" t="s">
        <v>244</v>
      </c>
      <c r="AH18" s="115"/>
      <c r="AI18" s="112"/>
      <c r="AJ18" s="112"/>
      <c r="AK18" s="112"/>
      <c r="AL18" s="25"/>
      <c r="AM18" s="112"/>
      <c r="AN18" s="110"/>
      <c r="AO18" s="112"/>
      <c r="AP18" s="110"/>
      <c r="AQ18" s="110"/>
      <c r="AR18" s="110"/>
      <c r="AS18" s="115"/>
      <c r="AT18" s="115"/>
      <c r="AU18" s="113"/>
      <c r="AV18" s="160"/>
      <c r="AW18" s="110" t="s">
        <v>290</v>
      </c>
      <c r="AX18" s="154" t="s">
        <v>292</v>
      </c>
      <c r="AY18" s="154" t="s">
        <v>292</v>
      </c>
      <c r="AZ18" s="154"/>
      <c r="BA18" s="197" t="s">
        <v>290</v>
      </c>
      <c r="BB18" s="154"/>
      <c r="BC18" s="154"/>
      <c r="BD18" s="110"/>
      <c r="BE18" s="110"/>
      <c r="BF18" s="110"/>
      <c r="BG18" s="115"/>
      <c r="BH18" s="199"/>
      <c r="BI18" s="199"/>
      <c r="BJ18" s="158"/>
    </row>
    <row r="19" spans="1:62" ht="12.75" customHeight="1" x14ac:dyDescent="0.15">
      <c r="A19" s="106" t="s">
        <v>2126</v>
      </c>
      <c r="B19" s="107" t="s">
        <v>2127</v>
      </c>
      <c r="C19" s="112"/>
      <c r="D19" s="112" t="s">
        <v>1003</v>
      </c>
      <c r="E19" s="113" t="s">
        <v>1004</v>
      </c>
      <c r="F19" s="110" t="s">
        <v>1005</v>
      </c>
      <c r="G19" s="61" t="s">
        <v>1006</v>
      </c>
      <c r="H19" s="128"/>
      <c r="I19" s="62">
        <v>50</v>
      </c>
      <c r="J19" s="110" t="str">
        <f t="shared" si="7"/>
        <v>Benevole</v>
      </c>
      <c r="K19" s="181">
        <v>50</v>
      </c>
      <c r="L19" s="132" t="str">
        <f t="shared" si="8"/>
        <v>Benevole</v>
      </c>
      <c r="M19" s="132"/>
      <c r="N19" s="132"/>
      <c r="O19" s="132"/>
      <c r="P19" s="132"/>
      <c r="Q19" s="132"/>
      <c r="R19" s="132"/>
      <c r="S19" s="132"/>
      <c r="T19" s="12"/>
      <c r="U19" s="12"/>
      <c r="V19" s="12"/>
      <c r="W19" s="12"/>
      <c r="X19" s="12"/>
      <c r="Y19" s="15"/>
      <c r="Z19" s="15"/>
      <c r="AA19" s="17"/>
      <c r="AB19" s="142"/>
      <c r="AC19" s="18" t="s">
        <v>242</v>
      </c>
      <c r="AD19" s="18"/>
      <c r="AE19" s="13" t="s">
        <v>242</v>
      </c>
      <c r="AF19" s="13" t="s">
        <v>242</v>
      </c>
      <c r="AG19" s="46" t="s">
        <v>244</v>
      </c>
      <c r="AH19" s="115"/>
      <c r="AI19" s="112"/>
      <c r="AJ19" s="112"/>
      <c r="AK19" s="117"/>
      <c r="AL19" s="25" t="s">
        <v>2128</v>
      </c>
      <c r="AM19" s="112"/>
      <c r="AN19" s="121"/>
      <c r="AO19" s="112"/>
      <c r="AP19" s="110"/>
      <c r="AQ19" s="110"/>
      <c r="AR19" s="110"/>
      <c r="AS19" s="115"/>
      <c r="AT19" s="115"/>
      <c r="AU19" s="113"/>
      <c r="AV19" s="22">
        <v>20</v>
      </c>
      <c r="AW19" s="110" t="s">
        <v>209</v>
      </c>
      <c r="AX19" s="154" t="s">
        <v>2813</v>
      </c>
      <c r="AY19" s="154" t="s">
        <v>3151</v>
      </c>
      <c r="AZ19" s="154"/>
      <c r="BA19" s="197"/>
      <c r="BB19" s="154"/>
      <c r="BC19" s="154"/>
      <c r="BD19" s="110"/>
      <c r="BE19" s="110"/>
      <c r="BF19" s="110"/>
      <c r="BG19" s="200"/>
      <c r="BH19" s="199"/>
      <c r="BI19" s="199"/>
      <c r="BJ19" s="44"/>
    </row>
    <row r="20" spans="1:62" s="157" customFormat="1" ht="12.75" customHeight="1" x14ac:dyDescent="0.15">
      <c r="A20" s="106" t="s">
        <v>2305</v>
      </c>
      <c r="B20" s="107" t="s">
        <v>2306</v>
      </c>
      <c r="C20" s="112"/>
      <c r="D20" s="112"/>
      <c r="E20" s="113"/>
      <c r="F20" s="110"/>
      <c r="G20" s="61" t="s">
        <v>268</v>
      </c>
      <c r="H20" s="156"/>
      <c r="I20" s="62">
        <v>200</v>
      </c>
      <c r="J20" s="110" t="str">
        <f t="shared" ref="J20:J22" si="9">VLOOKUP(I20,CAT_JOUEUR,2,FALSE)</f>
        <v>Donateurs</v>
      </c>
      <c r="K20" s="180">
        <v>200</v>
      </c>
      <c r="L20" s="154" t="str">
        <f t="shared" ref="L20:L22" si="10">VLOOKUP(K20,CAT_JOUEUR,2,FALSE)</f>
        <v>Donateurs</v>
      </c>
      <c r="M20" s="154"/>
      <c r="N20" s="154"/>
      <c r="O20" s="154"/>
      <c r="P20" s="154"/>
      <c r="Q20" s="154"/>
      <c r="R20" s="154"/>
      <c r="S20" s="154"/>
      <c r="T20" s="173"/>
      <c r="U20" s="173"/>
      <c r="V20" s="173"/>
      <c r="W20" s="173"/>
      <c r="X20" s="173"/>
      <c r="Y20" s="164"/>
      <c r="Z20" s="164"/>
      <c r="AA20" s="165"/>
      <c r="AB20" s="166"/>
      <c r="AC20" s="184" t="s">
        <v>242</v>
      </c>
      <c r="AD20" s="184"/>
      <c r="AE20" s="185" t="s">
        <v>242</v>
      </c>
      <c r="AF20" s="185" t="s">
        <v>242</v>
      </c>
      <c r="AG20" s="186" t="s">
        <v>244</v>
      </c>
      <c r="AH20" s="115"/>
      <c r="AI20" s="112"/>
      <c r="AJ20" s="112"/>
      <c r="AK20" s="112"/>
      <c r="AL20" s="25"/>
      <c r="AM20" s="112"/>
      <c r="AN20" s="110"/>
      <c r="AO20" s="112"/>
      <c r="AP20" s="110"/>
      <c r="AQ20" s="110"/>
      <c r="AR20" s="110"/>
      <c r="AS20" s="115"/>
      <c r="AT20" s="115"/>
      <c r="AU20" s="113"/>
      <c r="AV20" s="160"/>
      <c r="AW20" s="110" t="s">
        <v>290</v>
      </c>
      <c r="AX20" s="154" t="s">
        <v>292</v>
      </c>
      <c r="AY20" s="154" t="s">
        <v>292</v>
      </c>
      <c r="AZ20" s="154"/>
      <c r="BA20" s="197" t="s">
        <v>290</v>
      </c>
      <c r="BB20" s="154"/>
      <c r="BC20" s="154"/>
      <c r="BD20" s="110"/>
      <c r="BE20" s="110"/>
      <c r="BF20" s="110"/>
      <c r="BG20" s="115"/>
      <c r="BH20" s="199"/>
      <c r="BI20" s="199"/>
      <c r="BJ20" s="158"/>
    </row>
    <row r="21" spans="1:62" s="157" customFormat="1" ht="12.75" customHeight="1" x14ac:dyDescent="0.15">
      <c r="A21" s="106" t="s">
        <v>2331</v>
      </c>
      <c r="B21" s="107" t="s">
        <v>2332</v>
      </c>
      <c r="C21" s="112"/>
      <c r="D21" s="112"/>
      <c r="E21" s="113"/>
      <c r="F21" s="110"/>
      <c r="G21" s="61" t="s">
        <v>268</v>
      </c>
      <c r="H21" s="156"/>
      <c r="I21" s="62">
        <v>200</v>
      </c>
      <c r="J21" s="110" t="str">
        <f t="shared" si="9"/>
        <v>Donateurs</v>
      </c>
      <c r="K21" s="180">
        <v>200</v>
      </c>
      <c r="L21" s="154" t="str">
        <f t="shared" si="10"/>
        <v>Donateurs</v>
      </c>
      <c r="M21" s="154"/>
      <c r="N21" s="154"/>
      <c r="O21" s="154"/>
      <c r="P21" s="154"/>
      <c r="Q21" s="154"/>
      <c r="R21" s="154"/>
      <c r="S21" s="154"/>
      <c r="T21" s="173"/>
      <c r="U21" s="173"/>
      <c r="V21" s="173"/>
      <c r="W21" s="173"/>
      <c r="X21" s="173"/>
      <c r="Y21" s="164"/>
      <c r="Z21" s="164"/>
      <c r="AA21" s="165"/>
      <c r="AB21" s="166"/>
      <c r="AC21" s="184" t="s">
        <v>242</v>
      </c>
      <c r="AD21" s="184"/>
      <c r="AE21" s="185" t="s">
        <v>242</v>
      </c>
      <c r="AF21" s="185" t="s">
        <v>242</v>
      </c>
      <c r="AG21" s="186" t="s">
        <v>244</v>
      </c>
      <c r="AH21" s="115"/>
      <c r="AI21" s="112"/>
      <c r="AJ21" s="112"/>
      <c r="AK21" s="112"/>
      <c r="AL21" s="25"/>
      <c r="AM21" s="112"/>
      <c r="AN21" s="110"/>
      <c r="AO21" s="112"/>
      <c r="AP21" s="110"/>
      <c r="AQ21" s="110"/>
      <c r="AR21" s="110"/>
      <c r="AS21" s="115"/>
      <c r="AT21" s="115"/>
      <c r="AU21" s="113"/>
      <c r="AV21" s="160"/>
      <c r="AW21" s="110" t="s">
        <v>290</v>
      </c>
      <c r="AX21" s="154" t="s">
        <v>292</v>
      </c>
      <c r="AY21" s="154" t="s">
        <v>292</v>
      </c>
      <c r="AZ21" s="154"/>
      <c r="BA21" s="197" t="s">
        <v>290</v>
      </c>
      <c r="BB21" s="154"/>
      <c r="BC21" s="154"/>
      <c r="BD21" s="110"/>
      <c r="BE21" s="110"/>
      <c r="BF21" s="110"/>
      <c r="BG21" s="115"/>
      <c r="BH21" s="199"/>
      <c r="BI21" s="199"/>
      <c r="BJ21" s="158"/>
    </row>
    <row r="22" spans="1:62" s="157" customFormat="1" ht="12.75" customHeight="1" x14ac:dyDescent="0.15">
      <c r="A22" s="106" t="s">
        <v>2373</v>
      </c>
      <c r="B22" s="107" t="s">
        <v>2374</v>
      </c>
      <c r="C22" s="112"/>
      <c r="D22" s="112"/>
      <c r="E22" s="113"/>
      <c r="F22" s="110"/>
      <c r="G22" s="61" t="s">
        <v>268</v>
      </c>
      <c r="H22" s="156"/>
      <c r="I22" s="62">
        <v>200</v>
      </c>
      <c r="J22" s="110" t="str">
        <f t="shared" si="9"/>
        <v>Donateurs</v>
      </c>
      <c r="K22" s="180">
        <v>200</v>
      </c>
      <c r="L22" s="154" t="str">
        <f t="shared" si="10"/>
        <v>Donateurs</v>
      </c>
      <c r="M22" s="154"/>
      <c r="N22" s="154"/>
      <c r="O22" s="154"/>
      <c r="P22" s="154"/>
      <c r="Q22" s="154"/>
      <c r="R22" s="154"/>
      <c r="S22" s="154"/>
      <c r="T22" s="173"/>
      <c r="U22" s="173"/>
      <c r="V22" s="173"/>
      <c r="W22" s="173"/>
      <c r="X22" s="173"/>
      <c r="Y22" s="164"/>
      <c r="Z22" s="164"/>
      <c r="AA22" s="165"/>
      <c r="AB22" s="166"/>
      <c r="AC22" s="184" t="s">
        <v>242</v>
      </c>
      <c r="AD22" s="184"/>
      <c r="AE22" s="185" t="s">
        <v>242</v>
      </c>
      <c r="AF22" s="185" t="s">
        <v>242</v>
      </c>
      <c r="AG22" s="186" t="s">
        <v>244</v>
      </c>
      <c r="AH22" s="115"/>
      <c r="AI22" s="112"/>
      <c r="AJ22" s="112"/>
      <c r="AK22" s="112"/>
      <c r="AL22" s="25"/>
      <c r="AM22" s="112"/>
      <c r="AN22" s="110"/>
      <c r="AO22" s="112"/>
      <c r="AP22" s="110"/>
      <c r="AQ22" s="110"/>
      <c r="AR22" s="110"/>
      <c r="AS22" s="115"/>
      <c r="AT22" s="115"/>
      <c r="AU22" s="113"/>
      <c r="AV22" s="160"/>
      <c r="AW22" s="110" t="s">
        <v>290</v>
      </c>
      <c r="AX22" s="154" t="s">
        <v>292</v>
      </c>
      <c r="AY22" s="154" t="s">
        <v>292</v>
      </c>
      <c r="AZ22" s="154"/>
      <c r="BA22" s="197" t="s">
        <v>290</v>
      </c>
      <c r="BB22" s="154"/>
      <c r="BC22" s="154"/>
      <c r="BD22" s="110"/>
      <c r="BE22" s="110"/>
      <c r="BF22" s="110"/>
      <c r="BG22" s="115"/>
      <c r="BH22" s="199"/>
      <c r="BI22" s="199"/>
      <c r="BJ22" s="158"/>
    </row>
    <row r="23" spans="1:62" s="157" customFormat="1" ht="12.75" customHeight="1" x14ac:dyDescent="0.15">
      <c r="A23" s="106" t="s">
        <v>2467</v>
      </c>
      <c r="B23" s="107" t="s">
        <v>2468</v>
      </c>
      <c r="C23" s="112"/>
      <c r="D23" s="112"/>
      <c r="E23" s="113"/>
      <c r="F23" s="110" t="s">
        <v>252</v>
      </c>
      <c r="G23" s="61" t="s">
        <v>268</v>
      </c>
      <c r="H23" s="156"/>
      <c r="I23" s="62">
        <v>200</v>
      </c>
      <c r="J23" s="110" t="str">
        <f t="shared" ref="J23:J24" si="11">VLOOKUP(I23,CAT_JOUEUR,2,FALSE)</f>
        <v>Donateurs</v>
      </c>
      <c r="K23" s="180">
        <v>200</v>
      </c>
      <c r="L23" s="154" t="str">
        <f t="shared" ref="L23:L24" si="12">VLOOKUP(K23,CAT_JOUEUR,2,FALSE)</f>
        <v>Donateurs</v>
      </c>
      <c r="M23" s="154"/>
      <c r="N23" s="154"/>
      <c r="O23" s="154"/>
      <c r="P23" s="154"/>
      <c r="Q23" s="154"/>
      <c r="R23" s="154"/>
      <c r="S23" s="154"/>
      <c r="T23" s="173"/>
      <c r="U23" s="173"/>
      <c r="V23" s="173"/>
      <c r="W23" s="173"/>
      <c r="X23" s="173"/>
      <c r="Y23" s="164"/>
      <c r="Z23" s="164"/>
      <c r="AA23" s="165"/>
      <c r="AB23" s="166"/>
      <c r="AC23" s="184" t="s">
        <v>242</v>
      </c>
      <c r="AD23" s="184"/>
      <c r="AE23" s="185" t="s">
        <v>242</v>
      </c>
      <c r="AF23" s="185" t="s">
        <v>242</v>
      </c>
      <c r="AG23" s="186" t="s">
        <v>244</v>
      </c>
      <c r="AH23" s="115"/>
      <c r="AI23" s="112"/>
      <c r="AJ23" s="112"/>
      <c r="AK23" s="112"/>
      <c r="AL23" s="25"/>
      <c r="AM23" s="112"/>
      <c r="AN23" s="110"/>
      <c r="AO23" s="112"/>
      <c r="AP23" s="110"/>
      <c r="AQ23" s="110"/>
      <c r="AR23" s="110"/>
      <c r="AS23" s="115"/>
      <c r="AT23" s="115"/>
      <c r="AU23" s="113"/>
      <c r="AV23" s="160"/>
      <c r="AW23" s="110" t="s">
        <v>290</v>
      </c>
      <c r="AX23" s="154" t="s">
        <v>292</v>
      </c>
      <c r="AY23" s="154" t="s">
        <v>292</v>
      </c>
      <c r="AZ23" s="154"/>
      <c r="BA23" s="197" t="s">
        <v>290</v>
      </c>
      <c r="BB23" s="154"/>
      <c r="BC23" s="154"/>
      <c r="BD23" s="110"/>
      <c r="BE23" s="110"/>
      <c r="BF23" s="110"/>
      <c r="BG23" s="115" t="s">
        <v>295</v>
      </c>
      <c r="BH23" s="199"/>
      <c r="BI23" s="199"/>
      <c r="BJ23" s="158"/>
    </row>
    <row r="24" spans="1:62" s="157" customFormat="1" ht="12.75" customHeight="1" x14ac:dyDescent="0.15">
      <c r="A24" s="106" t="s">
        <v>2469</v>
      </c>
      <c r="B24" s="107" t="s">
        <v>2470</v>
      </c>
      <c r="C24" s="112"/>
      <c r="D24" s="112"/>
      <c r="E24" s="113"/>
      <c r="F24" s="110"/>
      <c r="G24" s="61" t="s">
        <v>268</v>
      </c>
      <c r="H24" s="156"/>
      <c r="I24" s="62">
        <v>200</v>
      </c>
      <c r="J24" s="110" t="str">
        <f t="shared" si="11"/>
        <v>Donateurs</v>
      </c>
      <c r="K24" s="180">
        <v>200</v>
      </c>
      <c r="L24" s="154" t="str">
        <f t="shared" si="12"/>
        <v>Donateurs</v>
      </c>
      <c r="M24" s="154"/>
      <c r="N24" s="154"/>
      <c r="O24" s="154"/>
      <c r="P24" s="154"/>
      <c r="Q24" s="154"/>
      <c r="R24" s="154"/>
      <c r="S24" s="154"/>
      <c r="T24" s="173"/>
      <c r="U24" s="173"/>
      <c r="V24" s="173"/>
      <c r="W24" s="173"/>
      <c r="X24" s="173"/>
      <c r="Y24" s="164"/>
      <c r="Z24" s="164"/>
      <c r="AA24" s="165"/>
      <c r="AB24" s="166"/>
      <c r="AC24" s="184" t="s">
        <v>242</v>
      </c>
      <c r="AD24" s="184"/>
      <c r="AE24" s="185" t="s">
        <v>242</v>
      </c>
      <c r="AF24" s="185" t="s">
        <v>242</v>
      </c>
      <c r="AG24" s="186" t="s">
        <v>244</v>
      </c>
      <c r="AH24" s="115"/>
      <c r="AI24" s="112"/>
      <c r="AJ24" s="112"/>
      <c r="AK24" s="112"/>
      <c r="AL24" s="25"/>
      <c r="AM24" s="112"/>
      <c r="AN24" s="110"/>
      <c r="AO24" s="112"/>
      <c r="AP24" s="110"/>
      <c r="AQ24" s="110"/>
      <c r="AR24" s="110"/>
      <c r="AS24" s="115"/>
      <c r="AT24" s="115"/>
      <c r="AU24" s="113"/>
      <c r="AV24" s="160"/>
      <c r="AW24" s="110" t="s">
        <v>290</v>
      </c>
      <c r="AX24" s="154" t="s">
        <v>292</v>
      </c>
      <c r="AY24" s="154" t="s">
        <v>292</v>
      </c>
      <c r="AZ24" s="154"/>
      <c r="BA24" s="197" t="s">
        <v>290</v>
      </c>
      <c r="BB24" s="154"/>
      <c r="BC24" s="154"/>
      <c r="BD24" s="110"/>
      <c r="BE24" s="110"/>
      <c r="BF24" s="110"/>
      <c r="BG24" s="115"/>
      <c r="BH24" s="199"/>
      <c r="BI24" s="199"/>
      <c r="BJ24" s="158"/>
    </row>
    <row r="25" spans="1:62" s="157" customFormat="1" ht="12.75" customHeight="1" x14ac:dyDescent="0.15">
      <c r="A25" s="106" t="s">
        <v>2689</v>
      </c>
      <c r="B25" s="107"/>
      <c r="C25" s="112"/>
      <c r="D25" s="112"/>
      <c r="E25" s="113"/>
      <c r="F25" s="110"/>
      <c r="G25" s="61" t="s">
        <v>268</v>
      </c>
      <c r="H25" s="156"/>
      <c r="I25" s="62">
        <v>200</v>
      </c>
      <c r="J25" s="110" t="str">
        <f t="shared" ref="J25" si="13">VLOOKUP(I25,CAT_JOUEUR,2,FALSE)</f>
        <v>Donateurs</v>
      </c>
      <c r="K25" s="180">
        <v>200</v>
      </c>
      <c r="L25" s="154" t="str">
        <f t="shared" ref="L25" si="14">VLOOKUP(K25,CAT_JOUEUR,2,FALSE)</f>
        <v>Donateurs</v>
      </c>
      <c r="M25" s="154"/>
      <c r="N25" s="154"/>
      <c r="O25" s="154"/>
      <c r="P25" s="154"/>
      <c r="Q25" s="154"/>
      <c r="R25" s="154"/>
      <c r="S25" s="154"/>
      <c r="T25" s="173"/>
      <c r="U25" s="173"/>
      <c r="V25" s="173"/>
      <c r="W25" s="173"/>
      <c r="X25" s="173"/>
      <c r="Y25" s="164"/>
      <c r="Z25" s="164"/>
      <c r="AA25" s="165"/>
      <c r="AB25" s="166"/>
      <c r="AC25" s="184" t="s">
        <v>242</v>
      </c>
      <c r="AD25" s="184"/>
      <c r="AE25" s="185" t="s">
        <v>242</v>
      </c>
      <c r="AF25" s="184" t="s">
        <v>242</v>
      </c>
      <c r="AG25" s="186" t="s">
        <v>244</v>
      </c>
      <c r="AH25" s="115"/>
      <c r="AI25" s="112"/>
      <c r="AJ25" s="112"/>
      <c r="AK25" s="112"/>
      <c r="AL25" s="25"/>
      <c r="AM25" s="112"/>
      <c r="AN25" s="121"/>
      <c r="AO25" s="112"/>
      <c r="AP25" s="110"/>
      <c r="AQ25" s="110"/>
      <c r="AR25" s="110"/>
      <c r="AS25" s="115"/>
      <c r="AT25" s="115"/>
      <c r="AU25" s="113"/>
      <c r="AV25" s="160"/>
      <c r="AW25" s="110" t="s">
        <v>290</v>
      </c>
      <c r="AX25" s="154" t="s">
        <v>292</v>
      </c>
      <c r="AY25" s="154" t="s">
        <v>292</v>
      </c>
      <c r="AZ25" s="154"/>
      <c r="BA25" s="197" t="s">
        <v>290</v>
      </c>
      <c r="BB25" s="154"/>
      <c r="BC25" s="154"/>
      <c r="BD25" s="110"/>
      <c r="BE25" s="110"/>
      <c r="BF25" s="110"/>
      <c r="BG25" s="115"/>
      <c r="BH25" s="199"/>
      <c r="BI25" s="199"/>
      <c r="BJ25" s="158"/>
    </row>
    <row r="41" spans="38:38" ht="12.75" customHeight="1" x14ac:dyDescent="0.15">
      <c r="AL41" s="66" t="s">
        <v>252</v>
      </c>
    </row>
    <row r="17525" spans="3:36" ht="12.75" customHeight="1" x14ac:dyDescent="0.15">
      <c r="C17525" s="112" t="s">
        <v>252</v>
      </c>
      <c r="D17525" s="112"/>
      <c r="E17525" s="113"/>
      <c r="F17525" s="110"/>
      <c r="G17525" s="61"/>
      <c r="H17525" s="129"/>
      <c r="I17525" s="62"/>
      <c r="J17525" s="110"/>
      <c r="K17525" s="181"/>
      <c r="L17525" s="132"/>
      <c r="M17525" s="132"/>
      <c r="N17525" s="132"/>
      <c r="O17525" s="132"/>
      <c r="P17525" s="132"/>
      <c r="Q17525" s="132"/>
      <c r="R17525" s="132"/>
      <c r="S17525" s="132"/>
      <c r="T17525" s="12"/>
      <c r="U17525" s="12"/>
      <c r="V17525" s="12"/>
      <c r="W17525" s="12"/>
      <c r="X17525" s="12"/>
      <c r="Y17525" s="168"/>
      <c r="Z17525" s="168"/>
      <c r="AA17525" s="169"/>
      <c r="AB17525" s="170"/>
      <c r="AC17525" s="18"/>
      <c r="AD17525" s="18"/>
      <c r="AE17525" s="13"/>
      <c r="AF17525" s="18"/>
      <c r="AG17525" s="19"/>
      <c r="AH17525" s="192"/>
      <c r="AI17525" s="112"/>
      <c r="AJ17525" s="112"/>
    </row>
    <row r="17526" spans="3:36" ht="12.75" customHeight="1" x14ac:dyDescent="0.15">
      <c r="C17526" s="112"/>
      <c r="D17526" s="112"/>
      <c r="E17526" s="113"/>
      <c r="F17526" s="110"/>
      <c r="G17526" s="61"/>
      <c r="H17526" s="129"/>
      <c r="I17526" s="62"/>
      <c r="J17526" s="110"/>
      <c r="K17526" s="181"/>
      <c r="L17526" s="132"/>
      <c r="M17526" s="132"/>
      <c r="N17526" s="132"/>
      <c r="O17526" s="132"/>
      <c r="P17526" s="132"/>
      <c r="Q17526" s="132"/>
      <c r="R17526" s="132"/>
      <c r="S17526" s="132"/>
      <c r="T17526" s="12"/>
      <c r="U17526" s="12"/>
      <c r="V17526" s="12"/>
      <c r="W17526" s="12"/>
      <c r="X17526" s="12"/>
      <c r="Y17526" s="168"/>
      <c r="Z17526" s="168"/>
      <c r="AA17526" s="169"/>
      <c r="AB17526" s="170"/>
      <c r="AC17526" s="18"/>
      <c r="AD17526" s="18"/>
      <c r="AE17526" s="13"/>
      <c r="AF17526" s="18"/>
      <c r="AG17526" s="19"/>
      <c r="AH17526" s="192"/>
      <c r="AI17526" s="112"/>
      <c r="AJ17526" s="112" t="s">
        <v>252</v>
      </c>
    </row>
    <row r="17527" spans="3:36" ht="12.75" customHeight="1" x14ac:dyDescent="0.15">
      <c r="C17527" s="112"/>
      <c r="D17527" s="112"/>
      <c r="E17527" s="113"/>
      <c r="F17527" s="110"/>
      <c r="G17527" s="61"/>
      <c r="H17527" s="129"/>
      <c r="I17527" s="62"/>
      <c r="J17527" s="110"/>
      <c r="K17527" s="181"/>
      <c r="L17527" s="132"/>
      <c r="M17527" s="132"/>
      <c r="N17527" s="132"/>
      <c r="O17527" s="132"/>
      <c r="P17527" s="132"/>
      <c r="Q17527" s="132"/>
      <c r="R17527" s="132"/>
      <c r="S17527" s="132"/>
      <c r="T17527" s="12"/>
      <c r="U17527" s="12"/>
      <c r="V17527" s="12"/>
      <c r="W17527" s="12"/>
      <c r="X17527" s="12"/>
      <c r="Y17527" s="168"/>
      <c r="Z17527" s="168"/>
      <c r="AA17527" s="169"/>
      <c r="AB17527" s="170"/>
      <c r="AC17527" s="18"/>
      <c r="AD17527" s="18"/>
      <c r="AE17527" s="13"/>
      <c r="AF17527" s="18"/>
      <c r="AG17527" s="19"/>
      <c r="AH17527" s="192"/>
      <c r="AI17527" s="112"/>
      <c r="AJ17527" s="112"/>
    </row>
    <row r="17528" spans="3:36" ht="12.75" customHeight="1" x14ac:dyDescent="0.15">
      <c r="C17528" s="112"/>
      <c r="D17528" s="112"/>
      <c r="E17528" s="113"/>
      <c r="F17528" s="110"/>
      <c r="G17528" s="61"/>
      <c r="H17528" s="129"/>
      <c r="I17528" s="62"/>
      <c r="J17528" s="110"/>
      <c r="K17528" s="181"/>
      <c r="L17528" s="132"/>
      <c r="M17528" s="132"/>
      <c r="N17528" s="132"/>
      <c r="O17528" s="132"/>
      <c r="P17528" s="132"/>
      <c r="Q17528" s="132"/>
      <c r="R17528" s="132"/>
      <c r="S17528" s="132"/>
      <c r="T17528" s="12"/>
      <c r="U17528" s="12"/>
      <c r="V17528" s="12"/>
      <c r="W17528" s="12"/>
      <c r="X17528" s="12"/>
      <c r="Y17528" s="168"/>
      <c r="Z17528" s="168"/>
      <c r="AA17528" s="169"/>
      <c r="AB17528" s="170"/>
      <c r="AC17528" s="18"/>
      <c r="AD17528" s="18"/>
      <c r="AE17528" s="13"/>
      <c r="AF17528" s="18"/>
      <c r="AG17528" s="19"/>
      <c r="AH17528" s="192"/>
      <c r="AI17528" s="112"/>
      <c r="AJ17528" s="112" t="s">
        <v>252</v>
      </c>
    </row>
  </sheetData>
  <autoFilter ref="A1:BJ36" xr:uid="{F3382DD8-6D45-4F62-8B40-DB3E5774E31C}"/>
  <hyperlinks>
    <hyperlink ref="AL4" r:id="rId1" xr:uid="{65CA22DF-2E86-4E49-B742-14EE1A1E343B}"/>
    <hyperlink ref="AL12" r:id="rId2" xr:uid="{91C225D9-DF03-424F-A817-5A9BA34AE955}"/>
  </hyperlinks>
  <printOptions horizontalCentered="1" verticalCentered="1" gridLines="1"/>
  <pageMargins left="0" right="0" top="0.59055118110236227" bottom="0.39370078740157483" header="0" footer="0"/>
  <pageSetup paperSize="9" scale="65" fitToHeight="0" orientation="landscape" r:id="rId3"/>
  <headerFooter>
    <oddHeader>&amp;CMemberslescht Saison 2020 / 2021</oddHeader>
    <oddFooter>&amp;LFF0000Update vum 16-03-2021 GC 2021-03-16&amp;Rpage &amp;P of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K489"/>
  <sheetViews>
    <sheetView workbookViewId="0">
      <selection activeCell="M486" sqref="M486"/>
    </sheetView>
  </sheetViews>
  <sheetFormatPr baseColWidth="10" defaultColWidth="14.5" defaultRowHeight="15" customHeight="1" x14ac:dyDescent="0.15"/>
  <cols>
    <col min="1" max="1" width="7.5" style="150" customWidth="1"/>
    <col min="2" max="2" width="25.33203125" style="150" customWidth="1"/>
    <col min="3" max="3" width="15.6640625" style="150" customWidth="1"/>
    <col min="4" max="4" width="6.6640625" style="150" customWidth="1"/>
    <col min="5" max="5" width="11.5" style="150" customWidth="1"/>
    <col min="6" max="6" width="7.6640625" style="150" customWidth="1"/>
    <col min="7" max="7" width="11.5" style="150" customWidth="1"/>
    <col min="8" max="8" width="8.1640625" style="150" customWidth="1"/>
    <col min="9" max="9" width="4" style="150" customWidth="1"/>
    <col min="10" max="10" width="31.6640625" style="150" customWidth="1"/>
    <col min="11" max="11" width="4" style="150" customWidth="1"/>
    <col min="12" max="12" width="19" style="150" customWidth="1"/>
    <col min="13" max="13" width="8.1640625" style="150" customWidth="1"/>
    <col min="14" max="14" width="10.6640625" style="150" customWidth="1"/>
    <col min="15" max="15" width="15.33203125" style="150" bestFit="1" customWidth="1"/>
    <col min="16" max="16" width="13.6640625" style="150" bestFit="1" customWidth="1"/>
    <col min="17" max="17" width="14.6640625" style="150" bestFit="1" customWidth="1"/>
    <col min="18" max="18" width="16.5" style="150" bestFit="1" customWidth="1"/>
    <col min="19" max="19" width="21.5" style="150" bestFit="1" customWidth="1"/>
    <col min="20" max="21" width="17.1640625" style="150" customWidth="1"/>
    <col min="22" max="22" width="59.1640625" style="150" customWidth="1"/>
    <col min="23" max="23" width="21.5" style="150" customWidth="1"/>
    <col min="24" max="16384" width="14.5" style="150"/>
  </cols>
  <sheetData>
    <row r="1" spans="1:22" ht="51.75" customHeight="1" x14ac:dyDescent="0.15">
      <c r="A1" s="243" t="s">
        <v>3</v>
      </c>
      <c r="B1" s="243" t="s">
        <v>4</v>
      </c>
      <c r="C1" s="243" t="s">
        <v>6</v>
      </c>
      <c r="D1" s="244" t="s">
        <v>7</v>
      </c>
      <c r="E1" s="245" t="s">
        <v>9</v>
      </c>
      <c r="F1" s="245" t="s">
        <v>10</v>
      </c>
      <c r="G1" s="245" t="s">
        <v>11</v>
      </c>
      <c r="H1" s="243" t="s">
        <v>12</v>
      </c>
      <c r="I1" s="243" t="s">
        <v>13</v>
      </c>
      <c r="J1" s="243" t="s">
        <v>14</v>
      </c>
      <c r="K1" s="243" t="s">
        <v>13</v>
      </c>
      <c r="L1" s="243" t="s">
        <v>15</v>
      </c>
      <c r="M1" s="246" t="s">
        <v>16</v>
      </c>
      <c r="N1" s="247" t="s">
        <v>18</v>
      </c>
      <c r="O1" s="247" t="s">
        <v>19</v>
      </c>
      <c r="P1" s="246" t="s">
        <v>20</v>
      </c>
      <c r="Q1" s="247" t="s">
        <v>21</v>
      </c>
      <c r="R1" s="248" t="s">
        <v>22</v>
      </c>
      <c r="S1" s="243" t="s">
        <v>23</v>
      </c>
      <c r="T1" s="243" t="s">
        <v>24</v>
      </c>
      <c r="U1" s="249" t="s">
        <v>25</v>
      </c>
      <c r="V1" s="249" t="s">
        <v>26</v>
      </c>
    </row>
    <row r="2" spans="1:22" ht="12.75" customHeight="1" x14ac:dyDescent="0.15">
      <c r="A2" s="250" t="s">
        <v>28</v>
      </c>
      <c r="B2" s="251" t="s">
        <v>38</v>
      </c>
      <c r="C2" s="252" t="s">
        <v>39</v>
      </c>
      <c r="D2" s="253"/>
      <c r="E2" s="254" t="s">
        <v>53</v>
      </c>
      <c r="F2" s="253" t="s">
        <v>82</v>
      </c>
      <c r="G2" s="255" t="s">
        <v>83</v>
      </c>
      <c r="H2" s="255"/>
      <c r="I2" s="255"/>
      <c r="J2" s="255"/>
      <c r="K2" s="256">
        <v>4</v>
      </c>
      <c r="L2" s="252" t="str">
        <f>VLOOKUP(K2,CAT_JOUEUR,2,FALSE)</f>
        <v>U 17 Hommes</v>
      </c>
      <c r="M2" s="257"/>
      <c r="N2" s="258"/>
      <c r="O2" s="255"/>
      <c r="P2" s="256"/>
      <c r="Q2" s="259">
        <v>36234</v>
      </c>
      <c r="R2" s="259"/>
      <c r="S2" s="254"/>
      <c r="T2" s="255"/>
      <c r="U2" s="260" t="s">
        <v>119</v>
      </c>
      <c r="V2" s="261"/>
    </row>
    <row r="3" spans="1:22" ht="12.75" customHeight="1" x14ac:dyDescent="0.15">
      <c r="A3" s="250" t="s">
        <v>28</v>
      </c>
      <c r="B3" s="251" t="s">
        <v>130</v>
      </c>
      <c r="C3" s="252" t="s">
        <v>132</v>
      </c>
      <c r="D3" s="254" t="s">
        <v>107</v>
      </c>
      <c r="E3" s="254" t="s">
        <v>133</v>
      </c>
      <c r="F3" s="253" t="s">
        <v>134</v>
      </c>
      <c r="G3" s="255" t="s">
        <v>135</v>
      </c>
      <c r="H3" s="255"/>
      <c r="I3" s="255"/>
      <c r="J3" s="255"/>
      <c r="K3" s="256">
        <v>12</v>
      </c>
      <c r="L3" s="252" t="str">
        <f>VLOOKUP(K3,CAT_JOUEUR,2,FALSE)</f>
        <v>Dames</v>
      </c>
      <c r="M3" s="257" t="s">
        <v>154</v>
      </c>
      <c r="N3" s="259">
        <v>33225</v>
      </c>
      <c r="O3" s="255"/>
      <c r="P3" s="256">
        <v>2014</v>
      </c>
      <c r="Q3" s="259">
        <v>30860</v>
      </c>
      <c r="R3" s="259"/>
      <c r="S3" s="254" t="s">
        <v>155</v>
      </c>
      <c r="T3" s="255" t="s">
        <v>156</v>
      </c>
      <c r="U3" s="262">
        <v>691290109</v>
      </c>
      <c r="V3" s="263" t="s">
        <v>165</v>
      </c>
    </row>
    <row r="4" spans="1:22" ht="12.75" customHeight="1" x14ac:dyDescent="0.15">
      <c r="A4" s="250" t="s">
        <v>28</v>
      </c>
      <c r="B4" s="251" t="s">
        <v>130</v>
      </c>
      <c r="C4" s="252" t="s">
        <v>174</v>
      </c>
      <c r="D4" s="254" t="s">
        <v>107</v>
      </c>
      <c r="E4" s="254" t="s">
        <v>175</v>
      </c>
      <c r="F4" s="253" t="s">
        <v>176</v>
      </c>
      <c r="G4" s="255" t="s">
        <v>177</v>
      </c>
      <c r="H4" s="255"/>
      <c r="I4" s="255"/>
      <c r="J4" s="255"/>
      <c r="K4" s="256">
        <v>12</v>
      </c>
      <c r="L4" s="252" t="str">
        <f>VLOOKUP(K4,CAT_JOUEUR,2,FALSE)</f>
        <v>Dames</v>
      </c>
      <c r="M4" s="257" t="s">
        <v>183</v>
      </c>
      <c r="N4" s="259">
        <v>33225</v>
      </c>
      <c r="O4" s="255"/>
      <c r="P4" s="256">
        <v>2015</v>
      </c>
      <c r="Q4" s="259">
        <v>31249</v>
      </c>
      <c r="R4" s="259"/>
      <c r="S4" s="254"/>
      <c r="T4" s="255"/>
      <c r="U4" s="260" t="s">
        <v>185</v>
      </c>
      <c r="V4" s="263" t="str">
        <f>HYPERLINK("mailto:bettikett@hotmail.com","bettikett@hotmail.com")</f>
        <v>bettikett@hotmail.com</v>
      </c>
    </row>
    <row r="5" spans="1:22" ht="12.75" customHeight="1" x14ac:dyDescent="0.15">
      <c r="A5" s="250" t="s">
        <v>28</v>
      </c>
      <c r="B5" s="264" t="s">
        <v>196</v>
      </c>
      <c r="C5" s="264" t="s">
        <v>197</v>
      </c>
      <c r="D5" s="265" t="s">
        <v>198</v>
      </c>
      <c r="E5" s="266" t="s">
        <v>199</v>
      </c>
      <c r="F5" s="267" t="s">
        <v>200</v>
      </c>
      <c r="G5" s="268" t="s">
        <v>205</v>
      </c>
      <c r="H5" s="255"/>
      <c r="I5" s="255"/>
      <c r="J5" s="255"/>
      <c r="K5" s="268"/>
      <c r="L5" s="268"/>
      <c r="M5" s="264"/>
      <c r="N5" s="269"/>
      <c r="O5" s="255"/>
      <c r="P5" s="256" t="s">
        <v>210</v>
      </c>
      <c r="Q5" s="269"/>
      <c r="R5" s="269"/>
      <c r="S5" s="268"/>
      <c r="T5" s="268"/>
      <c r="U5" s="268"/>
      <c r="V5" s="268"/>
    </row>
    <row r="6" spans="1:22" ht="12.75" customHeight="1" x14ac:dyDescent="0.15">
      <c r="A6" s="250" t="s">
        <v>28</v>
      </c>
      <c r="B6" s="251" t="s">
        <v>211</v>
      </c>
      <c r="C6" s="252" t="s">
        <v>212</v>
      </c>
      <c r="D6" s="254" t="s">
        <v>107</v>
      </c>
      <c r="E6" s="266" t="s">
        <v>213</v>
      </c>
      <c r="F6" s="253" t="s">
        <v>214</v>
      </c>
      <c r="G6" s="268" t="s">
        <v>215</v>
      </c>
      <c r="H6" s="255"/>
      <c r="I6" s="255"/>
      <c r="J6" s="255"/>
      <c r="K6" s="245">
        <v>4</v>
      </c>
      <c r="L6" s="252" t="str">
        <f>VLOOKUP(K6,CAT_JOUEUR,2,FALSE)</f>
        <v>U 17 Hommes</v>
      </c>
      <c r="M6" s="245">
        <v>591</v>
      </c>
      <c r="N6" s="259">
        <v>41326</v>
      </c>
      <c r="O6" s="255"/>
      <c r="P6" s="245">
        <v>2014</v>
      </c>
      <c r="Q6" s="259">
        <v>36177</v>
      </c>
      <c r="R6" s="259"/>
      <c r="S6" s="255" t="s">
        <v>217</v>
      </c>
      <c r="T6" s="268"/>
      <c r="U6" s="262">
        <v>661104226</v>
      </c>
      <c r="V6" s="270" t="s">
        <v>218</v>
      </c>
    </row>
    <row r="7" spans="1:22" ht="12.75" customHeight="1" x14ac:dyDescent="0.15">
      <c r="A7" s="250" t="s">
        <v>28</v>
      </c>
      <c r="B7" s="251" t="s">
        <v>219</v>
      </c>
      <c r="C7" s="252" t="s">
        <v>220</v>
      </c>
      <c r="D7" s="255" t="s">
        <v>107</v>
      </c>
      <c r="E7" s="254" t="s">
        <v>221</v>
      </c>
      <c r="F7" s="253" t="s">
        <v>222</v>
      </c>
      <c r="G7" s="255" t="s">
        <v>223</v>
      </c>
      <c r="H7" s="255"/>
      <c r="I7" s="255"/>
      <c r="J7" s="255"/>
      <c r="K7" s="256">
        <v>12</v>
      </c>
      <c r="L7" s="252" t="str">
        <f>VLOOKUP(K7,CAT_JOUEUR,2,FALSE)</f>
        <v>Dames</v>
      </c>
      <c r="M7" s="257" t="s">
        <v>225</v>
      </c>
      <c r="N7" s="259">
        <v>40767</v>
      </c>
      <c r="O7" s="255"/>
      <c r="P7" s="256">
        <v>2016</v>
      </c>
      <c r="Q7" s="259">
        <v>29859</v>
      </c>
      <c r="R7" s="259"/>
      <c r="S7" s="254" t="s">
        <v>226</v>
      </c>
      <c r="T7" s="255"/>
      <c r="U7" s="260" t="s">
        <v>227</v>
      </c>
      <c r="V7" s="261" t="s">
        <v>228</v>
      </c>
    </row>
    <row r="8" spans="1:22" ht="12.75" customHeight="1" x14ac:dyDescent="0.15">
      <c r="A8" s="250" t="s">
        <v>28</v>
      </c>
      <c r="B8" s="251" t="s">
        <v>229</v>
      </c>
      <c r="C8" s="252" t="s">
        <v>230</v>
      </c>
      <c r="D8" s="254" t="s">
        <v>107</v>
      </c>
      <c r="E8" s="266" t="s">
        <v>231</v>
      </c>
      <c r="F8" s="253" t="s">
        <v>232</v>
      </c>
      <c r="G8" s="268" t="s">
        <v>233</v>
      </c>
      <c r="H8" s="255"/>
      <c r="I8" s="255"/>
      <c r="J8" s="255"/>
      <c r="K8" s="245">
        <v>3</v>
      </c>
      <c r="L8" s="252" t="str">
        <f>VLOOKUP(K8,CAT_JOUEUR,2,FALSE)</f>
        <v>U 21 Hommes</v>
      </c>
      <c r="M8" s="245">
        <v>582</v>
      </c>
      <c r="N8" s="259">
        <v>41232</v>
      </c>
      <c r="O8" s="255"/>
      <c r="P8" s="245">
        <v>2014</v>
      </c>
      <c r="Q8" s="259">
        <v>35310</v>
      </c>
      <c r="R8" s="259"/>
      <c r="S8" s="255" t="s">
        <v>234</v>
      </c>
      <c r="T8" s="268"/>
      <c r="U8" s="262">
        <v>621614314</v>
      </c>
      <c r="V8" s="270" t="s">
        <v>235</v>
      </c>
    </row>
    <row r="9" spans="1:22" ht="12.75" customHeight="1" x14ac:dyDescent="0.15">
      <c r="A9" s="250" t="s">
        <v>28</v>
      </c>
      <c r="B9" s="271" t="s">
        <v>236</v>
      </c>
      <c r="C9" s="252" t="s">
        <v>237</v>
      </c>
      <c r="D9" s="254" t="s">
        <v>238</v>
      </c>
      <c r="E9" s="254" t="s">
        <v>239</v>
      </c>
      <c r="F9" s="253" t="s">
        <v>240</v>
      </c>
      <c r="G9" s="255" t="s">
        <v>241</v>
      </c>
      <c r="H9" s="255"/>
      <c r="I9" s="255"/>
      <c r="J9" s="255"/>
      <c r="K9" s="256">
        <v>14</v>
      </c>
      <c r="L9" s="252" t="str">
        <f>VLOOKUP(K9,CAT_JOUEUR,2,FALSE)</f>
        <v>U 17 Dames</v>
      </c>
      <c r="M9" s="257" t="s">
        <v>243</v>
      </c>
      <c r="N9" s="259">
        <v>40268</v>
      </c>
      <c r="O9" s="255"/>
      <c r="P9" s="256">
        <v>2014</v>
      </c>
      <c r="Q9" s="259">
        <v>36411</v>
      </c>
      <c r="R9" s="259"/>
      <c r="S9" s="254"/>
      <c r="T9" s="255"/>
      <c r="U9" s="260" t="s">
        <v>245</v>
      </c>
      <c r="V9" s="263"/>
    </row>
    <row r="10" spans="1:22" ht="12.75" customHeight="1" x14ac:dyDescent="0.15">
      <c r="A10" s="250" t="s">
        <v>28</v>
      </c>
      <c r="B10" s="251" t="s">
        <v>246</v>
      </c>
      <c r="C10" s="252" t="s">
        <v>247</v>
      </c>
      <c r="D10" s="254" t="s">
        <v>248</v>
      </c>
      <c r="E10" s="266" t="s">
        <v>249</v>
      </c>
      <c r="F10" s="253" t="s">
        <v>250</v>
      </c>
      <c r="G10" s="268" t="s">
        <v>177</v>
      </c>
      <c r="H10" s="255"/>
      <c r="I10" s="255"/>
      <c r="J10" s="255"/>
      <c r="K10" s="245">
        <v>2</v>
      </c>
      <c r="L10" s="252" t="s">
        <v>251</v>
      </c>
      <c r="M10" s="245">
        <v>573</v>
      </c>
      <c r="N10" s="259">
        <v>41169</v>
      </c>
      <c r="O10" s="255"/>
      <c r="P10" s="245">
        <v>2013</v>
      </c>
      <c r="Q10" s="259">
        <v>31821</v>
      </c>
      <c r="R10" s="259"/>
      <c r="S10" s="255"/>
      <c r="T10" s="268" t="s">
        <v>252</v>
      </c>
      <c r="U10" s="262">
        <v>661661037</v>
      </c>
      <c r="V10" s="272"/>
    </row>
    <row r="11" spans="1:22" ht="12.75" customHeight="1" x14ac:dyDescent="0.15">
      <c r="A11" s="250" t="s">
        <v>28</v>
      </c>
      <c r="B11" s="251" t="s">
        <v>253</v>
      </c>
      <c r="C11" s="252" t="s">
        <v>254</v>
      </c>
      <c r="D11" s="254"/>
      <c r="E11" s="254" t="s">
        <v>255</v>
      </c>
      <c r="F11" s="253" t="s">
        <v>256</v>
      </c>
      <c r="G11" s="255" t="s">
        <v>257</v>
      </c>
      <c r="H11" s="255"/>
      <c r="I11" s="255"/>
      <c r="J11" s="255"/>
      <c r="K11" s="256">
        <v>4</v>
      </c>
      <c r="L11" s="252" t="str">
        <f t="shared" ref="L11:L34" si="0">VLOOKUP(K11,CAT_JOUEUR,2,FALSE)</f>
        <v>U 17 Hommes</v>
      </c>
      <c r="M11" s="257"/>
      <c r="N11" s="259"/>
      <c r="O11" s="255"/>
      <c r="P11" s="256">
        <v>2014</v>
      </c>
      <c r="Q11" s="259">
        <v>35717</v>
      </c>
      <c r="R11" s="259"/>
      <c r="S11" s="254"/>
      <c r="T11" s="255"/>
      <c r="U11" s="260" t="s">
        <v>258</v>
      </c>
      <c r="V11" s="263" t="s">
        <v>259</v>
      </c>
    </row>
    <row r="12" spans="1:22" ht="12.75" customHeight="1" x14ac:dyDescent="0.15">
      <c r="A12" s="250" t="s">
        <v>28</v>
      </c>
      <c r="B12" s="251" t="s">
        <v>261</v>
      </c>
      <c r="C12" s="252" t="s">
        <v>262</v>
      </c>
      <c r="D12" s="254" t="s">
        <v>263</v>
      </c>
      <c r="E12" s="254" t="s">
        <v>264</v>
      </c>
      <c r="F12" s="253" t="s">
        <v>265</v>
      </c>
      <c r="G12" s="255" t="s">
        <v>266</v>
      </c>
      <c r="H12" s="255"/>
      <c r="I12" s="255"/>
      <c r="J12" s="255"/>
      <c r="K12" s="256">
        <v>12</v>
      </c>
      <c r="L12" s="252" t="str">
        <f t="shared" si="0"/>
        <v>Dames</v>
      </c>
      <c r="M12" s="257"/>
      <c r="N12" s="259"/>
      <c r="O12" s="255"/>
      <c r="P12" s="256">
        <v>2015</v>
      </c>
      <c r="Q12" s="259"/>
      <c r="R12" s="259"/>
      <c r="S12" s="254" t="s">
        <v>252</v>
      </c>
      <c r="T12" s="255"/>
      <c r="U12" s="260" t="s">
        <v>269</v>
      </c>
      <c r="V12" s="261"/>
    </row>
    <row r="13" spans="1:22" ht="12.75" customHeight="1" x14ac:dyDescent="0.15">
      <c r="A13" s="250" t="s">
        <v>28</v>
      </c>
      <c r="B13" s="251" t="s">
        <v>270</v>
      </c>
      <c r="C13" s="252" t="s">
        <v>271</v>
      </c>
      <c r="D13" s="255" t="s">
        <v>107</v>
      </c>
      <c r="E13" s="254" t="s">
        <v>272</v>
      </c>
      <c r="F13" s="253" t="s">
        <v>273</v>
      </c>
      <c r="G13" s="255" t="s">
        <v>274</v>
      </c>
      <c r="H13" s="255"/>
      <c r="I13" s="255"/>
      <c r="J13" s="255"/>
      <c r="K13" s="256">
        <v>6</v>
      </c>
      <c r="L13" s="252" t="str">
        <f t="shared" si="0"/>
        <v>U 13 Hommes</v>
      </c>
      <c r="M13" s="257" t="s">
        <v>275</v>
      </c>
      <c r="N13" s="259">
        <v>41520</v>
      </c>
      <c r="O13" s="255"/>
      <c r="P13" s="256">
        <v>2014</v>
      </c>
      <c r="Q13" s="259">
        <v>37575</v>
      </c>
      <c r="R13" s="259"/>
      <c r="S13" s="254" t="s">
        <v>276</v>
      </c>
      <c r="T13" s="255"/>
      <c r="U13" s="260" t="s">
        <v>277</v>
      </c>
      <c r="V13" s="263" t="s">
        <v>278</v>
      </c>
    </row>
    <row r="14" spans="1:22" ht="12.75" customHeight="1" x14ac:dyDescent="0.15">
      <c r="A14" s="250" t="s">
        <v>28</v>
      </c>
      <c r="B14" s="251" t="s">
        <v>279</v>
      </c>
      <c r="C14" s="252" t="s">
        <v>280</v>
      </c>
      <c r="D14" s="254" t="s">
        <v>107</v>
      </c>
      <c r="E14" s="254" t="s">
        <v>281</v>
      </c>
      <c r="F14" s="253" t="s">
        <v>282</v>
      </c>
      <c r="G14" s="255" t="s">
        <v>283</v>
      </c>
      <c r="H14" s="255"/>
      <c r="I14" s="255"/>
      <c r="J14" s="255"/>
      <c r="K14" s="256">
        <v>2</v>
      </c>
      <c r="L14" s="252" t="str">
        <f t="shared" si="0"/>
        <v>Seniors - Hommes</v>
      </c>
      <c r="M14" s="257" t="s">
        <v>284</v>
      </c>
      <c r="N14" s="259">
        <v>36475</v>
      </c>
      <c r="O14" s="255"/>
      <c r="P14" s="256">
        <v>2010</v>
      </c>
      <c r="Q14" s="259">
        <v>32302</v>
      </c>
      <c r="R14" s="259"/>
      <c r="S14" s="254" t="s">
        <v>285</v>
      </c>
      <c r="T14" s="255" t="s">
        <v>286</v>
      </c>
      <c r="U14" s="260" t="s">
        <v>287</v>
      </c>
      <c r="V14" s="261"/>
    </row>
    <row r="15" spans="1:22" ht="12.75" customHeight="1" x14ac:dyDescent="0.15">
      <c r="A15" s="250" t="s">
        <v>28</v>
      </c>
      <c r="B15" s="251" t="s">
        <v>288</v>
      </c>
      <c r="C15" s="252" t="s">
        <v>289</v>
      </c>
      <c r="D15" s="254" t="s">
        <v>107</v>
      </c>
      <c r="E15" s="254" t="s">
        <v>291</v>
      </c>
      <c r="F15" s="253" t="s">
        <v>293</v>
      </c>
      <c r="G15" s="255" t="s">
        <v>294</v>
      </c>
      <c r="H15" s="255"/>
      <c r="I15" s="255"/>
      <c r="J15" s="255"/>
      <c r="K15" s="256">
        <v>15</v>
      </c>
      <c r="L15" s="252" t="str">
        <f t="shared" si="0"/>
        <v>U 13 Dames</v>
      </c>
      <c r="M15" s="257" t="s">
        <v>303</v>
      </c>
      <c r="N15" s="259">
        <v>40308</v>
      </c>
      <c r="O15" s="255"/>
      <c r="P15" s="256">
        <v>2015</v>
      </c>
      <c r="Q15" s="259">
        <v>36546</v>
      </c>
      <c r="R15" s="259"/>
      <c r="S15" s="254" t="s">
        <v>304</v>
      </c>
      <c r="T15" s="255" t="s">
        <v>305</v>
      </c>
      <c r="U15" s="273" t="s">
        <v>306</v>
      </c>
      <c r="V15" s="261" t="s">
        <v>307</v>
      </c>
    </row>
    <row r="16" spans="1:22" ht="12.75" customHeight="1" x14ac:dyDescent="0.15">
      <c r="A16" s="250" t="s">
        <v>28</v>
      </c>
      <c r="B16" s="251" t="s">
        <v>308</v>
      </c>
      <c r="C16" s="252" t="s">
        <v>309</v>
      </c>
      <c r="D16" s="254" t="s">
        <v>310</v>
      </c>
      <c r="E16" s="254" t="s">
        <v>311</v>
      </c>
      <c r="F16" s="253" t="s">
        <v>312</v>
      </c>
      <c r="G16" s="255" t="s">
        <v>241</v>
      </c>
      <c r="H16" s="255"/>
      <c r="I16" s="255"/>
      <c r="J16" s="255"/>
      <c r="K16" s="256">
        <v>2</v>
      </c>
      <c r="L16" s="252" t="str">
        <f t="shared" si="0"/>
        <v>Seniors - Hommes</v>
      </c>
      <c r="M16" s="257" t="s">
        <v>321</v>
      </c>
      <c r="N16" s="259">
        <v>35359</v>
      </c>
      <c r="O16" s="255"/>
      <c r="P16" s="256">
        <v>2004</v>
      </c>
      <c r="Q16" s="259">
        <v>30232</v>
      </c>
      <c r="R16" s="259"/>
      <c r="S16" s="254" t="s">
        <v>322</v>
      </c>
      <c r="T16" s="255"/>
      <c r="U16" s="260" t="s">
        <v>323</v>
      </c>
      <c r="V16" s="261"/>
    </row>
    <row r="17" spans="1:22" ht="12.75" customHeight="1" x14ac:dyDescent="0.15">
      <c r="A17" s="250" t="s">
        <v>28</v>
      </c>
      <c r="B17" s="251" t="s">
        <v>324</v>
      </c>
      <c r="C17" s="252" t="s">
        <v>254</v>
      </c>
      <c r="D17" s="254" t="s">
        <v>107</v>
      </c>
      <c r="E17" s="254" t="s">
        <v>325</v>
      </c>
      <c r="F17" s="253" t="s">
        <v>326</v>
      </c>
      <c r="G17" s="255" t="s">
        <v>177</v>
      </c>
      <c r="H17" s="255"/>
      <c r="I17" s="255"/>
      <c r="J17" s="255"/>
      <c r="K17" s="256">
        <v>88</v>
      </c>
      <c r="L17" s="252" t="e">
        <f t="shared" si="0"/>
        <v>#N/A</v>
      </c>
      <c r="M17" s="257"/>
      <c r="N17" s="259"/>
      <c r="O17" s="255"/>
      <c r="P17" s="256" t="s">
        <v>210</v>
      </c>
      <c r="Q17" s="259"/>
      <c r="R17" s="259"/>
      <c r="S17" s="254" t="s">
        <v>252</v>
      </c>
      <c r="T17" s="255"/>
      <c r="U17" s="260"/>
      <c r="V17" s="261"/>
    </row>
    <row r="18" spans="1:22" ht="12.75" customHeight="1" x14ac:dyDescent="0.15">
      <c r="A18" s="250" t="s">
        <v>28</v>
      </c>
      <c r="B18" s="251" t="s">
        <v>327</v>
      </c>
      <c r="C18" s="252" t="s">
        <v>328</v>
      </c>
      <c r="D18" s="254" t="s">
        <v>263</v>
      </c>
      <c r="E18" s="254" t="s">
        <v>329</v>
      </c>
      <c r="F18" s="253" t="s">
        <v>330</v>
      </c>
      <c r="G18" s="255" t="s">
        <v>223</v>
      </c>
      <c r="H18" s="255"/>
      <c r="I18" s="255"/>
      <c r="J18" s="255"/>
      <c r="K18" s="256">
        <v>4</v>
      </c>
      <c r="L18" s="252" t="str">
        <f t="shared" si="0"/>
        <v>U 17 Hommes</v>
      </c>
      <c r="M18" s="257" t="s">
        <v>331</v>
      </c>
      <c r="N18" s="259">
        <v>40151</v>
      </c>
      <c r="O18" s="255"/>
      <c r="P18" s="256">
        <v>2017</v>
      </c>
      <c r="Q18" s="259">
        <v>36306</v>
      </c>
      <c r="R18" s="259"/>
      <c r="S18" s="254" t="s">
        <v>332</v>
      </c>
      <c r="T18" s="255"/>
      <c r="U18" s="260" t="s">
        <v>333</v>
      </c>
      <c r="V18" s="263" t="s">
        <v>334</v>
      </c>
    </row>
    <row r="19" spans="1:22" ht="12.75" customHeight="1" x14ac:dyDescent="0.15">
      <c r="A19" s="250" t="s">
        <v>28</v>
      </c>
      <c r="B19" s="251" t="s">
        <v>335</v>
      </c>
      <c r="C19" s="252" t="s">
        <v>336</v>
      </c>
      <c r="D19" s="254" t="s">
        <v>107</v>
      </c>
      <c r="E19" s="254" t="s">
        <v>337</v>
      </c>
      <c r="F19" s="253" t="s">
        <v>338</v>
      </c>
      <c r="G19" s="255" t="s">
        <v>215</v>
      </c>
      <c r="H19" s="255"/>
      <c r="I19" s="255"/>
      <c r="J19" s="255"/>
      <c r="K19" s="256">
        <v>16</v>
      </c>
      <c r="L19" s="252" t="str">
        <f t="shared" si="0"/>
        <v>U15 Dames</v>
      </c>
      <c r="M19" s="257" t="s">
        <v>339</v>
      </c>
      <c r="N19" s="259">
        <v>40093</v>
      </c>
      <c r="O19" s="255"/>
      <c r="P19" s="256">
        <v>2013</v>
      </c>
      <c r="Q19" s="259">
        <v>36934</v>
      </c>
      <c r="R19" s="259"/>
      <c r="S19" s="254" t="s">
        <v>340</v>
      </c>
      <c r="T19" s="255"/>
      <c r="U19" s="260" t="s">
        <v>341</v>
      </c>
      <c r="V19" s="261" t="s">
        <v>342</v>
      </c>
    </row>
    <row r="20" spans="1:22" ht="12.75" customHeight="1" x14ac:dyDescent="0.15">
      <c r="A20" s="250" t="s">
        <v>28</v>
      </c>
      <c r="B20" s="251" t="s">
        <v>343</v>
      </c>
      <c r="C20" s="252" t="s">
        <v>344</v>
      </c>
      <c r="D20" s="254" t="s">
        <v>345</v>
      </c>
      <c r="E20" s="266" t="s">
        <v>346</v>
      </c>
      <c r="F20" s="253" t="s">
        <v>256</v>
      </c>
      <c r="G20" s="268" t="s">
        <v>257</v>
      </c>
      <c r="H20" s="255"/>
      <c r="I20" s="255"/>
      <c r="J20" s="255"/>
      <c r="K20" s="245">
        <v>4</v>
      </c>
      <c r="L20" s="252" t="str">
        <f t="shared" si="0"/>
        <v>U 17 Hommes</v>
      </c>
      <c r="M20" s="245">
        <v>589</v>
      </c>
      <c r="N20" s="259">
        <v>41253</v>
      </c>
      <c r="O20" s="255"/>
      <c r="P20" s="245">
        <v>2014</v>
      </c>
      <c r="Q20" s="259">
        <v>36338</v>
      </c>
      <c r="R20" s="259"/>
      <c r="S20" s="255"/>
      <c r="T20" s="268"/>
      <c r="U20" s="262">
        <v>691319927</v>
      </c>
      <c r="V20" s="270" t="s">
        <v>350</v>
      </c>
    </row>
    <row r="21" spans="1:22" ht="12.75" customHeight="1" x14ac:dyDescent="0.15">
      <c r="A21" s="250" t="s">
        <v>28</v>
      </c>
      <c r="B21" s="251" t="s">
        <v>356</v>
      </c>
      <c r="C21" s="252" t="s">
        <v>357</v>
      </c>
      <c r="D21" s="254" t="s">
        <v>107</v>
      </c>
      <c r="E21" s="254" t="s">
        <v>358</v>
      </c>
      <c r="F21" s="253" t="s">
        <v>359</v>
      </c>
      <c r="G21" s="255" t="s">
        <v>360</v>
      </c>
      <c r="H21" s="255"/>
      <c r="I21" s="255"/>
      <c r="J21" s="255"/>
      <c r="K21" s="256">
        <v>2</v>
      </c>
      <c r="L21" s="252" t="str">
        <f t="shared" si="0"/>
        <v>Seniors - Hommes</v>
      </c>
      <c r="M21" s="257" t="s">
        <v>361</v>
      </c>
      <c r="N21" s="259">
        <v>34284</v>
      </c>
      <c r="O21" s="255"/>
      <c r="P21" s="256">
        <v>2013</v>
      </c>
      <c r="Q21" s="259">
        <v>31893</v>
      </c>
      <c r="R21" s="259"/>
      <c r="S21" s="254" t="s">
        <v>362</v>
      </c>
      <c r="T21" s="255"/>
      <c r="U21" s="260" t="s">
        <v>363</v>
      </c>
      <c r="V21" s="261"/>
    </row>
    <row r="22" spans="1:22" ht="12.75" customHeight="1" x14ac:dyDescent="0.15">
      <c r="A22" s="250" t="s">
        <v>28</v>
      </c>
      <c r="B22" s="251" t="s">
        <v>364</v>
      </c>
      <c r="C22" s="252" t="s">
        <v>365</v>
      </c>
      <c r="D22" s="254" t="s">
        <v>107</v>
      </c>
      <c r="E22" s="266" t="s">
        <v>366</v>
      </c>
      <c r="F22" s="253" t="s">
        <v>367</v>
      </c>
      <c r="G22" s="268" t="s">
        <v>215</v>
      </c>
      <c r="H22" s="255"/>
      <c r="I22" s="255"/>
      <c r="J22" s="255"/>
      <c r="K22" s="245">
        <v>16</v>
      </c>
      <c r="L22" s="252" t="str">
        <f t="shared" si="0"/>
        <v>U15 Dames</v>
      </c>
      <c r="M22" s="245">
        <v>580</v>
      </c>
      <c r="N22" s="259">
        <v>41206</v>
      </c>
      <c r="O22" s="255"/>
      <c r="P22" s="245">
        <v>2014</v>
      </c>
      <c r="Q22" s="259">
        <v>37460</v>
      </c>
      <c r="R22" s="259"/>
      <c r="S22" s="255"/>
      <c r="T22" s="268"/>
      <c r="U22" s="262">
        <v>621248688</v>
      </c>
      <c r="V22" s="274" t="s">
        <v>371</v>
      </c>
    </row>
    <row r="23" spans="1:22" ht="12.75" customHeight="1" x14ac:dyDescent="0.15">
      <c r="A23" s="250" t="s">
        <v>28</v>
      </c>
      <c r="B23" s="251" t="s">
        <v>378</v>
      </c>
      <c r="C23" s="252" t="s">
        <v>379</v>
      </c>
      <c r="D23" s="254" t="s">
        <v>107</v>
      </c>
      <c r="E23" s="254" t="s">
        <v>380</v>
      </c>
      <c r="F23" s="253" t="s">
        <v>381</v>
      </c>
      <c r="G23" s="255" t="s">
        <v>241</v>
      </c>
      <c r="H23" s="255"/>
      <c r="I23" s="255"/>
      <c r="J23" s="255"/>
      <c r="K23" s="256">
        <v>12</v>
      </c>
      <c r="L23" s="252" t="str">
        <f t="shared" si="0"/>
        <v>Dames</v>
      </c>
      <c r="M23" s="257" t="s">
        <v>382</v>
      </c>
      <c r="N23" s="259">
        <v>34607</v>
      </c>
      <c r="O23" s="255"/>
      <c r="P23" s="256">
        <v>2014</v>
      </c>
      <c r="Q23" s="259">
        <v>32144</v>
      </c>
      <c r="R23" s="259"/>
      <c r="S23" s="254" t="s">
        <v>383</v>
      </c>
      <c r="T23" s="255"/>
      <c r="U23" s="260" t="s">
        <v>384</v>
      </c>
      <c r="V23" s="261" t="s">
        <v>385</v>
      </c>
    </row>
    <row r="24" spans="1:22" ht="12.75" customHeight="1" x14ac:dyDescent="0.15">
      <c r="A24" s="250" t="s">
        <v>28</v>
      </c>
      <c r="B24" s="251" t="s">
        <v>386</v>
      </c>
      <c r="C24" s="252" t="s">
        <v>387</v>
      </c>
      <c r="D24" s="254" t="s">
        <v>107</v>
      </c>
      <c r="E24" s="254" t="s">
        <v>388</v>
      </c>
      <c r="F24" s="253" t="s">
        <v>389</v>
      </c>
      <c r="G24" s="255" t="s">
        <v>390</v>
      </c>
      <c r="H24" s="255"/>
      <c r="I24" s="255"/>
      <c r="J24" s="255"/>
      <c r="K24" s="256">
        <v>12</v>
      </c>
      <c r="L24" s="252" t="str">
        <f t="shared" si="0"/>
        <v>Dames</v>
      </c>
      <c r="M24" s="257" t="s">
        <v>393</v>
      </c>
      <c r="N24" s="259">
        <v>37033</v>
      </c>
      <c r="O24" s="255"/>
      <c r="P24" s="256">
        <v>2009</v>
      </c>
      <c r="Q24" s="259">
        <v>28944</v>
      </c>
      <c r="R24" s="259"/>
      <c r="S24" s="254" t="s">
        <v>394</v>
      </c>
      <c r="T24" s="255"/>
      <c r="U24" s="260" t="s">
        <v>395</v>
      </c>
      <c r="V24" s="261"/>
    </row>
    <row r="25" spans="1:22" ht="12.75" customHeight="1" x14ac:dyDescent="0.15">
      <c r="A25" s="250" t="s">
        <v>28</v>
      </c>
      <c r="B25" s="251" t="s">
        <v>396</v>
      </c>
      <c r="C25" s="252" t="s">
        <v>197</v>
      </c>
      <c r="D25" s="254" t="s">
        <v>107</v>
      </c>
      <c r="E25" s="254" t="s">
        <v>397</v>
      </c>
      <c r="F25" s="253" t="s">
        <v>398</v>
      </c>
      <c r="G25" s="255" t="s">
        <v>241</v>
      </c>
      <c r="H25" s="255"/>
      <c r="I25" s="255"/>
      <c r="J25" s="255" t="s">
        <v>252</v>
      </c>
      <c r="K25" s="256">
        <v>88</v>
      </c>
      <c r="L25" s="252" t="e">
        <f t="shared" si="0"/>
        <v>#N/A</v>
      </c>
      <c r="M25" s="257"/>
      <c r="N25" s="259"/>
      <c r="O25" s="255"/>
      <c r="P25" s="256" t="s">
        <v>252</v>
      </c>
      <c r="Q25" s="259"/>
      <c r="R25" s="259"/>
      <c r="S25" s="254"/>
      <c r="T25" s="255"/>
      <c r="U25" s="260"/>
      <c r="V25" s="261"/>
    </row>
    <row r="26" spans="1:22" ht="12.75" customHeight="1" x14ac:dyDescent="0.15">
      <c r="A26" s="250" t="s">
        <v>28</v>
      </c>
      <c r="B26" s="251" t="s">
        <v>406</v>
      </c>
      <c r="C26" s="252" t="s">
        <v>407</v>
      </c>
      <c r="D26" s="254" t="s">
        <v>107</v>
      </c>
      <c r="E26" s="254" t="s">
        <v>408</v>
      </c>
      <c r="F26" s="253" t="s">
        <v>409</v>
      </c>
      <c r="G26" s="255" t="s">
        <v>410</v>
      </c>
      <c r="H26" s="255"/>
      <c r="I26" s="255"/>
      <c r="J26" s="255"/>
      <c r="K26" s="256">
        <v>88</v>
      </c>
      <c r="L26" s="252" t="e">
        <f t="shared" si="0"/>
        <v>#N/A</v>
      </c>
      <c r="M26" s="257" t="s">
        <v>411</v>
      </c>
      <c r="N26" s="259">
        <v>33185</v>
      </c>
      <c r="O26" s="255"/>
      <c r="P26" s="256"/>
      <c r="Q26" s="259">
        <v>25582</v>
      </c>
      <c r="R26" s="259"/>
      <c r="S26" s="254" t="s">
        <v>412</v>
      </c>
      <c r="T26" s="255"/>
      <c r="U26" s="260"/>
      <c r="V26" s="261"/>
    </row>
    <row r="27" spans="1:22" ht="12.75" customHeight="1" x14ac:dyDescent="0.15">
      <c r="A27" s="250" t="s">
        <v>28</v>
      </c>
      <c r="B27" s="251" t="s">
        <v>414</v>
      </c>
      <c r="C27" s="252" t="s">
        <v>415</v>
      </c>
      <c r="D27" s="254" t="s">
        <v>416</v>
      </c>
      <c r="E27" s="254" t="s">
        <v>417</v>
      </c>
      <c r="F27" s="253" t="s">
        <v>418</v>
      </c>
      <c r="G27" s="255" t="s">
        <v>257</v>
      </c>
      <c r="H27" s="255"/>
      <c r="I27" s="255"/>
      <c r="J27" s="255"/>
      <c r="K27" s="256">
        <v>6</v>
      </c>
      <c r="L27" s="252" t="str">
        <f t="shared" si="0"/>
        <v>U 13 Hommes</v>
      </c>
      <c r="M27" s="257" t="s">
        <v>424</v>
      </c>
      <c r="N27" s="259">
        <v>40855</v>
      </c>
      <c r="O27" s="255"/>
      <c r="P27" s="256">
        <v>2014</v>
      </c>
      <c r="Q27" s="259">
        <v>37581</v>
      </c>
      <c r="R27" s="259"/>
      <c r="S27" s="254" t="s">
        <v>425</v>
      </c>
      <c r="T27" s="262">
        <v>621137437</v>
      </c>
      <c r="U27" s="260" t="s">
        <v>426</v>
      </c>
      <c r="V27" s="261" t="s">
        <v>427</v>
      </c>
    </row>
    <row r="28" spans="1:22" ht="12.75" customHeight="1" x14ac:dyDescent="0.15">
      <c r="A28" s="250" t="s">
        <v>28</v>
      </c>
      <c r="B28" s="252" t="s">
        <v>428</v>
      </c>
      <c r="C28" s="252" t="s">
        <v>429</v>
      </c>
      <c r="D28" s="254" t="s">
        <v>430</v>
      </c>
      <c r="E28" s="254" t="s">
        <v>431</v>
      </c>
      <c r="F28" s="253" t="s">
        <v>432</v>
      </c>
      <c r="G28" s="255" t="s">
        <v>266</v>
      </c>
      <c r="H28" s="255"/>
      <c r="I28" s="255"/>
      <c r="J28" s="255"/>
      <c r="K28" s="256">
        <v>14</v>
      </c>
      <c r="L28" s="252" t="str">
        <f t="shared" si="0"/>
        <v>U 17 Dames</v>
      </c>
      <c r="M28" s="257" t="s">
        <v>433</v>
      </c>
      <c r="N28" s="259">
        <v>40612</v>
      </c>
      <c r="O28" s="255"/>
      <c r="P28" s="256">
        <v>2015</v>
      </c>
      <c r="Q28" s="259">
        <v>35713</v>
      </c>
      <c r="R28" s="259"/>
      <c r="S28" s="255" t="s">
        <v>434</v>
      </c>
      <c r="T28" s="255"/>
      <c r="U28" s="260" t="s">
        <v>435</v>
      </c>
      <c r="V28" s="261" t="s">
        <v>436</v>
      </c>
    </row>
    <row r="29" spans="1:22" ht="12.75" customHeight="1" x14ac:dyDescent="0.15">
      <c r="A29" s="250" t="s">
        <v>28</v>
      </c>
      <c r="B29" s="251" t="s">
        <v>437</v>
      </c>
      <c r="C29" s="252" t="s">
        <v>438</v>
      </c>
      <c r="D29" s="254" t="s">
        <v>107</v>
      </c>
      <c r="E29" s="254" t="s">
        <v>439</v>
      </c>
      <c r="F29" s="253" t="s">
        <v>240</v>
      </c>
      <c r="G29" s="255" t="s">
        <v>135</v>
      </c>
      <c r="H29" s="255"/>
      <c r="I29" s="255"/>
      <c r="J29" s="255"/>
      <c r="K29" s="256">
        <v>3</v>
      </c>
      <c r="L29" s="252" t="str">
        <f t="shared" si="0"/>
        <v>U 21 Hommes</v>
      </c>
      <c r="M29" s="257" t="s">
        <v>440</v>
      </c>
      <c r="N29" s="259">
        <v>38989</v>
      </c>
      <c r="O29" s="255"/>
      <c r="P29" s="256">
        <v>2012</v>
      </c>
      <c r="Q29" s="259">
        <v>34655</v>
      </c>
      <c r="R29" s="259"/>
      <c r="S29" s="254" t="s">
        <v>441</v>
      </c>
      <c r="T29" s="255"/>
      <c r="U29" s="260" t="s">
        <v>442</v>
      </c>
      <c r="V29" s="263" t="str">
        <f>HYPERLINK("mailto:lizjo@pt.lu","lizjo@pt.lu")</f>
        <v>lizjo@pt.lu</v>
      </c>
    </row>
    <row r="30" spans="1:22" ht="12.75" customHeight="1" x14ac:dyDescent="0.15">
      <c r="A30" s="250" t="s">
        <v>28</v>
      </c>
      <c r="B30" s="251" t="s">
        <v>443</v>
      </c>
      <c r="C30" s="252" t="s">
        <v>444</v>
      </c>
      <c r="D30" s="254" t="s">
        <v>445</v>
      </c>
      <c r="E30" s="254" t="s">
        <v>447</v>
      </c>
      <c r="F30" s="253" t="s">
        <v>448</v>
      </c>
      <c r="G30" s="255" t="s">
        <v>266</v>
      </c>
      <c r="H30" s="255"/>
      <c r="I30" s="255"/>
      <c r="J30" s="255"/>
      <c r="K30" s="256">
        <v>4</v>
      </c>
      <c r="L30" s="252" t="str">
        <f t="shared" si="0"/>
        <v>U 17 Hommes</v>
      </c>
      <c r="M30" s="257" t="s">
        <v>451</v>
      </c>
      <c r="N30" s="259">
        <v>38632</v>
      </c>
      <c r="O30" s="255"/>
      <c r="P30" s="256">
        <v>2017</v>
      </c>
      <c r="Q30" s="259">
        <v>36454</v>
      </c>
      <c r="R30" s="259"/>
      <c r="S30" s="254" t="s">
        <v>452</v>
      </c>
      <c r="T30" s="268" t="s">
        <v>252</v>
      </c>
      <c r="U30" s="268"/>
      <c r="V30" s="261"/>
    </row>
    <row r="31" spans="1:22" ht="12.75" customHeight="1" x14ac:dyDescent="0.15">
      <c r="A31" s="250" t="s">
        <v>28</v>
      </c>
      <c r="B31" s="251" t="s">
        <v>443</v>
      </c>
      <c r="C31" s="252" t="s">
        <v>454</v>
      </c>
      <c r="D31" s="254" t="s">
        <v>445</v>
      </c>
      <c r="E31" s="254" t="s">
        <v>455</v>
      </c>
      <c r="F31" s="253" t="s">
        <v>448</v>
      </c>
      <c r="G31" s="255" t="s">
        <v>266</v>
      </c>
      <c r="H31" s="255"/>
      <c r="I31" s="255"/>
      <c r="J31" s="255"/>
      <c r="K31" s="256">
        <v>7</v>
      </c>
      <c r="L31" s="252" t="str">
        <f t="shared" si="0"/>
        <v>U 11 Hommes</v>
      </c>
      <c r="M31" s="257" t="s">
        <v>456</v>
      </c>
      <c r="N31" s="259">
        <v>40486</v>
      </c>
      <c r="O31" s="255"/>
      <c r="P31" s="256">
        <v>2012</v>
      </c>
      <c r="Q31" s="259">
        <v>38549</v>
      </c>
      <c r="R31" s="259"/>
      <c r="S31" s="254"/>
      <c r="T31" s="255"/>
      <c r="U31" s="260" t="s">
        <v>457</v>
      </c>
      <c r="V31" s="261"/>
    </row>
    <row r="32" spans="1:22" ht="12.75" customHeight="1" x14ac:dyDescent="0.15">
      <c r="A32" s="250" t="s">
        <v>28</v>
      </c>
      <c r="B32" s="251" t="s">
        <v>443</v>
      </c>
      <c r="C32" s="252" t="s">
        <v>458</v>
      </c>
      <c r="D32" s="254" t="s">
        <v>445</v>
      </c>
      <c r="E32" s="254" t="s">
        <v>447</v>
      </c>
      <c r="F32" s="253" t="s">
        <v>448</v>
      </c>
      <c r="G32" s="255" t="s">
        <v>266</v>
      </c>
      <c r="H32" s="255"/>
      <c r="I32" s="255"/>
      <c r="J32" s="255"/>
      <c r="K32" s="256">
        <v>32</v>
      </c>
      <c r="L32" s="252" t="e">
        <f t="shared" si="0"/>
        <v>#N/A</v>
      </c>
      <c r="M32" s="257" t="s">
        <v>459</v>
      </c>
      <c r="N32" s="259">
        <v>37908</v>
      </c>
      <c r="O32" s="255"/>
      <c r="P32" s="256">
        <v>2016</v>
      </c>
      <c r="Q32" s="259">
        <v>27812</v>
      </c>
      <c r="R32" s="259"/>
      <c r="S32" s="254" t="s">
        <v>452</v>
      </c>
      <c r="T32" s="255"/>
      <c r="U32" s="260" t="s">
        <v>460</v>
      </c>
      <c r="V32" s="263" t="str">
        <f>HYPERLINK("mailto:kacha267@buziaczek.pl","kacha267@buziaczek.pl")</f>
        <v>kacha267@buziaczek.pl</v>
      </c>
    </row>
    <row r="33" spans="1:22" ht="12.75" customHeight="1" x14ac:dyDescent="0.15">
      <c r="A33" s="250" t="s">
        <v>28</v>
      </c>
      <c r="B33" s="251" t="s">
        <v>443</v>
      </c>
      <c r="C33" s="252" t="s">
        <v>464</v>
      </c>
      <c r="D33" s="254" t="s">
        <v>445</v>
      </c>
      <c r="E33" s="254" t="s">
        <v>447</v>
      </c>
      <c r="F33" s="253" t="s">
        <v>448</v>
      </c>
      <c r="G33" s="255" t="s">
        <v>266</v>
      </c>
      <c r="H33" s="255"/>
      <c r="I33" s="255"/>
      <c r="J33" s="255"/>
      <c r="K33" s="256">
        <v>41</v>
      </c>
      <c r="L33" s="252" t="e">
        <f t="shared" si="0"/>
        <v>#N/A</v>
      </c>
      <c r="M33" s="257" t="s">
        <v>465</v>
      </c>
      <c r="N33" s="259">
        <v>37289</v>
      </c>
      <c r="O33" s="255"/>
      <c r="P33" s="256">
        <v>2015</v>
      </c>
      <c r="Q33" s="259">
        <v>23878</v>
      </c>
      <c r="R33" s="259"/>
      <c r="S33" s="254" t="s">
        <v>452</v>
      </c>
      <c r="T33" s="255"/>
      <c r="U33" s="260" t="s">
        <v>466</v>
      </c>
      <c r="V33" s="263" t="str">
        <f>HYPERLINK("mailto:grzegorz254@onet.eu","grzegorz254@onet.eu")</f>
        <v>grzegorz254@onet.eu</v>
      </c>
    </row>
    <row r="34" spans="1:22" ht="12.75" customHeight="1" x14ac:dyDescent="0.15">
      <c r="A34" s="250" t="s">
        <v>28</v>
      </c>
      <c r="B34" s="251" t="s">
        <v>468</v>
      </c>
      <c r="C34" s="252" t="s">
        <v>469</v>
      </c>
      <c r="D34" s="254" t="s">
        <v>107</v>
      </c>
      <c r="E34" s="254" t="s">
        <v>470</v>
      </c>
      <c r="F34" s="253" t="s">
        <v>471</v>
      </c>
      <c r="G34" s="255" t="s">
        <v>241</v>
      </c>
      <c r="H34" s="255"/>
      <c r="I34" s="255"/>
      <c r="J34" s="255"/>
      <c r="K34" s="256">
        <v>4</v>
      </c>
      <c r="L34" s="252" t="str">
        <f t="shared" si="0"/>
        <v>U 17 Hommes</v>
      </c>
      <c r="M34" s="257" t="s">
        <v>474</v>
      </c>
      <c r="N34" s="259">
        <v>39637</v>
      </c>
      <c r="O34" s="255"/>
      <c r="P34" s="256">
        <v>2014</v>
      </c>
      <c r="Q34" s="259">
        <v>36312</v>
      </c>
      <c r="R34" s="259"/>
      <c r="S34" s="254"/>
      <c r="T34" s="255" t="s">
        <v>475</v>
      </c>
      <c r="U34" s="260" t="s">
        <v>476</v>
      </c>
      <c r="V34" s="261" t="s">
        <v>477</v>
      </c>
    </row>
    <row r="35" spans="1:22" ht="12.75" customHeight="1" x14ac:dyDescent="0.15">
      <c r="A35" s="250" t="s">
        <v>28</v>
      </c>
      <c r="B35" s="264" t="s">
        <v>478</v>
      </c>
      <c r="C35" s="264" t="s">
        <v>479</v>
      </c>
      <c r="D35" s="254" t="s">
        <v>107</v>
      </c>
      <c r="E35" s="254" t="s">
        <v>480</v>
      </c>
      <c r="F35" s="253" t="s">
        <v>481</v>
      </c>
      <c r="G35" s="255" t="s">
        <v>223</v>
      </c>
      <c r="H35" s="255"/>
      <c r="I35" s="255"/>
      <c r="J35" s="255"/>
      <c r="K35" s="275">
        <v>32</v>
      </c>
      <c r="L35" s="264" t="s">
        <v>483</v>
      </c>
      <c r="M35" s="275">
        <v>552</v>
      </c>
      <c r="N35" s="269">
        <v>40928</v>
      </c>
      <c r="O35" s="255"/>
      <c r="P35" s="256" t="s">
        <v>210</v>
      </c>
      <c r="Q35" s="269">
        <v>24016</v>
      </c>
      <c r="R35" s="269"/>
      <c r="S35" s="276" t="s">
        <v>484</v>
      </c>
      <c r="T35" s="266"/>
      <c r="U35" s="260" t="s">
        <v>485</v>
      </c>
      <c r="V35" s="261" t="s">
        <v>486</v>
      </c>
    </row>
    <row r="36" spans="1:22" ht="12.75" customHeight="1" x14ac:dyDescent="0.15">
      <c r="A36" s="250" t="s">
        <v>28</v>
      </c>
      <c r="B36" s="264" t="s">
        <v>478</v>
      </c>
      <c r="C36" s="264" t="s">
        <v>487</v>
      </c>
      <c r="D36" s="254" t="s">
        <v>107</v>
      </c>
      <c r="E36" s="254" t="s">
        <v>480</v>
      </c>
      <c r="F36" s="253" t="s">
        <v>481</v>
      </c>
      <c r="G36" s="255" t="s">
        <v>223</v>
      </c>
      <c r="H36" s="255"/>
      <c r="I36" s="255"/>
      <c r="J36" s="255"/>
      <c r="K36" s="275">
        <v>32</v>
      </c>
      <c r="L36" s="264" t="s">
        <v>483</v>
      </c>
      <c r="M36" s="275">
        <v>553</v>
      </c>
      <c r="N36" s="269">
        <v>40928</v>
      </c>
      <c r="O36" s="255"/>
      <c r="P36" s="256" t="s">
        <v>210</v>
      </c>
      <c r="Q36" s="269">
        <v>25851</v>
      </c>
      <c r="R36" s="269"/>
      <c r="S36" s="276" t="s">
        <v>484</v>
      </c>
      <c r="T36" s="266"/>
      <c r="U36" s="260" t="s">
        <v>485</v>
      </c>
      <c r="V36" s="261" t="s">
        <v>486</v>
      </c>
    </row>
    <row r="37" spans="1:22" ht="12.75" customHeight="1" x14ac:dyDescent="0.15">
      <c r="A37" s="250" t="s">
        <v>28</v>
      </c>
      <c r="B37" s="251" t="s">
        <v>478</v>
      </c>
      <c r="C37" s="252" t="s">
        <v>488</v>
      </c>
      <c r="D37" s="254" t="s">
        <v>107</v>
      </c>
      <c r="E37" s="254" t="s">
        <v>480</v>
      </c>
      <c r="F37" s="253" t="s">
        <v>481</v>
      </c>
      <c r="G37" s="255" t="s">
        <v>223</v>
      </c>
      <c r="H37" s="255"/>
      <c r="I37" s="255"/>
      <c r="J37" s="255"/>
      <c r="K37" s="256">
        <v>4</v>
      </c>
      <c r="L37" s="252" t="str">
        <f t="shared" ref="L37:L66" si="1">VLOOKUP(K37,CAT_JOUEUR,2,FALSE)</f>
        <v>U 17 Hommes</v>
      </c>
      <c r="M37" s="257" t="s">
        <v>495</v>
      </c>
      <c r="N37" s="259">
        <v>40130</v>
      </c>
      <c r="O37" s="255"/>
      <c r="P37" s="256">
        <v>2016</v>
      </c>
      <c r="Q37" s="259">
        <v>36029</v>
      </c>
      <c r="R37" s="259"/>
      <c r="S37" s="276" t="s">
        <v>484</v>
      </c>
      <c r="T37" s="262">
        <v>691192104</v>
      </c>
      <c r="U37" s="260" t="s">
        <v>485</v>
      </c>
      <c r="V37" s="261" t="s">
        <v>486</v>
      </c>
    </row>
    <row r="38" spans="1:22" ht="12.75" customHeight="1" x14ac:dyDescent="0.15">
      <c r="A38" s="250" t="s">
        <v>28</v>
      </c>
      <c r="B38" s="251" t="s">
        <v>496</v>
      </c>
      <c r="C38" s="252" t="s">
        <v>497</v>
      </c>
      <c r="D38" s="254"/>
      <c r="E38" s="254" t="s">
        <v>498</v>
      </c>
      <c r="F38" s="253" t="s">
        <v>499</v>
      </c>
      <c r="G38" s="255" t="s">
        <v>500</v>
      </c>
      <c r="H38" s="255"/>
      <c r="I38" s="255"/>
      <c r="J38" s="255"/>
      <c r="K38" s="256"/>
      <c r="L38" s="252" t="str">
        <f t="shared" si="1"/>
        <v>CAT à compléter</v>
      </c>
      <c r="M38" s="257"/>
      <c r="N38" s="259"/>
      <c r="O38" s="255"/>
      <c r="P38" s="256" t="s">
        <v>210</v>
      </c>
      <c r="Q38" s="259"/>
      <c r="R38" s="259"/>
      <c r="S38" s="254"/>
      <c r="T38" s="255"/>
      <c r="U38" s="260"/>
      <c r="V38" s="261"/>
    </row>
    <row r="39" spans="1:22" ht="12.75" customHeight="1" x14ac:dyDescent="0.15">
      <c r="A39" s="250" t="s">
        <v>28</v>
      </c>
      <c r="B39" s="251" t="s">
        <v>501</v>
      </c>
      <c r="C39" s="252" t="s">
        <v>502</v>
      </c>
      <c r="D39" s="255" t="s">
        <v>107</v>
      </c>
      <c r="E39" s="254" t="s">
        <v>503</v>
      </c>
      <c r="F39" s="253" t="s">
        <v>504</v>
      </c>
      <c r="G39" s="255" t="s">
        <v>274</v>
      </c>
      <c r="H39" s="255"/>
      <c r="I39" s="255"/>
      <c r="J39" s="255"/>
      <c r="K39" s="256">
        <v>32</v>
      </c>
      <c r="L39" s="252" t="e">
        <f t="shared" si="1"/>
        <v>#N/A</v>
      </c>
      <c r="M39" s="257" t="s">
        <v>507</v>
      </c>
      <c r="N39" s="259">
        <v>40467</v>
      </c>
      <c r="O39" s="255"/>
      <c r="P39" s="256"/>
      <c r="Q39" s="259">
        <v>24531</v>
      </c>
      <c r="R39" s="259"/>
      <c r="S39" s="254"/>
      <c r="T39" s="255"/>
      <c r="U39" s="260"/>
      <c r="V39" s="261"/>
    </row>
    <row r="40" spans="1:22" ht="12.75" customHeight="1" x14ac:dyDescent="0.15">
      <c r="A40" s="250" t="s">
        <v>508</v>
      </c>
      <c r="B40" s="252" t="s">
        <v>509</v>
      </c>
      <c r="C40" s="252" t="s">
        <v>510</v>
      </c>
      <c r="D40" s="254" t="s">
        <v>107</v>
      </c>
      <c r="E40" s="254" t="s">
        <v>511</v>
      </c>
      <c r="F40" s="253" t="s">
        <v>265</v>
      </c>
      <c r="G40" s="255" t="s">
        <v>266</v>
      </c>
      <c r="H40" s="255"/>
      <c r="I40" s="255"/>
      <c r="J40" s="255"/>
      <c r="K40" s="256">
        <v>14</v>
      </c>
      <c r="L40" s="252" t="str">
        <f t="shared" si="1"/>
        <v>U 17 Dames</v>
      </c>
      <c r="M40" s="257" t="s">
        <v>520</v>
      </c>
      <c r="N40" s="259">
        <v>41780</v>
      </c>
      <c r="O40" s="255"/>
      <c r="P40" s="256">
        <v>2015</v>
      </c>
      <c r="Q40" s="259">
        <v>36530</v>
      </c>
      <c r="R40" s="259"/>
      <c r="S40" s="254"/>
      <c r="T40" s="255" t="s">
        <v>521</v>
      </c>
      <c r="U40" s="260" t="s">
        <v>522</v>
      </c>
      <c r="V40" s="263" t="s">
        <v>523</v>
      </c>
    </row>
    <row r="41" spans="1:22" ht="12.75" customHeight="1" x14ac:dyDescent="0.15">
      <c r="A41" s="250" t="s">
        <v>508</v>
      </c>
      <c r="B41" s="251" t="s">
        <v>524</v>
      </c>
      <c r="C41" s="252" t="s">
        <v>525</v>
      </c>
      <c r="D41" s="254" t="s">
        <v>107</v>
      </c>
      <c r="E41" s="254" t="s">
        <v>526</v>
      </c>
      <c r="F41" s="253" t="s">
        <v>527</v>
      </c>
      <c r="G41" s="272" t="s">
        <v>528</v>
      </c>
      <c r="H41" s="255"/>
      <c r="I41" s="255"/>
      <c r="J41" s="255"/>
      <c r="K41" s="245">
        <v>3</v>
      </c>
      <c r="L41" s="252" t="str">
        <f t="shared" si="1"/>
        <v>U 21 Hommes</v>
      </c>
      <c r="M41" s="245">
        <v>585</v>
      </c>
      <c r="N41" s="259">
        <v>41232</v>
      </c>
      <c r="O41" s="255"/>
      <c r="P41" s="245">
        <v>2015</v>
      </c>
      <c r="Q41" s="259">
        <v>35620</v>
      </c>
      <c r="R41" s="259"/>
      <c r="S41" s="255" t="s">
        <v>535</v>
      </c>
      <c r="T41" s="268"/>
      <c r="U41" s="262">
        <v>621523810</v>
      </c>
      <c r="V41" s="274" t="s">
        <v>536</v>
      </c>
    </row>
    <row r="42" spans="1:22" ht="12.75" customHeight="1" x14ac:dyDescent="0.15">
      <c r="A42" s="250" t="s">
        <v>508</v>
      </c>
      <c r="B42" s="251" t="s">
        <v>537</v>
      </c>
      <c r="C42" s="252" t="s">
        <v>540</v>
      </c>
      <c r="D42" s="254" t="s">
        <v>107</v>
      </c>
      <c r="E42" s="254" t="s">
        <v>541</v>
      </c>
      <c r="F42" s="253" t="s">
        <v>542</v>
      </c>
      <c r="G42" s="255" t="s">
        <v>544</v>
      </c>
      <c r="H42" s="255"/>
      <c r="I42" s="255"/>
      <c r="J42" s="255"/>
      <c r="K42" s="256">
        <v>12</v>
      </c>
      <c r="L42" s="252" t="str">
        <f t="shared" si="1"/>
        <v>Dames</v>
      </c>
      <c r="M42" s="257" t="s">
        <v>545</v>
      </c>
      <c r="N42" s="259">
        <v>37225</v>
      </c>
      <c r="O42" s="255"/>
      <c r="P42" s="256">
        <v>2014</v>
      </c>
      <c r="Q42" s="259">
        <v>32368</v>
      </c>
      <c r="R42" s="259"/>
      <c r="S42" s="254" t="s">
        <v>548</v>
      </c>
      <c r="T42" s="255"/>
      <c r="U42" s="260" t="s">
        <v>549</v>
      </c>
      <c r="V42" s="263" t="s">
        <v>552</v>
      </c>
    </row>
    <row r="43" spans="1:22" ht="12.75" customHeight="1" x14ac:dyDescent="0.15">
      <c r="A43" s="250" t="s">
        <v>508</v>
      </c>
      <c r="B43" s="251" t="s">
        <v>553</v>
      </c>
      <c r="C43" s="252" t="s">
        <v>554</v>
      </c>
      <c r="D43" s="254" t="s">
        <v>555</v>
      </c>
      <c r="E43" s="277" t="s">
        <v>556</v>
      </c>
      <c r="F43" s="253" t="s">
        <v>557</v>
      </c>
      <c r="G43" s="268" t="s">
        <v>558</v>
      </c>
      <c r="H43" s="255"/>
      <c r="I43" s="255"/>
      <c r="J43" s="255"/>
      <c r="K43" s="256">
        <v>42</v>
      </c>
      <c r="L43" s="252" t="e">
        <f t="shared" si="1"/>
        <v>#N/A</v>
      </c>
      <c r="M43" s="245">
        <v>575</v>
      </c>
      <c r="N43" s="259">
        <v>41186</v>
      </c>
      <c r="O43" s="255"/>
      <c r="P43" s="245">
        <v>2014</v>
      </c>
      <c r="Q43" s="259">
        <v>25360</v>
      </c>
      <c r="R43" s="259"/>
      <c r="S43" s="255"/>
      <c r="T43" s="268"/>
      <c r="U43" s="262">
        <v>621743377</v>
      </c>
      <c r="V43" s="272"/>
    </row>
    <row r="44" spans="1:22" ht="12.75" customHeight="1" x14ac:dyDescent="0.15">
      <c r="A44" s="250" t="s">
        <v>508</v>
      </c>
      <c r="B44" s="251" t="s">
        <v>559</v>
      </c>
      <c r="C44" s="252" t="s">
        <v>560</v>
      </c>
      <c r="D44" s="254" t="s">
        <v>561</v>
      </c>
      <c r="E44" s="254" t="s">
        <v>562</v>
      </c>
      <c r="F44" s="253" t="s">
        <v>563</v>
      </c>
      <c r="G44" s="255" t="s">
        <v>177</v>
      </c>
      <c r="H44" s="255"/>
      <c r="I44" s="255"/>
      <c r="J44" s="255"/>
      <c r="K44" s="256">
        <v>3</v>
      </c>
      <c r="L44" s="252" t="str">
        <f t="shared" si="1"/>
        <v>U 21 Hommes</v>
      </c>
      <c r="M44" s="257"/>
      <c r="N44" s="259"/>
      <c r="O44" s="255"/>
      <c r="P44" s="256"/>
      <c r="Q44" s="259">
        <v>33289</v>
      </c>
      <c r="R44" s="259"/>
      <c r="S44" s="254"/>
      <c r="T44" s="255"/>
      <c r="U44" s="260" t="s">
        <v>564</v>
      </c>
      <c r="V44" s="263" t="s">
        <v>565</v>
      </c>
    </row>
    <row r="45" spans="1:22" ht="12.75" customHeight="1" x14ac:dyDescent="0.15">
      <c r="A45" s="250" t="s">
        <v>508</v>
      </c>
      <c r="B45" s="251" t="s">
        <v>571</v>
      </c>
      <c r="C45" s="252" t="s">
        <v>415</v>
      </c>
      <c r="D45" s="254" t="s">
        <v>107</v>
      </c>
      <c r="E45" s="254" t="s">
        <v>572</v>
      </c>
      <c r="F45" s="253" t="s">
        <v>573</v>
      </c>
      <c r="G45" s="255" t="s">
        <v>241</v>
      </c>
      <c r="H45" s="255"/>
      <c r="I45" s="255"/>
      <c r="J45" s="255"/>
      <c r="K45" s="256">
        <v>2</v>
      </c>
      <c r="L45" s="252" t="str">
        <f t="shared" si="1"/>
        <v>Seniors - Hommes</v>
      </c>
      <c r="M45" s="257" t="s">
        <v>574</v>
      </c>
      <c r="N45" s="259">
        <v>39497</v>
      </c>
      <c r="O45" s="255"/>
      <c r="P45" s="256">
        <v>2016</v>
      </c>
      <c r="Q45" s="259">
        <v>34415</v>
      </c>
      <c r="R45" s="259"/>
      <c r="S45" s="254" t="s">
        <v>575</v>
      </c>
      <c r="T45" s="255"/>
      <c r="U45" s="260" t="s">
        <v>576</v>
      </c>
      <c r="V45" s="263" t="s">
        <v>577</v>
      </c>
    </row>
    <row r="46" spans="1:22" ht="12.75" customHeight="1" x14ac:dyDescent="0.15">
      <c r="A46" s="250" t="s">
        <v>508</v>
      </c>
      <c r="B46" s="251" t="s">
        <v>578</v>
      </c>
      <c r="C46" s="252" t="s">
        <v>579</v>
      </c>
      <c r="D46" s="254" t="s">
        <v>107</v>
      </c>
      <c r="E46" s="254" t="s">
        <v>580</v>
      </c>
      <c r="F46" s="253" t="s">
        <v>581</v>
      </c>
      <c r="G46" s="255" t="s">
        <v>582</v>
      </c>
      <c r="H46" s="255"/>
      <c r="I46" s="255"/>
      <c r="J46" s="255"/>
      <c r="K46" s="256">
        <v>32</v>
      </c>
      <c r="L46" s="252" t="e">
        <f t="shared" si="1"/>
        <v>#N/A</v>
      </c>
      <c r="M46" s="257" t="s">
        <v>584</v>
      </c>
      <c r="N46" s="259">
        <v>40093</v>
      </c>
      <c r="O46" s="255"/>
      <c r="P46" s="256" t="s">
        <v>210</v>
      </c>
      <c r="Q46" s="259">
        <v>32235</v>
      </c>
      <c r="R46" s="259"/>
      <c r="S46" s="254"/>
      <c r="T46" s="255"/>
      <c r="U46" s="260"/>
      <c r="V46" s="263" t="s">
        <v>585</v>
      </c>
    </row>
    <row r="47" spans="1:22" ht="12.75" customHeight="1" x14ac:dyDescent="0.15">
      <c r="A47" s="250" t="s">
        <v>508</v>
      </c>
      <c r="B47" s="251" t="s">
        <v>587</v>
      </c>
      <c r="C47" s="252" t="s">
        <v>588</v>
      </c>
      <c r="D47" s="254" t="s">
        <v>107</v>
      </c>
      <c r="E47" s="254" t="s">
        <v>589</v>
      </c>
      <c r="F47" s="253" t="s">
        <v>590</v>
      </c>
      <c r="G47" s="255" t="s">
        <v>223</v>
      </c>
      <c r="H47" s="255"/>
      <c r="I47" s="255"/>
      <c r="J47" s="255"/>
      <c r="K47" s="256">
        <v>88</v>
      </c>
      <c r="L47" s="252" t="e">
        <f t="shared" si="1"/>
        <v>#N/A</v>
      </c>
      <c r="M47" s="257" t="s">
        <v>595</v>
      </c>
      <c r="N47" s="259">
        <v>37183</v>
      </c>
      <c r="O47" s="255"/>
      <c r="P47" s="256">
        <v>2018</v>
      </c>
      <c r="Q47" s="259">
        <v>33701</v>
      </c>
      <c r="R47" s="259"/>
      <c r="S47" s="254" t="s">
        <v>596</v>
      </c>
      <c r="T47" s="255"/>
      <c r="U47" s="260" t="s">
        <v>597</v>
      </c>
      <c r="V47" s="263" t="str">
        <f>HYPERLINK("mailto:line@didelot.org","line@didelot.org")</f>
        <v>line@didelot.org</v>
      </c>
    </row>
    <row r="48" spans="1:22" ht="12.75" customHeight="1" x14ac:dyDescent="0.15">
      <c r="A48" s="250" t="s">
        <v>508</v>
      </c>
      <c r="B48" s="252" t="s">
        <v>598</v>
      </c>
      <c r="C48" s="252" t="s">
        <v>540</v>
      </c>
      <c r="D48" s="254" t="s">
        <v>430</v>
      </c>
      <c r="E48" s="254" t="s">
        <v>599</v>
      </c>
      <c r="F48" s="253" t="s">
        <v>600</v>
      </c>
      <c r="G48" s="255" t="s">
        <v>582</v>
      </c>
      <c r="H48" s="255"/>
      <c r="I48" s="255"/>
      <c r="J48" s="255"/>
      <c r="K48" s="256">
        <v>12</v>
      </c>
      <c r="L48" s="252" t="str">
        <f t="shared" si="1"/>
        <v>Dames</v>
      </c>
      <c r="M48" s="257" t="s">
        <v>601</v>
      </c>
      <c r="N48" s="259">
        <v>40668</v>
      </c>
      <c r="O48" s="255"/>
      <c r="P48" s="256">
        <v>2018</v>
      </c>
      <c r="Q48" s="259">
        <v>33968</v>
      </c>
      <c r="R48" s="259"/>
      <c r="S48" s="255" t="s">
        <v>602</v>
      </c>
      <c r="T48" s="255"/>
      <c r="U48" s="260" t="s">
        <v>603</v>
      </c>
      <c r="V48" s="278" t="s">
        <v>604</v>
      </c>
    </row>
    <row r="49" spans="1:22" ht="12.75" customHeight="1" x14ac:dyDescent="0.15">
      <c r="A49" s="250" t="s">
        <v>508</v>
      </c>
      <c r="B49" s="251" t="s">
        <v>609</v>
      </c>
      <c r="C49" s="252" t="s">
        <v>610</v>
      </c>
      <c r="D49" s="254" t="s">
        <v>107</v>
      </c>
      <c r="E49" s="254" t="s">
        <v>611</v>
      </c>
      <c r="F49" s="253" t="s">
        <v>612</v>
      </c>
      <c r="G49" s="255" t="s">
        <v>613</v>
      </c>
      <c r="H49" s="255"/>
      <c r="I49" s="255"/>
      <c r="J49" s="255"/>
      <c r="K49" s="256">
        <v>6</v>
      </c>
      <c r="L49" s="252" t="str">
        <f t="shared" si="1"/>
        <v>U 13 Hommes</v>
      </c>
      <c r="M49" s="257" t="s">
        <v>619</v>
      </c>
      <c r="N49" s="259">
        <v>40640</v>
      </c>
      <c r="O49" s="255"/>
      <c r="P49" s="256">
        <v>2017</v>
      </c>
      <c r="Q49" s="259">
        <v>38434</v>
      </c>
      <c r="R49" s="259"/>
      <c r="S49" s="254" t="s">
        <v>620</v>
      </c>
      <c r="T49" s="255"/>
      <c r="U49" s="260" t="s">
        <v>621</v>
      </c>
      <c r="V49" s="261" t="s">
        <v>622</v>
      </c>
    </row>
    <row r="50" spans="1:22" ht="12.75" customHeight="1" x14ac:dyDescent="0.15">
      <c r="A50" s="250" t="s">
        <v>508</v>
      </c>
      <c r="B50" s="251" t="s">
        <v>609</v>
      </c>
      <c r="C50" s="252" t="s">
        <v>623</v>
      </c>
      <c r="D50" s="254" t="s">
        <v>107</v>
      </c>
      <c r="E50" s="254" t="s">
        <v>611</v>
      </c>
      <c r="F50" s="253" t="s">
        <v>612</v>
      </c>
      <c r="G50" s="255" t="s">
        <v>613</v>
      </c>
      <c r="H50" s="255"/>
      <c r="I50" s="255"/>
      <c r="J50" s="255"/>
      <c r="K50" s="256">
        <v>7</v>
      </c>
      <c r="L50" s="252" t="str">
        <f t="shared" si="1"/>
        <v>U 11 Hommes</v>
      </c>
      <c r="M50" s="257" t="s">
        <v>624</v>
      </c>
      <c r="N50" s="259">
        <v>40638</v>
      </c>
      <c r="O50" s="255"/>
      <c r="P50" s="256">
        <v>2018</v>
      </c>
      <c r="Q50" s="259">
        <v>38909</v>
      </c>
      <c r="R50" s="259"/>
      <c r="S50" s="254" t="s">
        <v>620</v>
      </c>
      <c r="T50" s="255"/>
      <c r="U50" s="260" t="s">
        <v>621</v>
      </c>
      <c r="V50" s="261" t="s">
        <v>622</v>
      </c>
    </row>
    <row r="51" spans="1:22" ht="12.75" customHeight="1" x14ac:dyDescent="0.15">
      <c r="A51" s="250" t="s">
        <v>508</v>
      </c>
      <c r="B51" s="251" t="s">
        <v>625</v>
      </c>
      <c r="C51" s="252" t="s">
        <v>626</v>
      </c>
      <c r="D51" s="254" t="s">
        <v>107</v>
      </c>
      <c r="E51" s="254" t="s">
        <v>627</v>
      </c>
      <c r="F51" s="253" t="s">
        <v>628</v>
      </c>
      <c r="G51" s="255" t="s">
        <v>629</v>
      </c>
      <c r="H51" s="255"/>
      <c r="I51" s="255"/>
      <c r="J51" s="255"/>
      <c r="K51" s="256">
        <v>4</v>
      </c>
      <c r="L51" s="252" t="str">
        <f t="shared" si="1"/>
        <v>U 17 Hommes</v>
      </c>
      <c r="M51" s="257" t="s">
        <v>632</v>
      </c>
      <c r="N51" s="259">
        <v>40151</v>
      </c>
      <c r="O51" s="255"/>
      <c r="P51" s="256">
        <v>2014</v>
      </c>
      <c r="Q51" s="259">
        <v>36434</v>
      </c>
      <c r="R51" s="259"/>
      <c r="S51" s="254" t="s">
        <v>634</v>
      </c>
      <c r="T51" s="255" t="s">
        <v>635</v>
      </c>
      <c r="U51" s="260" t="s">
        <v>636</v>
      </c>
      <c r="V51" s="261" t="s">
        <v>637</v>
      </c>
    </row>
    <row r="52" spans="1:22" ht="12.75" customHeight="1" x14ac:dyDescent="0.15">
      <c r="A52" s="250" t="s">
        <v>508</v>
      </c>
      <c r="B52" s="271" t="s">
        <v>638</v>
      </c>
      <c r="C52" s="252" t="s">
        <v>639</v>
      </c>
      <c r="D52" s="254" t="s">
        <v>107</v>
      </c>
      <c r="E52" s="255" t="s">
        <v>640</v>
      </c>
      <c r="F52" s="253" t="s">
        <v>293</v>
      </c>
      <c r="G52" s="255" t="s">
        <v>294</v>
      </c>
      <c r="H52" s="255"/>
      <c r="I52" s="255"/>
      <c r="J52" s="255"/>
      <c r="K52" s="256">
        <v>3</v>
      </c>
      <c r="L52" s="252" t="str">
        <f t="shared" si="1"/>
        <v>U 21 Hommes</v>
      </c>
      <c r="M52" s="257" t="s">
        <v>641</v>
      </c>
      <c r="N52" s="259" t="s">
        <v>642</v>
      </c>
      <c r="O52" s="255"/>
      <c r="P52" s="256">
        <v>2016</v>
      </c>
      <c r="Q52" s="259">
        <v>34952</v>
      </c>
      <c r="R52" s="259"/>
      <c r="S52" s="254" t="s">
        <v>645</v>
      </c>
      <c r="T52" s="255"/>
      <c r="U52" s="260" t="s">
        <v>646</v>
      </c>
      <c r="V52" s="263" t="str">
        <f>HYPERLINK("mailto:fafrisch@pt.lu","fafrisch@pt.lu")</f>
        <v>fafrisch@pt.lu</v>
      </c>
    </row>
    <row r="53" spans="1:22" ht="12.75" customHeight="1" x14ac:dyDescent="0.15">
      <c r="A53" s="250" t="s">
        <v>508</v>
      </c>
      <c r="B53" s="251" t="s">
        <v>652</v>
      </c>
      <c r="C53" s="252" t="s">
        <v>654</v>
      </c>
      <c r="D53" s="254" t="s">
        <v>263</v>
      </c>
      <c r="E53" s="254" t="s">
        <v>655</v>
      </c>
      <c r="F53" s="253" t="s">
        <v>656</v>
      </c>
      <c r="G53" s="255" t="s">
        <v>241</v>
      </c>
      <c r="H53" s="255"/>
      <c r="I53" s="255"/>
      <c r="J53" s="255"/>
      <c r="K53" s="256">
        <v>4</v>
      </c>
      <c r="L53" s="252" t="str">
        <f t="shared" si="1"/>
        <v>U 17 Hommes</v>
      </c>
      <c r="M53" s="257" t="s">
        <v>672</v>
      </c>
      <c r="N53" s="259">
        <v>41922</v>
      </c>
      <c r="O53" s="255"/>
      <c r="P53" s="256">
        <v>2015</v>
      </c>
      <c r="Q53" s="259">
        <v>36543</v>
      </c>
      <c r="R53" s="259"/>
      <c r="S53" s="254" t="s">
        <v>673</v>
      </c>
      <c r="T53" s="255"/>
      <c r="U53" s="260" t="s">
        <v>674</v>
      </c>
      <c r="V53" s="263" t="s">
        <v>675</v>
      </c>
    </row>
    <row r="54" spans="1:22" ht="12.75" customHeight="1" x14ac:dyDescent="0.15">
      <c r="A54" s="250" t="s">
        <v>508</v>
      </c>
      <c r="B54" s="251" t="s">
        <v>680</v>
      </c>
      <c r="C54" s="252" t="s">
        <v>681</v>
      </c>
      <c r="D54" s="254" t="s">
        <v>107</v>
      </c>
      <c r="E54" s="254" t="s">
        <v>682</v>
      </c>
      <c r="F54" s="253" t="s">
        <v>683</v>
      </c>
      <c r="G54" s="255" t="s">
        <v>241</v>
      </c>
      <c r="H54" s="255"/>
      <c r="I54" s="255"/>
      <c r="J54" s="255"/>
      <c r="K54" s="256">
        <v>88</v>
      </c>
      <c r="L54" s="252" t="e">
        <f t="shared" si="1"/>
        <v>#N/A</v>
      </c>
      <c r="M54" s="257" t="s">
        <v>693</v>
      </c>
      <c r="N54" s="259">
        <v>34684</v>
      </c>
      <c r="O54" s="255"/>
      <c r="P54" s="256">
        <v>2018</v>
      </c>
      <c r="Q54" s="259">
        <v>30453</v>
      </c>
      <c r="R54" s="259"/>
      <c r="S54" s="254" t="s">
        <v>695</v>
      </c>
      <c r="T54" s="255" t="s">
        <v>252</v>
      </c>
      <c r="U54" s="260"/>
      <c r="V54" s="263" t="str">
        <f>HYPERLINK("mailto:tom.haas@gmx.lu","tom.haas@gmx.lu")</f>
        <v>tom.haas@gmx.lu</v>
      </c>
    </row>
    <row r="55" spans="1:22" ht="12.75" customHeight="1" x14ac:dyDescent="0.15">
      <c r="A55" s="250" t="s">
        <v>508</v>
      </c>
      <c r="B55" s="251" t="s">
        <v>335</v>
      </c>
      <c r="C55" s="252" t="s">
        <v>280</v>
      </c>
      <c r="D55" s="254" t="s">
        <v>107</v>
      </c>
      <c r="E55" s="254" t="s">
        <v>337</v>
      </c>
      <c r="F55" s="253" t="s">
        <v>338</v>
      </c>
      <c r="G55" s="255" t="s">
        <v>215</v>
      </c>
      <c r="H55" s="255"/>
      <c r="I55" s="255"/>
      <c r="J55" s="255"/>
      <c r="K55" s="256">
        <v>3</v>
      </c>
      <c r="L55" s="252" t="str">
        <f t="shared" si="1"/>
        <v>U 21 Hommes</v>
      </c>
      <c r="M55" s="257" t="s">
        <v>722</v>
      </c>
      <c r="N55" s="259">
        <v>39429</v>
      </c>
      <c r="O55" s="255"/>
      <c r="P55" s="256">
        <v>2017</v>
      </c>
      <c r="Q55" s="259">
        <v>34938</v>
      </c>
      <c r="R55" s="259"/>
      <c r="S55" s="254" t="s">
        <v>340</v>
      </c>
      <c r="T55" s="255"/>
      <c r="U55" s="260" t="s">
        <v>724</v>
      </c>
      <c r="V55" s="261" t="s">
        <v>342</v>
      </c>
    </row>
    <row r="56" spans="1:22" ht="12.75" customHeight="1" x14ac:dyDescent="0.15">
      <c r="A56" s="250" t="s">
        <v>508</v>
      </c>
      <c r="B56" s="251" t="s">
        <v>335</v>
      </c>
      <c r="C56" s="252" t="s">
        <v>438</v>
      </c>
      <c r="D56" s="254" t="s">
        <v>107</v>
      </c>
      <c r="E56" s="254" t="s">
        <v>337</v>
      </c>
      <c r="F56" s="253" t="s">
        <v>338</v>
      </c>
      <c r="G56" s="255" t="s">
        <v>215</v>
      </c>
      <c r="H56" s="255"/>
      <c r="I56" s="255"/>
      <c r="J56" s="255"/>
      <c r="K56" s="256">
        <v>3</v>
      </c>
      <c r="L56" s="252" t="str">
        <f t="shared" si="1"/>
        <v>U 21 Hommes</v>
      </c>
      <c r="M56" s="257" t="s">
        <v>762</v>
      </c>
      <c r="N56" s="259">
        <v>39429</v>
      </c>
      <c r="O56" s="255"/>
      <c r="P56" s="256">
        <v>2015</v>
      </c>
      <c r="Q56" s="259">
        <v>35576</v>
      </c>
      <c r="R56" s="259"/>
      <c r="S56" s="254" t="s">
        <v>340</v>
      </c>
      <c r="T56" s="255"/>
      <c r="U56" s="260" t="s">
        <v>341</v>
      </c>
      <c r="V56" s="261" t="s">
        <v>342</v>
      </c>
    </row>
    <row r="57" spans="1:22" ht="12.75" customHeight="1" x14ac:dyDescent="0.15">
      <c r="A57" s="250" t="s">
        <v>508</v>
      </c>
      <c r="B57" s="251" t="s">
        <v>766</v>
      </c>
      <c r="C57" s="252" t="s">
        <v>768</v>
      </c>
      <c r="D57" s="254" t="s">
        <v>310</v>
      </c>
      <c r="E57" s="254" t="s">
        <v>771</v>
      </c>
      <c r="F57" s="253" t="s">
        <v>773</v>
      </c>
      <c r="G57" s="255" t="s">
        <v>774</v>
      </c>
      <c r="H57" s="255"/>
      <c r="I57" s="255"/>
      <c r="J57" s="255"/>
      <c r="K57" s="256">
        <v>12</v>
      </c>
      <c r="L57" s="252" t="str">
        <f t="shared" si="1"/>
        <v>Dames</v>
      </c>
      <c r="M57" s="257" t="s">
        <v>782</v>
      </c>
      <c r="N57" s="259">
        <v>36473</v>
      </c>
      <c r="O57" s="255"/>
      <c r="P57" s="256">
        <v>2013</v>
      </c>
      <c r="Q57" s="259">
        <v>33293</v>
      </c>
      <c r="R57" s="259"/>
      <c r="S57" s="254" t="s">
        <v>783</v>
      </c>
      <c r="T57" s="255" t="s">
        <v>784</v>
      </c>
      <c r="U57" s="260" t="s">
        <v>785</v>
      </c>
      <c r="V57" s="263" t="str">
        <f>HYPERLINK("mailto:cha-cha37@hotmail.com","cha-cha37@hotmail.com")</f>
        <v>cha-cha37@hotmail.com</v>
      </c>
    </row>
    <row r="58" spans="1:22" ht="12.75" customHeight="1" x14ac:dyDescent="0.15">
      <c r="A58" s="250" t="s">
        <v>508</v>
      </c>
      <c r="B58" s="251" t="s">
        <v>343</v>
      </c>
      <c r="C58" s="252" t="s">
        <v>795</v>
      </c>
      <c r="D58" s="254" t="s">
        <v>107</v>
      </c>
      <c r="E58" s="254" t="s">
        <v>346</v>
      </c>
      <c r="F58" s="253" t="s">
        <v>256</v>
      </c>
      <c r="G58" s="255" t="s">
        <v>257</v>
      </c>
      <c r="H58" s="255"/>
      <c r="I58" s="255"/>
      <c r="J58" s="255"/>
      <c r="K58" s="256">
        <v>16</v>
      </c>
      <c r="L58" s="252" t="str">
        <f t="shared" si="1"/>
        <v>U15 Dames</v>
      </c>
      <c r="M58" s="257"/>
      <c r="N58" s="259"/>
      <c r="O58" s="255"/>
      <c r="P58" s="256">
        <v>2014</v>
      </c>
      <c r="Q58" s="259">
        <v>37337</v>
      </c>
      <c r="R58" s="259"/>
      <c r="S58" s="254"/>
      <c r="T58" s="255"/>
      <c r="U58" s="260" t="s">
        <v>797</v>
      </c>
      <c r="V58" s="270" t="s">
        <v>350</v>
      </c>
    </row>
    <row r="59" spans="1:22" ht="12.75" customHeight="1" x14ac:dyDescent="0.15">
      <c r="A59" s="250" t="s">
        <v>508</v>
      </c>
      <c r="B59" s="251" t="s">
        <v>798</v>
      </c>
      <c r="C59" s="252" t="s">
        <v>654</v>
      </c>
      <c r="D59" s="254" t="s">
        <v>107</v>
      </c>
      <c r="E59" s="254" t="s">
        <v>799</v>
      </c>
      <c r="F59" s="253" t="s">
        <v>338</v>
      </c>
      <c r="G59" s="255" t="s">
        <v>800</v>
      </c>
      <c r="H59" s="255"/>
      <c r="I59" s="255"/>
      <c r="J59" s="255"/>
      <c r="K59" s="256">
        <v>3</v>
      </c>
      <c r="L59" s="252" t="str">
        <f t="shared" si="1"/>
        <v>U 21 Hommes</v>
      </c>
      <c r="M59" s="257" t="s">
        <v>802</v>
      </c>
      <c r="N59" s="259">
        <v>40490</v>
      </c>
      <c r="O59" s="255"/>
      <c r="P59" s="256">
        <v>2014</v>
      </c>
      <c r="Q59" s="259">
        <v>35384</v>
      </c>
      <c r="R59" s="259"/>
      <c r="S59" s="254" t="s">
        <v>803</v>
      </c>
      <c r="T59" s="255"/>
      <c r="U59" s="260" t="s">
        <v>804</v>
      </c>
      <c r="V59" s="261" t="s">
        <v>805</v>
      </c>
    </row>
    <row r="60" spans="1:22" ht="12.75" customHeight="1" x14ac:dyDescent="0.15">
      <c r="A60" s="250" t="s">
        <v>508</v>
      </c>
      <c r="B60" s="251" t="s">
        <v>806</v>
      </c>
      <c r="C60" s="252" t="s">
        <v>807</v>
      </c>
      <c r="D60" s="254" t="s">
        <v>445</v>
      </c>
      <c r="E60" s="254" t="s">
        <v>808</v>
      </c>
      <c r="F60" s="253" t="s">
        <v>809</v>
      </c>
      <c r="G60" s="255" t="s">
        <v>177</v>
      </c>
      <c r="H60" s="255"/>
      <c r="I60" s="255"/>
      <c r="J60" s="255"/>
      <c r="K60" s="256">
        <v>2</v>
      </c>
      <c r="L60" s="252" t="str">
        <f t="shared" si="1"/>
        <v>Seniors - Hommes</v>
      </c>
      <c r="M60" s="257" t="s">
        <v>813</v>
      </c>
      <c r="N60" s="259">
        <v>40459</v>
      </c>
      <c r="O60" s="255"/>
      <c r="P60" s="256">
        <v>2016</v>
      </c>
      <c r="Q60" s="259">
        <v>29857</v>
      </c>
      <c r="R60" s="259"/>
      <c r="S60" s="254" t="s">
        <v>252</v>
      </c>
      <c r="T60" s="255"/>
      <c r="U60" s="262">
        <v>691959058</v>
      </c>
      <c r="V60" s="279" t="s">
        <v>814</v>
      </c>
    </row>
    <row r="61" spans="1:22" ht="12.75" customHeight="1" x14ac:dyDescent="0.15">
      <c r="A61" s="250" t="s">
        <v>508</v>
      </c>
      <c r="B61" s="251" t="s">
        <v>815</v>
      </c>
      <c r="C61" s="252" t="s">
        <v>816</v>
      </c>
      <c r="D61" s="254" t="s">
        <v>817</v>
      </c>
      <c r="E61" s="254" t="s">
        <v>818</v>
      </c>
      <c r="F61" s="253" t="s">
        <v>819</v>
      </c>
      <c r="G61" s="255" t="s">
        <v>820</v>
      </c>
      <c r="H61" s="255"/>
      <c r="I61" s="255"/>
      <c r="J61" s="255"/>
      <c r="K61" s="256">
        <v>41</v>
      </c>
      <c r="L61" s="252" t="e">
        <f t="shared" si="1"/>
        <v>#N/A</v>
      </c>
      <c r="M61" s="257" t="s">
        <v>823</v>
      </c>
      <c r="N61" s="259">
        <v>41940</v>
      </c>
      <c r="O61" s="255"/>
      <c r="P61" s="256">
        <v>2017</v>
      </c>
      <c r="Q61" s="259">
        <v>28190</v>
      </c>
      <c r="R61" s="259"/>
      <c r="S61" s="254"/>
      <c r="T61" s="255"/>
      <c r="U61" s="260" t="s">
        <v>826</v>
      </c>
      <c r="V61" s="263" t="s">
        <v>828</v>
      </c>
    </row>
    <row r="62" spans="1:22" ht="12.75" customHeight="1" x14ac:dyDescent="0.15">
      <c r="A62" s="250" t="s">
        <v>508</v>
      </c>
      <c r="B62" s="251" t="s">
        <v>839</v>
      </c>
      <c r="C62" s="252" t="s">
        <v>336</v>
      </c>
      <c r="D62" s="254" t="s">
        <v>107</v>
      </c>
      <c r="E62" s="254" t="s">
        <v>841</v>
      </c>
      <c r="F62" s="253" t="s">
        <v>842</v>
      </c>
      <c r="G62" s="255" t="s">
        <v>844</v>
      </c>
      <c r="H62" s="255"/>
      <c r="I62" s="255"/>
      <c r="J62" s="255"/>
      <c r="K62" s="256">
        <v>32</v>
      </c>
      <c r="L62" s="252" t="e">
        <f t="shared" si="1"/>
        <v>#N/A</v>
      </c>
      <c r="M62" s="257" t="s">
        <v>858</v>
      </c>
      <c r="N62" s="259">
        <v>40486</v>
      </c>
      <c r="O62" s="255"/>
      <c r="P62" s="256" t="s">
        <v>210</v>
      </c>
      <c r="Q62" s="259">
        <v>33719</v>
      </c>
      <c r="R62" s="259"/>
      <c r="S62" s="254" t="s">
        <v>859</v>
      </c>
      <c r="T62" s="255"/>
      <c r="U62" s="260" t="s">
        <v>860</v>
      </c>
      <c r="V62" s="261"/>
    </row>
    <row r="63" spans="1:22" ht="12.75" customHeight="1" x14ac:dyDescent="0.15">
      <c r="A63" s="250" t="s">
        <v>508</v>
      </c>
      <c r="B63" s="251" t="s">
        <v>356</v>
      </c>
      <c r="C63" s="252" t="s">
        <v>861</v>
      </c>
      <c r="D63" s="254" t="s">
        <v>107</v>
      </c>
      <c r="E63" s="254" t="s">
        <v>862</v>
      </c>
      <c r="F63" s="253" t="s">
        <v>359</v>
      </c>
      <c r="G63" s="255" t="s">
        <v>360</v>
      </c>
      <c r="H63" s="255"/>
      <c r="I63" s="255"/>
      <c r="J63" s="255"/>
      <c r="K63" s="256">
        <v>12</v>
      </c>
      <c r="L63" s="252" t="str">
        <f t="shared" si="1"/>
        <v>Dames</v>
      </c>
      <c r="M63" s="257" t="s">
        <v>875</v>
      </c>
      <c r="N63" s="259">
        <v>33276</v>
      </c>
      <c r="O63" s="255"/>
      <c r="P63" s="256">
        <v>2015</v>
      </c>
      <c r="Q63" s="259">
        <v>31120</v>
      </c>
      <c r="R63" s="259"/>
      <c r="S63" s="254" t="s">
        <v>876</v>
      </c>
      <c r="T63" s="255"/>
      <c r="U63" s="260" t="s">
        <v>878</v>
      </c>
      <c r="V63" s="261"/>
    </row>
    <row r="64" spans="1:22" ht="12.75" customHeight="1" x14ac:dyDescent="0.15">
      <c r="A64" s="250" t="s">
        <v>508</v>
      </c>
      <c r="B64" s="251" t="s">
        <v>882</v>
      </c>
      <c r="C64" s="252" t="s">
        <v>884</v>
      </c>
      <c r="D64" s="254" t="s">
        <v>107</v>
      </c>
      <c r="E64" s="254" t="s">
        <v>886</v>
      </c>
      <c r="F64" s="253" t="s">
        <v>887</v>
      </c>
      <c r="G64" s="255" t="s">
        <v>834</v>
      </c>
      <c r="H64" s="255"/>
      <c r="I64" s="255"/>
      <c r="J64" s="255"/>
      <c r="K64" s="256">
        <v>12</v>
      </c>
      <c r="L64" s="252" t="str">
        <f t="shared" si="1"/>
        <v>Dames</v>
      </c>
      <c r="M64" s="257" t="s">
        <v>904</v>
      </c>
      <c r="N64" s="259">
        <v>40745</v>
      </c>
      <c r="O64" s="255"/>
      <c r="P64" s="256">
        <v>2016</v>
      </c>
      <c r="Q64" s="259">
        <v>33166</v>
      </c>
      <c r="R64" s="259"/>
      <c r="S64" s="254" t="s">
        <v>906</v>
      </c>
      <c r="T64" s="255" t="s">
        <v>252</v>
      </c>
      <c r="U64" s="260" t="s">
        <v>909</v>
      </c>
      <c r="V64" s="261" t="s">
        <v>911</v>
      </c>
    </row>
    <row r="65" spans="1:22" ht="12.75" customHeight="1" x14ac:dyDescent="0.15">
      <c r="A65" s="250" t="s">
        <v>508</v>
      </c>
      <c r="B65" s="251" t="s">
        <v>914</v>
      </c>
      <c r="C65" s="252" t="s">
        <v>916</v>
      </c>
      <c r="D65" s="254" t="s">
        <v>107</v>
      </c>
      <c r="E65" s="254" t="s">
        <v>918</v>
      </c>
      <c r="F65" s="253" t="s">
        <v>919</v>
      </c>
      <c r="G65" s="255" t="s">
        <v>922</v>
      </c>
      <c r="H65" s="255"/>
      <c r="I65" s="255"/>
      <c r="J65" s="255"/>
      <c r="K65" s="256">
        <v>12</v>
      </c>
      <c r="L65" s="252" t="str">
        <f t="shared" si="1"/>
        <v>Dames</v>
      </c>
      <c r="M65" s="257" t="s">
        <v>928</v>
      </c>
      <c r="N65" s="259">
        <v>39855</v>
      </c>
      <c r="O65" s="255"/>
      <c r="P65" s="256">
        <v>2015</v>
      </c>
      <c r="Q65" s="259">
        <v>31180</v>
      </c>
      <c r="R65" s="259"/>
      <c r="S65" s="254" t="s">
        <v>930</v>
      </c>
      <c r="T65" s="255"/>
      <c r="U65" s="260" t="s">
        <v>931</v>
      </c>
      <c r="V65" s="263" t="str">
        <f>HYPERLINK("mailto:leisen.j@gmail.com","leisen.j@gmail.com")</f>
        <v>leisen.j@gmail.com</v>
      </c>
    </row>
    <row r="66" spans="1:22" ht="12.75" customHeight="1" x14ac:dyDescent="0.15">
      <c r="A66" s="250" t="s">
        <v>508</v>
      </c>
      <c r="B66" s="251" t="s">
        <v>947</v>
      </c>
      <c r="C66" s="252" t="s">
        <v>949</v>
      </c>
      <c r="D66" s="254" t="s">
        <v>107</v>
      </c>
      <c r="E66" s="254" t="s">
        <v>950</v>
      </c>
      <c r="F66" s="253" t="s">
        <v>273</v>
      </c>
      <c r="G66" s="255" t="s">
        <v>274</v>
      </c>
      <c r="H66" s="255"/>
      <c r="I66" s="255"/>
      <c r="J66" s="255"/>
      <c r="K66" s="256">
        <v>2</v>
      </c>
      <c r="L66" s="252" t="str">
        <f t="shared" si="1"/>
        <v>Seniors - Hommes</v>
      </c>
      <c r="M66" s="257" t="s">
        <v>955</v>
      </c>
      <c r="N66" s="259">
        <v>35697</v>
      </c>
      <c r="O66" s="255"/>
      <c r="P66" s="256">
        <v>2016</v>
      </c>
      <c r="Q66" s="259">
        <v>31500</v>
      </c>
      <c r="R66" s="259"/>
      <c r="S66" s="254" t="s">
        <v>957</v>
      </c>
      <c r="T66" s="255" t="s">
        <v>252</v>
      </c>
      <c r="U66" s="260" t="s">
        <v>958</v>
      </c>
      <c r="V66" s="263" t="s">
        <v>959</v>
      </c>
    </row>
    <row r="67" spans="1:22" ht="12.75" customHeight="1" x14ac:dyDescent="0.15">
      <c r="A67" s="250" t="s">
        <v>508</v>
      </c>
      <c r="B67" s="264" t="s">
        <v>970</v>
      </c>
      <c r="C67" s="264" t="s">
        <v>991</v>
      </c>
      <c r="D67" s="265" t="s">
        <v>107</v>
      </c>
      <c r="E67" s="277" t="s">
        <v>997</v>
      </c>
      <c r="F67" s="280" t="s">
        <v>1000</v>
      </c>
      <c r="G67" s="268" t="s">
        <v>1010</v>
      </c>
      <c r="H67" s="255"/>
      <c r="I67" s="255"/>
      <c r="J67" s="255"/>
      <c r="K67" s="275">
        <v>2</v>
      </c>
      <c r="L67" s="264" t="s">
        <v>251</v>
      </c>
      <c r="M67" s="275">
        <v>572</v>
      </c>
      <c r="N67" s="269">
        <v>41145</v>
      </c>
      <c r="O67" s="255"/>
      <c r="P67" s="275">
        <v>2017</v>
      </c>
      <c r="Q67" s="269">
        <v>32134</v>
      </c>
      <c r="R67" s="269"/>
      <c r="S67" s="268"/>
      <c r="T67" s="268"/>
      <c r="U67" s="281">
        <v>691478335</v>
      </c>
      <c r="V67" s="282" t="s">
        <v>1033</v>
      </c>
    </row>
    <row r="68" spans="1:22" ht="12.75" customHeight="1" x14ac:dyDescent="0.15">
      <c r="A68" s="250" t="s">
        <v>508</v>
      </c>
      <c r="B68" s="251" t="s">
        <v>1053</v>
      </c>
      <c r="C68" s="252" t="s">
        <v>1055</v>
      </c>
      <c r="D68" s="254" t="s">
        <v>1056</v>
      </c>
      <c r="E68" s="254" t="s">
        <v>1057</v>
      </c>
      <c r="F68" s="253" t="s">
        <v>1058</v>
      </c>
      <c r="G68" s="255" t="s">
        <v>266</v>
      </c>
      <c r="H68" s="255"/>
      <c r="I68" s="255"/>
      <c r="J68" s="255"/>
      <c r="K68" s="256">
        <v>41</v>
      </c>
      <c r="L68" s="252" t="e">
        <f>VLOOKUP(K68,CAT_JOUEUR,2,FALSE)</f>
        <v>#N/A</v>
      </c>
      <c r="M68" s="257" t="s">
        <v>1082</v>
      </c>
      <c r="N68" s="259">
        <v>41135</v>
      </c>
      <c r="O68" s="255"/>
      <c r="P68" s="256">
        <v>2015</v>
      </c>
      <c r="Q68" s="259">
        <v>29447</v>
      </c>
      <c r="R68" s="259"/>
      <c r="S68" s="254" t="s">
        <v>1085</v>
      </c>
      <c r="T68" s="255"/>
      <c r="U68" s="260" t="s">
        <v>1086</v>
      </c>
      <c r="V68" s="261" t="s">
        <v>1087</v>
      </c>
    </row>
    <row r="69" spans="1:22" ht="12.75" customHeight="1" x14ac:dyDescent="0.15">
      <c r="A69" s="250" t="s">
        <v>508</v>
      </c>
      <c r="B69" s="251" t="s">
        <v>1088</v>
      </c>
      <c r="C69" s="252" t="s">
        <v>132</v>
      </c>
      <c r="D69" s="254" t="s">
        <v>107</v>
      </c>
      <c r="E69" s="254" t="s">
        <v>1090</v>
      </c>
      <c r="F69" s="253" t="s">
        <v>925</v>
      </c>
      <c r="G69" s="255" t="s">
        <v>135</v>
      </c>
      <c r="H69" s="255"/>
      <c r="I69" s="255"/>
      <c r="J69" s="255"/>
      <c r="K69" s="256">
        <v>12</v>
      </c>
      <c r="L69" s="252" t="str">
        <f>VLOOKUP(K69,CAT_JOUEUR,2,FALSE)</f>
        <v>Dames</v>
      </c>
      <c r="M69" s="257" t="s">
        <v>1101</v>
      </c>
      <c r="N69" s="259">
        <v>38674</v>
      </c>
      <c r="O69" s="255"/>
      <c r="P69" s="256">
        <v>2018</v>
      </c>
      <c r="Q69" s="259">
        <v>35114</v>
      </c>
      <c r="R69" s="259"/>
      <c r="S69" s="254" t="s">
        <v>1104</v>
      </c>
      <c r="T69" s="255"/>
      <c r="U69" s="260" t="s">
        <v>1105</v>
      </c>
      <c r="V69" s="261" t="s">
        <v>1106</v>
      </c>
    </row>
    <row r="70" spans="1:22" ht="12.75" customHeight="1" x14ac:dyDescent="0.15">
      <c r="A70" s="250" t="s">
        <v>508</v>
      </c>
      <c r="B70" s="264" t="s">
        <v>1107</v>
      </c>
      <c r="C70" s="264" t="s">
        <v>861</v>
      </c>
      <c r="D70" s="265" t="s">
        <v>107</v>
      </c>
      <c r="E70" s="277" t="s">
        <v>1121</v>
      </c>
      <c r="F70" s="280" t="s">
        <v>1123</v>
      </c>
      <c r="G70" s="268" t="s">
        <v>1127</v>
      </c>
      <c r="H70" s="255"/>
      <c r="I70" s="255"/>
      <c r="J70" s="255"/>
      <c r="K70" s="275">
        <v>12</v>
      </c>
      <c r="L70" s="264" t="s">
        <v>1132</v>
      </c>
      <c r="M70" s="275">
        <v>565</v>
      </c>
      <c r="N70" s="269">
        <v>41019</v>
      </c>
      <c r="O70" s="255"/>
      <c r="P70" s="275">
        <v>2016</v>
      </c>
      <c r="Q70" s="269">
        <v>34433</v>
      </c>
      <c r="R70" s="269"/>
      <c r="S70" s="266" t="s">
        <v>1148</v>
      </c>
      <c r="T70" s="266"/>
      <c r="U70" s="281">
        <v>621256788</v>
      </c>
      <c r="V70" s="280" t="s">
        <v>1152</v>
      </c>
    </row>
    <row r="71" spans="1:22" ht="12.75" customHeight="1" x14ac:dyDescent="0.15">
      <c r="A71" s="250" t="s">
        <v>508</v>
      </c>
      <c r="B71" s="251" t="s">
        <v>1154</v>
      </c>
      <c r="C71" s="252" t="s">
        <v>740</v>
      </c>
      <c r="D71" s="254" t="s">
        <v>107</v>
      </c>
      <c r="E71" s="277" t="s">
        <v>1155</v>
      </c>
      <c r="F71" s="253" t="s">
        <v>1156</v>
      </c>
      <c r="G71" s="268" t="s">
        <v>241</v>
      </c>
      <c r="H71" s="255"/>
      <c r="I71" s="255"/>
      <c r="J71" s="255"/>
      <c r="K71" s="245">
        <v>14</v>
      </c>
      <c r="L71" s="252" t="str">
        <f>VLOOKUP(K71,CAT_JOUEUR,2,FALSE)</f>
        <v>U 17 Dames</v>
      </c>
      <c r="M71" s="245">
        <v>590</v>
      </c>
      <c r="N71" s="259">
        <v>41303</v>
      </c>
      <c r="O71" s="255"/>
      <c r="P71" s="245">
        <v>2015</v>
      </c>
      <c r="Q71" s="259">
        <v>36656</v>
      </c>
      <c r="R71" s="259"/>
      <c r="S71" s="255" t="s">
        <v>1163</v>
      </c>
      <c r="T71" s="268"/>
      <c r="U71" s="254"/>
      <c r="V71" s="274" t="s">
        <v>1164</v>
      </c>
    </row>
    <row r="72" spans="1:22" ht="12.75" customHeight="1" x14ac:dyDescent="0.15">
      <c r="A72" s="250" t="s">
        <v>508</v>
      </c>
      <c r="B72" s="251" t="s">
        <v>1165</v>
      </c>
      <c r="C72" s="252" t="s">
        <v>1166</v>
      </c>
      <c r="D72" s="254" t="s">
        <v>107</v>
      </c>
      <c r="E72" s="277" t="s">
        <v>1167</v>
      </c>
      <c r="F72" s="253" t="s">
        <v>868</v>
      </c>
      <c r="G72" s="268" t="s">
        <v>869</v>
      </c>
      <c r="H72" s="255"/>
      <c r="I72" s="255"/>
      <c r="J72" s="255"/>
      <c r="K72" s="245">
        <v>12</v>
      </c>
      <c r="L72" s="252" t="str">
        <f>VLOOKUP(K72,CAT_JOUEUR,2,FALSE)</f>
        <v>Dames</v>
      </c>
      <c r="M72" s="245">
        <v>593</v>
      </c>
      <c r="N72" s="259">
        <v>41358</v>
      </c>
      <c r="O72" s="255"/>
      <c r="P72" s="245">
        <v>2014</v>
      </c>
      <c r="Q72" s="259">
        <v>32248</v>
      </c>
      <c r="R72" s="259"/>
      <c r="S72" s="255" t="s">
        <v>1169</v>
      </c>
      <c r="T72" s="268"/>
      <c r="U72" s="262">
        <v>691113638</v>
      </c>
      <c r="V72" s="270" t="s">
        <v>1172</v>
      </c>
    </row>
    <row r="73" spans="1:22" ht="12.75" customHeight="1" x14ac:dyDescent="0.15">
      <c r="A73" s="250" t="s">
        <v>508</v>
      </c>
      <c r="B73" s="251" t="s">
        <v>1108</v>
      </c>
      <c r="C73" s="252" t="s">
        <v>1113</v>
      </c>
      <c r="D73" s="254" t="s">
        <v>107</v>
      </c>
      <c r="E73" s="254" t="s">
        <v>1177</v>
      </c>
      <c r="F73" s="253" t="s">
        <v>1178</v>
      </c>
      <c r="G73" s="255" t="s">
        <v>1179</v>
      </c>
      <c r="H73" s="255"/>
      <c r="I73" s="255"/>
      <c r="J73" s="255"/>
      <c r="K73" s="256">
        <v>32</v>
      </c>
      <c r="L73" s="252" t="e">
        <f>VLOOKUP(K73,CAT_JOUEUR,2,FALSE)</f>
        <v>#N/A</v>
      </c>
      <c r="M73" s="257" t="s">
        <v>1187</v>
      </c>
      <c r="N73" s="259">
        <v>40442</v>
      </c>
      <c r="O73" s="255"/>
      <c r="P73" s="256" t="s">
        <v>210</v>
      </c>
      <c r="Q73" s="259">
        <v>33644</v>
      </c>
      <c r="R73" s="259"/>
      <c r="S73" s="254"/>
      <c r="T73" s="255"/>
      <c r="U73" s="260" t="s">
        <v>1189</v>
      </c>
      <c r="V73" s="261" t="s">
        <v>1190</v>
      </c>
    </row>
    <row r="74" spans="1:22" ht="12.75" customHeight="1" x14ac:dyDescent="0.15">
      <c r="A74" s="250" t="s">
        <v>508</v>
      </c>
      <c r="B74" s="251" t="s">
        <v>1191</v>
      </c>
      <c r="C74" s="252" t="s">
        <v>1192</v>
      </c>
      <c r="D74" s="244" t="s">
        <v>263</v>
      </c>
      <c r="E74" s="244" t="s">
        <v>1193</v>
      </c>
      <c r="F74" s="245" t="s">
        <v>110</v>
      </c>
      <c r="G74" s="252" t="s">
        <v>111</v>
      </c>
      <c r="H74" s="255"/>
      <c r="I74" s="255"/>
      <c r="J74" s="255"/>
      <c r="K74" s="256">
        <v>2</v>
      </c>
      <c r="L74" s="252" t="str">
        <f>VLOOKUP(K74,CAT_JOUEUR,2,FALSE)</f>
        <v>Seniors - Hommes</v>
      </c>
      <c r="M74" s="257" t="s">
        <v>1198</v>
      </c>
      <c r="N74" s="283">
        <v>37217</v>
      </c>
      <c r="O74" s="255"/>
      <c r="P74" s="256">
        <v>2012</v>
      </c>
      <c r="Q74" s="283">
        <v>33137</v>
      </c>
      <c r="R74" s="283"/>
      <c r="S74" s="244" t="s">
        <v>1200</v>
      </c>
      <c r="T74" s="252"/>
      <c r="U74" s="284" t="s">
        <v>1201</v>
      </c>
      <c r="V74" s="249"/>
    </row>
    <row r="75" spans="1:22" ht="12.75" customHeight="1" x14ac:dyDescent="0.15">
      <c r="A75" s="250" t="s">
        <v>508</v>
      </c>
      <c r="B75" s="251" t="s">
        <v>1202</v>
      </c>
      <c r="C75" s="252" t="s">
        <v>1203</v>
      </c>
      <c r="D75" s="254" t="s">
        <v>107</v>
      </c>
      <c r="E75" s="254" t="s">
        <v>1204</v>
      </c>
      <c r="F75" s="253" t="s">
        <v>134</v>
      </c>
      <c r="G75" s="255" t="s">
        <v>135</v>
      </c>
      <c r="H75" s="255"/>
      <c r="I75" s="255"/>
      <c r="J75" s="255"/>
      <c r="K75" s="256">
        <v>3</v>
      </c>
      <c r="L75" s="252" t="str">
        <f>VLOOKUP(K75,CAT_JOUEUR,2,FALSE)</f>
        <v>U 21 Hommes</v>
      </c>
      <c r="M75" s="257" t="s">
        <v>1205</v>
      </c>
      <c r="N75" s="259">
        <v>38632</v>
      </c>
      <c r="O75" s="255"/>
      <c r="P75" s="256">
        <v>2017</v>
      </c>
      <c r="Q75" s="259">
        <v>34868</v>
      </c>
      <c r="R75" s="259"/>
      <c r="S75" s="254" t="s">
        <v>1206</v>
      </c>
      <c r="T75" s="255"/>
      <c r="U75" s="260" t="s">
        <v>1207</v>
      </c>
      <c r="V75" s="261" t="s">
        <v>1208</v>
      </c>
    </row>
    <row r="76" spans="1:22" ht="12.75" customHeight="1" x14ac:dyDescent="0.15">
      <c r="A76" s="250" t="s">
        <v>1209</v>
      </c>
      <c r="B76" s="285" t="s">
        <v>1210</v>
      </c>
      <c r="C76" s="285" t="s">
        <v>960</v>
      </c>
      <c r="D76" s="286" t="s">
        <v>107</v>
      </c>
      <c r="E76" s="286" t="s">
        <v>1215</v>
      </c>
      <c r="F76" s="287" t="s">
        <v>471</v>
      </c>
      <c r="G76" s="288" t="s">
        <v>135</v>
      </c>
      <c r="H76" s="289" t="s">
        <v>1216</v>
      </c>
      <c r="I76" s="289">
        <v>981</v>
      </c>
      <c r="J76" s="285" t="s">
        <v>1217</v>
      </c>
      <c r="K76" s="289">
        <v>2</v>
      </c>
      <c r="L76" s="285" t="s">
        <v>29</v>
      </c>
      <c r="M76" s="289">
        <v>645</v>
      </c>
      <c r="N76" s="255"/>
      <c r="O76" s="255"/>
      <c r="P76" s="255"/>
      <c r="Q76" s="290">
        <v>30832</v>
      </c>
      <c r="R76" s="290"/>
      <c r="S76" s="255"/>
      <c r="T76" s="255"/>
      <c r="U76" s="255"/>
      <c r="V76" s="291" t="s">
        <v>1218</v>
      </c>
    </row>
    <row r="77" spans="1:22" ht="12.75" customHeight="1" x14ac:dyDescent="0.15">
      <c r="A77" s="250" t="s">
        <v>1209</v>
      </c>
      <c r="B77" s="285" t="s">
        <v>1219</v>
      </c>
      <c r="C77" s="285" t="s">
        <v>1220</v>
      </c>
      <c r="D77" s="286" t="s">
        <v>107</v>
      </c>
      <c r="E77" s="292" t="s">
        <v>1221</v>
      </c>
      <c r="F77" s="287" t="s">
        <v>1225</v>
      </c>
      <c r="G77" s="293" t="s">
        <v>528</v>
      </c>
      <c r="H77" s="289" t="s">
        <v>1216</v>
      </c>
      <c r="I77" s="289">
        <v>981</v>
      </c>
      <c r="J77" s="285" t="s">
        <v>1217</v>
      </c>
      <c r="K77" s="289">
        <v>2</v>
      </c>
      <c r="L77" s="285" t="s">
        <v>29</v>
      </c>
      <c r="M77" s="294">
        <v>584</v>
      </c>
      <c r="N77" s="255"/>
      <c r="O77" s="255"/>
      <c r="P77" s="255"/>
      <c r="Q77" s="290">
        <v>34824</v>
      </c>
      <c r="R77" s="290"/>
      <c r="S77" s="255"/>
      <c r="T77" s="255"/>
      <c r="U77" s="255"/>
      <c r="V77" s="295" t="s">
        <v>1227</v>
      </c>
    </row>
    <row r="78" spans="1:22" ht="12.75" customHeight="1" x14ac:dyDescent="0.15">
      <c r="A78" s="250" t="s">
        <v>1209</v>
      </c>
      <c r="B78" s="285" t="s">
        <v>1232</v>
      </c>
      <c r="C78" s="285" t="s">
        <v>1233</v>
      </c>
      <c r="D78" s="286" t="s">
        <v>107</v>
      </c>
      <c r="E78" s="286" t="s">
        <v>1234</v>
      </c>
      <c r="F78" s="287" t="s">
        <v>1235</v>
      </c>
      <c r="G78" s="288" t="s">
        <v>223</v>
      </c>
      <c r="H78" s="289" t="s">
        <v>1216</v>
      </c>
      <c r="I78" s="289">
        <v>981</v>
      </c>
      <c r="J78" s="285" t="s">
        <v>1217</v>
      </c>
      <c r="K78" s="289">
        <v>19</v>
      </c>
      <c r="L78" s="285" t="s">
        <v>102</v>
      </c>
      <c r="M78" s="289">
        <v>461</v>
      </c>
      <c r="N78" s="255"/>
      <c r="O78" s="255"/>
      <c r="P78" s="255"/>
      <c r="Q78" s="290">
        <v>24248</v>
      </c>
      <c r="R78" s="290"/>
      <c r="S78" s="255"/>
      <c r="T78" s="255"/>
      <c r="U78" s="255"/>
      <c r="V78" s="296" t="s">
        <v>1236</v>
      </c>
    </row>
    <row r="79" spans="1:22" ht="12.75" customHeight="1" x14ac:dyDescent="0.15">
      <c r="A79" s="250" t="s">
        <v>1209</v>
      </c>
      <c r="B79" s="285" t="s">
        <v>1237</v>
      </c>
      <c r="C79" s="285" t="s">
        <v>1238</v>
      </c>
      <c r="D79" s="286" t="s">
        <v>1239</v>
      </c>
      <c r="E79" s="286" t="s">
        <v>1240</v>
      </c>
      <c r="F79" s="287" t="s">
        <v>716</v>
      </c>
      <c r="G79" s="288" t="s">
        <v>717</v>
      </c>
      <c r="H79" s="289" t="s">
        <v>1216</v>
      </c>
      <c r="I79" s="289">
        <v>981</v>
      </c>
      <c r="J79" s="285" t="s">
        <v>1217</v>
      </c>
      <c r="K79" s="289">
        <v>19</v>
      </c>
      <c r="L79" s="285" t="s">
        <v>102</v>
      </c>
      <c r="M79" s="289">
        <v>401</v>
      </c>
      <c r="N79" s="255"/>
      <c r="O79" s="255"/>
      <c r="P79" s="255"/>
      <c r="Q79" s="290">
        <v>26679</v>
      </c>
      <c r="R79" s="290"/>
      <c r="S79" s="255"/>
      <c r="T79" s="255"/>
      <c r="U79" s="255"/>
      <c r="V79" s="296"/>
    </row>
    <row r="80" spans="1:22" ht="12.75" customHeight="1" x14ac:dyDescent="0.15">
      <c r="A80" s="250" t="s">
        <v>1209</v>
      </c>
      <c r="B80" s="285" t="s">
        <v>680</v>
      </c>
      <c r="C80" s="285" t="s">
        <v>681</v>
      </c>
      <c r="D80" s="286" t="s">
        <v>107</v>
      </c>
      <c r="E80" s="286" t="s">
        <v>682</v>
      </c>
      <c r="F80" s="287" t="s">
        <v>683</v>
      </c>
      <c r="G80" s="288" t="s">
        <v>241</v>
      </c>
      <c r="H80" s="289" t="s">
        <v>1216</v>
      </c>
      <c r="I80" s="289">
        <v>981</v>
      </c>
      <c r="J80" s="285" t="s">
        <v>1217</v>
      </c>
      <c r="K80" s="289">
        <v>2</v>
      </c>
      <c r="L80" s="285" t="s">
        <v>29</v>
      </c>
      <c r="M80" s="294"/>
      <c r="N80" s="255"/>
      <c r="O80" s="255"/>
      <c r="P80" s="255"/>
      <c r="Q80" s="290">
        <v>30453</v>
      </c>
      <c r="R80" s="290"/>
      <c r="S80" s="255"/>
      <c r="T80" s="255"/>
      <c r="U80" s="255"/>
      <c r="V80" s="291" t="s">
        <v>1241</v>
      </c>
    </row>
    <row r="81" spans="1:22" ht="12.75" customHeight="1" x14ac:dyDescent="0.15">
      <c r="A81" s="250" t="s">
        <v>1209</v>
      </c>
      <c r="B81" s="297" t="s">
        <v>356</v>
      </c>
      <c r="C81" s="297" t="s">
        <v>1242</v>
      </c>
      <c r="D81" s="286" t="s">
        <v>107</v>
      </c>
      <c r="E81" s="292" t="s">
        <v>1243</v>
      </c>
      <c r="F81" s="298" t="s">
        <v>273</v>
      </c>
      <c r="G81" s="293" t="s">
        <v>1244</v>
      </c>
      <c r="H81" s="289" t="s">
        <v>1216</v>
      </c>
      <c r="I81" s="289">
        <v>981</v>
      </c>
      <c r="J81" s="285" t="s">
        <v>1217</v>
      </c>
      <c r="K81" s="289">
        <v>2</v>
      </c>
      <c r="L81" s="285" t="s">
        <v>29</v>
      </c>
      <c r="M81" s="299">
        <v>558</v>
      </c>
      <c r="N81" s="255"/>
      <c r="O81" s="255"/>
      <c r="P81" s="255"/>
      <c r="Q81" s="290">
        <v>31050</v>
      </c>
      <c r="R81" s="290"/>
      <c r="S81" s="255"/>
      <c r="T81" s="255"/>
      <c r="U81" s="255"/>
      <c r="V81" s="286"/>
    </row>
    <row r="82" spans="1:22" ht="12.75" customHeight="1" x14ac:dyDescent="0.15">
      <c r="A82" s="250" t="s">
        <v>1209</v>
      </c>
      <c r="B82" s="285" t="s">
        <v>1246</v>
      </c>
      <c r="C82" s="285" t="s">
        <v>1247</v>
      </c>
      <c r="D82" s="286" t="s">
        <v>263</v>
      </c>
      <c r="E82" s="286" t="s">
        <v>1249</v>
      </c>
      <c r="F82" s="287" t="s">
        <v>855</v>
      </c>
      <c r="G82" s="288" t="s">
        <v>241</v>
      </c>
      <c r="H82" s="289" t="s">
        <v>1216</v>
      </c>
      <c r="I82" s="289">
        <v>981</v>
      </c>
      <c r="J82" s="285" t="s">
        <v>1217</v>
      </c>
      <c r="K82" s="289">
        <v>2</v>
      </c>
      <c r="L82" s="285" t="s">
        <v>29</v>
      </c>
      <c r="M82" s="289">
        <v>60</v>
      </c>
      <c r="N82" s="255"/>
      <c r="O82" s="255"/>
      <c r="P82" s="255"/>
      <c r="Q82" s="290">
        <v>33214</v>
      </c>
      <c r="R82" s="290"/>
      <c r="S82" s="255"/>
      <c r="T82" s="255"/>
      <c r="U82" s="255"/>
      <c r="V82" s="296"/>
    </row>
    <row r="83" spans="1:22" ht="12.75" customHeight="1" x14ac:dyDescent="0.15">
      <c r="A83" s="250" t="s">
        <v>1209</v>
      </c>
      <c r="B83" s="297" t="s">
        <v>1250</v>
      </c>
      <c r="C83" s="297" t="s">
        <v>1251</v>
      </c>
      <c r="D83" s="286" t="s">
        <v>107</v>
      </c>
      <c r="E83" s="292" t="s">
        <v>1252</v>
      </c>
      <c r="F83" s="298" t="s">
        <v>1253</v>
      </c>
      <c r="G83" s="293" t="s">
        <v>1254</v>
      </c>
      <c r="H83" s="289" t="s">
        <v>1216</v>
      </c>
      <c r="I83" s="289">
        <v>991</v>
      </c>
      <c r="J83" s="285" t="s">
        <v>193</v>
      </c>
      <c r="K83" s="289">
        <v>19</v>
      </c>
      <c r="L83" s="285" t="s">
        <v>102</v>
      </c>
      <c r="M83" s="299">
        <v>570</v>
      </c>
      <c r="N83" s="255"/>
      <c r="O83" s="255"/>
      <c r="P83" s="255"/>
      <c r="Q83" s="290">
        <v>28726</v>
      </c>
      <c r="R83" s="290"/>
      <c r="S83" s="255"/>
      <c r="T83" s="255"/>
      <c r="U83" s="255"/>
      <c r="V83" s="286" t="s">
        <v>1255</v>
      </c>
    </row>
    <row r="84" spans="1:22" ht="12.75" customHeight="1" x14ac:dyDescent="0.15">
      <c r="A84" s="250" t="s">
        <v>1209</v>
      </c>
      <c r="B84" s="285" t="s">
        <v>947</v>
      </c>
      <c r="C84" s="285" t="s">
        <v>949</v>
      </c>
      <c r="D84" s="286" t="s">
        <v>107</v>
      </c>
      <c r="E84" s="286" t="s">
        <v>580</v>
      </c>
      <c r="F84" s="287" t="s">
        <v>581</v>
      </c>
      <c r="G84" s="288" t="s">
        <v>582</v>
      </c>
      <c r="H84" s="289" t="s">
        <v>1216</v>
      </c>
      <c r="I84" s="289">
        <v>981</v>
      </c>
      <c r="J84" s="285" t="s">
        <v>1217</v>
      </c>
      <c r="K84" s="289">
        <v>2</v>
      </c>
      <c r="L84" s="285" t="s">
        <v>29</v>
      </c>
      <c r="M84" s="294"/>
      <c r="N84" s="255"/>
      <c r="O84" s="255"/>
      <c r="P84" s="255"/>
      <c r="Q84" s="290">
        <v>31500</v>
      </c>
      <c r="R84" s="290"/>
      <c r="S84" s="255"/>
      <c r="T84" s="255"/>
      <c r="U84" s="255"/>
      <c r="V84" s="291" t="s">
        <v>959</v>
      </c>
    </row>
    <row r="85" spans="1:22" ht="12.75" customHeight="1" x14ac:dyDescent="0.15">
      <c r="A85" s="250" t="s">
        <v>1209</v>
      </c>
      <c r="B85" s="285" t="s">
        <v>1256</v>
      </c>
      <c r="C85" s="285" t="s">
        <v>1257</v>
      </c>
      <c r="D85" s="286" t="s">
        <v>107</v>
      </c>
      <c r="E85" s="286" t="s">
        <v>1258</v>
      </c>
      <c r="F85" s="287" t="s">
        <v>925</v>
      </c>
      <c r="G85" s="288" t="s">
        <v>135</v>
      </c>
      <c r="H85" s="289" t="s">
        <v>1216</v>
      </c>
      <c r="I85" s="289">
        <v>981</v>
      </c>
      <c r="J85" s="285" t="s">
        <v>1217</v>
      </c>
      <c r="K85" s="289">
        <v>19</v>
      </c>
      <c r="L85" s="285" t="s">
        <v>102</v>
      </c>
      <c r="M85" s="289">
        <v>1</v>
      </c>
      <c r="N85" s="255"/>
      <c r="O85" s="255"/>
      <c r="P85" s="255"/>
      <c r="Q85" s="290">
        <v>25681</v>
      </c>
      <c r="R85" s="290"/>
      <c r="S85" s="255"/>
      <c r="T85" s="255"/>
      <c r="U85" s="255"/>
      <c r="V85" s="296"/>
    </row>
    <row r="86" spans="1:22" ht="12.75" customHeight="1" x14ac:dyDescent="0.15">
      <c r="A86" s="250" t="s">
        <v>1209</v>
      </c>
      <c r="B86" s="285" t="s">
        <v>1259</v>
      </c>
      <c r="C86" s="285" t="s">
        <v>854</v>
      </c>
      <c r="D86" s="286" t="s">
        <v>107</v>
      </c>
      <c r="E86" s="286" t="s">
        <v>1260</v>
      </c>
      <c r="F86" s="287" t="s">
        <v>504</v>
      </c>
      <c r="G86" s="288" t="s">
        <v>274</v>
      </c>
      <c r="H86" s="289" t="s">
        <v>1216</v>
      </c>
      <c r="I86" s="289">
        <v>981</v>
      </c>
      <c r="J86" s="285" t="s">
        <v>1217</v>
      </c>
      <c r="K86" s="289">
        <v>3</v>
      </c>
      <c r="L86" s="285" t="s">
        <v>1261</v>
      </c>
      <c r="M86" s="289">
        <v>612</v>
      </c>
      <c r="N86" s="255"/>
      <c r="O86" s="255"/>
      <c r="P86" s="255"/>
      <c r="Q86" s="290">
        <v>35179</v>
      </c>
      <c r="R86" s="290"/>
      <c r="S86" s="255"/>
      <c r="T86" s="255"/>
      <c r="U86" s="255"/>
      <c r="V86" s="295" t="s">
        <v>1262</v>
      </c>
    </row>
    <row r="87" spans="1:22" ht="12.75" customHeight="1" x14ac:dyDescent="0.15">
      <c r="A87" s="250" t="s">
        <v>1209</v>
      </c>
      <c r="B87" s="297" t="s">
        <v>970</v>
      </c>
      <c r="C87" s="297" t="s">
        <v>678</v>
      </c>
      <c r="D87" s="293" t="s">
        <v>107</v>
      </c>
      <c r="E87" s="286" t="s">
        <v>1263</v>
      </c>
      <c r="F87" s="300" t="s">
        <v>1264</v>
      </c>
      <c r="G87" s="301" t="s">
        <v>1267</v>
      </c>
      <c r="H87" s="289" t="s">
        <v>1216</v>
      </c>
      <c r="I87" s="289">
        <v>998</v>
      </c>
      <c r="J87" s="285" t="s">
        <v>1269</v>
      </c>
      <c r="K87" s="289">
        <v>2</v>
      </c>
      <c r="L87" s="285" t="s">
        <v>29</v>
      </c>
      <c r="M87" s="299">
        <v>619</v>
      </c>
      <c r="N87" s="255"/>
      <c r="O87" s="255"/>
      <c r="P87" s="255"/>
      <c r="Q87" s="302">
        <v>32134</v>
      </c>
      <c r="R87" s="302"/>
      <c r="S87" s="255"/>
      <c r="T87" s="255"/>
      <c r="U87" s="255"/>
      <c r="V87" s="295" t="s">
        <v>1270</v>
      </c>
    </row>
    <row r="88" spans="1:22" ht="12.75" customHeight="1" x14ac:dyDescent="0.15">
      <c r="A88" s="250" t="s">
        <v>1209</v>
      </c>
      <c r="B88" s="285" t="s">
        <v>1271</v>
      </c>
      <c r="C88" s="285" t="s">
        <v>1272</v>
      </c>
      <c r="D88" s="286" t="s">
        <v>107</v>
      </c>
      <c r="E88" s="292" t="s">
        <v>1273</v>
      </c>
      <c r="F88" s="287" t="s">
        <v>273</v>
      </c>
      <c r="G88" s="293" t="s">
        <v>274</v>
      </c>
      <c r="H88" s="289" t="s">
        <v>1216</v>
      </c>
      <c r="I88" s="289">
        <v>981</v>
      </c>
      <c r="J88" s="285" t="s">
        <v>1217</v>
      </c>
      <c r="K88" s="289">
        <v>19</v>
      </c>
      <c r="L88" s="285" t="s">
        <v>102</v>
      </c>
      <c r="M88" s="294">
        <v>581</v>
      </c>
      <c r="N88" s="255"/>
      <c r="O88" s="255"/>
      <c r="P88" s="255"/>
      <c r="Q88" s="290">
        <v>29801</v>
      </c>
      <c r="R88" s="290"/>
      <c r="S88" s="255"/>
      <c r="T88" s="255"/>
      <c r="U88" s="255"/>
      <c r="V88" s="286"/>
    </row>
    <row r="89" spans="1:22" ht="12.75" customHeight="1" x14ac:dyDescent="0.15">
      <c r="A89" s="250" t="s">
        <v>1209</v>
      </c>
      <c r="B89" s="285" t="s">
        <v>1274</v>
      </c>
      <c r="C89" s="285" t="s">
        <v>1275</v>
      </c>
      <c r="D89" s="286" t="s">
        <v>263</v>
      </c>
      <c r="E89" s="286" t="s">
        <v>408</v>
      </c>
      <c r="F89" s="287" t="s">
        <v>716</v>
      </c>
      <c r="G89" s="288" t="s">
        <v>717</v>
      </c>
      <c r="H89" s="289" t="s">
        <v>1216</v>
      </c>
      <c r="I89" s="289">
        <v>991</v>
      </c>
      <c r="J89" s="285" t="s">
        <v>193</v>
      </c>
      <c r="K89" s="289">
        <v>2</v>
      </c>
      <c r="L89" s="285" t="s">
        <v>29</v>
      </c>
      <c r="M89" s="289">
        <v>606</v>
      </c>
      <c r="N89" s="255"/>
      <c r="O89" s="255"/>
      <c r="P89" s="255"/>
      <c r="Q89" s="290">
        <v>34687</v>
      </c>
      <c r="R89" s="290"/>
      <c r="S89" s="255"/>
      <c r="T89" s="255"/>
      <c r="U89" s="255"/>
      <c r="V89" s="291" t="s">
        <v>1276</v>
      </c>
    </row>
    <row r="90" spans="1:22" ht="12.75" customHeight="1" x14ac:dyDescent="0.15">
      <c r="A90" s="250" t="s">
        <v>1209</v>
      </c>
      <c r="B90" s="285" t="s">
        <v>1277</v>
      </c>
      <c r="C90" s="285" t="s">
        <v>1137</v>
      </c>
      <c r="D90" s="286" t="s">
        <v>107</v>
      </c>
      <c r="E90" s="286" t="s">
        <v>1278</v>
      </c>
      <c r="F90" s="287" t="s">
        <v>134</v>
      </c>
      <c r="G90" s="288" t="s">
        <v>135</v>
      </c>
      <c r="H90" s="289" t="s">
        <v>1216</v>
      </c>
      <c r="I90" s="289">
        <v>981</v>
      </c>
      <c r="J90" s="285" t="s">
        <v>1217</v>
      </c>
      <c r="K90" s="289">
        <v>2</v>
      </c>
      <c r="L90" s="285" t="s">
        <v>29</v>
      </c>
      <c r="M90" s="289">
        <v>427</v>
      </c>
      <c r="N90" s="255"/>
      <c r="O90" s="255"/>
      <c r="P90" s="255"/>
      <c r="Q90" s="290">
        <v>34177</v>
      </c>
      <c r="R90" s="290"/>
      <c r="S90" s="255"/>
      <c r="T90" s="255"/>
      <c r="U90" s="255"/>
      <c r="V90" s="295" t="s">
        <v>1279</v>
      </c>
    </row>
    <row r="91" spans="1:22" ht="12.75" customHeight="1" x14ac:dyDescent="0.15">
      <c r="A91" s="250" t="s">
        <v>1209</v>
      </c>
      <c r="B91" s="285" t="s">
        <v>1280</v>
      </c>
      <c r="C91" s="285" t="s">
        <v>1281</v>
      </c>
      <c r="D91" s="286" t="s">
        <v>263</v>
      </c>
      <c r="E91" s="286" t="s">
        <v>1282</v>
      </c>
      <c r="F91" s="287" t="s">
        <v>1283</v>
      </c>
      <c r="G91" s="288" t="s">
        <v>1284</v>
      </c>
      <c r="H91" s="289" t="s">
        <v>1216</v>
      </c>
      <c r="I91" s="289">
        <v>981</v>
      </c>
      <c r="J91" s="285" t="s">
        <v>1217</v>
      </c>
      <c r="K91" s="289">
        <v>19</v>
      </c>
      <c r="L91" s="285" t="s">
        <v>102</v>
      </c>
      <c r="M91" s="289">
        <v>633</v>
      </c>
      <c r="N91" s="255"/>
      <c r="O91" s="255"/>
      <c r="P91" s="255"/>
      <c r="Q91" s="290">
        <v>29348</v>
      </c>
      <c r="R91" s="290"/>
      <c r="S91" s="255"/>
      <c r="T91" s="255"/>
      <c r="U91" s="255"/>
      <c r="V91" s="291" t="s">
        <v>1286</v>
      </c>
    </row>
    <row r="92" spans="1:22" ht="12.75" customHeight="1" x14ac:dyDescent="0.15">
      <c r="A92" s="250" t="s">
        <v>1209</v>
      </c>
      <c r="B92" s="285" t="s">
        <v>1288</v>
      </c>
      <c r="C92" s="285" t="s">
        <v>1192</v>
      </c>
      <c r="D92" s="286"/>
      <c r="E92" s="286"/>
      <c r="F92" s="287"/>
      <c r="G92" s="288"/>
      <c r="H92" s="294"/>
      <c r="I92" s="289">
        <v>981</v>
      </c>
      <c r="J92" s="285" t="s">
        <v>1217</v>
      </c>
      <c r="K92" s="289">
        <v>2</v>
      </c>
      <c r="L92" s="285" t="s">
        <v>29</v>
      </c>
      <c r="M92" s="303"/>
      <c r="N92" s="255"/>
      <c r="O92" s="255"/>
      <c r="P92" s="255"/>
      <c r="Q92" s="290"/>
      <c r="R92" s="290"/>
      <c r="S92" s="255"/>
      <c r="T92" s="255"/>
      <c r="U92" s="255"/>
      <c r="V92" s="288"/>
    </row>
    <row r="93" spans="1:22" ht="12.75" customHeight="1" x14ac:dyDescent="0.15">
      <c r="A93" s="250" t="s">
        <v>1209</v>
      </c>
      <c r="B93" s="285" t="s">
        <v>1289</v>
      </c>
      <c r="C93" s="285" t="s">
        <v>1212</v>
      </c>
      <c r="D93" s="286" t="s">
        <v>107</v>
      </c>
      <c r="E93" s="286" t="s">
        <v>1290</v>
      </c>
      <c r="F93" s="287" t="s">
        <v>750</v>
      </c>
      <c r="G93" s="288" t="s">
        <v>241</v>
      </c>
      <c r="H93" s="289" t="s">
        <v>1216</v>
      </c>
      <c r="I93" s="289">
        <v>981</v>
      </c>
      <c r="J93" s="285" t="s">
        <v>1217</v>
      </c>
      <c r="K93" s="289">
        <v>3</v>
      </c>
      <c r="L93" s="285" t="s">
        <v>1261</v>
      </c>
      <c r="M93" s="289">
        <v>658</v>
      </c>
      <c r="N93" s="255"/>
      <c r="O93" s="255"/>
      <c r="P93" s="255"/>
      <c r="Q93" s="290">
        <v>35869</v>
      </c>
      <c r="R93" s="290"/>
      <c r="S93" s="255"/>
      <c r="T93" s="255"/>
      <c r="U93" s="255"/>
      <c r="V93" s="291" t="s">
        <v>1291</v>
      </c>
    </row>
    <row r="94" spans="1:22" ht="13.5" customHeight="1" x14ac:dyDescent="0.15">
      <c r="A94" s="250" t="s">
        <v>1292</v>
      </c>
      <c r="B94" s="252" t="s">
        <v>1293</v>
      </c>
      <c r="C94" s="252" t="s">
        <v>1294</v>
      </c>
      <c r="D94" s="254" t="s">
        <v>263</v>
      </c>
      <c r="E94" s="254" t="s">
        <v>1295</v>
      </c>
      <c r="F94" s="253" t="s">
        <v>750</v>
      </c>
      <c r="G94" s="255" t="s">
        <v>241</v>
      </c>
      <c r="H94" s="245" t="s">
        <v>1216</v>
      </c>
      <c r="I94" s="245">
        <v>994</v>
      </c>
      <c r="J94" s="255" t="str">
        <f t="shared" ref="J94:J119" si="2">VLOOKUP(I94,CAT_JOUEUR,2,FALSE)</f>
        <v>supprimer memberslist</v>
      </c>
      <c r="K94" s="245">
        <v>12</v>
      </c>
      <c r="L94" s="255" t="str">
        <f t="shared" ref="L94:L125" si="3">VLOOKUP(K94,CAT_JOUEUR,2,FALSE)</f>
        <v>Dames</v>
      </c>
      <c r="M94" s="245">
        <v>57</v>
      </c>
      <c r="N94" s="259">
        <v>39707</v>
      </c>
      <c r="O94" s="259">
        <v>39707</v>
      </c>
      <c r="P94" s="256">
        <v>2016</v>
      </c>
      <c r="Q94" s="259">
        <v>35874</v>
      </c>
      <c r="R94" s="259"/>
      <c r="S94" s="254" t="s">
        <v>1303</v>
      </c>
      <c r="T94" s="254"/>
      <c r="U94" s="273"/>
      <c r="V94" s="273"/>
    </row>
    <row r="95" spans="1:22" ht="13.5" customHeight="1" x14ac:dyDescent="0.15">
      <c r="A95" s="250" t="s">
        <v>1292</v>
      </c>
      <c r="B95" s="252" t="s">
        <v>1304</v>
      </c>
      <c r="C95" s="252" t="s">
        <v>1305</v>
      </c>
      <c r="D95" s="255" t="s">
        <v>107</v>
      </c>
      <c r="E95" s="254" t="s">
        <v>1306</v>
      </c>
      <c r="F95" s="253" t="s">
        <v>1306</v>
      </c>
      <c r="G95" s="255" t="s">
        <v>1307</v>
      </c>
      <c r="H95" s="245" t="s">
        <v>1216</v>
      </c>
      <c r="I95" s="245">
        <v>991</v>
      </c>
      <c r="J95" s="255" t="str">
        <f t="shared" si="2"/>
        <v>supprimer licence et memberslist</v>
      </c>
      <c r="K95" s="245">
        <v>12</v>
      </c>
      <c r="L95" s="255" t="str">
        <f t="shared" si="3"/>
        <v>Dames</v>
      </c>
      <c r="M95" s="245">
        <v>629</v>
      </c>
      <c r="N95" s="259">
        <v>41922</v>
      </c>
      <c r="O95" s="259">
        <v>41922</v>
      </c>
      <c r="P95" s="256">
        <v>2018</v>
      </c>
      <c r="Q95" s="259">
        <v>32309</v>
      </c>
      <c r="R95" s="259"/>
      <c r="S95" s="254"/>
      <c r="T95" s="254"/>
      <c r="U95" s="273" t="s">
        <v>1308</v>
      </c>
      <c r="V95" s="304" t="s">
        <v>1309</v>
      </c>
    </row>
    <row r="96" spans="1:22" ht="13.5" customHeight="1" x14ac:dyDescent="0.15">
      <c r="A96" s="250" t="s">
        <v>1292</v>
      </c>
      <c r="B96" s="252" t="s">
        <v>1312</v>
      </c>
      <c r="C96" s="252" t="s">
        <v>1313</v>
      </c>
      <c r="D96" s="254" t="s">
        <v>107</v>
      </c>
      <c r="E96" s="254" t="s">
        <v>1314</v>
      </c>
      <c r="F96" s="253" t="s">
        <v>1315</v>
      </c>
      <c r="G96" s="255" t="s">
        <v>1316</v>
      </c>
      <c r="H96" s="245" t="s">
        <v>1317</v>
      </c>
      <c r="I96" s="245">
        <v>991</v>
      </c>
      <c r="J96" s="255" t="str">
        <f t="shared" si="2"/>
        <v>supprimer licence et memberslist</v>
      </c>
      <c r="K96" s="245">
        <v>12</v>
      </c>
      <c r="L96" s="255" t="str">
        <f t="shared" si="3"/>
        <v>Dames</v>
      </c>
      <c r="M96" s="245">
        <v>416</v>
      </c>
      <c r="N96" s="259">
        <v>38245</v>
      </c>
      <c r="O96" s="259">
        <v>38245</v>
      </c>
      <c r="P96" s="256">
        <v>2019</v>
      </c>
      <c r="Q96" s="259">
        <v>35532</v>
      </c>
      <c r="R96" s="259"/>
      <c r="S96" s="254" t="s">
        <v>1319</v>
      </c>
      <c r="T96" s="254"/>
      <c r="U96" s="273" t="s">
        <v>1321</v>
      </c>
      <c r="V96" s="273"/>
    </row>
    <row r="97" spans="1:22" ht="13.5" customHeight="1" x14ac:dyDescent="0.15">
      <c r="A97" s="250" t="s">
        <v>1292</v>
      </c>
      <c r="B97" s="252" t="s">
        <v>1324</v>
      </c>
      <c r="C97" s="252" t="s">
        <v>1325</v>
      </c>
      <c r="D97" s="254" t="s">
        <v>1326</v>
      </c>
      <c r="E97" s="254" t="s">
        <v>1327</v>
      </c>
      <c r="F97" s="253" t="s">
        <v>1328</v>
      </c>
      <c r="G97" s="255" t="s">
        <v>215</v>
      </c>
      <c r="H97" s="245" t="s">
        <v>1329</v>
      </c>
      <c r="I97" s="245">
        <v>991</v>
      </c>
      <c r="J97" s="255" t="str">
        <f t="shared" si="2"/>
        <v>supprimer licence et memberslist</v>
      </c>
      <c r="K97" s="245">
        <v>9</v>
      </c>
      <c r="L97" s="255" t="str">
        <f t="shared" si="3"/>
        <v>Vétérans - Hommes</v>
      </c>
      <c r="M97" s="245">
        <v>488</v>
      </c>
      <c r="N97" s="259">
        <v>40539</v>
      </c>
      <c r="O97" s="259">
        <v>40539</v>
      </c>
      <c r="P97" s="256">
        <v>2014</v>
      </c>
      <c r="Q97" s="259">
        <v>25543</v>
      </c>
      <c r="R97" s="259"/>
      <c r="S97" s="254" t="s">
        <v>1330</v>
      </c>
      <c r="T97" s="254" t="s">
        <v>252</v>
      </c>
      <c r="U97" s="273" t="s">
        <v>1331</v>
      </c>
      <c r="V97" s="273" t="s">
        <v>1332</v>
      </c>
    </row>
    <row r="98" spans="1:22" ht="13.5" customHeight="1" x14ac:dyDescent="0.15">
      <c r="A98" s="250" t="s">
        <v>1292</v>
      </c>
      <c r="B98" s="252" t="s">
        <v>1333</v>
      </c>
      <c r="C98" s="252" t="s">
        <v>1334</v>
      </c>
      <c r="D98" s="254" t="s">
        <v>107</v>
      </c>
      <c r="E98" s="254" t="s">
        <v>1335</v>
      </c>
      <c r="F98" s="253" t="s">
        <v>1336</v>
      </c>
      <c r="G98" s="255" t="s">
        <v>241</v>
      </c>
      <c r="H98" s="245" t="s">
        <v>1216</v>
      </c>
      <c r="I98" s="245">
        <v>991</v>
      </c>
      <c r="J98" s="255" t="str">
        <f t="shared" si="2"/>
        <v>supprimer licence et memberslist</v>
      </c>
      <c r="K98" s="245">
        <v>6</v>
      </c>
      <c r="L98" s="255" t="str">
        <f t="shared" si="3"/>
        <v>U 13 Hommes</v>
      </c>
      <c r="M98" s="245">
        <v>609</v>
      </c>
      <c r="N98" s="259">
        <v>41662</v>
      </c>
      <c r="O98" s="259">
        <v>41662</v>
      </c>
      <c r="P98" s="256">
        <v>2017</v>
      </c>
      <c r="Q98" s="259">
        <v>38714</v>
      </c>
      <c r="R98" s="259"/>
      <c r="S98" s="254"/>
      <c r="T98" s="262">
        <v>691487071</v>
      </c>
      <c r="U98" s="273" t="s">
        <v>1337</v>
      </c>
      <c r="V98" s="304" t="s">
        <v>1338</v>
      </c>
    </row>
    <row r="99" spans="1:22" ht="13.5" customHeight="1" x14ac:dyDescent="0.15">
      <c r="A99" s="250" t="s">
        <v>1292</v>
      </c>
      <c r="B99" s="252" t="s">
        <v>1339</v>
      </c>
      <c r="C99" s="252" t="s">
        <v>1340</v>
      </c>
      <c r="D99" s="254"/>
      <c r="E99" s="254" t="s">
        <v>1341</v>
      </c>
      <c r="F99" s="253" t="s">
        <v>1342</v>
      </c>
      <c r="G99" s="255" t="s">
        <v>1343</v>
      </c>
      <c r="H99" s="245" t="s">
        <v>1344</v>
      </c>
      <c r="I99" s="245">
        <v>991</v>
      </c>
      <c r="J99" s="255" t="str">
        <f t="shared" si="2"/>
        <v>supprimer licence et memberslist</v>
      </c>
      <c r="K99" s="245">
        <v>4</v>
      </c>
      <c r="L99" s="255" t="str">
        <f t="shared" si="3"/>
        <v>U 17 Hommes</v>
      </c>
      <c r="M99" s="256">
        <v>663</v>
      </c>
      <c r="N99" s="259">
        <v>42284</v>
      </c>
      <c r="O99" s="259">
        <v>42284</v>
      </c>
      <c r="P99" s="256"/>
      <c r="Q99" s="259">
        <v>37248</v>
      </c>
      <c r="R99" s="259"/>
      <c r="S99" s="254" t="s">
        <v>1348</v>
      </c>
      <c r="T99" s="254"/>
      <c r="U99" s="273"/>
      <c r="V99" s="305" t="s">
        <v>1349</v>
      </c>
    </row>
    <row r="100" spans="1:22" ht="13.5" customHeight="1" x14ac:dyDescent="0.15">
      <c r="A100" s="250" t="s">
        <v>1292</v>
      </c>
      <c r="B100" s="252" t="s">
        <v>1351</v>
      </c>
      <c r="C100" s="252" t="s">
        <v>1352</v>
      </c>
      <c r="D100" s="254" t="s">
        <v>107</v>
      </c>
      <c r="E100" s="254" t="s">
        <v>1353</v>
      </c>
      <c r="F100" s="253" t="s">
        <v>1354</v>
      </c>
      <c r="G100" s="255" t="s">
        <v>1355</v>
      </c>
      <c r="H100" s="245" t="s">
        <v>1356</v>
      </c>
      <c r="I100" s="245">
        <v>991</v>
      </c>
      <c r="J100" s="255" t="str">
        <f t="shared" si="2"/>
        <v>supprimer licence et memberslist</v>
      </c>
      <c r="K100" s="245">
        <v>11</v>
      </c>
      <c r="L100" s="255" t="str">
        <f t="shared" si="3"/>
        <v>Officiel D</v>
      </c>
      <c r="M100" s="245">
        <v>148</v>
      </c>
      <c r="N100" s="259">
        <v>37829</v>
      </c>
      <c r="O100" s="259">
        <v>37829</v>
      </c>
      <c r="P100" s="256" t="s">
        <v>210</v>
      </c>
      <c r="Q100" s="259">
        <v>28212</v>
      </c>
      <c r="R100" s="259"/>
      <c r="S100" s="254" t="s">
        <v>1357</v>
      </c>
      <c r="T100" s="306"/>
      <c r="U100" s="273"/>
      <c r="V100" s="273"/>
    </row>
    <row r="101" spans="1:22" ht="13.5" customHeight="1" x14ac:dyDescent="0.15">
      <c r="A101" s="250" t="s">
        <v>1292</v>
      </c>
      <c r="B101" s="252" t="s">
        <v>1358</v>
      </c>
      <c r="C101" s="252" t="s">
        <v>1359</v>
      </c>
      <c r="D101" s="254" t="s">
        <v>107</v>
      </c>
      <c r="E101" s="254" t="s">
        <v>1360</v>
      </c>
      <c r="F101" s="253" t="s">
        <v>381</v>
      </c>
      <c r="G101" s="255" t="s">
        <v>241</v>
      </c>
      <c r="H101" s="245" t="s">
        <v>1216</v>
      </c>
      <c r="I101" s="245">
        <v>991</v>
      </c>
      <c r="J101" s="255" t="str">
        <f t="shared" si="2"/>
        <v>supprimer licence et memberslist</v>
      </c>
      <c r="K101" s="245">
        <v>5</v>
      </c>
      <c r="L101" s="255" t="str">
        <f t="shared" si="3"/>
        <v>U 15 Hommes</v>
      </c>
      <c r="M101" s="245">
        <v>634</v>
      </c>
      <c r="N101" s="259">
        <v>41927</v>
      </c>
      <c r="O101" s="259">
        <v>41927</v>
      </c>
      <c r="P101" s="256">
        <v>2018</v>
      </c>
      <c r="Q101" s="259">
        <v>37859</v>
      </c>
      <c r="R101" s="259"/>
      <c r="S101" s="254" t="s">
        <v>1364</v>
      </c>
      <c r="T101" s="262">
        <v>621262699</v>
      </c>
      <c r="U101" s="273" t="s">
        <v>1365</v>
      </c>
      <c r="V101" s="304" t="s">
        <v>1338</v>
      </c>
    </row>
    <row r="102" spans="1:22" ht="13.5" customHeight="1" x14ac:dyDescent="0.15">
      <c r="A102" s="250" t="s">
        <v>1292</v>
      </c>
      <c r="B102" s="252" t="s">
        <v>1366</v>
      </c>
      <c r="C102" s="252" t="s">
        <v>1367</v>
      </c>
      <c r="D102" s="254" t="s">
        <v>107</v>
      </c>
      <c r="E102" s="277" t="s">
        <v>1369</v>
      </c>
      <c r="F102" s="253" t="s">
        <v>1370</v>
      </c>
      <c r="G102" s="255" t="s">
        <v>1371</v>
      </c>
      <c r="H102" s="245" t="s">
        <v>1216</v>
      </c>
      <c r="I102" s="245">
        <v>994</v>
      </c>
      <c r="J102" s="255" t="str">
        <f t="shared" si="2"/>
        <v>supprimer memberslist</v>
      </c>
      <c r="K102" s="245">
        <v>12</v>
      </c>
      <c r="L102" s="255" t="str">
        <f t="shared" si="3"/>
        <v>Dames</v>
      </c>
      <c r="M102" s="256"/>
      <c r="N102" s="259">
        <v>41240</v>
      </c>
      <c r="O102" s="259">
        <v>41240</v>
      </c>
      <c r="P102" s="245">
        <v>2015</v>
      </c>
      <c r="Q102" s="259">
        <v>34187</v>
      </c>
      <c r="R102" s="259"/>
      <c r="S102" s="254"/>
      <c r="T102" s="277" t="s">
        <v>252</v>
      </c>
      <c r="U102" s="262">
        <v>691209712</v>
      </c>
      <c r="V102" s="254"/>
    </row>
    <row r="103" spans="1:22" ht="13.5" customHeight="1" x14ac:dyDescent="0.15">
      <c r="A103" s="250" t="s">
        <v>1292</v>
      </c>
      <c r="B103" s="252" t="s">
        <v>1376</v>
      </c>
      <c r="C103" s="252" t="s">
        <v>1377</v>
      </c>
      <c r="D103" s="254" t="s">
        <v>445</v>
      </c>
      <c r="E103" s="254" t="s">
        <v>1378</v>
      </c>
      <c r="F103" s="253" t="s">
        <v>381</v>
      </c>
      <c r="G103" s="255" t="s">
        <v>241</v>
      </c>
      <c r="H103" s="245" t="s">
        <v>1379</v>
      </c>
      <c r="I103" s="245">
        <v>991</v>
      </c>
      <c r="J103" s="255" t="str">
        <f t="shared" si="2"/>
        <v>supprimer licence et memberslist</v>
      </c>
      <c r="K103" s="245">
        <v>17</v>
      </c>
      <c r="L103" s="255" t="str">
        <f t="shared" si="3"/>
        <v>U 11 Dames</v>
      </c>
      <c r="M103" s="245">
        <v>652</v>
      </c>
      <c r="N103" s="259">
        <v>42051</v>
      </c>
      <c r="O103" s="259">
        <v>42051</v>
      </c>
      <c r="P103" s="256">
        <v>2020</v>
      </c>
      <c r="Q103" s="259">
        <v>39735</v>
      </c>
      <c r="R103" s="259"/>
      <c r="S103" s="254" t="s">
        <v>1380</v>
      </c>
      <c r="T103" s="254"/>
      <c r="U103" s="273" t="s">
        <v>1381</v>
      </c>
      <c r="V103" s="304" t="s">
        <v>1382</v>
      </c>
    </row>
    <row r="104" spans="1:22" ht="13.5" customHeight="1" x14ac:dyDescent="0.15">
      <c r="A104" s="250" t="s">
        <v>1292</v>
      </c>
      <c r="B104" s="252" t="s">
        <v>1376</v>
      </c>
      <c r="C104" s="252" t="s">
        <v>1384</v>
      </c>
      <c r="D104" s="254" t="s">
        <v>445</v>
      </c>
      <c r="E104" s="254" t="s">
        <v>1378</v>
      </c>
      <c r="F104" s="253" t="s">
        <v>381</v>
      </c>
      <c r="G104" s="255" t="s">
        <v>241</v>
      </c>
      <c r="H104" s="245" t="s">
        <v>1379</v>
      </c>
      <c r="I104" s="245">
        <v>991</v>
      </c>
      <c r="J104" s="255" t="str">
        <f t="shared" si="2"/>
        <v>supprimer licence et memberslist</v>
      </c>
      <c r="K104" s="245">
        <v>17</v>
      </c>
      <c r="L104" s="255" t="str">
        <f t="shared" si="3"/>
        <v>U 11 Dames</v>
      </c>
      <c r="M104" s="245">
        <v>651</v>
      </c>
      <c r="N104" s="259">
        <v>42051</v>
      </c>
      <c r="O104" s="259">
        <v>42051</v>
      </c>
      <c r="P104" s="256">
        <v>2020</v>
      </c>
      <c r="Q104" s="259">
        <v>39735</v>
      </c>
      <c r="R104" s="259"/>
      <c r="S104" s="254" t="s">
        <v>1380</v>
      </c>
      <c r="T104" s="254"/>
      <c r="U104" s="273" t="s">
        <v>1381</v>
      </c>
      <c r="V104" s="304" t="s">
        <v>1382</v>
      </c>
    </row>
    <row r="105" spans="1:22" ht="13.5" customHeight="1" x14ac:dyDescent="0.15">
      <c r="A105" s="250" t="s">
        <v>1292</v>
      </c>
      <c r="B105" s="252" t="s">
        <v>1376</v>
      </c>
      <c r="C105" s="252"/>
      <c r="D105" s="254"/>
      <c r="E105" s="254"/>
      <c r="F105" s="253"/>
      <c r="G105" s="255"/>
      <c r="H105" s="245" t="s">
        <v>1379</v>
      </c>
      <c r="I105" s="245">
        <v>994</v>
      </c>
      <c r="J105" s="255" t="str">
        <f t="shared" si="2"/>
        <v>supprimer memberslist</v>
      </c>
      <c r="K105" s="245"/>
      <c r="L105" s="255" t="str">
        <f t="shared" si="3"/>
        <v>CAT à compléter</v>
      </c>
      <c r="M105" s="256"/>
      <c r="N105" s="259"/>
      <c r="O105" s="259"/>
      <c r="P105" s="256" t="s">
        <v>242</v>
      </c>
      <c r="Q105" s="259"/>
      <c r="R105" s="259"/>
      <c r="S105" s="254"/>
      <c r="T105" s="254"/>
      <c r="U105" s="273"/>
      <c r="V105" s="304" t="s">
        <v>1382</v>
      </c>
    </row>
    <row r="106" spans="1:22" ht="13.5" customHeight="1" x14ac:dyDescent="0.15">
      <c r="A106" s="250" t="s">
        <v>1292</v>
      </c>
      <c r="B106" s="252" t="s">
        <v>1388</v>
      </c>
      <c r="C106" s="252" t="s">
        <v>506</v>
      </c>
      <c r="D106" s="254" t="s">
        <v>107</v>
      </c>
      <c r="E106" s="254" t="s">
        <v>1353</v>
      </c>
      <c r="F106" s="253" t="s">
        <v>1354</v>
      </c>
      <c r="G106" s="255" t="s">
        <v>1355</v>
      </c>
      <c r="H106" s="245" t="s">
        <v>1356</v>
      </c>
      <c r="I106" s="245">
        <v>991</v>
      </c>
      <c r="J106" s="255" t="str">
        <f t="shared" si="2"/>
        <v>supprimer licence et memberslist</v>
      </c>
      <c r="K106" s="245">
        <v>1</v>
      </c>
      <c r="L106" s="255" t="str">
        <f t="shared" si="3"/>
        <v>Officiel H</v>
      </c>
      <c r="M106" s="256"/>
      <c r="N106" s="259">
        <v>35261</v>
      </c>
      <c r="O106" s="259">
        <v>35261</v>
      </c>
      <c r="P106" s="245" t="s">
        <v>242</v>
      </c>
      <c r="Q106" s="259">
        <v>26358</v>
      </c>
      <c r="R106" s="259"/>
      <c r="S106" s="262">
        <v>496501606733</v>
      </c>
      <c r="T106" s="254" t="s">
        <v>1389</v>
      </c>
      <c r="U106" s="254"/>
      <c r="V106" s="254"/>
    </row>
    <row r="107" spans="1:22" ht="13.5" customHeight="1" x14ac:dyDescent="0.15">
      <c r="A107" s="250" t="s">
        <v>1292</v>
      </c>
      <c r="B107" s="252" t="s">
        <v>1391</v>
      </c>
      <c r="C107" s="252" t="s">
        <v>1392</v>
      </c>
      <c r="D107" s="254" t="s">
        <v>107</v>
      </c>
      <c r="E107" s="254" t="s">
        <v>1393</v>
      </c>
      <c r="F107" s="253" t="s">
        <v>773</v>
      </c>
      <c r="G107" s="255" t="s">
        <v>774</v>
      </c>
      <c r="H107" s="245" t="s">
        <v>1394</v>
      </c>
      <c r="I107" s="245">
        <v>991</v>
      </c>
      <c r="J107" s="255" t="str">
        <f t="shared" si="2"/>
        <v>supprimer licence et memberslist</v>
      </c>
      <c r="K107" s="245">
        <v>20</v>
      </c>
      <c r="L107" s="255" t="str">
        <f t="shared" si="3"/>
        <v>U 4 Mixte</v>
      </c>
      <c r="M107" s="245">
        <v>515</v>
      </c>
      <c r="N107" s="259">
        <v>40745</v>
      </c>
      <c r="O107" s="259">
        <v>40745</v>
      </c>
      <c r="P107" s="256">
        <v>2016</v>
      </c>
      <c r="Q107" s="259">
        <v>38150</v>
      </c>
      <c r="R107" s="259"/>
      <c r="S107" s="254" t="s">
        <v>1399</v>
      </c>
      <c r="T107" s="254"/>
      <c r="U107" s="273" t="s">
        <v>1400</v>
      </c>
      <c r="V107" s="273" t="s">
        <v>1401</v>
      </c>
    </row>
    <row r="108" spans="1:22" ht="13.5" customHeight="1" x14ac:dyDescent="0.15">
      <c r="A108" s="250" t="s">
        <v>1292</v>
      </c>
      <c r="B108" s="252" t="s">
        <v>1391</v>
      </c>
      <c r="C108" s="252" t="s">
        <v>1402</v>
      </c>
      <c r="D108" s="254" t="s">
        <v>107</v>
      </c>
      <c r="E108" s="254" t="s">
        <v>1393</v>
      </c>
      <c r="F108" s="253" t="s">
        <v>773</v>
      </c>
      <c r="G108" s="255" t="s">
        <v>774</v>
      </c>
      <c r="H108" s="245" t="s">
        <v>1394</v>
      </c>
      <c r="I108" s="245">
        <v>991</v>
      </c>
      <c r="J108" s="255" t="str">
        <f t="shared" si="2"/>
        <v>supprimer licence et memberslist</v>
      </c>
      <c r="K108" s="245">
        <v>20</v>
      </c>
      <c r="L108" s="255" t="str">
        <f t="shared" si="3"/>
        <v>U 4 Mixte</v>
      </c>
      <c r="M108" s="245">
        <v>514</v>
      </c>
      <c r="N108" s="259">
        <v>40745</v>
      </c>
      <c r="O108" s="259">
        <v>40745</v>
      </c>
      <c r="P108" s="256">
        <v>2016</v>
      </c>
      <c r="Q108" s="259">
        <v>38150</v>
      </c>
      <c r="R108" s="259"/>
      <c r="S108" s="254" t="s">
        <v>1399</v>
      </c>
      <c r="T108" s="254"/>
      <c r="U108" s="273"/>
      <c r="V108" s="273" t="s">
        <v>1401</v>
      </c>
    </row>
    <row r="109" spans="1:22" ht="13.5" customHeight="1" x14ac:dyDescent="0.15">
      <c r="A109" s="250" t="s">
        <v>1292</v>
      </c>
      <c r="B109" s="252" t="s">
        <v>1403</v>
      </c>
      <c r="C109" s="252" t="s">
        <v>1404</v>
      </c>
      <c r="D109" s="254"/>
      <c r="E109" s="254"/>
      <c r="F109" s="253"/>
      <c r="G109" s="255"/>
      <c r="H109" s="245" t="s">
        <v>1405</v>
      </c>
      <c r="I109" s="245">
        <v>991</v>
      </c>
      <c r="J109" s="255" t="str">
        <f t="shared" si="2"/>
        <v>supprimer licence et memberslist</v>
      </c>
      <c r="K109" s="245"/>
      <c r="L109" s="255" t="str">
        <f t="shared" si="3"/>
        <v>CAT à compléter</v>
      </c>
      <c r="M109" s="256"/>
      <c r="N109" s="259"/>
      <c r="O109" s="259"/>
      <c r="P109" s="245"/>
      <c r="Q109" s="259"/>
      <c r="R109" s="259"/>
      <c r="S109" s="254"/>
      <c r="T109" s="254"/>
      <c r="U109" s="273"/>
      <c r="V109" s="254"/>
    </row>
    <row r="110" spans="1:22" ht="13.5" customHeight="1" x14ac:dyDescent="0.15">
      <c r="A110" s="250" t="s">
        <v>1292</v>
      </c>
      <c r="B110" s="252" t="s">
        <v>1403</v>
      </c>
      <c r="C110" s="252" t="s">
        <v>224</v>
      </c>
      <c r="D110" s="254"/>
      <c r="E110" s="254"/>
      <c r="F110" s="253"/>
      <c r="G110" s="255"/>
      <c r="H110" s="245" t="s">
        <v>1405</v>
      </c>
      <c r="I110" s="245">
        <v>991</v>
      </c>
      <c r="J110" s="255" t="str">
        <f t="shared" si="2"/>
        <v>supprimer licence et memberslist</v>
      </c>
      <c r="K110" s="245"/>
      <c r="L110" s="255" t="str">
        <f t="shared" si="3"/>
        <v>CAT à compléter</v>
      </c>
      <c r="M110" s="256"/>
      <c r="N110" s="259"/>
      <c r="O110" s="259"/>
      <c r="P110" s="245"/>
      <c r="Q110" s="259"/>
      <c r="R110" s="259"/>
      <c r="S110" s="254"/>
      <c r="T110" s="254"/>
      <c r="U110" s="273"/>
      <c r="V110" s="305" t="s">
        <v>1406</v>
      </c>
    </row>
    <row r="111" spans="1:22" ht="12.75" customHeight="1" x14ac:dyDescent="0.15">
      <c r="A111" s="250" t="s">
        <v>1292</v>
      </c>
      <c r="B111" s="252" t="s">
        <v>1412</v>
      </c>
      <c r="C111" s="252" t="s">
        <v>1413</v>
      </c>
      <c r="D111" s="254" t="s">
        <v>107</v>
      </c>
      <c r="E111" s="254" t="s">
        <v>1065</v>
      </c>
      <c r="F111" s="253" t="s">
        <v>1066</v>
      </c>
      <c r="G111" s="255" t="s">
        <v>582</v>
      </c>
      <c r="H111" s="245" t="s">
        <v>1216</v>
      </c>
      <c r="I111" s="245">
        <v>992</v>
      </c>
      <c r="J111" s="255" t="str">
        <f t="shared" si="2"/>
        <v>impayé, garder licence,remotiver joueur-officiel</v>
      </c>
      <c r="K111" s="245">
        <v>1</v>
      </c>
      <c r="L111" s="255" t="str">
        <f t="shared" si="3"/>
        <v>Officiel H</v>
      </c>
      <c r="M111" s="245">
        <v>119</v>
      </c>
      <c r="N111" s="259">
        <v>39734</v>
      </c>
      <c r="O111" s="259">
        <v>39734</v>
      </c>
      <c r="P111" s="256" t="s">
        <v>210</v>
      </c>
      <c r="Q111" s="259">
        <v>21040</v>
      </c>
      <c r="R111" s="307" t="s">
        <v>244</v>
      </c>
      <c r="S111" s="255"/>
      <c r="T111" s="255"/>
      <c r="U111" s="307"/>
      <c r="V111" s="307"/>
    </row>
    <row r="112" spans="1:22" ht="12.75" customHeight="1" x14ac:dyDescent="0.15">
      <c r="A112" s="250" t="s">
        <v>1292</v>
      </c>
      <c r="B112" s="252" t="s">
        <v>1416</v>
      </c>
      <c r="C112" s="252" t="s">
        <v>1417</v>
      </c>
      <c r="D112" s="254" t="s">
        <v>107</v>
      </c>
      <c r="E112" s="254" t="s">
        <v>1418</v>
      </c>
      <c r="F112" s="253" t="s">
        <v>809</v>
      </c>
      <c r="G112" s="255" t="s">
        <v>177</v>
      </c>
      <c r="H112" s="245" t="s">
        <v>1317</v>
      </c>
      <c r="I112" s="245">
        <v>300</v>
      </c>
      <c r="J112" s="255" t="str">
        <f t="shared" si="2"/>
        <v>Prêt, sortie Mersch75</v>
      </c>
      <c r="K112" s="245">
        <v>12</v>
      </c>
      <c r="L112" s="255" t="str">
        <f t="shared" si="3"/>
        <v>Dames</v>
      </c>
      <c r="M112" s="245">
        <v>59</v>
      </c>
      <c r="N112" s="259">
        <v>38059</v>
      </c>
      <c r="O112" s="259">
        <v>38059</v>
      </c>
      <c r="P112" s="256">
        <v>2018</v>
      </c>
      <c r="Q112" s="259">
        <v>33783</v>
      </c>
      <c r="R112" s="307" t="s">
        <v>244</v>
      </c>
      <c r="S112" s="307"/>
      <c r="T112" s="307"/>
      <c r="U112" s="307"/>
      <c r="V112" s="307"/>
    </row>
    <row r="113" spans="1:22" ht="12.75" customHeight="1" x14ac:dyDescent="0.15">
      <c r="A113" s="308" t="s">
        <v>1292</v>
      </c>
      <c r="B113" s="252" t="s">
        <v>1424</v>
      </c>
      <c r="C113" s="252" t="s">
        <v>1425</v>
      </c>
      <c r="D113" s="254" t="s">
        <v>107</v>
      </c>
      <c r="E113" s="254" t="s">
        <v>1426</v>
      </c>
      <c r="F113" s="253" t="s">
        <v>1073</v>
      </c>
      <c r="G113" s="255" t="s">
        <v>1074</v>
      </c>
      <c r="H113" s="245" t="s">
        <v>1216</v>
      </c>
      <c r="I113" s="245">
        <v>982</v>
      </c>
      <c r="J113" s="255" t="str">
        <f t="shared" si="2"/>
        <v>impayé, garder licence 16-17 potentiel tft</v>
      </c>
      <c r="K113" s="245">
        <v>12</v>
      </c>
      <c r="L113" s="255" t="str">
        <f t="shared" si="3"/>
        <v>Dames</v>
      </c>
      <c r="M113" s="245">
        <v>481</v>
      </c>
      <c r="N113" s="259">
        <v>40478</v>
      </c>
      <c r="O113" s="259">
        <v>40478</v>
      </c>
      <c r="P113" s="256">
        <v>2019</v>
      </c>
      <c r="Q113" s="259">
        <v>35489</v>
      </c>
      <c r="R113" s="307"/>
      <c r="S113" s="307"/>
      <c r="T113" s="307"/>
      <c r="U113" s="273" t="s">
        <v>1428</v>
      </c>
      <c r="V113" s="304" t="s">
        <v>1429</v>
      </c>
    </row>
    <row r="114" spans="1:22" ht="12.75" customHeight="1" x14ac:dyDescent="0.15">
      <c r="A114" s="308" t="s">
        <v>1292</v>
      </c>
      <c r="B114" s="252" t="s">
        <v>1063</v>
      </c>
      <c r="C114" s="252" t="s">
        <v>1430</v>
      </c>
      <c r="D114" s="254" t="s">
        <v>107</v>
      </c>
      <c r="E114" s="254" t="s">
        <v>1065</v>
      </c>
      <c r="F114" s="253" t="s">
        <v>1066</v>
      </c>
      <c r="G114" s="255" t="s">
        <v>582</v>
      </c>
      <c r="H114" s="245" t="s">
        <v>1067</v>
      </c>
      <c r="I114" s="245">
        <v>300</v>
      </c>
      <c r="J114" s="255" t="str">
        <f t="shared" si="2"/>
        <v>Prêt, sortie Mersch75</v>
      </c>
      <c r="K114" s="245">
        <v>3</v>
      </c>
      <c r="L114" s="255" t="str">
        <f t="shared" si="3"/>
        <v>U 21 Hommes</v>
      </c>
      <c r="M114" s="245">
        <v>96</v>
      </c>
      <c r="N114" s="259">
        <v>39717</v>
      </c>
      <c r="O114" s="259">
        <v>39717</v>
      </c>
      <c r="P114" s="256">
        <v>2020</v>
      </c>
      <c r="Q114" s="259">
        <v>35867</v>
      </c>
      <c r="R114" s="255"/>
      <c r="S114" s="254" t="s">
        <v>1431</v>
      </c>
      <c r="T114" s="273"/>
      <c r="U114" s="273" t="s">
        <v>1432</v>
      </c>
      <c r="V114" s="304" t="s">
        <v>1433</v>
      </c>
    </row>
    <row r="115" spans="1:22" ht="12.75" customHeight="1" x14ac:dyDescent="0.15">
      <c r="A115" s="308" t="s">
        <v>1292</v>
      </c>
      <c r="B115" s="252" t="s">
        <v>1435</v>
      </c>
      <c r="C115" s="252" t="s">
        <v>678</v>
      </c>
      <c r="D115" s="254" t="s">
        <v>298</v>
      </c>
      <c r="E115" s="254" t="s">
        <v>1436</v>
      </c>
      <c r="F115" s="253" t="s">
        <v>1437</v>
      </c>
      <c r="G115" s="255" t="s">
        <v>994</v>
      </c>
      <c r="H115" s="245" t="s">
        <v>1216</v>
      </c>
      <c r="I115" s="245">
        <v>1</v>
      </c>
      <c r="J115" s="255" t="str">
        <f t="shared" si="2"/>
        <v>Officiel H</v>
      </c>
      <c r="K115" s="245">
        <v>1</v>
      </c>
      <c r="L115" s="255" t="str">
        <f t="shared" si="3"/>
        <v>Officiel H</v>
      </c>
      <c r="M115" s="245">
        <v>25</v>
      </c>
      <c r="N115" s="259">
        <v>38255</v>
      </c>
      <c r="O115" s="259">
        <v>38255</v>
      </c>
      <c r="P115" s="256" t="s">
        <v>210</v>
      </c>
      <c r="Q115" s="259">
        <v>21596</v>
      </c>
      <c r="R115" s="255" t="s">
        <v>244</v>
      </c>
      <c r="S115" s="254" t="s">
        <v>1438</v>
      </c>
      <c r="T115" s="254" t="s">
        <v>1439</v>
      </c>
      <c r="U115" s="262">
        <v>691878225</v>
      </c>
      <c r="V115" s="254"/>
    </row>
    <row r="116" spans="1:22" ht="12.75" customHeight="1" x14ac:dyDescent="0.15">
      <c r="A116" s="308" t="s">
        <v>1292</v>
      </c>
      <c r="B116" s="252" t="s">
        <v>614</v>
      </c>
      <c r="C116" s="252" t="s">
        <v>615</v>
      </c>
      <c r="D116" s="254" t="s">
        <v>263</v>
      </c>
      <c r="E116" s="254" t="s">
        <v>1440</v>
      </c>
      <c r="F116" s="253" t="s">
        <v>1441</v>
      </c>
      <c r="G116" s="255" t="s">
        <v>1442</v>
      </c>
      <c r="H116" s="245" t="s">
        <v>1114</v>
      </c>
      <c r="I116" s="245">
        <v>982</v>
      </c>
      <c r="J116" s="255" t="str">
        <f t="shared" si="2"/>
        <v>impayé, garder licence 16-17 potentiel tft</v>
      </c>
      <c r="K116" s="245">
        <v>12</v>
      </c>
      <c r="L116" s="255" t="str">
        <f t="shared" si="3"/>
        <v>Dames</v>
      </c>
      <c r="M116" s="245">
        <v>428</v>
      </c>
      <c r="N116" s="259">
        <v>40081</v>
      </c>
      <c r="O116" s="259">
        <v>40081</v>
      </c>
      <c r="P116" s="256">
        <v>2019</v>
      </c>
      <c r="Q116" s="259">
        <v>34086</v>
      </c>
      <c r="R116" s="307" t="s">
        <v>1443</v>
      </c>
      <c r="S116" s="254"/>
      <c r="T116" s="254"/>
      <c r="U116" s="273" t="s">
        <v>1444</v>
      </c>
      <c r="V116" s="273"/>
    </row>
    <row r="117" spans="1:22" ht="12.75" customHeight="1" x14ac:dyDescent="0.15">
      <c r="A117" s="308" t="s">
        <v>1292</v>
      </c>
      <c r="B117" s="252" t="s">
        <v>723</v>
      </c>
      <c r="C117" s="252" t="s">
        <v>623</v>
      </c>
      <c r="D117" s="254" t="s">
        <v>248</v>
      </c>
      <c r="E117" s="254" t="s">
        <v>725</v>
      </c>
      <c r="F117" s="253" t="s">
        <v>726</v>
      </c>
      <c r="G117" s="255" t="s">
        <v>727</v>
      </c>
      <c r="H117" s="245" t="s">
        <v>728</v>
      </c>
      <c r="I117" s="245"/>
      <c r="J117" s="255" t="str">
        <f t="shared" si="2"/>
        <v>CAT à compléter</v>
      </c>
      <c r="K117" s="245">
        <v>3</v>
      </c>
      <c r="L117" s="255" t="str">
        <f t="shared" si="3"/>
        <v>U 21 Hommes</v>
      </c>
      <c r="M117" s="245">
        <v>625</v>
      </c>
      <c r="N117" s="259">
        <v>41912</v>
      </c>
      <c r="O117" s="259">
        <v>41912</v>
      </c>
      <c r="P117" s="256">
        <v>2019</v>
      </c>
      <c r="Q117" s="259">
        <v>36169</v>
      </c>
      <c r="R117" s="307"/>
      <c r="S117" s="254" t="s">
        <v>1445</v>
      </c>
      <c r="T117" s="262" t="s">
        <v>1446</v>
      </c>
      <c r="U117" s="273" t="s">
        <v>1447</v>
      </c>
      <c r="V117" s="304" t="s">
        <v>1448</v>
      </c>
    </row>
    <row r="118" spans="1:22" ht="12.75" customHeight="1" x14ac:dyDescent="0.15">
      <c r="A118" s="308" t="s">
        <v>1292</v>
      </c>
      <c r="B118" s="252" t="s">
        <v>614</v>
      </c>
      <c r="C118" s="252" t="s">
        <v>1449</v>
      </c>
      <c r="D118" s="254" t="s">
        <v>263</v>
      </c>
      <c r="E118" s="254" t="s">
        <v>1440</v>
      </c>
      <c r="F118" s="253" t="s">
        <v>273</v>
      </c>
      <c r="G118" s="255" t="s">
        <v>1442</v>
      </c>
      <c r="H118" s="245" t="s">
        <v>1114</v>
      </c>
      <c r="I118" s="245">
        <v>981</v>
      </c>
      <c r="J118" s="255" t="str">
        <f t="shared" si="2"/>
        <v>impayé,lic supprimée,gardé dans memberlist</v>
      </c>
      <c r="K118" s="245">
        <v>12</v>
      </c>
      <c r="L118" s="255" t="str">
        <f t="shared" si="3"/>
        <v>Dames</v>
      </c>
      <c r="M118" s="256"/>
      <c r="N118" s="259">
        <v>41358</v>
      </c>
      <c r="O118" s="259">
        <v>41358</v>
      </c>
      <c r="P118" s="245">
        <v>2019</v>
      </c>
      <c r="Q118" s="259">
        <v>35666</v>
      </c>
      <c r="R118" s="307" t="s">
        <v>1443</v>
      </c>
      <c r="S118" s="254" t="s">
        <v>1453</v>
      </c>
      <c r="T118" s="277"/>
      <c r="U118" s="262">
        <v>691585429</v>
      </c>
      <c r="V118" s="305" t="s">
        <v>1454</v>
      </c>
    </row>
    <row r="119" spans="1:22" ht="12.75" customHeight="1" x14ac:dyDescent="0.15">
      <c r="A119" s="308" t="s">
        <v>1292</v>
      </c>
      <c r="B119" s="252" t="s">
        <v>667</v>
      </c>
      <c r="C119" s="252" t="s">
        <v>1457</v>
      </c>
      <c r="D119" s="254" t="s">
        <v>107</v>
      </c>
      <c r="E119" s="254" t="s">
        <v>1318</v>
      </c>
      <c r="F119" s="253" t="s">
        <v>1320</v>
      </c>
      <c r="G119" s="255" t="s">
        <v>274</v>
      </c>
      <c r="H119" s="245" t="s">
        <v>1323</v>
      </c>
      <c r="I119" s="245"/>
      <c r="J119" s="255" t="str">
        <f t="shared" si="2"/>
        <v>CAT à compléter</v>
      </c>
      <c r="K119" s="245"/>
      <c r="L119" s="255" t="str">
        <f t="shared" si="3"/>
        <v>CAT à compléter</v>
      </c>
      <c r="M119" s="256"/>
      <c r="N119" s="259"/>
      <c r="O119" s="259"/>
      <c r="P119" s="256"/>
      <c r="Q119" s="259">
        <v>38283</v>
      </c>
      <c r="R119" s="307" t="s">
        <v>1443</v>
      </c>
      <c r="S119" s="254" t="s">
        <v>1345</v>
      </c>
      <c r="T119" s="254"/>
      <c r="U119" s="273" t="s">
        <v>1458</v>
      </c>
      <c r="V119" s="273"/>
    </row>
    <row r="120" spans="1:22" ht="12.75" customHeight="1" x14ac:dyDescent="0.15">
      <c r="A120" s="308" t="s">
        <v>1292</v>
      </c>
      <c r="B120" s="252" t="s">
        <v>1459</v>
      </c>
      <c r="C120" s="252" t="s">
        <v>1460</v>
      </c>
      <c r="D120" s="254" t="s">
        <v>107</v>
      </c>
      <c r="E120" s="254" t="s">
        <v>1461</v>
      </c>
      <c r="F120" s="253" t="s">
        <v>354</v>
      </c>
      <c r="G120" s="255" t="s">
        <v>283</v>
      </c>
      <c r="H120" s="245" t="s">
        <v>1006</v>
      </c>
      <c r="I120" s="245">
        <v>188</v>
      </c>
      <c r="J120" s="255" t="s">
        <v>1462</v>
      </c>
      <c r="K120" s="245">
        <v>9</v>
      </c>
      <c r="L120" s="255" t="str">
        <f t="shared" si="3"/>
        <v>Vétérans - Hommes</v>
      </c>
      <c r="M120" s="245">
        <v>522</v>
      </c>
      <c r="N120" s="259">
        <v>40823</v>
      </c>
      <c r="O120" s="259">
        <v>40823</v>
      </c>
      <c r="P120" s="256" t="s">
        <v>1296</v>
      </c>
      <c r="Q120" s="259">
        <v>21705</v>
      </c>
      <c r="R120" s="307" t="s">
        <v>244</v>
      </c>
      <c r="S120" s="254" t="s">
        <v>1463</v>
      </c>
      <c r="T120" s="254"/>
      <c r="U120" s="273" t="s">
        <v>1468</v>
      </c>
      <c r="V120" s="304" t="s">
        <v>1472</v>
      </c>
    </row>
    <row r="121" spans="1:22" ht="12.75" customHeight="1" x14ac:dyDescent="0.15">
      <c r="A121" s="308" t="s">
        <v>1292</v>
      </c>
      <c r="B121" s="252" t="s">
        <v>1473</v>
      </c>
      <c r="C121" s="252" t="s">
        <v>1474</v>
      </c>
      <c r="D121" s="254" t="s">
        <v>263</v>
      </c>
      <c r="E121" s="277" t="s">
        <v>1475</v>
      </c>
      <c r="F121" s="253"/>
      <c r="G121" s="255"/>
      <c r="H121" s="245" t="s">
        <v>1216</v>
      </c>
      <c r="I121" s="245"/>
      <c r="J121" s="255" t="str">
        <f t="shared" ref="J121:J163" si="4">VLOOKUP(I121,CAT_JOUEUR,2,FALSE)</f>
        <v>CAT à compléter</v>
      </c>
      <c r="K121" s="245">
        <v>12</v>
      </c>
      <c r="L121" s="255" t="str">
        <f t="shared" si="3"/>
        <v>Dames</v>
      </c>
      <c r="M121" s="245">
        <v>616</v>
      </c>
      <c r="N121" s="259">
        <v>41739</v>
      </c>
      <c r="O121" s="259">
        <v>41739</v>
      </c>
      <c r="P121" s="256">
        <v>2018</v>
      </c>
      <c r="Q121" s="259">
        <v>30383</v>
      </c>
      <c r="R121" s="307"/>
      <c r="S121" s="254"/>
      <c r="T121" s="254"/>
      <c r="U121" s="273" t="s">
        <v>1476</v>
      </c>
      <c r="V121" s="273"/>
    </row>
    <row r="122" spans="1:22" ht="12.75" customHeight="1" x14ac:dyDescent="0.15">
      <c r="A122" s="308" t="s">
        <v>1292</v>
      </c>
      <c r="B122" s="252" t="s">
        <v>1477</v>
      </c>
      <c r="C122" s="252" t="s">
        <v>1478</v>
      </c>
      <c r="D122" s="254" t="s">
        <v>1483</v>
      </c>
      <c r="E122" s="254" t="s">
        <v>1484</v>
      </c>
      <c r="F122" s="253" t="s">
        <v>354</v>
      </c>
      <c r="G122" s="255" t="s">
        <v>283</v>
      </c>
      <c r="H122" s="245" t="s">
        <v>1006</v>
      </c>
      <c r="I122" s="245">
        <v>997</v>
      </c>
      <c r="J122" s="255" t="str">
        <f t="shared" si="4"/>
        <v>adulte inactif, impayé, analyse 08-2017 si potentiel</v>
      </c>
      <c r="K122" s="245">
        <v>5</v>
      </c>
      <c r="L122" s="255" t="str">
        <f t="shared" si="3"/>
        <v>U 15 Hommes</v>
      </c>
      <c r="M122" s="245">
        <v>603</v>
      </c>
      <c r="N122" s="259">
        <v>41557</v>
      </c>
      <c r="O122" s="259">
        <v>41557</v>
      </c>
      <c r="P122" s="256">
        <v>2016</v>
      </c>
      <c r="Q122" s="259">
        <v>38079</v>
      </c>
      <c r="R122" s="307" t="s">
        <v>1485</v>
      </c>
      <c r="S122" s="254" t="s">
        <v>1486</v>
      </c>
      <c r="T122" s="254"/>
      <c r="U122" s="273" t="s">
        <v>1468</v>
      </c>
      <c r="V122" s="304" t="s">
        <v>1487</v>
      </c>
    </row>
    <row r="123" spans="1:22" ht="12.75" customHeight="1" x14ac:dyDescent="0.15">
      <c r="A123" s="308" t="s">
        <v>1292</v>
      </c>
      <c r="B123" s="252" t="s">
        <v>781</v>
      </c>
      <c r="C123" s="252" t="s">
        <v>1488</v>
      </c>
      <c r="D123" s="254" t="s">
        <v>1489</v>
      </c>
      <c r="E123" s="254" t="s">
        <v>787</v>
      </c>
      <c r="F123" s="253" t="s">
        <v>788</v>
      </c>
      <c r="G123" s="255" t="s">
        <v>789</v>
      </c>
      <c r="H123" s="245" t="s">
        <v>790</v>
      </c>
      <c r="I123" s="245">
        <v>997</v>
      </c>
      <c r="J123" s="255" t="str">
        <f t="shared" si="4"/>
        <v>adulte inactif, impayé, analyse 08-2017 si potentiel</v>
      </c>
      <c r="K123" s="245">
        <v>5</v>
      </c>
      <c r="L123" s="255" t="str">
        <f t="shared" si="3"/>
        <v>U 15 Hommes</v>
      </c>
      <c r="M123" s="245">
        <v>632</v>
      </c>
      <c r="N123" s="259">
        <v>41925</v>
      </c>
      <c r="O123" s="259">
        <v>41925</v>
      </c>
      <c r="P123" s="256">
        <v>2017</v>
      </c>
      <c r="Q123" s="259">
        <v>38588</v>
      </c>
      <c r="R123" s="307" t="s">
        <v>1490</v>
      </c>
      <c r="S123" s="254"/>
      <c r="T123" s="254" t="s">
        <v>252</v>
      </c>
      <c r="U123" s="273" t="s">
        <v>1491</v>
      </c>
      <c r="V123" s="304" t="s">
        <v>1492</v>
      </c>
    </row>
    <row r="124" spans="1:22" ht="12.75" customHeight="1" x14ac:dyDescent="0.15">
      <c r="A124" s="308" t="s">
        <v>1292</v>
      </c>
      <c r="B124" s="252" t="s">
        <v>578</v>
      </c>
      <c r="C124" s="252" t="s">
        <v>579</v>
      </c>
      <c r="D124" s="254"/>
      <c r="E124" s="254"/>
      <c r="F124" s="253"/>
      <c r="G124" s="255"/>
      <c r="H124" s="245" t="s">
        <v>1216</v>
      </c>
      <c r="I124" s="245">
        <v>987</v>
      </c>
      <c r="J124" s="255" t="e">
        <f t="shared" si="4"/>
        <v>#N/A</v>
      </c>
      <c r="K124" s="245">
        <v>11</v>
      </c>
      <c r="L124" s="255" t="str">
        <f t="shared" si="3"/>
        <v>Officiel D</v>
      </c>
      <c r="M124" s="256">
        <v>431</v>
      </c>
      <c r="N124" s="259">
        <v>40093</v>
      </c>
      <c r="O124" s="259">
        <v>40093</v>
      </c>
      <c r="P124" s="256" t="s">
        <v>242</v>
      </c>
      <c r="Q124" s="259">
        <v>32235</v>
      </c>
      <c r="R124" s="307" t="s">
        <v>244</v>
      </c>
      <c r="S124" s="254"/>
      <c r="T124" s="254"/>
      <c r="U124" s="273"/>
      <c r="V124" s="273"/>
    </row>
    <row r="125" spans="1:22" ht="12.75" customHeight="1" x14ac:dyDescent="0.15">
      <c r="A125" s="308" t="s">
        <v>1292</v>
      </c>
      <c r="B125" s="252" t="s">
        <v>1493</v>
      </c>
      <c r="C125" s="252" t="s">
        <v>1494</v>
      </c>
      <c r="D125" s="254" t="s">
        <v>1056</v>
      </c>
      <c r="E125" s="254" t="s">
        <v>1495</v>
      </c>
      <c r="F125" s="253" t="s">
        <v>1496</v>
      </c>
      <c r="G125" s="255" t="s">
        <v>1497</v>
      </c>
      <c r="H125" s="245" t="s">
        <v>1498</v>
      </c>
      <c r="I125" s="245">
        <v>997</v>
      </c>
      <c r="J125" s="255" t="str">
        <f t="shared" si="4"/>
        <v>adulte inactif, impayé, analyse 08-2017 si potentiel</v>
      </c>
      <c r="K125" s="245">
        <v>4</v>
      </c>
      <c r="L125" s="255" t="str">
        <f t="shared" si="3"/>
        <v>U 17 Hommes</v>
      </c>
      <c r="M125" s="245">
        <v>655</v>
      </c>
      <c r="N125" s="259">
        <v>42090</v>
      </c>
      <c r="O125" s="259">
        <v>42090</v>
      </c>
      <c r="P125" s="256">
        <v>2017</v>
      </c>
      <c r="Q125" s="259">
        <v>37610</v>
      </c>
      <c r="R125" s="307"/>
      <c r="S125" s="254" t="s">
        <v>1499</v>
      </c>
      <c r="T125" s="254" t="s">
        <v>1500</v>
      </c>
      <c r="U125" s="273" t="s">
        <v>1501</v>
      </c>
      <c r="V125" s="273"/>
    </row>
    <row r="126" spans="1:22" ht="12.75" customHeight="1" x14ac:dyDescent="0.15">
      <c r="A126" s="308" t="s">
        <v>1292</v>
      </c>
      <c r="B126" s="252" t="s">
        <v>1502</v>
      </c>
      <c r="C126" s="252" t="s">
        <v>1503</v>
      </c>
      <c r="D126" s="254" t="s">
        <v>107</v>
      </c>
      <c r="E126" s="254" t="s">
        <v>1504</v>
      </c>
      <c r="F126" s="253" t="s">
        <v>838</v>
      </c>
      <c r="G126" s="255" t="s">
        <v>840</v>
      </c>
      <c r="H126" s="245" t="s">
        <v>1216</v>
      </c>
      <c r="I126" s="245">
        <v>997</v>
      </c>
      <c r="J126" s="255" t="str">
        <f t="shared" si="4"/>
        <v>adulte inactif, impayé, analyse 08-2017 si potentiel</v>
      </c>
      <c r="K126" s="245">
        <v>4</v>
      </c>
      <c r="L126" s="255" t="str">
        <f t="shared" ref="L126:L157" si="5">VLOOKUP(K126,CAT_JOUEUR,2,FALSE)</f>
        <v>U 17 Hommes</v>
      </c>
      <c r="M126" s="245">
        <v>546</v>
      </c>
      <c r="N126" s="259">
        <v>40917</v>
      </c>
      <c r="O126" s="259">
        <v>40917</v>
      </c>
      <c r="P126" s="256">
        <v>2016</v>
      </c>
      <c r="Q126" s="259">
        <v>37214</v>
      </c>
      <c r="R126" s="307"/>
      <c r="S126" s="254" t="s">
        <v>1508</v>
      </c>
      <c r="T126" s="254"/>
      <c r="U126" s="273" t="s">
        <v>1509</v>
      </c>
      <c r="V126" s="304" t="s">
        <v>1510</v>
      </c>
    </row>
    <row r="127" spans="1:22" ht="12.75" customHeight="1" x14ac:dyDescent="0.15">
      <c r="A127" s="308" t="s">
        <v>1292</v>
      </c>
      <c r="B127" s="252" t="s">
        <v>1232</v>
      </c>
      <c r="C127" s="252" t="s">
        <v>1233</v>
      </c>
      <c r="D127" s="254" t="s">
        <v>107</v>
      </c>
      <c r="E127" s="254" t="s">
        <v>1234</v>
      </c>
      <c r="F127" s="253" t="s">
        <v>1235</v>
      </c>
      <c r="G127" s="255" t="s">
        <v>223</v>
      </c>
      <c r="H127" s="245" t="s">
        <v>1216</v>
      </c>
      <c r="I127" s="245">
        <v>981</v>
      </c>
      <c r="J127" s="255" t="str">
        <f t="shared" si="4"/>
        <v>impayé,lic supprimée,gardé dans memberlist</v>
      </c>
      <c r="K127" s="245">
        <v>19</v>
      </c>
      <c r="L127" s="255" t="str">
        <f t="shared" si="5"/>
        <v>Vétérans - Dames</v>
      </c>
      <c r="M127" s="245">
        <v>461</v>
      </c>
      <c r="N127" s="259">
        <v>40424</v>
      </c>
      <c r="O127" s="259">
        <v>40424</v>
      </c>
      <c r="P127" s="256">
        <v>2016</v>
      </c>
      <c r="Q127" s="259">
        <v>24248</v>
      </c>
      <c r="R127" s="307"/>
      <c r="S127" s="254" t="s">
        <v>1512</v>
      </c>
      <c r="T127" s="254"/>
      <c r="U127" s="273" t="s">
        <v>1513</v>
      </c>
      <c r="V127" s="273" t="s">
        <v>1236</v>
      </c>
    </row>
    <row r="128" spans="1:22" ht="12.75" customHeight="1" x14ac:dyDescent="0.15">
      <c r="A128" s="308" t="s">
        <v>1292</v>
      </c>
      <c r="B128" s="252" t="s">
        <v>1514</v>
      </c>
      <c r="C128" s="252" t="s">
        <v>1515</v>
      </c>
      <c r="D128" s="254" t="s">
        <v>107</v>
      </c>
      <c r="E128" s="254" t="s">
        <v>1516</v>
      </c>
      <c r="F128" s="253" t="s">
        <v>1410</v>
      </c>
      <c r="G128" s="255" t="s">
        <v>241</v>
      </c>
      <c r="H128" s="245" t="s">
        <v>1216</v>
      </c>
      <c r="I128" s="250">
        <v>982</v>
      </c>
      <c r="J128" s="255" t="str">
        <f t="shared" si="4"/>
        <v>impayé, garder licence 16-17 potentiel tft</v>
      </c>
      <c r="K128" s="245">
        <v>12</v>
      </c>
      <c r="L128" s="255" t="str">
        <f t="shared" si="5"/>
        <v>Dames</v>
      </c>
      <c r="M128" s="245">
        <v>186</v>
      </c>
      <c r="N128" s="259">
        <v>38426</v>
      </c>
      <c r="O128" s="259">
        <v>38426</v>
      </c>
      <c r="P128" s="256">
        <v>2015</v>
      </c>
      <c r="Q128" s="259">
        <v>33970</v>
      </c>
      <c r="R128" s="307"/>
      <c r="S128" s="254" t="s">
        <v>1517</v>
      </c>
      <c r="T128" s="254" t="s">
        <v>252</v>
      </c>
      <c r="U128" s="273" t="s">
        <v>1518</v>
      </c>
      <c r="V128" s="273"/>
    </row>
    <row r="129" spans="1:22" ht="12.75" customHeight="1" x14ac:dyDescent="0.15">
      <c r="A129" s="308" t="s">
        <v>1292</v>
      </c>
      <c r="B129" s="252" t="s">
        <v>1519</v>
      </c>
      <c r="C129" s="252" t="s">
        <v>1520</v>
      </c>
      <c r="D129" s="254" t="s">
        <v>107</v>
      </c>
      <c r="E129" s="254" t="s">
        <v>1521</v>
      </c>
      <c r="F129" s="253" t="s">
        <v>110</v>
      </c>
      <c r="G129" s="255" t="s">
        <v>111</v>
      </c>
      <c r="H129" s="245" t="s">
        <v>1216</v>
      </c>
      <c r="I129" s="245">
        <v>978</v>
      </c>
      <c r="J129" s="255" t="str">
        <f t="shared" si="4"/>
        <v>impayé remotiver, officiel ou coach backup</v>
      </c>
      <c r="K129" s="245">
        <v>11</v>
      </c>
      <c r="L129" s="255" t="str">
        <f t="shared" si="5"/>
        <v>Officiel D</v>
      </c>
      <c r="M129" s="245">
        <v>537</v>
      </c>
      <c r="N129" s="259">
        <v>40872</v>
      </c>
      <c r="O129" s="259">
        <v>40872</v>
      </c>
      <c r="P129" s="256" t="s">
        <v>210</v>
      </c>
      <c r="Q129" s="259">
        <v>21922</v>
      </c>
      <c r="R129" s="307" t="s">
        <v>244</v>
      </c>
      <c r="S129" s="254"/>
      <c r="T129" s="254"/>
      <c r="U129" s="273" t="s">
        <v>1522</v>
      </c>
      <c r="V129" s="273" t="s">
        <v>1523</v>
      </c>
    </row>
    <row r="130" spans="1:22" ht="12.75" customHeight="1" x14ac:dyDescent="0.15">
      <c r="A130" s="308" t="s">
        <v>1292</v>
      </c>
      <c r="B130" s="252" t="s">
        <v>1524</v>
      </c>
      <c r="C130" s="252" t="s">
        <v>1525</v>
      </c>
      <c r="D130" s="254" t="s">
        <v>1526</v>
      </c>
      <c r="E130" s="254" t="s">
        <v>1527</v>
      </c>
      <c r="F130" s="253" t="s">
        <v>273</v>
      </c>
      <c r="G130" s="255" t="s">
        <v>274</v>
      </c>
      <c r="H130" s="245" t="s">
        <v>1216</v>
      </c>
      <c r="I130" s="245">
        <v>979</v>
      </c>
      <c r="J130" s="255" t="str">
        <f t="shared" si="4"/>
        <v>impayé jeune garder licence potentiel jeune</v>
      </c>
      <c r="K130" s="245"/>
      <c r="L130" s="255" t="str">
        <f t="shared" si="5"/>
        <v>CAT à compléter</v>
      </c>
      <c r="M130" s="256"/>
      <c r="N130" s="259"/>
      <c r="O130" s="259"/>
      <c r="P130" s="256">
        <v>2016</v>
      </c>
      <c r="Q130" s="259">
        <v>39984</v>
      </c>
      <c r="R130" s="307"/>
      <c r="S130" s="254"/>
      <c r="T130" s="254"/>
      <c r="U130" s="273" t="s">
        <v>1532</v>
      </c>
      <c r="V130" s="273"/>
    </row>
    <row r="131" spans="1:22" ht="12.75" customHeight="1" x14ac:dyDescent="0.15">
      <c r="A131" s="308" t="s">
        <v>1292</v>
      </c>
      <c r="B131" s="252" t="s">
        <v>766</v>
      </c>
      <c r="C131" s="252" t="s">
        <v>1533</v>
      </c>
      <c r="D131" s="254" t="s">
        <v>1489</v>
      </c>
      <c r="E131" s="254" t="s">
        <v>1534</v>
      </c>
      <c r="F131" s="253" t="s">
        <v>1535</v>
      </c>
      <c r="G131" s="255" t="s">
        <v>982</v>
      </c>
      <c r="H131" s="245" t="s">
        <v>1216</v>
      </c>
      <c r="I131" s="245">
        <v>992</v>
      </c>
      <c r="J131" s="255" t="str">
        <f t="shared" si="4"/>
        <v>impayé, garder licence,remotiver joueur-officiel</v>
      </c>
      <c r="K131" s="245">
        <v>12</v>
      </c>
      <c r="L131" s="255" t="str">
        <f t="shared" si="5"/>
        <v>Dames</v>
      </c>
      <c r="M131" s="245">
        <v>361</v>
      </c>
      <c r="N131" s="259">
        <v>36473</v>
      </c>
      <c r="O131" s="259">
        <v>36473</v>
      </c>
      <c r="P131" s="256">
        <v>2016</v>
      </c>
      <c r="Q131" s="259">
        <v>33049</v>
      </c>
      <c r="R131" s="307"/>
      <c r="S131" s="254" t="s">
        <v>783</v>
      </c>
      <c r="T131" s="254"/>
      <c r="U131" s="273" t="s">
        <v>1539</v>
      </c>
      <c r="V131" s="304" t="s">
        <v>1540</v>
      </c>
    </row>
    <row r="132" spans="1:22" ht="12.75" customHeight="1" x14ac:dyDescent="0.15">
      <c r="A132" s="308" t="s">
        <v>1292</v>
      </c>
      <c r="B132" s="252" t="s">
        <v>1542</v>
      </c>
      <c r="C132" s="252" t="s">
        <v>1543</v>
      </c>
      <c r="D132" s="254" t="s">
        <v>107</v>
      </c>
      <c r="E132" s="254" t="s">
        <v>1544</v>
      </c>
      <c r="F132" s="253" t="s">
        <v>692</v>
      </c>
      <c r="G132" s="255" t="s">
        <v>266</v>
      </c>
      <c r="H132" s="245" t="s">
        <v>1216</v>
      </c>
      <c r="I132" s="245">
        <v>997</v>
      </c>
      <c r="J132" s="255" t="str">
        <f t="shared" si="4"/>
        <v>adulte inactif, impayé, analyse 08-2017 si potentiel</v>
      </c>
      <c r="K132" s="245">
        <v>3</v>
      </c>
      <c r="L132" s="255" t="str">
        <f t="shared" si="5"/>
        <v>U 21 Hommes</v>
      </c>
      <c r="M132" s="245">
        <v>524</v>
      </c>
      <c r="N132" s="259">
        <v>40823</v>
      </c>
      <c r="O132" s="259">
        <v>40823</v>
      </c>
      <c r="P132" s="256">
        <v>2015</v>
      </c>
      <c r="Q132" s="259">
        <v>35754</v>
      </c>
      <c r="R132" s="307"/>
      <c r="S132" s="254" t="s">
        <v>1545</v>
      </c>
      <c r="T132" s="254"/>
      <c r="U132" s="273"/>
      <c r="V132" s="273" t="s">
        <v>1546</v>
      </c>
    </row>
    <row r="133" spans="1:22" ht="12.75" customHeight="1" x14ac:dyDescent="0.15">
      <c r="A133" s="308" t="s">
        <v>1292</v>
      </c>
      <c r="B133" s="244" t="s">
        <v>378</v>
      </c>
      <c r="C133" s="252" t="s">
        <v>1547</v>
      </c>
      <c r="D133" s="254" t="s">
        <v>107</v>
      </c>
      <c r="E133" s="254" t="s">
        <v>380</v>
      </c>
      <c r="F133" s="253" t="s">
        <v>381</v>
      </c>
      <c r="G133" s="255" t="s">
        <v>241</v>
      </c>
      <c r="H133" s="245" t="s">
        <v>1548</v>
      </c>
      <c r="I133" s="245">
        <v>981</v>
      </c>
      <c r="J133" s="255" t="str">
        <f t="shared" si="4"/>
        <v>impayé,lic supprimée,gardé dans memberlist</v>
      </c>
      <c r="K133" s="245">
        <v>11</v>
      </c>
      <c r="L133" s="255" t="str">
        <f t="shared" si="5"/>
        <v>Officiel D</v>
      </c>
      <c r="M133" s="245">
        <v>123</v>
      </c>
      <c r="N133" s="259">
        <v>35478</v>
      </c>
      <c r="O133" s="259">
        <v>35478</v>
      </c>
      <c r="P133" s="256" t="s">
        <v>210</v>
      </c>
      <c r="Q133" s="259">
        <v>20973</v>
      </c>
      <c r="R133" s="307" t="s">
        <v>244</v>
      </c>
      <c r="S133" s="254" t="s">
        <v>383</v>
      </c>
      <c r="T133" s="254"/>
      <c r="U133" s="273"/>
      <c r="V133" s="273"/>
    </row>
    <row r="134" spans="1:22" ht="12.75" customHeight="1" x14ac:dyDescent="0.15">
      <c r="A134" s="308" t="s">
        <v>1292</v>
      </c>
      <c r="B134" s="252" t="s">
        <v>378</v>
      </c>
      <c r="C134" s="252" t="s">
        <v>1549</v>
      </c>
      <c r="D134" s="254" t="s">
        <v>107</v>
      </c>
      <c r="E134" s="254" t="s">
        <v>380</v>
      </c>
      <c r="F134" s="253" t="s">
        <v>381</v>
      </c>
      <c r="G134" s="255" t="s">
        <v>241</v>
      </c>
      <c r="H134" s="245" t="s">
        <v>1548</v>
      </c>
      <c r="I134" s="245">
        <v>981</v>
      </c>
      <c r="J134" s="255" t="str">
        <f t="shared" si="4"/>
        <v>impayé,lic supprimée,gardé dans memberlist</v>
      </c>
      <c r="K134" s="245">
        <v>1</v>
      </c>
      <c r="L134" s="255" t="str">
        <f t="shared" si="5"/>
        <v>Officiel H</v>
      </c>
      <c r="M134" s="245">
        <v>122</v>
      </c>
      <c r="N134" s="259">
        <v>35478</v>
      </c>
      <c r="O134" s="259">
        <v>35478</v>
      </c>
      <c r="P134" s="256" t="s">
        <v>210</v>
      </c>
      <c r="Q134" s="259">
        <v>21231</v>
      </c>
      <c r="R134" s="307" t="s">
        <v>244</v>
      </c>
      <c r="S134" s="254" t="s">
        <v>383</v>
      </c>
      <c r="T134" s="254"/>
      <c r="U134" s="273"/>
      <c r="V134" s="273"/>
    </row>
    <row r="135" spans="1:22" ht="12.75" customHeight="1" x14ac:dyDescent="0.15">
      <c r="A135" s="308" t="s">
        <v>1292</v>
      </c>
      <c r="B135" s="252" t="s">
        <v>914</v>
      </c>
      <c r="C135" s="252" t="s">
        <v>1552</v>
      </c>
      <c r="D135" s="254" t="s">
        <v>1553</v>
      </c>
      <c r="E135" s="254"/>
      <c r="F135" s="253"/>
      <c r="G135" s="255"/>
      <c r="H135" s="245" t="s">
        <v>1216</v>
      </c>
      <c r="I135" s="245">
        <v>981</v>
      </c>
      <c r="J135" s="255" t="str">
        <f t="shared" si="4"/>
        <v>impayé,lic supprimée,gardé dans memberlist</v>
      </c>
      <c r="K135" s="245">
        <v>12</v>
      </c>
      <c r="L135" s="255" t="str">
        <f t="shared" si="5"/>
        <v>Dames</v>
      </c>
      <c r="M135" s="256">
        <v>158</v>
      </c>
      <c r="N135" s="259"/>
      <c r="O135" s="259"/>
      <c r="P135" s="245" t="s">
        <v>242</v>
      </c>
      <c r="Q135" s="259"/>
      <c r="R135" s="307"/>
      <c r="S135" s="254"/>
      <c r="T135" s="254"/>
      <c r="U135" s="254"/>
      <c r="V135" s="254" t="s">
        <v>1555</v>
      </c>
    </row>
    <row r="136" spans="1:22" ht="12.75" customHeight="1" x14ac:dyDescent="0.15">
      <c r="A136" s="308" t="s">
        <v>1292</v>
      </c>
      <c r="B136" s="252" t="s">
        <v>1556</v>
      </c>
      <c r="C136" s="252" t="s">
        <v>895</v>
      </c>
      <c r="D136" s="254" t="s">
        <v>107</v>
      </c>
      <c r="E136" s="254" t="s">
        <v>1557</v>
      </c>
      <c r="F136" s="253" t="s">
        <v>838</v>
      </c>
      <c r="G136" s="255" t="s">
        <v>840</v>
      </c>
      <c r="H136" s="245" t="s">
        <v>1558</v>
      </c>
      <c r="I136" s="245">
        <v>997</v>
      </c>
      <c r="J136" s="255" t="str">
        <f t="shared" si="4"/>
        <v>adulte inactif, impayé, analyse 08-2017 si potentiel</v>
      </c>
      <c r="K136" s="245">
        <v>4</v>
      </c>
      <c r="L136" s="255" t="str">
        <f t="shared" si="5"/>
        <v>U 17 Hommes</v>
      </c>
      <c r="M136" s="245">
        <v>534</v>
      </c>
      <c r="N136" s="259">
        <v>40868</v>
      </c>
      <c r="O136" s="259">
        <v>40868</v>
      </c>
      <c r="P136" s="256">
        <v>2016</v>
      </c>
      <c r="Q136" s="259">
        <v>36903</v>
      </c>
      <c r="R136" s="307"/>
      <c r="S136" s="254" t="s">
        <v>1559</v>
      </c>
      <c r="T136" s="254"/>
      <c r="U136" s="273" t="s">
        <v>1560</v>
      </c>
      <c r="V136" s="304" t="s">
        <v>1561</v>
      </c>
    </row>
    <row r="137" spans="1:22" ht="12.75" customHeight="1" x14ac:dyDescent="0.15">
      <c r="A137" s="308" t="s">
        <v>1292</v>
      </c>
      <c r="B137" s="252" t="s">
        <v>1556</v>
      </c>
      <c r="C137" s="252" t="s">
        <v>1566</v>
      </c>
      <c r="D137" s="254" t="s">
        <v>107</v>
      </c>
      <c r="E137" s="254" t="s">
        <v>1557</v>
      </c>
      <c r="F137" s="253" t="s">
        <v>838</v>
      </c>
      <c r="G137" s="255" t="s">
        <v>840</v>
      </c>
      <c r="H137" s="245" t="s">
        <v>1558</v>
      </c>
      <c r="I137" s="245">
        <v>997</v>
      </c>
      <c r="J137" s="255" t="str">
        <f t="shared" si="4"/>
        <v>adulte inactif, impayé, analyse 08-2017 si potentiel</v>
      </c>
      <c r="K137" s="245">
        <v>14</v>
      </c>
      <c r="L137" s="255" t="str">
        <f t="shared" si="5"/>
        <v>U 17 Dames</v>
      </c>
      <c r="M137" s="245">
        <v>653</v>
      </c>
      <c r="N137" s="259">
        <v>42051</v>
      </c>
      <c r="O137" s="259">
        <v>42051</v>
      </c>
      <c r="P137" s="256">
        <v>2016</v>
      </c>
      <c r="Q137" s="259">
        <v>38240</v>
      </c>
      <c r="R137" s="307"/>
      <c r="S137" s="254"/>
      <c r="T137" s="254"/>
      <c r="U137" s="273" t="s">
        <v>1560</v>
      </c>
      <c r="V137" s="304" t="s">
        <v>1561</v>
      </c>
    </row>
    <row r="138" spans="1:22" ht="12.75" customHeight="1" x14ac:dyDescent="0.15">
      <c r="A138" s="308" t="s">
        <v>1292</v>
      </c>
      <c r="B138" s="252" t="s">
        <v>1567</v>
      </c>
      <c r="C138" s="252" t="s">
        <v>1568</v>
      </c>
      <c r="D138" s="254" t="s">
        <v>263</v>
      </c>
      <c r="E138" s="254" t="s">
        <v>1569</v>
      </c>
      <c r="F138" s="253" t="s">
        <v>847</v>
      </c>
      <c r="G138" s="255" t="s">
        <v>848</v>
      </c>
      <c r="H138" s="245" t="s">
        <v>1216</v>
      </c>
      <c r="I138" s="245">
        <v>997</v>
      </c>
      <c r="J138" s="255" t="str">
        <f t="shared" si="4"/>
        <v>adulte inactif, impayé, analyse 08-2017 si potentiel</v>
      </c>
      <c r="K138" s="245">
        <v>12</v>
      </c>
      <c r="L138" s="255" t="str">
        <f t="shared" si="5"/>
        <v>Dames</v>
      </c>
      <c r="M138" s="245">
        <v>588</v>
      </c>
      <c r="N138" s="259">
        <v>41240</v>
      </c>
      <c r="O138" s="259">
        <v>41240</v>
      </c>
      <c r="P138" s="256">
        <v>2016</v>
      </c>
      <c r="Q138" s="259">
        <v>34357</v>
      </c>
      <c r="R138" s="307"/>
      <c r="S138" s="254" t="s">
        <v>1570</v>
      </c>
      <c r="T138" s="254"/>
      <c r="U138" s="262">
        <v>621221755</v>
      </c>
      <c r="V138" s="273" t="s">
        <v>1571</v>
      </c>
    </row>
    <row r="139" spans="1:22" ht="12.75" customHeight="1" x14ac:dyDescent="0.15">
      <c r="A139" s="308" t="s">
        <v>1292</v>
      </c>
      <c r="B139" s="252" t="s">
        <v>1007</v>
      </c>
      <c r="C139" s="252" t="s">
        <v>1275</v>
      </c>
      <c r="D139" s="254" t="s">
        <v>263</v>
      </c>
      <c r="E139" s="254" t="s">
        <v>1009</v>
      </c>
      <c r="F139" s="253" t="s">
        <v>418</v>
      </c>
      <c r="G139" s="255" t="s">
        <v>257</v>
      </c>
      <c r="H139" s="245" t="s">
        <v>1572</v>
      </c>
      <c r="I139" s="245"/>
      <c r="J139" s="255" t="str">
        <f t="shared" si="4"/>
        <v>CAT à compléter</v>
      </c>
      <c r="K139" s="245" t="s">
        <v>252</v>
      </c>
      <c r="L139" s="255" t="e">
        <f t="shared" si="5"/>
        <v>#N/A</v>
      </c>
      <c r="M139" s="256"/>
      <c r="N139" s="259"/>
      <c r="O139" s="259"/>
      <c r="P139" s="256">
        <v>2018</v>
      </c>
      <c r="Q139" s="259">
        <v>33645</v>
      </c>
      <c r="R139" s="307"/>
      <c r="S139" s="277" t="s">
        <v>1573</v>
      </c>
      <c r="T139" s="254"/>
      <c r="U139" s="262">
        <v>621221755</v>
      </c>
      <c r="V139" s="304" t="s">
        <v>1574</v>
      </c>
    </row>
    <row r="140" spans="1:22" ht="12.75" customHeight="1" x14ac:dyDescent="0.15">
      <c r="A140" s="308" t="s">
        <v>1292</v>
      </c>
      <c r="B140" s="252" t="s">
        <v>1578</v>
      </c>
      <c r="C140" s="252" t="s">
        <v>991</v>
      </c>
      <c r="D140" s="254" t="s">
        <v>1553</v>
      </c>
      <c r="E140" s="254"/>
      <c r="F140" s="253"/>
      <c r="G140" s="255"/>
      <c r="H140" s="256" t="s">
        <v>1216</v>
      </c>
      <c r="I140" s="245">
        <v>997</v>
      </c>
      <c r="J140" s="255" t="str">
        <f t="shared" si="4"/>
        <v>adulte inactif, impayé, analyse 08-2017 si potentiel</v>
      </c>
      <c r="K140" s="245">
        <v>2</v>
      </c>
      <c r="L140" s="255" t="str">
        <f t="shared" si="5"/>
        <v>Seniors - Hommes</v>
      </c>
      <c r="M140" s="257" t="s">
        <v>1579</v>
      </c>
      <c r="N140" s="259"/>
      <c r="O140" s="259"/>
      <c r="P140" s="256">
        <v>2017</v>
      </c>
      <c r="Q140" s="259"/>
      <c r="R140" s="307"/>
      <c r="S140" s="254"/>
      <c r="T140" s="254"/>
      <c r="U140" s="273"/>
      <c r="V140" s="273"/>
    </row>
    <row r="141" spans="1:22" ht="12.75" customHeight="1" x14ac:dyDescent="0.15">
      <c r="A141" s="308" t="s">
        <v>1292</v>
      </c>
      <c r="B141" s="252" t="s">
        <v>437</v>
      </c>
      <c r="C141" s="252" t="s">
        <v>1538</v>
      </c>
      <c r="D141" s="254" t="s">
        <v>107</v>
      </c>
      <c r="E141" s="254" t="s">
        <v>439</v>
      </c>
      <c r="F141" s="253" t="s">
        <v>240</v>
      </c>
      <c r="G141" s="255" t="s">
        <v>135</v>
      </c>
      <c r="H141" s="245" t="s">
        <v>1580</v>
      </c>
      <c r="I141" s="245">
        <v>997</v>
      </c>
      <c r="J141" s="255" t="str">
        <f t="shared" si="4"/>
        <v>adulte inactif, impayé, analyse 08-2017 si potentiel</v>
      </c>
      <c r="K141" s="245">
        <v>12</v>
      </c>
      <c r="L141" s="255" t="str">
        <f t="shared" si="5"/>
        <v>Dames</v>
      </c>
      <c r="M141" s="245">
        <v>118</v>
      </c>
      <c r="N141" s="259">
        <v>39191</v>
      </c>
      <c r="O141" s="259">
        <v>39191</v>
      </c>
      <c r="P141" s="256">
        <v>2019</v>
      </c>
      <c r="Q141" s="259">
        <v>35628</v>
      </c>
      <c r="R141" s="307"/>
      <c r="S141" s="254" t="s">
        <v>441</v>
      </c>
      <c r="T141" s="254"/>
      <c r="U141" s="273" t="s">
        <v>1581</v>
      </c>
      <c r="V141" s="304" t="s">
        <v>1582</v>
      </c>
    </row>
    <row r="142" spans="1:22" ht="12.75" customHeight="1" x14ac:dyDescent="0.15">
      <c r="A142" s="308" t="s">
        <v>1292</v>
      </c>
      <c r="B142" s="252" t="s">
        <v>1583</v>
      </c>
      <c r="C142" s="252" t="s">
        <v>960</v>
      </c>
      <c r="D142" s="254" t="s">
        <v>107</v>
      </c>
      <c r="E142" s="254" t="s">
        <v>1584</v>
      </c>
      <c r="F142" s="253" t="s">
        <v>1585</v>
      </c>
      <c r="G142" s="255" t="s">
        <v>241</v>
      </c>
      <c r="H142" s="245" t="s">
        <v>1216</v>
      </c>
      <c r="I142" s="245">
        <v>982</v>
      </c>
      <c r="J142" s="255" t="str">
        <f t="shared" si="4"/>
        <v>impayé, garder licence 16-17 potentiel tft</v>
      </c>
      <c r="K142" s="245">
        <v>2</v>
      </c>
      <c r="L142" s="255" t="str">
        <f t="shared" si="5"/>
        <v>Seniors - Hommes</v>
      </c>
      <c r="M142" s="256">
        <v>675</v>
      </c>
      <c r="N142" s="259">
        <v>42501</v>
      </c>
      <c r="O142" s="259">
        <v>42501</v>
      </c>
      <c r="P142" s="245">
        <v>2017</v>
      </c>
      <c r="Q142" s="259">
        <v>32680</v>
      </c>
      <c r="R142" s="307"/>
      <c r="S142" s="254" t="s">
        <v>1587</v>
      </c>
      <c r="T142" s="254"/>
      <c r="U142" s="262">
        <v>691812917</v>
      </c>
      <c r="V142" s="305" t="s">
        <v>1588</v>
      </c>
    </row>
    <row r="143" spans="1:22" ht="12.75" customHeight="1" x14ac:dyDescent="0.15">
      <c r="A143" s="308" t="s">
        <v>1292</v>
      </c>
      <c r="B143" s="252" t="s">
        <v>1589</v>
      </c>
      <c r="C143" s="252"/>
      <c r="D143" s="254"/>
      <c r="E143" s="254" t="s">
        <v>1590</v>
      </c>
      <c r="F143" s="253" t="s">
        <v>1591</v>
      </c>
      <c r="G143" s="255" t="s">
        <v>1592</v>
      </c>
      <c r="H143" s="245" t="s">
        <v>268</v>
      </c>
      <c r="I143" s="245"/>
      <c r="J143" s="255" t="str">
        <f t="shared" si="4"/>
        <v>CAT à compléter</v>
      </c>
      <c r="K143" s="245"/>
      <c r="L143" s="255" t="str">
        <f t="shared" si="5"/>
        <v>CAT à compléter</v>
      </c>
      <c r="M143" s="245"/>
      <c r="N143" s="259"/>
      <c r="O143" s="259"/>
      <c r="P143" s="256" t="s">
        <v>242</v>
      </c>
      <c r="Q143" s="259"/>
      <c r="R143" s="307"/>
      <c r="S143" s="254"/>
      <c r="T143" s="254"/>
      <c r="U143" s="273"/>
      <c r="V143" s="304"/>
    </row>
    <row r="144" spans="1:22" ht="12.75" customHeight="1" x14ac:dyDescent="0.15">
      <c r="A144" s="308" t="s">
        <v>1292</v>
      </c>
      <c r="B144" s="252" t="s">
        <v>1594</v>
      </c>
      <c r="C144" s="252" t="s">
        <v>1595</v>
      </c>
      <c r="D144" s="254" t="s">
        <v>107</v>
      </c>
      <c r="E144" s="254" t="s">
        <v>439</v>
      </c>
      <c r="F144" s="253" t="s">
        <v>240</v>
      </c>
      <c r="G144" s="255" t="s">
        <v>135</v>
      </c>
      <c r="H144" s="245" t="s">
        <v>1580</v>
      </c>
      <c r="I144" s="245">
        <v>981</v>
      </c>
      <c r="J144" s="255" t="str">
        <f t="shared" si="4"/>
        <v>impayé,lic supprimée,gardé dans memberlist</v>
      </c>
      <c r="K144" s="245">
        <v>11</v>
      </c>
      <c r="L144" s="255" t="str">
        <f t="shared" si="5"/>
        <v>Officiel D</v>
      </c>
      <c r="M144" s="245"/>
      <c r="N144" s="259">
        <v>39477</v>
      </c>
      <c r="O144" s="259">
        <v>39477</v>
      </c>
      <c r="P144" s="256" t="s">
        <v>210</v>
      </c>
      <c r="Q144" s="259">
        <v>25818</v>
      </c>
      <c r="R144" s="307" t="s">
        <v>244</v>
      </c>
      <c r="S144" s="254" t="s">
        <v>441</v>
      </c>
      <c r="T144" s="254"/>
      <c r="U144" s="273" t="s">
        <v>1596</v>
      </c>
      <c r="V144" s="304" t="s">
        <v>1582</v>
      </c>
    </row>
    <row r="145" spans="1:22" ht="12.75" customHeight="1" x14ac:dyDescent="0.15">
      <c r="A145" s="308" t="s">
        <v>1292</v>
      </c>
      <c r="B145" s="252" t="s">
        <v>1597</v>
      </c>
      <c r="C145" s="252" t="s">
        <v>1598</v>
      </c>
      <c r="D145" s="254" t="s">
        <v>1599</v>
      </c>
      <c r="E145" s="277" t="s">
        <v>1600</v>
      </c>
      <c r="F145" s="253" t="s">
        <v>1129</v>
      </c>
      <c r="G145" s="309" t="s">
        <v>1602</v>
      </c>
      <c r="H145" s="245" t="s">
        <v>1216</v>
      </c>
      <c r="I145" s="245">
        <v>997</v>
      </c>
      <c r="J145" s="255" t="str">
        <f t="shared" si="4"/>
        <v>adulte inactif, impayé, analyse 08-2017 si potentiel</v>
      </c>
      <c r="K145" s="245">
        <v>3</v>
      </c>
      <c r="L145" s="255" t="str">
        <f t="shared" si="5"/>
        <v>U 21 Hommes</v>
      </c>
      <c r="M145" s="256">
        <v>595</v>
      </c>
      <c r="N145" s="259">
        <v>41380</v>
      </c>
      <c r="O145" s="259">
        <v>41380</v>
      </c>
      <c r="P145" s="245">
        <v>2015</v>
      </c>
      <c r="Q145" s="259">
        <v>35527</v>
      </c>
      <c r="R145" s="307"/>
      <c r="S145" s="254"/>
      <c r="T145" s="277"/>
      <c r="U145" s="262">
        <v>661606086</v>
      </c>
      <c r="V145" s="305" t="s">
        <v>1608</v>
      </c>
    </row>
    <row r="146" spans="1:22" ht="12.75" customHeight="1" x14ac:dyDescent="0.15">
      <c r="A146" s="308" t="s">
        <v>1292</v>
      </c>
      <c r="B146" s="252" t="s">
        <v>1611</v>
      </c>
      <c r="C146" s="252" t="s">
        <v>1233</v>
      </c>
      <c r="D146" s="254" t="s">
        <v>263</v>
      </c>
      <c r="E146" s="277" t="s">
        <v>1612</v>
      </c>
      <c r="F146" s="253" t="s">
        <v>1613</v>
      </c>
      <c r="G146" s="309" t="s">
        <v>582</v>
      </c>
      <c r="H146" s="245" t="s">
        <v>1216</v>
      </c>
      <c r="I146" s="245">
        <v>997</v>
      </c>
      <c r="J146" s="255" t="str">
        <f t="shared" si="4"/>
        <v>adulte inactif, impayé, analyse 08-2017 si potentiel</v>
      </c>
      <c r="K146" s="245">
        <v>12</v>
      </c>
      <c r="L146" s="255" t="str">
        <f t="shared" si="5"/>
        <v>Dames</v>
      </c>
      <c r="M146" s="256"/>
      <c r="N146" s="259">
        <v>41240</v>
      </c>
      <c r="O146" s="259">
        <v>41240</v>
      </c>
      <c r="P146" s="245">
        <v>2016</v>
      </c>
      <c r="Q146" s="259">
        <v>34615</v>
      </c>
      <c r="R146" s="307"/>
      <c r="S146" s="254"/>
      <c r="T146" s="277"/>
      <c r="U146" s="262">
        <v>691591033</v>
      </c>
      <c r="V146" s="254"/>
    </row>
    <row r="147" spans="1:22" ht="12.75" customHeight="1" x14ac:dyDescent="0.15">
      <c r="A147" s="308" t="s">
        <v>1292</v>
      </c>
      <c r="B147" s="244" t="s">
        <v>1614</v>
      </c>
      <c r="C147" s="252" t="s">
        <v>644</v>
      </c>
      <c r="D147" s="254" t="s">
        <v>107</v>
      </c>
      <c r="E147" s="254" t="s">
        <v>1615</v>
      </c>
      <c r="F147" s="307" t="s">
        <v>1616</v>
      </c>
      <c r="G147" s="310" t="s">
        <v>1617</v>
      </c>
      <c r="H147" s="311" t="s">
        <v>1216</v>
      </c>
      <c r="I147" s="245">
        <v>981</v>
      </c>
      <c r="J147" s="255" t="str">
        <f t="shared" si="4"/>
        <v>impayé,lic supprimée,gardé dans memberlist</v>
      </c>
      <c r="K147" s="245">
        <v>1</v>
      </c>
      <c r="L147" s="255" t="str">
        <f t="shared" si="5"/>
        <v>Officiel H</v>
      </c>
      <c r="M147" s="245"/>
      <c r="N147" s="259">
        <v>36381</v>
      </c>
      <c r="O147" s="259">
        <v>36381</v>
      </c>
      <c r="P147" s="256" t="s">
        <v>242</v>
      </c>
      <c r="Q147" s="259">
        <v>20532</v>
      </c>
      <c r="R147" s="307" t="s">
        <v>244</v>
      </c>
      <c r="S147" s="312" t="s">
        <v>1622</v>
      </c>
      <c r="T147" s="254" t="s">
        <v>1624</v>
      </c>
      <c r="U147" s="254"/>
      <c r="V147" s="305" t="s">
        <v>1625</v>
      </c>
    </row>
    <row r="148" spans="1:22" ht="12.75" customHeight="1" x14ac:dyDescent="0.15">
      <c r="A148" s="308" t="s">
        <v>1292</v>
      </c>
      <c r="B148" s="244" t="s">
        <v>1626</v>
      </c>
      <c r="C148" s="252" t="s">
        <v>753</v>
      </c>
      <c r="D148" s="254" t="s">
        <v>107</v>
      </c>
      <c r="E148" s="254" t="s">
        <v>1627</v>
      </c>
      <c r="F148" s="253" t="s">
        <v>1628</v>
      </c>
      <c r="G148" s="255" t="s">
        <v>223</v>
      </c>
      <c r="H148" s="245" t="s">
        <v>1629</v>
      </c>
      <c r="I148" s="245"/>
      <c r="J148" s="255" t="str">
        <f t="shared" si="4"/>
        <v>CAT à compléter</v>
      </c>
      <c r="K148" s="245">
        <v>3</v>
      </c>
      <c r="L148" s="255" t="str">
        <f t="shared" si="5"/>
        <v>U 21 Hommes</v>
      </c>
      <c r="M148" s="245">
        <v>130</v>
      </c>
      <c r="N148" s="259">
        <v>39923</v>
      </c>
      <c r="O148" s="259">
        <v>39923</v>
      </c>
      <c r="P148" s="256">
        <v>2019</v>
      </c>
      <c r="Q148" s="259">
        <v>35543</v>
      </c>
      <c r="R148" s="255"/>
      <c r="S148" s="254" t="s">
        <v>1630</v>
      </c>
      <c r="T148" s="254"/>
      <c r="U148" s="273" t="s">
        <v>1631</v>
      </c>
      <c r="V148" s="304" t="s">
        <v>1632</v>
      </c>
    </row>
    <row r="149" spans="1:22" ht="12.75" customHeight="1" x14ac:dyDescent="0.15">
      <c r="A149" s="308" t="s">
        <v>1292</v>
      </c>
      <c r="B149" s="252" t="s">
        <v>1280</v>
      </c>
      <c r="C149" s="252" t="s">
        <v>1281</v>
      </c>
      <c r="D149" s="254" t="s">
        <v>263</v>
      </c>
      <c r="E149" s="254" t="s">
        <v>1282</v>
      </c>
      <c r="F149" s="253" t="s">
        <v>1283</v>
      </c>
      <c r="G149" s="255" t="s">
        <v>1284</v>
      </c>
      <c r="H149" s="245" t="s">
        <v>1216</v>
      </c>
      <c r="I149" s="245">
        <v>981</v>
      </c>
      <c r="J149" s="255" t="str">
        <f t="shared" si="4"/>
        <v>impayé,lic supprimée,gardé dans memberlist</v>
      </c>
      <c r="K149" s="245">
        <v>19</v>
      </c>
      <c r="L149" s="255" t="str">
        <f t="shared" si="5"/>
        <v>Vétérans - Dames</v>
      </c>
      <c r="M149" s="245"/>
      <c r="N149" s="259">
        <v>41928</v>
      </c>
      <c r="O149" s="259">
        <v>41928</v>
      </c>
      <c r="P149" s="256">
        <v>2015</v>
      </c>
      <c r="Q149" s="259">
        <v>29348</v>
      </c>
      <c r="R149" s="307"/>
      <c r="S149" s="254"/>
      <c r="T149" s="254" t="s">
        <v>252</v>
      </c>
      <c r="U149" s="273" t="s">
        <v>1637</v>
      </c>
      <c r="V149" s="304" t="s">
        <v>1286</v>
      </c>
    </row>
    <row r="150" spans="1:22" ht="12.75" customHeight="1" x14ac:dyDescent="0.15">
      <c r="A150" s="308" t="s">
        <v>1292</v>
      </c>
      <c r="B150" s="252" t="s">
        <v>1288</v>
      </c>
      <c r="C150" s="252" t="s">
        <v>1192</v>
      </c>
      <c r="D150" s="254" t="s">
        <v>1553</v>
      </c>
      <c r="E150" s="254"/>
      <c r="F150" s="253"/>
      <c r="G150" s="255"/>
      <c r="H150" s="256" t="s">
        <v>1216</v>
      </c>
      <c r="I150" s="245">
        <v>997</v>
      </c>
      <c r="J150" s="255" t="str">
        <f t="shared" si="4"/>
        <v>adulte inactif, impayé, analyse 08-2017 si potentiel</v>
      </c>
      <c r="K150" s="245">
        <v>2</v>
      </c>
      <c r="L150" s="255" t="str">
        <f t="shared" si="5"/>
        <v>Seniors - Hommes</v>
      </c>
      <c r="M150" s="257" t="s">
        <v>1638</v>
      </c>
      <c r="N150" s="259"/>
      <c r="O150" s="259"/>
      <c r="P150" s="256" t="s">
        <v>242</v>
      </c>
      <c r="Q150" s="259">
        <v>33137</v>
      </c>
      <c r="R150" s="307"/>
      <c r="S150" s="254"/>
      <c r="T150" s="254"/>
      <c r="U150" s="273"/>
      <c r="V150" s="255"/>
    </row>
    <row r="151" spans="1:22" ht="12.75" customHeight="1" x14ac:dyDescent="0.15">
      <c r="A151" s="308" t="s">
        <v>1292</v>
      </c>
      <c r="B151" s="252" t="s">
        <v>1641</v>
      </c>
      <c r="C151" s="252" t="s">
        <v>1642</v>
      </c>
      <c r="D151" s="254" t="s">
        <v>107</v>
      </c>
      <c r="E151" s="254" t="s">
        <v>1643</v>
      </c>
      <c r="F151" s="253" t="s">
        <v>471</v>
      </c>
      <c r="G151" s="255" t="s">
        <v>135</v>
      </c>
      <c r="H151" s="245" t="s">
        <v>1644</v>
      </c>
      <c r="I151" s="245">
        <v>997</v>
      </c>
      <c r="J151" s="255" t="str">
        <f t="shared" si="4"/>
        <v>adulte inactif, impayé, analyse 08-2017 si potentiel</v>
      </c>
      <c r="K151" s="245">
        <v>12</v>
      </c>
      <c r="L151" s="255" t="str">
        <f t="shared" si="5"/>
        <v>Dames</v>
      </c>
      <c r="M151" s="245"/>
      <c r="N151" s="259">
        <v>39392</v>
      </c>
      <c r="O151" s="259">
        <v>39392</v>
      </c>
      <c r="P151" s="256">
        <v>2018</v>
      </c>
      <c r="Q151" s="259">
        <v>35252</v>
      </c>
      <c r="R151" s="307"/>
      <c r="S151" s="254" t="s">
        <v>1649</v>
      </c>
      <c r="T151" s="254" t="s">
        <v>1650</v>
      </c>
      <c r="U151" s="273" t="s">
        <v>1651</v>
      </c>
      <c r="V151" s="273" t="s">
        <v>1652</v>
      </c>
    </row>
    <row r="152" spans="1:22" ht="12.75" customHeight="1" x14ac:dyDescent="0.15">
      <c r="A152" s="308" t="s">
        <v>1292</v>
      </c>
      <c r="B152" s="252" t="s">
        <v>667</v>
      </c>
      <c r="C152" s="252" t="s">
        <v>1653</v>
      </c>
      <c r="D152" s="254" t="s">
        <v>107</v>
      </c>
      <c r="E152" s="254" t="s">
        <v>1654</v>
      </c>
      <c r="F152" s="253" t="s">
        <v>1655</v>
      </c>
      <c r="G152" s="255" t="s">
        <v>1656</v>
      </c>
      <c r="H152" s="245" t="s">
        <v>1216</v>
      </c>
      <c r="I152" s="245">
        <v>987</v>
      </c>
      <c r="J152" s="255" t="e">
        <f t="shared" si="4"/>
        <v>#N/A</v>
      </c>
      <c r="K152" s="245">
        <v>12</v>
      </c>
      <c r="L152" s="255" t="str">
        <f t="shared" si="5"/>
        <v>Dames</v>
      </c>
      <c r="M152" s="245">
        <v>201</v>
      </c>
      <c r="N152" s="259">
        <v>33225</v>
      </c>
      <c r="O152" s="259">
        <v>33225</v>
      </c>
      <c r="P152" s="256">
        <v>2012</v>
      </c>
      <c r="Q152" s="259">
        <v>30178</v>
      </c>
      <c r="R152" s="307"/>
      <c r="S152" s="254" t="s">
        <v>1657</v>
      </c>
      <c r="T152" s="254"/>
      <c r="U152" s="273" t="s">
        <v>1658</v>
      </c>
      <c r="V152" s="304" t="s">
        <v>1659</v>
      </c>
    </row>
    <row r="153" spans="1:22" ht="12.75" customHeight="1" x14ac:dyDescent="0.15">
      <c r="A153" s="308" t="s">
        <v>1292</v>
      </c>
      <c r="B153" s="252" t="s">
        <v>373</v>
      </c>
      <c r="C153" s="252" t="s">
        <v>1568</v>
      </c>
      <c r="D153" s="254" t="s">
        <v>107</v>
      </c>
      <c r="E153" s="254" t="s">
        <v>1660</v>
      </c>
      <c r="F153" s="253" t="s">
        <v>1662</v>
      </c>
      <c r="G153" s="255" t="s">
        <v>1592</v>
      </c>
      <c r="H153" s="245" t="s">
        <v>1216</v>
      </c>
      <c r="I153" s="245">
        <v>981</v>
      </c>
      <c r="J153" s="255" t="str">
        <f t="shared" si="4"/>
        <v>impayé,lic supprimée,gardé dans memberlist</v>
      </c>
      <c r="K153" s="245">
        <v>12</v>
      </c>
      <c r="L153" s="255" t="str">
        <f t="shared" si="5"/>
        <v>Dames</v>
      </c>
      <c r="M153" s="245">
        <v>659</v>
      </c>
      <c r="N153" s="259">
        <v>42201</v>
      </c>
      <c r="O153" s="259">
        <v>42201</v>
      </c>
      <c r="P153" s="256">
        <v>2017</v>
      </c>
      <c r="Q153" s="259">
        <v>36219</v>
      </c>
      <c r="R153" s="307"/>
      <c r="S153" s="254" t="s">
        <v>1667</v>
      </c>
      <c r="T153" s="254"/>
      <c r="U153" s="273" t="s">
        <v>1668</v>
      </c>
      <c r="V153" s="304" t="s">
        <v>1669</v>
      </c>
    </row>
    <row r="154" spans="1:22" ht="12.75" customHeight="1" x14ac:dyDescent="0.15">
      <c r="A154" s="308" t="s">
        <v>1292</v>
      </c>
      <c r="B154" s="252" t="s">
        <v>1670</v>
      </c>
      <c r="C154" s="252" t="s">
        <v>1671</v>
      </c>
      <c r="D154" s="255" t="s">
        <v>107</v>
      </c>
      <c r="E154" s="254" t="s">
        <v>1672</v>
      </c>
      <c r="F154" s="253" t="s">
        <v>1673</v>
      </c>
      <c r="G154" s="255" t="s">
        <v>223</v>
      </c>
      <c r="H154" s="245" t="s">
        <v>1216</v>
      </c>
      <c r="I154" s="245">
        <v>982</v>
      </c>
      <c r="J154" s="255" t="str">
        <f t="shared" si="4"/>
        <v>impayé, garder licence 16-17 potentiel tft</v>
      </c>
      <c r="K154" s="245">
        <v>12</v>
      </c>
      <c r="L154" s="255" t="str">
        <f t="shared" si="5"/>
        <v>Dames</v>
      </c>
      <c r="M154" s="245">
        <v>628</v>
      </c>
      <c r="N154" s="259">
        <v>41922</v>
      </c>
      <c r="O154" s="259">
        <v>41922</v>
      </c>
      <c r="P154" s="256">
        <v>2017</v>
      </c>
      <c r="Q154" s="259">
        <v>33578</v>
      </c>
      <c r="R154" s="307"/>
      <c r="S154" s="254" t="s">
        <v>1674</v>
      </c>
      <c r="T154" s="254"/>
      <c r="U154" s="273" t="s">
        <v>1675</v>
      </c>
      <c r="V154" s="304" t="s">
        <v>1676</v>
      </c>
    </row>
    <row r="155" spans="1:22" ht="12.75" customHeight="1" x14ac:dyDescent="0.15">
      <c r="A155" s="308" t="s">
        <v>1292</v>
      </c>
      <c r="B155" s="252" t="s">
        <v>1237</v>
      </c>
      <c r="C155" s="252" t="s">
        <v>1238</v>
      </c>
      <c r="D155" s="254" t="s">
        <v>1239</v>
      </c>
      <c r="E155" s="254" t="s">
        <v>1240</v>
      </c>
      <c r="F155" s="253" t="s">
        <v>716</v>
      </c>
      <c r="G155" s="255" t="s">
        <v>717</v>
      </c>
      <c r="H155" s="245" t="s">
        <v>1216</v>
      </c>
      <c r="I155" s="245">
        <v>981</v>
      </c>
      <c r="J155" s="255" t="str">
        <f t="shared" si="4"/>
        <v>impayé,lic supprimée,gardé dans memberlist</v>
      </c>
      <c r="K155" s="245">
        <v>19</v>
      </c>
      <c r="L155" s="255" t="str">
        <f t="shared" si="5"/>
        <v>Vétérans - Dames</v>
      </c>
      <c r="M155" s="245">
        <v>401</v>
      </c>
      <c r="N155" s="259">
        <v>36850</v>
      </c>
      <c r="O155" s="259">
        <v>36850</v>
      </c>
      <c r="P155" s="256">
        <v>2018</v>
      </c>
      <c r="Q155" s="259">
        <v>26679</v>
      </c>
      <c r="R155" s="307"/>
      <c r="S155" s="254" t="s">
        <v>1679</v>
      </c>
      <c r="T155" s="254" t="s">
        <v>252</v>
      </c>
      <c r="U155" s="273" t="s">
        <v>1680</v>
      </c>
      <c r="V155" s="273"/>
    </row>
    <row r="156" spans="1:22" ht="12.75" customHeight="1" x14ac:dyDescent="0.15">
      <c r="A156" s="308" t="s">
        <v>1292</v>
      </c>
      <c r="B156" s="252" t="s">
        <v>863</v>
      </c>
      <c r="C156" s="252" t="s">
        <v>540</v>
      </c>
      <c r="D156" s="254" t="s">
        <v>1681</v>
      </c>
      <c r="E156" s="254" t="s">
        <v>1682</v>
      </c>
      <c r="F156" s="253" t="s">
        <v>1683</v>
      </c>
      <c r="G156" s="255" t="s">
        <v>1684</v>
      </c>
      <c r="H156" s="245" t="s">
        <v>1216</v>
      </c>
      <c r="I156" s="245">
        <v>981</v>
      </c>
      <c r="J156" s="255" t="str">
        <f t="shared" si="4"/>
        <v>impayé,lic supprimée,gardé dans memberlist</v>
      </c>
      <c r="K156" s="245">
        <v>12</v>
      </c>
      <c r="L156" s="255" t="str">
        <f t="shared" si="5"/>
        <v>Dames</v>
      </c>
      <c r="M156" s="245">
        <v>417</v>
      </c>
      <c r="N156" s="259">
        <v>38245</v>
      </c>
      <c r="O156" s="259">
        <v>38245</v>
      </c>
      <c r="P156" s="256">
        <v>2015</v>
      </c>
      <c r="Q156" s="259">
        <v>35670</v>
      </c>
      <c r="R156" s="307"/>
      <c r="S156" s="254" t="s">
        <v>1685</v>
      </c>
      <c r="T156" s="254" t="s">
        <v>252</v>
      </c>
      <c r="U156" s="273" t="s">
        <v>1686</v>
      </c>
      <c r="V156" s="273"/>
    </row>
    <row r="157" spans="1:22" ht="12.75" customHeight="1" x14ac:dyDescent="0.15">
      <c r="A157" s="308" t="s">
        <v>1687</v>
      </c>
      <c r="B157" s="252" t="s">
        <v>667</v>
      </c>
      <c r="C157" s="252" t="s">
        <v>795</v>
      </c>
      <c r="D157" s="255" t="s">
        <v>107</v>
      </c>
      <c r="E157" s="255" t="s">
        <v>1318</v>
      </c>
      <c r="F157" s="253" t="s">
        <v>1320</v>
      </c>
      <c r="G157" s="255" t="s">
        <v>1322</v>
      </c>
      <c r="H157" s="245" t="s">
        <v>1323</v>
      </c>
      <c r="I157" s="245">
        <v>976</v>
      </c>
      <c r="J157" s="255" t="str">
        <f t="shared" si="4"/>
        <v>Arrêt (reprend plus la compétion a cause blessure)</v>
      </c>
      <c r="K157" s="245">
        <v>12</v>
      </c>
      <c r="L157" s="255" t="str">
        <f t="shared" si="5"/>
        <v>Dames</v>
      </c>
      <c r="M157" s="245">
        <v>623</v>
      </c>
      <c r="N157" s="259">
        <v>41907</v>
      </c>
      <c r="O157" s="259">
        <v>41907</v>
      </c>
      <c r="P157" s="256">
        <v>2018</v>
      </c>
      <c r="Q157" s="259">
        <v>34695</v>
      </c>
      <c r="R157" s="307" t="s">
        <v>244</v>
      </c>
      <c r="S157" s="254" t="s">
        <v>1345</v>
      </c>
      <c r="T157" s="254"/>
      <c r="U157" s="273" t="s">
        <v>1346</v>
      </c>
      <c r="V157" s="304" t="s">
        <v>1347</v>
      </c>
    </row>
    <row r="158" spans="1:22" ht="12.75" customHeight="1" x14ac:dyDescent="0.15">
      <c r="A158" s="308" t="s">
        <v>1687</v>
      </c>
      <c r="B158" s="252" t="s">
        <v>1691</v>
      </c>
      <c r="C158" s="252" t="s">
        <v>1692</v>
      </c>
      <c r="D158" s="254" t="s">
        <v>1693</v>
      </c>
      <c r="E158" s="254" t="s">
        <v>1694</v>
      </c>
      <c r="F158" s="253" t="s">
        <v>1695</v>
      </c>
      <c r="G158" s="255" t="s">
        <v>1696</v>
      </c>
      <c r="H158" s="245" t="s">
        <v>1697</v>
      </c>
      <c r="I158" s="245" t="str">
        <f>K158</f>
        <v>F</v>
      </c>
      <c r="J158" s="255" t="e">
        <f t="shared" si="4"/>
        <v>#N/A</v>
      </c>
      <c r="K158" s="245" t="s">
        <v>430</v>
      </c>
      <c r="L158" s="255" t="e">
        <f t="shared" ref="L158:L163" si="6">VLOOKUP(K158,CAT_JOUEUR,2,FALSE)</f>
        <v>#N/A</v>
      </c>
      <c r="M158" s="256">
        <v>690</v>
      </c>
      <c r="N158" s="259">
        <v>42656</v>
      </c>
      <c r="O158" s="259">
        <v>42632</v>
      </c>
      <c r="P158" s="245">
        <v>2019</v>
      </c>
      <c r="Q158" s="259">
        <v>38011</v>
      </c>
      <c r="R158" s="307" t="s">
        <v>1700</v>
      </c>
      <c r="S158" s="254" t="s">
        <v>1701</v>
      </c>
      <c r="T158" s="254"/>
      <c r="U158" s="262">
        <v>621137214</v>
      </c>
      <c r="V158" s="305" t="s">
        <v>1702</v>
      </c>
    </row>
    <row r="159" spans="1:22" ht="12.75" customHeight="1" x14ac:dyDescent="0.15">
      <c r="A159" s="250" t="s">
        <v>1687</v>
      </c>
      <c r="B159" s="252" t="s">
        <v>1703</v>
      </c>
      <c r="C159" s="252" t="s">
        <v>540</v>
      </c>
      <c r="D159" s="254" t="s">
        <v>107</v>
      </c>
      <c r="E159" s="254" t="s">
        <v>1704</v>
      </c>
      <c r="F159" s="253" t="s">
        <v>1129</v>
      </c>
      <c r="G159" s="255" t="s">
        <v>1442</v>
      </c>
      <c r="H159" s="245" t="s">
        <v>1705</v>
      </c>
      <c r="I159" s="245">
        <v>112</v>
      </c>
      <c r="J159" s="255" t="str">
        <f t="shared" si="4"/>
        <v>Dames bloqué interne</v>
      </c>
      <c r="K159" s="245">
        <v>12</v>
      </c>
      <c r="L159" s="255" t="str">
        <f t="shared" si="6"/>
        <v>Dames</v>
      </c>
      <c r="M159" s="245">
        <v>138</v>
      </c>
      <c r="N159" s="259">
        <v>39975</v>
      </c>
      <c r="O159" s="259">
        <v>39975</v>
      </c>
      <c r="P159" s="256">
        <v>2020</v>
      </c>
      <c r="Q159" s="259">
        <v>34573</v>
      </c>
      <c r="R159" s="307"/>
      <c r="S159" s="254" t="s">
        <v>1707</v>
      </c>
      <c r="T159" s="254" t="s">
        <v>252</v>
      </c>
      <c r="U159" s="273" t="s">
        <v>1708</v>
      </c>
      <c r="V159" s="304" t="s">
        <v>1709</v>
      </c>
    </row>
    <row r="160" spans="1:22" ht="12.75" customHeight="1" x14ac:dyDescent="0.15">
      <c r="A160" s="250" t="s">
        <v>1687</v>
      </c>
      <c r="B160" s="252" t="s">
        <v>1710</v>
      </c>
      <c r="C160" s="252" t="s">
        <v>1711</v>
      </c>
      <c r="D160" s="254" t="s">
        <v>1489</v>
      </c>
      <c r="E160" s="254" t="s">
        <v>1712</v>
      </c>
      <c r="F160" s="253" t="s">
        <v>1713</v>
      </c>
      <c r="G160" s="255" t="s">
        <v>1714</v>
      </c>
      <c r="H160" s="245" t="s">
        <v>1715</v>
      </c>
      <c r="I160" s="245" t="str">
        <f t="shared" ref="I160:I163" si="7">K160</f>
        <v>I</v>
      </c>
      <c r="J160" s="255" t="e">
        <f t="shared" si="4"/>
        <v>#N/A</v>
      </c>
      <c r="K160" s="245" t="s">
        <v>1716</v>
      </c>
      <c r="L160" s="255" t="e">
        <f t="shared" si="6"/>
        <v>#N/A</v>
      </c>
      <c r="M160" s="245">
        <v>624</v>
      </c>
      <c r="N160" s="259">
        <v>41907</v>
      </c>
      <c r="O160" s="259">
        <v>41907</v>
      </c>
      <c r="P160" s="256">
        <v>2020</v>
      </c>
      <c r="Q160" s="259">
        <v>39525</v>
      </c>
      <c r="R160" s="307" t="s">
        <v>1718</v>
      </c>
      <c r="S160" s="254" t="s">
        <v>1719</v>
      </c>
      <c r="T160" s="254"/>
      <c r="U160" s="273"/>
      <c r="V160" s="304" t="s">
        <v>1720</v>
      </c>
    </row>
    <row r="161" spans="1:22" ht="12.75" customHeight="1" x14ac:dyDescent="0.15">
      <c r="A161" s="250" t="s">
        <v>1687</v>
      </c>
      <c r="B161" s="252" t="s">
        <v>1028</v>
      </c>
      <c r="C161" s="252" t="s">
        <v>1721</v>
      </c>
      <c r="D161" s="254" t="s">
        <v>107</v>
      </c>
      <c r="E161" s="254" t="s">
        <v>1030</v>
      </c>
      <c r="F161" s="253" t="s">
        <v>293</v>
      </c>
      <c r="G161" s="255" t="s">
        <v>294</v>
      </c>
      <c r="H161" s="245" t="s">
        <v>1031</v>
      </c>
      <c r="I161" s="245" t="str">
        <f t="shared" si="7"/>
        <v>F</v>
      </c>
      <c r="J161" s="255" t="e">
        <f t="shared" si="4"/>
        <v>#N/A</v>
      </c>
      <c r="K161" s="245" t="s">
        <v>430</v>
      </c>
      <c r="L161" s="255" t="e">
        <f t="shared" si="6"/>
        <v>#N/A</v>
      </c>
      <c r="M161" s="245">
        <v>513</v>
      </c>
      <c r="N161" s="259">
        <v>40745</v>
      </c>
      <c r="O161" s="259">
        <v>40745</v>
      </c>
      <c r="P161" s="256">
        <v>2019</v>
      </c>
      <c r="Q161" s="259">
        <v>38020</v>
      </c>
      <c r="R161" s="307" t="s">
        <v>1722</v>
      </c>
      <c r="S161" s="254" t="s">
        <v>1723</v>
      </c>
      <c r="T161" s="254"/>
      <c r="U161" s="273" t="s">
        <v>1724</v>
      </c>
      <c r="V161" s="304" t="s">
        <v>1725</v>
      </c>
    </row>
    <row r="162" spans="1:22" ht="12.75" customHeight="1" x14ac:dyDescent="0.15">
      <c r="A162" s="250" t="s">
        <v>1687</v>
      </c>
      <c r="B162" s="244" t="s">
        <v>1146</v>
      </c>
      <c r="C162" s="252" t="s">
        <v>1726</v>
      </c>
      <c r="D162" s="254" t="s">
        <v>107</v>
      </c>
      <c r="E162" s="254" t="s">
        <v>1147</v>
      </c>
      <c r="F162" s="253" t="s">
        <v>110</v>
      </c>
      <c r="G162" s="255" t="s">
        <v>111</v>
      </c>
      <c r="H162" s="245" t="s">
        <v>1149</v>
      </c>
      <c r="I162" s="245" t="str">
        <f t="shared" si="7"/>
        <v>A</v>
      </c>
      <c r="J162" s="255" t="e">
        <f t="shared" si="4"/>
        <v>#N/A</v>
      </c>
      <c r="K162" s="245" t="s">
        <v>1727</v>
      </c>
      <c r="L162" s="255" t="e">
        <f t="shared" si="6"/>
        <v>#N/A</v>
      </c>
      <c r="M162" s="245">
        <v>497</v>
      </c>
      <c r="N162" s="259">
        <v>40247</v>
      </c>
      <c r="O162" s="259">
        <v>40247</v>
      </c>
      <c r="P162" s="256">
        <v>2019</v>
      </c>
      <c r="Q162" s="259">
        <v>36944</v>
      </c>
      <c r="R162" s="307" t="s">
        <v>1728</v>
      </c>
      <c r="S162" s="254" t="s">
        <v>1729</v>
      </c>
      <c r="T162" s="273" t="s">
        <v>1730</v>
      </c>
      <c r="U162" s="262">
        <v>621436838</v>
      </c>
      <c r="V162" s="304" t="s">
        <v>1734</v>
      </c>
    </row>
    <row r="163" spans="1:22" ht="12.75" customHeight="1" x14ac:dyDescent="0.15">
      <c r="A163" s="313" t="s">
        <v>1687</v>
      </c>
      <c r="B163" s="314" t="s">
        <v>1735</v>
      </c>
      <c r="C163" s="314" t="s">
        <v>1736</v>
      </c>
      <c r="D163" s="315" t="s">
        <v>107</v>
      </c>
      <c r="E163" s="315" t="s">
        <v>1737</v>
      </c>
      <c r="F163" s="316" t="s">
        <v>1738</v>
      </c>
      <c r="G163" s="317" t="s">
        <v>1739</v>
      </c>
      <c r="H163" s="318" t="s">
        <v>1740</v>
      </c>
      <c r="I163" s="318" t="str">
        <f t="shared" si="7"/>
        <v>A</v>
      </c>
      <c r="J163" s="317" t="e">
        <f t="shared" si="4"/>
        <v>#N/A</v>
      </c>
      <c r="K163" s="318" t="s">
        <v>1727</v>
      </c>
      <c r="L163" s="317" t="e">
        <f t="shared" si="6"/>
        <v>#N/A</v>
      </c>
      <c r="M163" s="319">
        <v>679</v>
      </c>
      <c r="N163" s="320">
        <v>42627</v>
      </c>
      <c r="O163" s="320">
        <v>42627</v>
      </c>
      <c r="P163" s="319">
        <v>2019</v>
      </c>
      <c r="Q163" s="320">
        <v>37191</v>
      </c>
      <c r="R163" s="321" t="s">
        <v>1743</v>
      </c>
      <c r="S163" s="322" t="s">
        <v>1744</v>
      </c>
      <c r="T163" s="315" t="s">
        <v>1745</v>
      </c>
      <c r="U163" s="323" t="s">
        <v>1746</v>
      </c>
      <c r="V163" s="324" t="s">
        <v>1747</v>
      </c>
    </row>
    <row r="164" spans="1:22" ht="12.75" customHeight="1" x14ac:dyDescent="0.15">
      <c r="A164" s="209" t="s">
        <v>2711</v>
      </c>
      <c r="B164" s="325" t="s">
        <v>591</v>
      </c>
      <c r="C164" s="325" t="s">
        <v>592</v>
      </c>
      <c r="D164" s="326" t="s">
        <v>263</v>
      </c>
      <c r="E164" s="326" t="s">
        <v>593</v>
      </c>
      <c r="F164" s="327" t="s">
        <v>594</v>
      </c>
      <c r="G164" s="328" t="s">
        <v>241</v>
      </c>
      <c r="H164" s="329" t="s">
        <v>320</v>
      </c>
      <c r="I164" s="330">
        <v>996</v>
      </c>
      <c r="J164" s="328" t="s">
        <v>203</v>
      </c>
      <c r="K164" s="330">
        <v>3</v>
      </c>
      <c r="L164" s="328" t="s">
        <v>31</v>
      </c>
      <c r="M164" s="331" t="s">
        <v>605</v>
      </c>
      <c r="N164" s="332">
        <v>41957</v>
      </c>
      <c r="O164" s="332">
        <v>41957</v>
      </c>
      <c r="P164" s="331">
        <v>2016</v>
      </c>
      <c r="Q164" s="332">
        <v>37049</v>
      </c>
      <c r="R164" s="333"/>
      <c r="S164" s="326" t="s">
        <v>606</v>
      </c>
      <c r="T164" s="326"/>
      <c r="U164" s="334" t="s">
        <v>607</v>
      </c>
      <c r="V164" s="335" t="s">
        <v>608</v>
      </c>
    </row>
    <row r="165" spans="1:22" ht="12.75" customHeight="1" x14ac:dyDescent="0.15">
      <c r="A165" s="209" t="s">
        <v>2711</v>
      </c>
      <c r="B165" s="325" t="s">
        <v>1407</v>
      </c>
      <c r="C165" s="325" t="s">
        <v>1415</v>
      </c>
      <c r="D165" s="326" t="s">
        <v>107</v>
      </c>
      <c r="E165" s="328" t="s">
        <v>1409</v>
      </c>
      <c r="F165" s="327" t="s">
        <v>1410</v>
      </c>
      <c r="G165" s="328" t="s">
        <v>241</v>
      </c>
      <c r="H165" s="329" t="s">
        <v>1411</v>
      </c>
      <c r="I165" s="330">
        <v>983</v>
      </c>
      <c r="J165" s="328" t="s">
        <v>182</v>
      </c>
      <c r="K165" s="330">
        <v>3</v>
      </c>
      <c r="L165" s="328" t="s">
        <v>31</v>
      </c>
      <c r="M165" s="331" t="s">
        <v>1419</v>
      </c>
      <c r="N165" s="332">
        <v>42632</v>
      </c>
      <c r="O165" s="332">
        <v>42632</v>
      </c>
      <c r="P165" s="330">
        <v>2019</v>
      </c>
      <c r="Q165" s="332">
        <v>37234</v>
      </c>
      <c r="R165" s="333"/>
      <c r="S165" s="326"/>
      <c r="T165" s="326"/>
      <c r="U165" s="336">
        <v>621211578</v>
      </c>
      <c r="V165" s="337" t="s">
        <v>1414</v>
      </c>
    </row>
    <row r="166" spans="1:22" ht="12.75" customHeight="1" x14ac:dyDescent="0.15">
      <c r="A166" s="209" t="s">
        <v>2711</v>
      </c>
      <c r="B166" s="325" t="s">
        <v>752</v>
      </c>
      <c r="C166" s="325" t="s">
        <v>753</v>
      </c>
      <c r="D166" s="326" t="s">
        <v>248</v>
      </c>
      <c r="E166" s="326" t="s">
        <v>754</v>
      </c>
      <c r="F166" s="327" t="s">
        <v>755</v>
      </c>
      <c r="G166" s="328" t="s">
        <v>756</v>
      </c>
      <c r="H166" s="329" t="s">
        <v>757</v>
      </c>
      <c r="I166" s="330">
        <v>993</v>
      </c>
      <c r="J166" s="328" t="s">
        <v>201</v>
      </c>
      <c r="K166" s="330">
        <v>1</v>
      </c>
      <c r="L166" s="328" t="s">
        <v>96</v>
      </c>
      <c r="M166" s="331" t="s">
        <v>758</v>
      </c>
      <c r="N166" s="332">
        <v>42423</v>
      </c>
      <c r="O166" s="332">
        <v>42423</v>
      </c>
      <c r="P166" s="330" t="s">
        <v>242</v>
      </c>
      <c r="Q166" s="332">
        <v>19353</v>
      </c>
      <c r="R166" s="333" t="s">
        <v>244</v>
      </c>
      <c r="S166" s="326"/>
      <c r="T166" s="326"/>
      <c r="U166" s="334" t="s">
        <v>1761</v>
      </c>
      <c r="V166" s="337" t="s">
        <v>1762</v>
      </c>
    </row>
    <row r="167" spans="1:22" ht="12.75" customHeight="1" x14ac:dyDescent="0.15">
      <c r="A167" s="209" t="s">
        <v>2711</v>
      </c>
      <c r="B167" s="325" t="s">
        <v>781</v>
      </c>
      <c r="C167" s="325" t="s">
        <v>786</v>
      </c>
      <c r="D167" s="326" t="s">
        <v>1489</v>
      </c>
      <c r="E167" s="326" t="s">
        <v>787</v>
      </c>
      <c r="F167" s="327" t="s">
        <v>788</v>
      </c>
      <c r="G167" s="328" t="s">
        <v>789</v>
      </c>
      <c r="H167" s="329" t="s">
        <v>790</v>
      </c>
      <c r="I167" s="330">
        <v>252</v>
      </c>
      <c r="J167" s="328" t="s">
        <v>145</v>
      </c>
      <c r="K167" s="330">
        <v>4</v>
      </c>
      <c r="L167" s="328" t="s">
        <v>34</v>
      </c>
      <c r="M167" s="330" t="s">
        <v>791</v>
      </c>
      <c r="N167" s="332">
        <v>41925</v>
      </c>
      <c r="O167" s="332">
        <v>41925</v>
      </c>
      <c r="P167" s="331">
        <v>2022</v>
      </c>
      <c r="Q167" s="332">
        <v>37520</v>
      </c>
      <c r="R167" s="333" t="s">
        <v>1793</v>
      </c>
      <c r="S167" s="326"/>
      <c r="T167" s="326"/>
      <c r="U167" s="334" t="s">
        <v>1794</v>
      </c>
      <c r="V167" s="335" t="s">
        <v>1795</v>
      </c>
    </row>
    <row r="168" spans="1:22" ht="12.75" customHeight="1" x14ac:dyDescent="0.15">
      <c r="A168" s="209" t="s">
        <v>2711</v>
      </c>
      <c r="B168" s="325" t="s">
        <v>792</v>
      </c>
      <c r="C168" s="325" t="s">
        <v>793</v>
      </c>
      <c r="D168" s="326" t="s">
        <v>107</v>
      </c>
      <c r="E168" s="326" t="s">
        <v>589</v>
      </c>
      <c r="F168" s="327" t="s">
        <v>590</v>
      </c>
      <c r="G168" s="328" t="s">
        <v>223</v>
      </c>
      <c r="H168" s="329" t="s">
        <v>348</v>
      </c>
      <c r="I168" s="330">
        <v>993</v>
      </c>
      <c r="J168" s="328" t="s">
        <v>201</v>
      </c>
      <c r="K168" s="330">
        <v>9</v>
      </c>
      <c r="L168" s="328" t="s">
        <v>101</v>
      </c>
      <c r="M168" s="330" t="s">
        <v>794</v>
      </c>
      <c r="N168" s="332">
        <v>33907</v>
      </c>
      <c r="O168" s="332">
        <v>33907</v>
      </c>
      <c r="P168" s="331">
        <v>2013</v>
      </c>
      <c r="Q168" s="332">
        <v>30636</v>
      </c>
      <c r="R168" s="333"/>
      <c r="S168" s="326" t="s">
        <v>1803</v>
      </c>
      <c r="T168" s="326" t="s">
        <v>252</v>
      </c>
      <c r="U168" s="334" t="s">
        <v>1804</v>
      </c>
      <c r="V168" s="335" t="s">
        <v>1805</v>
      </c>
    </row>
    <row r="169" spans="1:22" ht="12.75" customHeight="1" x14ac:dyDescent="0.15">
      <c r="A169" s="209" t="s">
        <v>2711</v>
      </c>
      <c r="B169" s="325" t="s">
        <v>894</v>
      </c>
      <c r="C169" s="325" t="s">
        <v>895</v>
      </c>
      <c r="D169" s="326" t="s">
        <v>107</v>
      </c>
      <c r="E169" s="326" t="s">
        <v>649</v>
      </c>
      <c r="F169" s="327" t="s">
        <v>650</v>
      </c>
      <c r="G169" s="328" t="s">
        <v>651</v>
      </c>
      <c r="H169" s="329" t="s">
        <v>653</v>
      </c>
      <c r="I169" s="330">
        <v>4</v>
      </c>
      <c r="J169" s="328" t="s">
        <v>34</v>
      </c>
      <c r="K169" s="330">
        <v>4</v>
      </c>
      <c r="L169" s="328" t="s">
        <v>34</v>
      </c>
      <c r="M169" s="331" t="s">
        <v>896</v>
      </c>
      <c r="N169" s="332">
        <v>42279</v>
      </c>
      <c r="O169" s="332">
        <v>42878</v>
      </c>
      <c r="P169" s="330">
        <v>2022</v>
      </c>
      <c r="Q169" s="332">
        <v>37412</v>
      </c>
      <c r="R169" s="333" t="s">
        <v>1919</v>
      </c>
      <c r="S169" s="326"/>
      <c r="T169" s="326"/>
      <c r="U169" s="336">
        <v>621577364</v>
      </c>
      <c r="V169" s="337" t="s">
        <v>1920</v>
      </c>
    </row>
    <row r="170" spans="1:22" ht="12.75" customHeight="1" x14ac:dyDescent="0.15">
      <c r="A170" s="209" t="s">
        <v>2711</v>
      </c>
      <c r="B170" s="325" t="s">
        <v>952</v>
      </c>
      <c r="C170" s="325" t="s">
        <v>262</v>
      </c>
      <c r="D170" s="326" t="s">
        <v>490</v>
      </c>
      <c r="E170" s="326" t="s">
        <v>754</v>
      </c>
      <c r="F170" s="327" t="s">
        <v>755</v>
      </c>
      <c r="G170" s="328" t="s">
        <v>756</v>
      </c>
      <c r="H170" s="329" t="s">
        <v>757</v>
      </c>
      <c r="I170" s="330">
        <v>993</v>
      </c>
      <c r="J170" s="328" t="s">
        <v>201</v>
      </c>
      <c r="K170" s="330">
        <v>19</v>
      </c>
      <c r="L170" s="328" t="s">
        <v>102</v>
      </c>
      <c r="M170" s="331" t="s">
        <v>953</v>
      </c>
      <c r="N170" s="332">
        <v>42478</v>
      </c>
      <c r="O170" s="332">
        <v>42478</v>
      </c>
      <c r="P170" s="331">
        <v>2021</v>
      </c>
      <c r="Q170" s="332">
        <v>28114</v>
      </c>
      <c r="R170" s="333"/>
      <c r="S170" s="326"/>
      <c r="T170" s="326" t="s">
        <v>252</v>
      </c>
      <c r="U170" s="338" t="s">
        <v>2055</v>
      </c>
      <c r="V170" s="326" t="s">
        <v>2056</v>
      </c>
    </row>
    <row r="171" spans="1:22" ht="12.75" customHeight="1" x14ac:dyDescent="0.15">
      <c r="A171" s="209" t="s">
        <v>2711</v>
      </c>
      <c r="B171" s="339" t="s">
        <v>2089</v>
      </c>
      <c r="C171" s="325" t="s">
        <v>2090</v>
      </c>
      <c r="D171" s="326" t="s">
        <v>2091</v>
      </c>
      <c r="E171" s="326" t="s">
        <v>2092</v>
      </c>
      <c r="F171" s="327" t="s">
        <v>2093</v>
      </c>
      <c r="G171" s="328" t="s">
        <v>1371</v>
      </c>
      <c r="H171" s="329" t="s">
        <v>320</v>
      </c>
      <c r="I171" s="330">
        <v>2</v>
      </c>
      <c r="J171" s="328" t="s">
        <v>29</v>
      </c>
      <c r="K171" s="330">
        <v>2</v>
      </c>
      <c r="L171" s="328" t="s">
        <v>29</v>
      </c>
      <c r="M171" s="330" t="s">
        <v>2094</v>
      </c>
      <c r="N171" s="332">
        <v>40934</v>
      </c>
      <c r="O171" s="332">
        <v>40934</v>
      </c>
      <c r="P171" s="331">
        <v>2019</v>
      </c>
      <c r="Q171" s="332">
        <v>35704</v>
      </c>
      <c r="R171" s="333"/>
      <c r="S171" s="326"/>
      <c r="T171" s="326"/>
      <c r="U171" s="334" t="s">
        <v>2095</v>
      </c>
      <c r="V171" s="335" t="s">
        <v>2096</v>
      </c>
    </row>
    <row r="172" spans="1:22" ht="12.75" customHeight="1" x14ac:dyDescent="0.15">
      <c r="A172" s="209" t="s">
        <v>2711</v>
      </c>
      <c r="B172" s="325" t="s">
        <v>2097</v>
      </c>
      <c r="C172" s="325" t="s">
        <v>2098</v>
      </c>
      <c r="D172" s="326" t="s">
        <v>107</v>
      </c>
      <c r="E172" s="326" t="s">
        <v>2099</v>
      </c>
      <c r="F172" s="327" t="s">
        <v>293</v>
      </c>
      <c r="G172" s="328" t="s">
        <v>294</v>
      </c>
      <c r="H172" s="329" t="s">
        <v>2100</v>
      </c>
      <c r="I172" s="330">
        <v>999</v>
      </c>
      <c r="J172" s="328" t="s">
        <v>2101</v>
      </c>
      <c r="K172" s="330">
        <v>15</v>
      </c>
      <c r="L172" s="328" t="s">
        <v>90</v>
      </c>
      <c r="M172" s="330" t="s">
        <v>2102</v>
      </c>
      <c r="N172" s="332">
        <v>41688</v>
      </c>
      <c r="O172" s="332">
        <v>41688</v>
      </c>
      <c r="P172" s="331">
        <v>2017</v>
      </c>
      <c r="Q172" s="332">
        <v>38389</v>
      </c>
      <c r="R172" s="333"/>
      <c r="S172" s="326" t="s">
        <v>2103</v>
      </c>
      <c r="T172" s="326"/>
      <c r="U172" s="334" t="s">
        <v>2104</v>
      </c>
      <c r="V172" s="334"/>
    </row>
    <row r="173" spans="1:22" ht="12.75" customHeight="1" x14ac:dyDescent="0.15">
      <c r="A173" s="209" t="s">
        <v>2711</v>
      </c>
      <c r="B173" s="325" t="s">
        <v>2216</v>
      </c>
      <c r="C173" s="325" t="s">
        <v>2217</v>
      </c>
      <c r="D173" s="326" t="s">
        <v>263</v>
      </c>
      <c r="E173" s="326" t="s">
        <v>2218</v>
      </c>
      <c r="F173" s="327" t="s">
        <v>1916</v>
      </c>
      <c r="G173" s="328" t="s">
        <v>241</v>
      </c>
      <c r="H173" s="329" t="s">
        <v>320</v>
      </c>
      <c r="I173" s="330">
        <v>996</v>
      </c>
      <c r="J173" s="328" t="s">
        <v>203</v>
      </c>
      <c r="K173" s="330">
        <v>3</v>
      </c>
      <c r="L173" s="328" t="s">
        <v>31</v>
      </c>
      <c r="M173" s="330" t="s">
        <v>2219</v>
      </c>
      <c r="N173" s="332">
        <v>41962</v>
      </c>
      <c r="O173" s="332">
        <v>41962</v>
      </c>
      <c r="P173" s="331">
        <v>2016</v>
      </c>
      <c r="Q173" s="332">
        <v>37029</v>
      </c>
      <c r="R173" s="333"/>
      <c r="S173" s="326"/>
      <c r="T173" s="326"/>
      <c r="U173" s="334"/>
      <c r="V173" s="334"/>
    </row>
    <row r="174" spans="1:22" ht="12.75" customHeight="1" x14ac:dyDescent="0.15">
      <c r="A174" s="209" t="s">
        <v>2711</v>
      </c>
      <c r="B174" s="325" t="s">
        <v>2259</v>
      </c>
      <c r="C174" s="325" t="s">
        <v>2268</v>
      </c>
      <c r="D174" s="326" t="s">
        <v>107</v>
      </c>
      <c r="E174" s="326" t="s">
        <v>353</v>
      </c>
      <c r="F174" s="327" t="s">
        <v>354</v>
      </c>
      <c r="G174" s="328" t="s">
        <v>283</v>
      </c>
      <c r="H174" s="329" t="s">
        <v>355</v>
      </c>
      <c r="I174" s="330">
        <v>221</v>
      </c>
      <c r="J174" s="328" t="s">
        <v>137</v>
      </c>
      <c r="K174" s="330">
        <v>5</v>
      </c>
      <c r="L174" s="328" t="s">
        <v>37</v>
      </c>
      <c r="M174" s="330" t="s">
        <v>2269</v>
      </c>
      <c r="N174" s="332">
        <v>40632</v>
      </c>
      <c r="O174" s="332">
        <v>40632</v>
      </c>
      <c r="P174" s="331">
        <v>2021</v>
      </c>
      <c r="Q174" s="332">
        <v>38450</v>
      </c>
      <c r="R174" s="333" t="s">
        <v>2270</v>
      </c>
      <c r="S174" s="326"/>
      <c r="T174" s="326"/>
      <c r="U174" s="334" t="s">
        <v>369</v>
      </c>
      <c r="V174" s="334" t="s">
        <v>370</v>
      </c>
    </row>
    <row r="175" spans="1:22" ht="12.75" customHeight="1" x14ac:dyDescent="0.15">
      <c r="A175" s="209" t="s">
        <v>2711</v>
      </c>
      <c r="B175" s="325" t="s">
        <v>2353</v>
      </c>
      <c r="C175" s="325" t="s">
        <v>2354</v>
      </c>
      <c r="D175" s="326" t="s">
        <v>2355</v>
      </c>
      <c r="E175" s="326" t="s">
        <v>2356</v>
      </c>
      <c r="F175" s="327" t="s">
        <v>1129</v>
      </c>
      <c r="G175" s="328" t="s">
        <v>2357</v>
      </c>
      <c r="H175" s="329" t="s">
        <v>2358</v>
      </c>
      <c r="I175" s="330">
        <v>252</v>
      </c>
      <c r="J175" s="328" t="s">
        <v>145</v>
      </c>
      <c r="K175" s="330">
        <v>4</v>
      </c>
      <c r="L175" s="328" t="s">
        <v>34</v>
      </c>
      <c r="M175" s="331" t="s">
        <v>2359</v>
      </c>
      <c r="N175" s="332">
        <v>42793</v>
      </c>
      <c r="O175" s="332">
        <v>42736</v>
      </c>
      <c r="P175" s="330">
        <v>2018</v>
      </c>
      <c r="Q175" s="332">
        <v>37926</v>
      </c>
      <c r="R175" s="333" t="s">
        <v>2360</v>
      </c>
      <c r="S175" s="326" t="s">
        <v>2361</v>
      </c>
      <c r="T175" s="326"/>
      <c r="U175" s="336">
        <v>691845890</v>
      </c>
      <c r="V175" s="337" t="s">
        <v>2362</v>
      </c>
    </row>
    <row r="176" spans="1:22" ht="12.75" customHeight="1" x14ac:dyDescent="0.15">
      <c r="A176" s="209" t="s">
        <v>2711</v>
      </c>
      <c r="B176" s="325" t="s">
        <v>2404</v>
      </c>
      <c r="C176" s="325" t="s">
        <v>2418</v>
      </c>
      <c r="D176" s="326" t="s">
        <v>2406</v>
      </c>
      <c r="E176" s="326" t="s">
        <v>2407</v>
      </c>
      <c r="F176" s="327" t="s">
        <v>2408</v>
      </c>
      <c r="G176" s="328" t="s">
        <v>528</v>
      </c>
      <c r="H176" s="329" t="s">
        <v>2409</v>
      </c>
      <c r="I176" s="330">
        <v>2</v>
      </c>
      <c r="J176" s="328" t="s">
        <v>29</v>
      </c>
      <c r="K176" s="330">
        <v>2</v>
      </c>
      <c r="L176" s="328" t="s">
        <v>29</v>
      </c>
      <c r="M176" s="331" t="s">
        <v>2419</v>
      </c>
      <c r="N176" s="332">
        <v>41227</v>
      </c>
      <c r="O176" s="332">
        <v>42634</v>
      </c>
      <c r="P176" s="330">
        <v>2019</v>
      </c>
      <c r="Q176" s="332">
        <v>36458</v>
      </c>
      <c r="R176" s="333"/>
      <c r="S176" s="326" t="s">
        <v>2412</v>
      </c>
      <c r="T176" s="326"/>
      <c r="U176" s="336">
        <v>691440141</v>
      </c>
      <c r="V176" s="326"/>
    </row>
    <row r="177" spans="1:22" ht="12.75" customHeight="1" x14ac:dyDescent="0.15">
      <c r="A177" s="209" t="s">
        <v>2711</v>
      </c>
      <c r="B177" s="325" t="s">
        <v>478</v>
      </c>
      <c r="C177" s="325" t="s">
        <v>824</v>
      </c>
      <c r="D177" s="326" t="s">
        <v>107</v>
      </c>
      <c r="E177" s="326" t="s">
        <v>1089</v>
      </c>
      <c r="F177" s="327" t="s">
        <v>737</v>
      </c>
      <c r="G177" s="328" t="s">
        <v>727</v>
      </c>
      <c r="H177" s="329" t="s">
        <v>1091</v>
      </c>
      <c r="I177" s="330">
        <v>700</v>
      </c>
      <c r="J177" s="328" t="s">
        <v>1421</v>
      </c>
      <c r="K177" s="330">
        <v>3</v>
      </c>
      <c r="L177" s="328" t="s">
        <v>31</v>
      </c>
      <c r="M177" s="331" t="s">
        <v>1092</v>
      </c>
      <c r="N177" s="332">
        <v>41171</v>
      </c>
      <c r="O177" s="332">
        <v>42626</v>
      </c>
      <c r="P177" s="331">
        <v>2019</v>
      </c>
      <c r="Q177" s="332">
        <v>37223</v>
      </c>
      <c r="R177" s="333" t="s">
        <v>2499</v>
      </c>
      <c r="S177" s="326" t="s">
        <v>1422</v>
      </c>
      <c r="T177" s="326"/>
      <c r="U177" s="336">
        <v>691550969</v>
      </c>
      <c r="V177" s="337" t="s">
        <v>2500</v>
      </c>
    </row>
    <row r="178" spans="1:22" ht="12.75" customHeight="1" x14ac:dyDescent="0.15">
      <c r="A178" s="209" t="s">
        <v>2711</v>
      </c>
      <c r="B178" s="325" t="s">
        <v>2617</v>
      </c>
      <c r="C178" s="325" t="s">
        <v>2618</v>
      </c>
      <c r="D178" s="326" t="s">
        <v>490</v>
      </c>
      <c r="E178" s="326" t="s">
        <v>2619</v>
      </c>
      <c r="F178" s="327" t="s">
        <v>2620</v>
      </c>
      <c r="G178" s="328" t="s">
        <v>2621</v>
      </c>
      <c r="H178" s="329" t="s">
        <v>320</v>
      </c>
      <c r="I178" s="330">
        <v>993</v>
      </c>
      <c r="J178" s="328" t="s">
        <v>201</v>
      </c>
      <c r="K178" s="330">
        <v>19</v>
      </c>
      <c r="L178" s="328" t="s">
        <v>102</v>
      </c>
      <c r="M178" s="331" t="s">
        <v>2622</v>
      </c>
      <c r="N178" s="332">
        <v>42650</v>
      </c>
      <c r="O178" s="332">
        <v>42635</v>
      </c>
      <c r="P178" s="330">
        <v>2019</v>
      </c>
      <c r="Q178" s="332">
        <v>27098</v>
      </c>
      <c r="R178" s="333"/>
      <c r="S178" s="326"/>
      <c r="T178" s="326"/>
      <c r="U178" s="334" t="s">
        <v>2623</v>
      </c>
      <c r="V178" s="337" t="s">
        <v>2624</v>
      </c>
    </row>
    <row r="179" spans="1:22" ht="12.75" customHeight="1" x14ac:dyDescent="0.15">
      <c r="A179" s="209" t="s">
        <v>2711</v>
      </c>
      <c r="B179" s="325" t="s">
        <v>1641</v>
      </c>
      <c r="C179" s="325" t="s">
        <v>2634</v>
      </c>
      <c r="D179" s="326" t="s">
        <v>107</v>
      </c>
      <c r="E179" s="326" t="s">
        <v>1643</v>
      </c>
      <c r="F179" s="327" t="s">
        <v>471</v>
      </c>
      <c r="G179" s="328" t="s">
        <v>135</v>
      </c>
      <c r="H179" s="329" t="s">
        <v>348</v>
      </c>
      <c r="I179" s="330">
        <v>2</v>
      </c>
      <c r="J179" s="328" t="s">
        <v>29</v>
      </c>
      <c r="K179" s="330">
        <v>2</v>
      </c>
      <c r="L179" s="328" t="s">
        <v>29</v>
      </c>
      <c r="M179" s="330" t="s">
        <v>2635</v>
      </c>
      <c r="N179" s="332">
        <v>39475</v>
      </c>
      <c r="O179" s="332">
        <v>39475</v>
      </c>
      <c r="P179" s="331">
        <v>2016</v>
      </c>
      <c r="Q179" s="332">
        <v>34406</v>
      </c>
      <c r="R179" s="333"/>
      <c r="S179" s="326" t="s">
        <v>2636</v>
      </c>
      <c r="T179" s="326" t="s">
        <v>1650</v>
      </c>
      <c r="U179" s="334" t="s">
        <v>2637</v>
      </c>
      <c r="V179" s="335" t="s">
        <v>2638</v>
      </c>
    </row>
    <row r="180" spans="1:22" ht="12.75" customHeight="1" x14ac:dyDescent="0.15">
      <c r="A180" s="209" t="s">
        <v>2711</v>
      </c>
      <c r="B180" s="103" t="s">
        <v>351</v>
      </c>
      <c r="C180" s="104" t="s">
        <v>352</v>
      </c>
      <c r="D180" s="122" t="s">
        <v>107</v>
      </c>
      <c r="E180" s="122" t="s">
        <v>353</v>
      </c>
      <c r="F180" s="123" t="s">
        <v>354</v>
      </c>
      <c r="G180" s="105" t="s">
        <v>283</v>
      </c>
      <c r="H180" s="124" t="s">
        <v>355</v>
      </c>
      <c r="I180" s="36">
        <v>11</v>
      </c>
      <c r="J180" s="105" t="s">
        <v>100</v>
      </c>
      <c r="K180" s="36">
        <v>11</v>
      </c>
      <c r="L180" s="105" t="s">
        <v>100</v>
      </c>
      <c r="M180" s="36" t="s">
        <v>368</v>
      </c>
      <c r="N180" s="143">
        <v>40612</v>
      </c>
      <c r="O180" s="143">
        <v>40612</v>
      </c>
      <c r="P180" s="211" t="s">
        <v>210</v>
      </c>
      <c r="Q180" s="143">
        <v>28273</v>
      </c>
      <c r="R180" s="144" t="s">
        <v>244</v>
      </c>
      <c r="S180" s="122"/>
      <c r="T180" s="122"/>
      <c r="U180" s="145" t="s">
        <v>369</v>
      </c>
      <c r="V180" s="145" t="s">
        <v>370</v>
      </c>
    </row>
    <row r="181" spans="1:22" ht="12.75" customHeight="1" x14ac:dyDescent="0.15">
      <c r="A181" s="209" t="s">
        <v>2711</v>
      </c>
      <c r="B181" s="103" t="s">
        <v>566</v>
      </c>
      <c r="C181" s="104" t="s">
        <v>567</v>
      </c>
      <c r="D181" s="122" t="s">
        <v>568</v>
      </c>
      <c r="E181" s="122" t="s">
        <v>569</v>
      </c>
      <c r="F181" s="123" t="s">
        <v>570</v>
      </c>
      <c r="G181" s="105" t="s">
        <v>266</v>
      </c>
      <c r="H181" s="124" t="s">
        <v>320</v>
      </c>
      <c r="I181" s="36">
        <v>997</v>
      </c>
      <c r="J181" s="105" t="s">
        <v>204</v>
      </c>
      <c r="K181" s="36">
        <v>12</v>
      </c>
      <c r="L181" s="105" t="s">
        <v>64</v>
      </c>
      <c r="M181" s="36" t="s">
        <v>583</v>
      </c>
      <c r="N181" s="143">
        <v>40870</v>
      </c>
      <c r="O181" s="143">
        <v>40870</v>
      </c>
      <c r="P181" s="211">
        <v>2018</v>
      </c>
      <c r="Q181" s="143">
        <v>36758</v>
      </c>
      <c r="R181" s="144"/>
      <c r="S181" s="122"/>
      <c r="T181" s="153"/>
      <c r="U181" s="145" t="s">
        <v>586</v>
      </c>
      <c r="V181" s="145"/>
    </row>
    <row r="182" spans="1:22" ht="12.75" customHeight="1" x14ac:dyDescent="0.15">
      <c r="A182" s="209" t="s">
        <v>2711</v>
      </c>
      <c r="B182" s="103" t="s">
        <v>647</v>
      </c>
      <c r="C182" s="104" t="s">
        <v>648</v>
      </c>
      <c r="D182" s="122" t="s">
        <v>107</v>
      </c>
      <c r="E182" s="122" t="s">
        <v>649</v>
      </c>
      <c r="F182" s="123" t="s">
        <v>650</v>
      </c>
      <c r="G182" s="105" t="s">
        <v>651</v>
      </c>
      <c r="H182" s="124" t="s">
        <v>653</v>
      </c>
      <c r="I182" s="36">
        <v>212</v>
      </c>
      <c r="J182" s="105" t="s">
        <v>131</v>
      </c>
      <c r="K182" s="36"/>
      <c r="L182" s="105" t="s">
        <v>17</v>
      </c>
      <c r="M182" s="211"/>
      <c r="N182" s="143" t="s">
        <v>242</v>
      </c>
      <c r="O182" s="143">
        <v>42878</v>
      </c>
      <c r="P182" s="36" t="s">
        <v>242</v>
      </c>
      <c r="Q182" s="36" t="s">
        <v>242</v>
      </c>
      <c r="R182" s="144"/>
      <c r="S182" s="122"/>
      <c r="T182" s="122"/>
      <c r="U182" s="153">
        <v>691454514</v>
      </c>
      <c r="V182" s="70" t="s">
        <v>801</v>
      </c>
    </row>
    <row r="183" spans="1:22" ht="12.75" customHeight="1" x14ac:dyDescent="0.15">
      <c r="A183" s="209" t="s">
        <v>2711</v>
      </c>
      <c r="B183" s="103" t="s">
        <v>1407</v>
      </c>
      <c r="C183" s="104" t="s">
        <v>1408</v>
      </c>
      <c r="D183" s="122" t="s">
        <v>107</v>
      </c>
      <c r="E183" s="105" t="s">
        <v>1409</v>
      </c>
      <c r="F183" s="123" t="s">
        <v>1410</v>
      </c>
      <c r="G183" s="105" t="s">
        <v>241</v>
      </c>
      <c r="H183" s="124" t="s">
        <v>1411</v>
      </c>
      <c r="I183" s="36">
        <v>983</v>
      </c>
      <c r="J183" s="105" t="s">
        <v>182</v>
      </c>
      <c r="K183" s="36"/>
      <c r="L183" s="105" t="s">
        <v>17</v>
      </c>
      <c r="M183" s="211"/>
      <c r="N183" s="211" t="s">
        <v>242</v>
      </c>
      <c r="O183" s="143"/>
      <c r="P183" s="36" t="s">
        <v>242</v>
      </c>
      <c r="Q183" s="211" t="s">
        <v>242</v>
      </c>
      <c r="R183" s="144" t="s">
        <v>244</v>
      </c>
      <c r="S183" s="122"/>
      <c r="T183" s="122"/>
      <c r="U183" s="122" t="s">
        <v>252</v>
      </c>
      <c r="V183" s="70" t="s">
        <v>1414</v>
      </c>
    </row>
    <row r="184" spans="1:22" ht="12.75" customHeight="1" x14ac:dyDescent="0.15">
      <c r="A184" s="209" t="s">
        <v>2711</v>
      </c>
      <c r="B184" s="103" t="s">
        <v>1420</v>
      </c>
      <c r="C184" s="104" t="s">
        <v>1417</v>
      </c>
      <c r="D184" s="122" t="s">
        <v>107</v>
      </c>
      <c r="E184" s="122" t="s">
        <v>1089</v>
      </c>
      <c r="F184" s="123" t="s">
        <v>737</v>
      </c>
      <c r="G184" s="105" t="s">
        <v>727</v>
      </c>
      <c r="H184" s="124" t="s">
        <v>1091</v>
      </c>
      <c r="I184" s="36">
        <v>700</v>
      </c>
      <c r="J184" s="105" t="s">
        <v>1421</v>
      </c>
      <c r="K184" s="36"/>
      <c r="L184" s="105" t="s">
        <v>17</v>
      </c>
      <c r="M184" s="211"/>
      <c r="N184" s="211" t="s">
        <v>242</v>
      </c>
      <c r="O184" s="211" t="s">
        <v>242</v>
      </c>
      <c r="P184" s="211" t="s">
        <v>242</v>
      </c>
      <c r="Q184" s="211" t="s">
        <v>242</v>
      </c>
      <c r="R184" s="144" t="s">
        <v>244</v>
      </c>
      <c r="S184" s="122" t="s">
        <v>1422</v>
      </c>
      <c r="T184" s="122"/>
      <c r="U184" s="153">
        <v>691817082</v>
      </c>
      <c r="V184" s="70" t="s">
        <v>1423</v>
      </c>
    </row>
    <row r="185" spans="1:22" ht="12.75" customHeight="1" x14ac:dyDescent="0.15">
      <c r="A185" s="209" t="s">
        <v>2711</v>
      </c>
      <c r="B185" s="103" t="s">
        <v>1731</v>
      </c>
      <c r="C185" s="104" t="s">
        <v>1732</v>
      </c>
      <c r="D185" s="122" t="s">
        <v>263</v>
      </c>
      <c r="E185" s="122" t="s">
        <v>1733</v>
      </c>
      <c r="F185" s="123" t="s">
        <v>1441</v>
      </c>
      <c r="G185" s="105" t="s">
        <v>274</v>
      </c>
      <c r="H185" s="124" t="s">
        <v>320</v>
      </c>
      <c r="I185" s="36">
        <v>982</v>
      </c>
      <c r="J185" s="105" t="s">
        <v>180</v>
      </c>
      <c r="K185" s="36">
        <v>12</v>
      </c>
      <c r="L185" s="105" t="s">
        <v>64</v>
      </c>
      <c r="M185" s="36" t="s">
        <v>1741</v>
      </c>
      <c r="N185" s="143">
        <v>41985</v>
      </c>
      <c r="O185" s="143">
        <v>41985</v>
      </c>
      <c r="P185" s="211">
        <v>2017</v>
      </c>
      <c r="Q185" s="143">
        <v>36303</v>
      </c>
      <c r="R185" s="144"/>
      <c r="S185" s="122"/>
      <c r="T185" s="105"/>
      <c r="U185" s="153">
        <v>691226078</v>
      </c>
      <c r="V185" s="146" t="s">
        <v>1742</v>
      </c>
    </row>
    <row r="186" spans="1:22" ht="12.75" customHeight="1" x14ac:dyDescent="0.15">
      <c r="A186" s="209" t="s">
        <v>2711</v>
      </c>
      <c r="B186" s="103" t="s">
        <v>764</v>
      </c>
      <c r="C186" s="104" t="s">
        <v>1770</v>
      </c>
      <c r="D186" s="122" t="s">
        <v>263</v>
      </c>
      <c r="E186" s="122" t="s">
        <v>1771</v>
      </c>
      <c r="F186" s="123" t="s">
        <v>354</v>
      </c>
      <c r="G186" s="105" t="s">
        <v>283</v>
      </c>
      <c r="H186" s="124" t="s">
        <v>320</v>
      </c>
      <c r="I186" s="36">
        <v>9</v>
      </c>
      <c r="J186" s="105" t="s">
        <v>101</v>
      </c>
      <c r="K186" s="36">
        <v>9</v>
      </c>
      <c r="L186" s="105" t="s">
        <v>101</v>
      </c>
      <c r="M186" s="36" t="s">
        <v>1772</v>
      </c>
      <c r="N186" s="143">
        <v>40711</v>
      </c>
      <c r="O186" s="143">
        <v>40711</v>
      </c>
      <c r="P186" s="211">
        <v>2021</v>
      </c>
      <c r="Q186" s="143">
        <v>29745</v>
      </c>
      <c r="R186" s="144"/>
      <c r="S186" s="122"/>
      <c r="T186" s="122"/>
      <c r="U186" s="145" t="s">
        <v>1773</v>
      </c>
      <c r="V186" s="54" t="s">
        <v>1774</v>
      </c>
    </row>
    <row r="187" spans="1:22" ht="12.75" customHeight="1" x14ac:dyDescent="0.15">
      <c r="A187" s="209" t="s">
        <v>2711</v>
      </c>
      <c r="B187" s="103" t="s">
        <v>781</v>
      </c>
      <c r="C187" s="104" t="s">
        <v>1796</v>
      </c>
      <c r="D187" s="122" t="s">
        <v>1489</v>
      </c>
      <c r="E187" s="122" t="s">
        <v>787</v>
      </c>
      <c r="F187" s="123" t="s">
        <v>788</v>
      </c>
      <c r="G187" s="105" t="s">
        <v>789</v>
      </c>
      <c r="H187" s="124" t="s">
        <v>790</v>
      </c>
      <c r="I187" s="36">
        <v>253</v>
      </c>
      <c r="J187" s="105" t="s">
        <v>147</v>
      </c>
      <c r="K187" s="36"/>
      <c r="L187" s="105" t="s">
        <v>17</v>
      </c>
      <c r="M187" s="36"/>
      <c r="N187" s="143" t="s">
        <v>242</v>
      </c>
      <c r="O187" s="143"/>
      <c r="P187" s="36" t="s">
        <v>242</v>
      </c>
      <c r="Q187" s="36" t="s">
        <v>242</v>
      </c>
      <c r="R187" s="144" t="s">
        <v>244</v>
      </c>
      <c r="S187" s="122"/>
      <c r="T187" s="122"/>
      <c r="U187" s="145" t="s">
        <v>1491</v>
      </c>
      <c r="V187" s="146" t="s">
        <v>1492</v>
      </c>
    </row>
    <row r="188" spans="1:22" ht="12.75" customHeight="1" x14ac:dyDescent="0.15">
      <c r="A188" s="209" t="s">
        <v>2711</v>
      </c>
      <c r="B188" s="103" t="s">
        <v>587</v>
      </c>
      <c r="C188" s="104" t="s">
        <v>588</v>
      </c>
      <c r="D188" s="122" t="s">
        <v>107</v>
      </c>
      <c r="E188" s="122" t="s">
        <v>589</v>
      </c>
      <c r="F188" s="123" t="s">
        <v>590</v>
      </c>
      <c r="G188" s="105" t="s">
        <v>223</v>
      </c>
      <c r="H188" s="124" t="s">
        <v>320</v>
      </c>
      <c r="I188" s="36">
        <v>254</v>
      </c>
      <c r="J188" s="105" t="s">
        <v>149</v>
      </c>
      <c r="K188" s="36"/>
      <c r="L188" s="105" t="s">
        <v>17</v>
      </c>
      <c r="M188" s="211"/>
      <c r="N188" s="143" t="s">
        <v>242</v>
      </c>
      <c r="O188" s="143"/>
      <c r="P188" s="211">
        <v>2018</v>
      </c>
      <c r="Q188" s="143">
        <v>33701</v>
      </c>
      <c r="R188" s="144"/>
      <c r="S188" s="122" t="s">
        <v>596</v>
      </c>
      <c r="T188" s="122"/>
      <c r="U188" s="145" t="s">
        <v>597</v>
      </c>
      <c r="V188" s="146" t="s">
        <v>1809</v>
      </c>
    </row>
    <row r="189" spans="1:22" ht="12.75" customHeight="1" x14ac:dyDescent="0.15">
      <c r="A189" s="209" t="s">
        <v>2711</v>
      </c>
      <c r="B189" s="103" t="s">
        <v>843</v>
      </c>
      <c r="C189" s="104" t="s">
        <v>850</v>
      </c>
      <c r="D189" s="122" t="s">
        <v>107</v>
      </c>
      <c r="E189" s="105" t="s">
        <v>846</v>
      </c>
      <c r="F189" s="123" t="s">
        <v>847</v>
      </c>
      <c r="G189" s="105" t="s">
        <v>848</v>
      </c>
      <c r="H189" s="124" t="s">
        <v>849</v>
      </c>
      <c r="I189" s="36">
        <v>1</v>
      </c>
      <c r="J189" s="105" t="s">
        <v>96</v>
      </c>
      <c r="K189" s="36">
        <v>1</v>
      </c>
      <c r="L189" s="105" t="s">
        <v>96</v>
      </c>
      <c r="M189" s="211" t="s">
        <v>851</v>
      </c>
      <c r="N189" s="143">
        <v>42496</v>
      </c>
      <c r="O189" s="143">
        <v>42496</v>
      </c>
      <c r="P189" s="211" t="s">
        <v>242</v>
      </c>
      <c r="Q189" s="143">
        <v>25409</v>
      </c>
      <c r="R189" s="144" t="s">
        <v>244</v>
      </c>
      <c r="S189" s="122"/>
      <c r="T189" s="122" t="s">
        <v>252</v>
      </c>
      <c r="U189" s="145" t="s">
        <v>1844</v>
      </c>
      <c r="V189" s="146" t="s">
        <v>1845</v>
      </c>
    </row>
    <row r="190" spans="1:22" ht="12.75" customHeight="1" x14ac:dyDescent="0.15">
      <c r="A190" s="209" t="s">
        <v>2711</v>
      </c>
      <c r="B190" s="103" t="s">
        <v>1848</v>
      </c>
      <c r="C190" s="104" t="s">
        <v>1849</v>
      </c>
      <c r="D190" s="122" t="s">
        <v>107</v>
      </c>
      <c r="E190" s="122" t="s">
        <v>1850</v>
      </c>
      <c r="F190" s="123" t="s">
        <v>670</v>
      </c>
      <c r="G190" s="105" t="s">
        <v>223</v>
      </c>
      <c r="H190" s="124" t="s">
        <v>1851</v>
      </c>
      <c r="I190" s="36">
        <v>212</v>
      </c>
      <c r="J190" s="105" t="s">
        <v>131</v>
      </c>
      <c r="K190" s="36"/>
      <c r="L190" s="105" t="s">
        <v>17</v>
      </c>
      <c r="M190" s="211"/>
      <c r="N190" s="143">
        <v>42917</v>
      </c>
      <c r="O190" s="143">
        <v>42882</v>
      </c>
      <c r="P190" s="36" t="s">
        <v>242</v>
      </c>
      <c r="Q190" s="36" t="s">
        <v>242</v>
      </c>
      <c r="R190" s="144"/>
      <c r="S190" s="122"/>
      <c r="T190" s="122"/>
      <c r="U190" s="153">
        <v>691835701</v>
      </c>
      <c r="V190" s="70" t="s">
        <v>1852</v>
      </c>
    </row>
    <row r="191" spans="1:22" ht="12.75" customHeight="1" x14ac:dyDescent="0.15">
      <c r="A191" s="209" t="s">
        <v>2711</v>
      </c>
      <c r="B191" s="103" t="s">
        <v>1899</v>
      </c>
      <c r="C191" s="104" t="s">
        <v>271</v>
      </c>
      <c r="D191" s="122" t="s">
        <v>107</v>
      </c>
      <c r="E191" s="122" t="s">
        <v>1900</v>
      </c>
      <c r="F191" s="123" t="s">
        <v>240</v>
      </c>
      <c r="G191" s="105" t="s">
        <v>135</v>
      </c>
      <c r="H191" s="124" t="s">
        <v>320</v>
      </c>
      <c r="I191" s="36">
        <v>3</v>
      </c>
      <c r="J191" s="105" t="s">
        <v>1901</v>
      </c>
      <c r="K191" s="36">
        <v>2</v>
      </c>
      <c r="L191" s="105" t="s">
        <v>29</v>
      </c>
      <c r="M191" s="36" t="s">
        <v>1902</v>
      </c>
      <c r="N191" s="143">
        <v>39013</v>
      </c>
      <c r="O191" s="143">
        <v>39013</v>
      </c>
      <c r="P191" s="211">
        <v>2019</v>
      </c>
      <c r="Q191" s="143">
        <v>36242</v>
      </c>
      <c r="R191" s="144" t="s">
        <v>1903</v>
      </c>
      <c r="S191" s="122" t="s">
        <v>1904</v>
      </c>
      <c r="T191" s="122"/>
      <c r="U191" s="145" t="s">
        <v>1905</v>
      </c>
      <c r="V191" s="146" t="s">
        <v>1906</v>
      </c>
    </row>
    <row r="192" spans="1:22" ht="12.75" customHeight="1" x14ac:dyDescent="0.15">
      <c r="A192" s="209" t="s">
        <v>2711</v>
      </c>
      <c r="B192" s="103" t="s">
        <v>1907</v>
      </c>
      <c r="C192" s="104" t="s">
        <v>1908</v>
      </c>
      <c r="D192" s="122" t="s">
        <v>107</v>
      </c>
      <c r="E192" s="105" t="s">
        <v>1409</v>
      </c>
      <c r="F192" s="123" t="s">
        <v>1410</v>
      </c>
      <c r="G192" s="105" t="s">
        <v>241</v>
      </c>
      <c r="H192" s="124" t="s">
        <v>1411</v>
      </c>
      <c r="I192" s="36">
        <v>983</v>
      </c>
      <c r="J192" s="105" t="s">
        <v>182</v>
      </c>
      <c r="K192" s="36"/>
      <c r="L192" s="105" t="s">
        <v>17</v>
      </c>
      <c r="M192" s="211"/>
      <c r="N192" s="143" t="s">
        <v>242</v>
      </c>
      <c r="O192" s="143"/>
      <c r="P192" s="36" t="s">
        <v>242</v>
      </c>
      <c r="Q192" s="36" t="s">
        <v>242</v>
      </c>
      <c r="R192" s="144" t="s">
        <v>244</v>
      </c>
      <c r="S192" s="122"/>
      <c r="T192" s="122"/>
      <c r="U192" s="153">
        <v>621211578</v>
      </c>
      <c r="V192" s="70" t="s">
        <v>1414</v>
      </c>
    </row>
    <row r="193" spans="1:22" ht="12.75" customHeight="1" x14ac:dyDescent="0.15">
      <c r="A193" s="209" t="s">
        <v>2711</v>
      </c>
      <c r="B193" s="103" t="s">
        <v>894</v>
      </c>
      <c r="C193" s="104" t="s">
        <v>866</v>
      </c>
      <c r="D193" s="122" t="s">
        <v>107</v>
      </c>
      <c r="E193" s="122" t="s">
        <v>897</v>
      </c>
      <c r="F193" s="123" t="s">
        <v>898</v>
      </c>
      <c r="G193" s="105" t="s">
        <v>651</v>
      </c>
      <c r="H193" s="124" t="s">
        <v>653</v>
      </c>
      <c r="I193" s="36">
        <v>212</v>
      </c>
      <c r="J193" s="105" t="s">
        <v>131</v>
      </c>
      <c r="K193" s="36"/>
      <c r="L193" s="105" t="s">
        <v>17</v>
      </c>
      <c r="M193" s="211"/>
      <c r="N193" s="143" t="s">
        <v>242</v>
      </c>
      <c r="O193" s="143">
        <v>42878</v>
      </c>
      <c r="P193" s="36" t="s">
        <v>242</v>
      </c>
      <c r="Q193" s="36" t="s">
        <v>242</v>
      </c>
      <c r="R193" s="144"/>
      <c r="S193" s="122" t="s">
        <v>1921</v>
      </c>
      <c r="T193" s="122"/>
      <c r="U193" s="153">
        <v>691651539</v>
      </c>
      <c r="V193" s="70" t="s">
        <v>1922</v>
      </c>
    </row>
    <row r="194" spans="1:22" ht="12.75" customHeight="1" x14ac:dyDescent="0.15">
      <c r="A194" s="209" t="s">
        <v>2711</v>
      </c>
      <c r="B194" s="103" t="s">
        <v>1949</v>
      </c>
      <c r="C194" s="104" t="s">
        <v>1950</v>
      </c>
      <c r="D194" s="122" t="s">
        <v>107</v>
      </c>
      <c r="E194" s="125" t="s">
        <v>1951</v>
      </c>
      <c r="F194" s="123" t="s">
        <v>504</v>
      </c>
      <c r="G194" s="126" t="s">
        <v>274</v>
      </c>
      <c r="H194" s="124" t="s">
        <v>320</v>
      </c>
      <c r="I194" s="36">
        <v>979</v>
      </c>
      <c r="J194" s="105" t="s">
        <v>169</v>
      </c>
      <c r="K194" s="36">
        <v>14</v>
      </c>
      <c r="L194" s="105" t="s">
        <v>68</v>
      </c>
      <c r="M194" s="211" t="s">
        <v>1952</v>
      </c>
      <c r="N194" s="143">
        <v>41194</v>
      </c>
      <c r="O194" s="143">
        <v>41194</v>
      </c>
      <c r="P194" s="36">
        <v>2016</v>
      </c>
      <c r="Q194" s="143">
        <v>37027</v>
      </c>
      <c r="R194" s="144"/>
      <c r="S194" s="122" t="s">
        <v>1953</v>
      </c>
      <c r="T194" s="125"/>
      <c r="U194" s="153">
        <v>621504023</v>
      </c>
      <c r="V194" s="70" t="s">
        <v>1954</v>
      </c>
    </row>
    <row r="195" spans="1:22" ht="12.75" customHeight="1" x14ac:dyDescent="0.15">
      <c r="A195" s="209" t="s">
        <v>2711</v>
      </c>
      <c r="B195" s="103" t="s">
        <v>1981</v>
      </c>
      <c r="C195" s="104" t="s">
        <v>280</v>
      </c>
      <c r="D195" s="122" t="s">
        <v>107</v>
      </c>
      <c r="E195" s="122" t="s">
        <v>1982</v>
      </c>
      <c r="F195" s="123" t="s">
        <v>492</v>
      </c>
      <c r="G195" s="105" t="s">
        <v>493</v>
      </c>
      <c r="H195" s="124" t="s">
        <v>320</v>
      </c>
      <c r="I195" s="36">
        <v>2</v>
      </c>
      <c r="J195" s="105" t="s">
        <v>29</v>
      </c>
      <c r="K195" s="36">
        <v>2</v>
      </c>
      <c r="L195" s="105" t="s">
        <v>29</v>
      </c>
      <c r="M195" s="36" t="s">
        <v>1983</v>
      </c>
      <c r="N195" s="143">
        <v>40435</v>
      </c>
      <c r="O195" s="143">
        <v>40435</v>
      </c>
      <c r="P195" s="211">
        <v>2019</v>
      </c>
      <c r="Q195" s="143">
        <v>35484</v>
      </c>
      <c r="R195" s="144"/>
      <c r="S195" s="122" t="s">
        <v>1984</v>
      </c>
      <c r="T195" s="122" t="s">
        <v>1985</v>
      </c>
      <c r="U195" s="145" t="s">
        <v>1986</v>
      </c>
      <c r="V195" s="70" t="s">
        <v>1987</v>
      </c>
    </row>
    <row r="196" spans="1:22" ht="12.75" customHeight="1" x14ac:dyDescent="0.15">
      <c r="A196" s="209" t="s">
        <v>2711</v>
      </c>
      <c r="B196" s="103" t="s">
        <v>2025</v>
      </c>
      <c r="C196" s="104" t="s">
        <v>775</v>
      </c>
      <c r="D196" s="122" t="s">
        <v>107</v>
      </c>
      <c r="E196" s="122" t="s">
        <v>2026</v>
      </c>
      <c r="F196" s="123" t="s">
        <v>617</v>
      </c>
      <c r="G196" s="105" t="s">
        <v>257</v>
      </c>
      <c r="H196" s="124" t="s">
        <v>2027</v>
      </c>
      <c r="I196" s="36">
        <v>212</v>
      </c>
      <c r="J196" s="105" t="s">
        <v>131</v>
      </c>
      <c r="K196" s="36"/>
      <c r="L196" s="105" t="s">
        <v>17</v>
      </c>
      <c r="M196" s="211"/>
      <c r="N196" s="143" t="s">
        <v>242</v>
      </c>
      <c r="O196" s="143">
        <v>42993</v>
      </c>
      <c r="P196" s="36" t="s">
        <v>242</v>
      </c>
      <c r="Q196" s="36" t="s">
        <v>242</v>
      </c>
      <c r="R196" s="144"/>
      <c r="S196" s="122"/>
      <c r="T196" s="122"/>
      <c r="U196" s="153">
        <v>661240775</v>
      </c>
      <c r="V196" s="70" t="s">
        <v>2028</v>
      </c>
    </row>
    <row r="197" spans="1:22" ht="12.75" customHeight="1" x14ac:dyDescent="0.15">
      <c r="A197" s="209" t="s">
        <v>2711</v>
      </c>
      <c r="B197" s="103" t="s">
        <v>2057</v>
      </c>
      <c r="C197" s="104" t="s">
        <v>2058</v>
      </c>
      <c r="D197" s="122" t="s">
        <v>107</v>
      </c>
      <c r="E197" s="122" t="s">
        <v>2026</v>
      </c>
      <c r="F197" s="123" t="s">
        <v>617</v>
      </c>
      <c r="G197" s="105" t="s">
        <v>257</v>
      </c>
      <c r="H197" s="124" t="s">
        <v>2027</v>
      </c>
      <c r="I197" s="36">
        <v>212</v>
      </c>
      <c r="J197" s="105" t="s">
        <v>131</v>
      </c>
      <c r="K197" s="36"/>
      <c r="L197" s="105" t="s">
        <v>17</v>
      </c>
      <c r="M197" s="211"/>
      <c r="N197" s="143" t="s">
        <v>242</v>
      </c>
      <c r="O197" s="143">
        <v>42993</v>
      </c>
      <c r="P197" s="36" t="s">
        <v>242</v>
      </c>
      <c r="Q197" s="36" t="s">
        <v>242</v>
      </c>
      <c r="R197" s="144"/>
      <c r="S197" s="122"/>
      <c r="T197" s="122"/>
      <c r="U197" s="153">
        <v>661240030</v>
      </c>
      <c r="V197" s="70" t="s">
        <v>2059</v>
      </c>
    </row>
    <row r="198" spans="1:22" ht="12.75" customHeight="1" x14ac:dyDescent="0.15">
      <c r="A198" s="209" t="s">
        <v>2711</v>
      </c>
      <c r="B198" s="103" t="s">
        <v>356</v>
      </c>
      <c r="C198" s="104" t="s">
        <v>811</v>
      </c>
      <c r="D198" s="122" t="s">
        <v>107</v>
      </c>
      <c r="E198" s="122" t="s">
        <v>743</v>
      </c>
      <c r="F198" s="123" t="s">
        <v>2074</v>
      </c>
      <c r="G198" s="105" t="s">
        <v>2075</v>
      </c>
      <c r="H198" s="124" t="s">
        <v>1851</v>
      </c>
      <c r="I198" s="36">
        <v>212</v>
      </c>
      <c r="J198" s="105" t="s">
        <v>131</v>
      </c>
      <c r="K198" s="36"/>
      <c r="L198" s="105" t="s">
        <v>17</v>
      </c>
      <c r="M198" s="211"/>
      <c r="N198" s="143">
        <v>42917</v>
      </c>
      <c r="O198" s="143">
        <v>42882</v>
      </c>
      <c r="P198" s="36" t="s">
        <v>242</v>
      </c>
      <c r="Q198" s="36" t="s">
        <v>242</v>
      </c>
      <c r="R198" s="144"/>
      <c r="S198" s="122"/>
      <c r="T198" s="122"/>
      <c r="U198" s="153">
        <v>661690624</v>
      </c>
      <c r="V198" s="70" t="s">
        <v>2073</v>
      </c>
    </row>
    <row r="199" spans="1:22" ht="12.75" customHeight="1" x14ac:dyDescent="0.15">
      <c r="A199" s="209" t="s">
        <v>2711</v>
      </c>
      <c r="B199" s="103" t="s">
        <v>2154</v>
      </c>
      <c r="C199" s="104" t="s">
        <v>2155</v>
      </c>
      <c r="D199" s="122" t="s">
        <v>263</v>
      </c>
      <c r="E199" s="122" t="s">
        <v>2156</v>
      </c>
      <c r="F199" s="123" t="s">
        <v>683</v>
      </c>
      <c r="G199" s="105" t="s">
        <v>241</v>
      </c>
      <c r="H199" s="124" t="s">
        <v>2157</v>
      </c>
      <c r="I199" s="36">
        <v>2</v>
      </c>
      <c r="J199" s="105" t="s">
        <v>29</v>
      </c>
      <c r="K199" s="36">
        <v>2</v>
      </c>
      <c r="L199" s="105" t="s">
        <v>29</v>
      </c>
      <c r="M199" s="211" t="s">
        <v>2158</v>
      </c>
      <c r="N199" s="143">
        <v>43076</v>
      </c>
      <c r="O199" s="143">
        <v>43038</v>
      </c>
      <c r="P199" s="36">
        <v>2027</v>
      </c>
      <c r="Q199" s="143">
        <v>35489</v>
      </c>
      <c r="R199" s="144" t="s">
        <v>2159</v>
      </c>
      <c r="S199" s="122"/>
      <c r="T199" s="122"/>
      <c r="U199" s="153">
        <v>691798411</v>
      </c>
      <c r="V199" s="70" t="s">
        <v>2160</v>
      </c>
    </row>
    <row r="200" spans="1:22" ht="12.75" customHeight="1" x14ac:dyDescent="0.15">
      <c r="A200" s="209" t="s">
        <v>2711</v>
      </c>
      <c r="B200" s="103" t="s">
        <v>2154</v>
      </c>
      <c r="C200" s="104" t="s">
        <v>2161</v>
      </c>
      <c r="D200" s="122" t="s">
        <v>263</v>
      </c>
      <c r="E200" s="122" t="s">
        <v>2156</v>
      </c>
      <c r="F200" s="123" t="s">
        <v>683</v>
      </c>
      <c r="G200" s="105" t="s">
        <v>241</v>
      </c>
      <c r="H200" s="124" t="s">
        <v>2157</v>
      </c>
      <c r="I200" s="36">
        <v>4</v>
      </c>
      <c r="J200" s="105" t="s">
        <v>34</v>
      </c>
      <c r="K200" s="36">
        <v>4</v>
      </c>
      <c r="L200" s="105" t="s">
        <v>34</v>
      </c>
      <c r="M200" s="211" t="s">
        <v>2162</v>
      </c>
      <c r="N200" s="143">
        <v>43067</v>
      </c>
      <c r="O200" s="143">
        <v>43038</v>
      </c>
      <c r="P200" s="36">
        <v>2022</v>
      </c>
      <c r="Q200" s="143">
        <v>37400</v>
      </c>
      <c r="R200" s="144" t="s">
        <v>2163</v>
      </c>
      <c r="S200" s="122"/>
      <c r="T200" s="125"/>
      <c r="U200" s="122" t="s">
        <v>2164</v>
      </c>
      <c r="V200" s="70" t="s">
        <v>2165</v>
      </c>
    </row>
    <row r="201" spans="1:22" ht="12.75" customHeight="1" x14ac:dyDescent="0.15">
      <c r="A201" s="209" t="s">
        <v>2711</v>
      </c>
      <c r="B201" s="103" t="s">
        <v>2166</v>
      </c>
      <c r="C201" s="104" t="s">
        <v>2167</v>
      </c>
      <c r="D201" s="122" t="s">
        <v>263</v>
      </c>
      <c r="E201" s="122" t="s">
        <v>2156</v>
      </c>
      <c r="F201" s="123" t="s">
        <v>683</v>
      </c>
      <c r="G201" s="105" t="s">
        <v>241</v>
      </c>
      <c r="H201" s="124" t="s">
        <v>2157</v>
      </c>
      <c r="I201" s="36">
        <v>2</v>
      </c>
      <c r="J201" s="105" t="s">
        <v>29</v>
      </c>
      <c r="K201" s="36">
        <v>2</v>
      </c>
      <c r="L201" s="105" t="s">
        <v>29</v>
      </c>
      <c r="M201" s="211" t="s">
        <v>2168</v>
      </c>
      <c r="N201" s="143">
        <v>43068</v>
      </c>
      <c r="O201" s="143">
        <v>43029</v>
      </c>
      <c r="P201" s="36">
        <v>2019</v>
      </c>
      <c r="Q201" s="143">
        <v>33792</v>
      </c>
      <c r="R201" s="144" t="s">
        <v>2169</v>
      </c>
      <c r="S201" s="122"/>
      <c r="T201" s="122"/>
      <c r="U201" s="153">
        <v>621264321</v>
      </c>
      <c r="V201" s="70" t="s">
        <v>2170</v>
      </c>
    </row>
    <row r="202" spans="1:22" ht="12.75" customHeight="1" x14ac:dyDescent="0.15">
      <c r="A202" s="209" t="s">
        <v>2711</v>
      </c>
      <c r="B202" s="103" t="s">
        <v>2259</v>
      </c>
      <c r="C202" s="104" t="s">
        <v>2260</v>
      </c>
      <c r="D202" s="122" t="s">
        <v>107</v>
      </c>
      <c r="E202" s="122" t="s">
        <v>353</v>
      </c>
      <c r="F202" s="123" t="s">
        <v>354</v>
      </c>
      <c r="G202" s="105" t="s">
        <v>283</v>
      </c>
      <c r="H202" s="124" t="s">
        <v>355</v>
      </c>
      <c r="I202" s="36">
        <v>252</v>
      </c>
      <c r="J202" s="105" t="s">
        <v>145</v>
      </c>
      <c r="K202" s="36">
        <v>14</v>
      </c>
      <c r="L202" s="105" t="s">
        <v>68</v>
      </c>
      <c r="M202" s="36" t="s">
        <v>2261</v>
      </c>
      <c r="N202" s="143">
        <v>40729</v>
      </c>
      <c r="O202" s="143">
        <v>40729</v>
      </c>
      <c r="P202" s="211">
        <v>2018</v>
      </c>
      <c r="Q202" s="143">
        <v>37947</v>
      </c>
      <c r="R202" s="144" t="s">
        <v>2262</v>
      </c>
      <c r="S202" s="122"/>
      <c r="T202" s="122"/>
      <c r="U202" s="145" t="s">
        <v>369</v>
      </c>
      <c r="V202" s="145" t="s">
        <v>370</v>
      </c>
    </row>
    <row r="203" spans="1:22" ht="12.75" customHeight="1" x14ac:dyDescent="0.15">
      <c r="A203" s="209" t="s">
        <v>2711</v>
      </c>
      <c r="B203" s="103" t="s">
        <v>2259</v>
      </c>
      <c r="C203" s="104" t="s">
        <v>979</v>
      </c>
      <c r="D203" s="122" t="s">
        <v>107</v>
      </c>
      <c r="E203" s="122" t="s">
        <v>2263</v>
      </c>
      <c r="F203" s="123" t="s">
        <v>2264</v>
      </c>
      <c r="G203" s="105" t="s">
        <v>558</v>
      </c>
      <c r="H203" s="124" t="s">
        <v>355</v>
      </c>
      <c r="I203" s="36">
        <v>1</v>
      </c>
      <c r="J203" s="105" t="s">
        <v>96</v>
      </c>
      <c r="K203" s="36">
        <v>1</v>
      </c>
      <c r="L203" s="105" t="s">
        <v>96</v>
      </c>
      <c r="M203" s="36" t="s">
        <v>2265</v>
      </c>
      <c r="N203" s="143">
        <v>41962</v>
      </c>
      <c r="O203" s="143">
        <v>41962</v>
      </c>
      <c r="P203" s="211" t="s">
        <v>242</v>
      </c>
      <c r="Q203" s="143">
        <v>24693</v>
      </c>
      <c r="R203" s="144" t="s">
        <v>244</v>
      </c>
      <c r="S203" s="122"/>
      <c r="T203" s="122"/>
      <c r="U203" s="145" t="s">
        <v>2266</v>
      </c>
      <c r="V203" s="146" t="s">
        <v>2267</v>
      </c>
    </row>
    <row r="204" spans="1:22" ht="12.75" customHeight="1" x14ac:dyDescent="0.15">
      <c r="A204" s="209" t="s">
        <v>2711</v>
      </c>
      <c r="B204" s="103" t="s">
        <v>2271</v>
      </c>
      <c r="C204" s="104" t="s">
        <v>2272</v>
      </c>
      <c r="D204" s="122" t="s">
        <v>107</v>
      </c>
      <c r="E204" s="122" t="s">
        <v>2273</v>
      </c>
      <c r="F204" s="123" t="s">
        <v>2274</v>
      </c>
      <c r="G204" s="105" t="s">
        <v>2275</v>
      </c>
      <c r="H204" s="124" t="s">
        <v>2276</v>
      </c>
      <c r="I204" s="36">
        <v>983</v>
      </c>
      <c r="J204" s="105" t="s">
        <v>182</v>
      </c>
      <c r="K204" s="36">
        <v>12</v>
      </c>
      <c r="L204" s="105" t="s">
        <v>64</v>
      </c>
      <c r="M204" s="211" t="s">
        <v>2277</v>
      </c>
      <c r="N204" s="143">
        <v>42633</v>
      </c>
      <c r="O204" s="143">
        <v>42633</v>
      </c>
      <c r="P204" s="36">
        <v>2018</v>
      </c>
      <c r="Q204" s="143">
        <v>36715</v>
      </c>
      <c r="R204" s="144"/>
      <c r="S204" s="122" t="s">
        <v>2278</v>
      </c>
      <c r="T204" s="122"/>
      <c r="U204" s="153">
        <v>691741786</v>
      </c>
      <c r="V204" s="70" t="s">
        <v>2279</v>
      </c>
    </row>
    <row r="205" spans="1:22" ht="12.75" customHeight="1" x14ac:dyDescent="0.15">
      <c r="A205" s="209" t="s">
        <v>2711</v>
      </c>
      <c r="B205" s="103" t="s">
        <v>2292</v>
      </c>
      <c r="C205" s="104" t="s">
        <v>861</v>
      </c>
      <c r="D205" s="122" t="s">
        <v>2293</v>
      </c>
      <c r="E205" s="122" t="s">
        <v>2294</v>
      </c>
      <c r="F205" s="123" t="s">
        <v>2295</v>
      </c>
      <c r="G205" s="105" t="s">
        <v>2296</v>
      </c>
      <c r="H205" s="124" t="s">
        <v>2297</v>
      </c>
      <c r="I205" s="36">
        <v>700</v>
      </c>
      <c r="J205" s="105" t="s">
        <v>1421</v>
      </c>
      <c r="K205" s="36">
        <v>12</v>
      </c>
      <c r="L205" s="105" t="s">
        <v>64</v>
      </c>
      <c r="M205" s="211" t="s">
        <v>2298</v>
      </c>
      <c r="N205" s="143">
        <v>43062</v>
      </c>
      <c r="O205" s="143">
        <v>43029</v>
      </c>
      <c r="P205" s="36">
        <v>2019</v>
      </c>
      <c r="Q205" s="143">
        <v>36255</v>
      </c>
      <c r="R205" s="144" t="s">
        <v>2299</v>
      </c>
      <c r="S205" s="122"/>
      <c r="T205" s="122"/>
      <c r="U205" s="153">
        <v>691243452</v>
      </c>
      <c r="V205" s="70" t="s">
        <v>2300</v>
      </c>
    </row>
    <row r="206" spans="1:22" ht="12.75" customHeight="1" x14ac:dyDescent="0.15">
      <c r="A206" s="209" t="s">
        <v>2711</v>
      </c>
      <c r="B206" s="103" t="s">
        <v>2301</v>
      </c>
      <c r="C206" s="104" t="s">
        <v>2302</v>
      </c>
      <c r="D206" s="122" t="s">
        <v>263</v>
      </c>
      <c r="E206" s="122" t="s">
        <v>2294</v>
      </c>
      <c r="F206" s="123" t="s">
        <v>2295</v>
      </c>
      <c r="G206" s="105" t="s">
        <v>2296</v>
      </c>
      <c r="H206" s="124" t="s">
        <v>2297</v>
      </c>
      <c r="I206" s="36">
        <v>700</v>
      </c>
      <c r="J206" s="105" t="s">
        <v>1421</v>
      </c>
      <c r="K206" s="36"/>
      <c r="L206" s="105" t="s">
        <v>17</v>
      </c>
      <c r="M206" s="211"/>
      <c r="N206" s="143" t="s">
        <v>242</v>
      </c>
      <c r="O206" s="143">
        <v>43029</v>
      </c>
      <c r="P206" s="36" t="s">
        <v>242</v>
      </c>
      <c r="Q206" s="36" t="s">
        <v>242</v>
      </c>
      <c r="R206" s="144"/>
      <c r="S206" s="122" t="s">
        <v>2303</v>
      </c>
      <c r="T206" s="122"/>
      <c r="U206" s="153">
        <v>691246227</v>
      </c>
      <c r="V206" s="70" t="s">
        <v>2304</v>
      </c>
    </row>
    <row r="207" spans="1:22" ht="12.75" customHeight="1" x14ac:dyDescent="0.15">
      <c r="A207" s="209" t="s">
        <v>2711</v>
      </c>
      <c r="B207" s="103" t="s">
        <v>1039</v>
      </c>
      <c r="C207" s="104" t="s">
        <v>2383</v>
      </c>
      <c r="D207" s="122" t="s">
        <v>2082</v>
      </c>
      <c r="E207" s="122" t="s">
        <v>1850</v>
      </c>
      <c r="F207" s="123" t="s">
        <v>670</v>
      </c>
      <c r="G207" s="105" t="s">
        <v>223</v>
      </c>
      <c r="H207" s="124" t="s">
        <v>1851</v>
      </c>
      <c r="I207" s="36">
        <v>12</v>
      </c>
      <c r="J207" s="105" t="s">
        <v>64</v>
      </c>
      <c r="K207" s="36">
        <v>12</v>
      </c>
      <c r="L207" s="105" t="s">
        <v>64</v>
      </c>
      <c r="M207" s="211" t="s">
        <v>2384</v>
      </c>
      <c r="N207" s="143">
        <v>42917</v>
      </c>
      <c r="O207" s="143">
        <v>42882</v>
      </c>
      <c r="P207" s="36">
        <v>2021</v>
      </c>
      <c r="Q207" s="143">
        <v>36805</v>
      </c>
      <c r="R207" s="144" t="s">
        <v>2385</v>
      </c>
      <c r="S207" s="153">
        <v>691835701</v>
      </c>
      <c r="T207" s="122"/>
      <c r="U207" s="153">
        <v>621377336</v>
      </c>
      <c r="V207" s="70" t="s">
        <v>2386</v>
      </c>
    </row>
    <row r="208" spans="1:22" ht="12.75" customHeight="1" x14ac:dyDescent="0.15">
      <c r="A208" s="209" t="s">
        <v>2711</v>
      </c>
      <c r="B208" s="103" t="s">
        <v>1039</v>
      </c>
      <c r="C208" s="104" t="s">
        <v>2391</v>
      </c>
      <c r="D208" s="122" t="s">
        <v>2082</v>
      </c>
      <c r="E208" s="122" t="s">
        <v>1850</v>
      </c>
      <c r="F208" s="123" t="s">
        <v>670</v>
      </c>
      <c r="G208" s="105" t="s">
        <v>223</v>
      </c>
      <c r="H208" s="124" t="s">
        <v>1851</v>
      </c>
      <c r="I208" s="36">
        <v>212</v>
      </c>
      <c r="J208" s="105" t="s">
        <v>131</v>
      </c>
      <c r="K208" s="36"/>
      <c r="L208" s="105" t="s">
        <v>17</v>
      </c>
      <c r="M208" s="211"/>
      <c r="N208" s="143" t="s">
        <v>242</v>
      </c>
      <c r="O208" s="143">
        <v>42882</v>
      </c>
      <c r="P208" s="36" t="s">
        <v>242</v>
      </c>
      <c r="Q208" s="36" t="s">
        <v>242</v>
      </c>
      <c r="R208" s="144"/>
      <c r="S208" s="153">
        <v>691835701</v>
      </c>
      <c r="T208" s="122"/>
      <c r="U208" s="153">
        <v>691197080</v>
      </c>
      <c r="V208" s="70" t="s">
        <v>1852</v>
      </c>
    </row>
    <row r="209" spans="1:22" ht="12.75" customHeight="1" x14ac:dyDescent="0.15">
      <c r="A209" s="209" t="s">
        <v>2711</v>
      </c>
      <c r="B209" s="103" t="s">
        <v>2404</v>
      </c>
      <c r="C209" s="104" t="s">
        <v>2405</v>
      </c>
      <c r="D209" s="122" t="s">
        <v>2406</v>
      </c>
      <c r="E209" s="122" t="s">
        <v>2407</v>
      </c>
      <c r="F209" s="123" t="s">
        <v>2408</v>
      </c>
      <c r="G209" s="105" t="s">
        <v>528</v>
      </c>
      <c r="H209" s="124" t="s">
        <v>2409</v>
      </c>
      <c r="I209" s="36">
        <v>4</v>
      </c>
      <c r="J209" s="105" t="s">
        <v>34</v>
      </c>
      <c r="K209" s="36">
        <v>4</v>
      </c>
      <c r="L209" s="105" t="s">
        <v>34</v>
      </c>
      <c r="M209" s="211" t="s">
        <v>2410</v>
      </c>
      <c r="N209" s="143">
        <v>41342</v>
      </c>
      <c r="O209" s="143">
        <v>42634</v>
      </c>
      <c r="P209" s="36">
        <v>2022</v>
      </c>
      <c r="Q209" s="143">
        <v>37375</v>
      </c>
      <c r="R209" s="144" t="s">
        <v>2411</v>
      </c>
      <c r="S209" s="122" t="s">
        <v>2412</v>
      </c>
      <c r="T209" s="122"/>
      <c r="U209" s="153">
        <v>621542734</v>
      </c>
      <c r="V209" s="70" t="s">
        <v>2413</v>
      </c>
    </row>
    <row r="210" spans="1:22" ht="12.75" customHeight="1" x14ac:dyDescent="0.15">
      <c r="A210" s="209" t="s">
        <v>2711</v>
      </c>
      <c r="B210" s="103" t="s">
        <v>2404</v>
      </c>
      <c r="C210" s="104" t="s">
        <v>2414</v>
      </c>
      <c r="D210" s="122" t="s">
        <v>2406</v>
      </c>
      <c r="E210" s="122" t="s">
        <v>2407</v>
      </c>
      <c r="F210" s="123" t="s">
        <v>2408</v>
      </c>
      <c r="G210" s="105" t="s">
        <v>528</v>
      </c>
      <c r="H210" s="124" t="s">
        <v>2409</v>
      </c>
      <c r="I210" s="36">
        <v>212</v>
      </c>
      <c r="J210" s="105" t="s">
        <v>131</v>
      </c>
      <c r="K210" s="36"/>
      <c r="L210" s="105" t="s">
        <v>17</v>
      </c>
      <c r="M210" s="211"/>
      <c r="N210" s="143" t="s">
        <v>242</v>
      </c>
      <c r="O210" s="143"/>
      <c r="P210" s="36" t="s">
        <v>242</v>
      </c>
      <c r="Q210" s="36" t="s">
        <v>242</v>
      </c>
      <c r="R210" s="144" t="s">
        <v>244</v>
      </c>
      <c r="S210" s="122" t="s">
        <v>2412</v>
      </c>
      <c r="T210" s="122"/>
      <c r="U210" s="153">
        <v>691452309</v>
      </c>
      <c r="V210" s="70" t="s">
        <v>2415</v>
      </c>
    </row>
    <row r="211" spans="1:22" ht="12.75" customHeight="1" x14ac:dyDescent="0.15">
      <c r="A211" s="209" t="s">
        <v>2711</v>
      </c>
      <c r="B211" s="103" t="s">
        <v>2404</v>
      </c>
      <c r="C211" s="104" t="s">
        <v>2416</v>
      </c>
      <c r="D211" s="122" t="s">
        <v>2406</v>
      </c>
      <c r="E211" s="122" t="s">
        <v>2407</v>
      </c>
      <c r="F211" s="123" t="s">
        <v>2408</v>
      </c>
      <c r="G211" s="105" t="s">
        <v>528</v>
      </c>
      <c r="H211" s="124" t="s">
        <v>2409</v>
      </c>
      <c r="I211" s="36">
        <v>212</v>
      </c>
      <c r="J211" s="105" t="s">
        <v>131</v>
      </c>
      <c r="K211" s="36"/>
      <c r="L211" s="105" t="s">
        <v>17</v>
      </c>
      <c r="M211" s="211"/>
      <c r="N211" s="143" t="s">
        <v>242</v>
      </c>
      <c r="O211" s="143"/>
      <c r="P211" s="36" t="s">
        <v>242</v>
      </c>
      <c r="Q211" s="36" t="s">
        <v>242</v>
      </c>
      <c r="R211" s="144" t="s">
        <v>244</v>
      </c>
      <c r="S211" s="122" t="s">
        <v>2412</v>
      </c>
      <c r="T211" s="122"/>
      <c r="U211" s="153">
        <v>691116000</v>
      </c>
      <c r="V211" s="70" t="s">
        <v>2417</v>
      </c>
    </row>
    <row r="212" spans="1:22" ht="12.75" customHeight="1" x14ac:dyDescent="0.15">
      <c r="A212" s="209" t="s">
        <v>2711</v>
      </c>
      <c r="B212" s="103" t="s">
        <v>478</v>
      </c>
      <c r="C212" s="104" t="s">
        <v>2497</v>
      </c>
      <c r="D212" s="122" t="s">
        <v>107</v>
      </c>
      <c r="E212" s="122" t="s">
        <v>1089</v>
      </c>
      <c r="F212" s="123" t="s">
        <v>737</v>
      </c>
      <c r="G212" s="105" t="s">
        <v>727</v>
      </c>
      <c r="H212" s="124" t="s">
        <v>1091</v>
      </c>
      <c r="I212" s="36">
        <v>700</v>
      </c>
      <c r="J212" s="105" t="s">
        <v>1421</v>
      </c>
      <c r="K212" s="36"/>
      <c r="L212" s="105" t="s">
        <v>17</v>
      </c>
      <c r="M212" s="211"/>
      <c r="N212" s="143" t="s">
        <v>242</v>
      </c>
      <c r="O212" s="143">
        <v>42626</v>
      </c>
      <c r="P212" s="36" t="s">
        <v>242</v>
      </c>
      <c r="Q212" s="36" t="s">
        <v>242</v>
      </c>
      <c r="R212" s="144" t="s">
        <v>244</v>
      </c>
      <c r="S212" s="122" t="s">
        <v>1422</v>
      </c>
      <c r="T212" s="122"/>
      <c r="U212" s="153">
        <v>691705955</v>
      </c>
      <c r="V212" s="70" t="s">
        <v>2501</v>
      </c>
    </row>
    <row r="213" spans="1:22" ht="12.75" customHeight="1" x14ac:dyDescent="0.15">
      <c r="A213" s="209" t="s">
        <v>2711</v>
      </c>
      <c r="B213" s="103" t="s">
        <v>1358</v>
      </c>
      <c r="C213" s="104" t="s">
        <v>1978</v>
      </c>
      <c r="D213" s="122" t="s">
        <v>107</v>
      </c>
      <c r="E213" s="122" t="s">
        <v>2517</v>
      </c>
      <c r="F213" s="123" t="s">
        <v>2518</v>
      </c>
      <c r="G213" s="105" t="s">
        <v>241</v>
      </c>
      <c r="H213" s="124" t="s">
        <v>320</v>
      </c>
      <c r="I213" s="36">
        <v>981</v>
      </c>
      <c r="J213" s="105" t="s">
        <v>178</v>
      </c>
      <c r="K213" s="36">
        <v>11</v>
      </c>
      <c r="L213" s="105" t="s">
        <v>100</v>
      </c>
      <c r="M213" s="36"/>
      <c r="N213" s="143">
        <v>34473</v>
      </c>
      <c r="O213" s="143">
        <v>34473</v>
      </c>
      <c r="P213" s="211" t="s">
        <v>210</v>
      </c>
      <c r="Q213" s="143">
        <v>29066</v>
      </c>
      <c r="R213" s="144" t="s">
        <v>244</v>
      </c>
      <c r="S213" s="122" t="s">
        <v>2519</v>
      </c>
      <c r="T213" s="122" t="s">
        <v>2520</v>
      </c>
      <c r="U213" s="145" t="s">
        <v>2520</v>
      </c>
      <c r="V213" s="122"/>
    </row>
    <row r="214" spans="1:22" ht="12.75" customHeight="1" x14ac:dyDescent="0.15">
      <c r="A214" s="209" t="s">
        <v>2711</v>
      </c>
      <c r="B214" s="103" t="s">
        <v>1108</v>
      </c>
      <c r="C214" s="104" t="s">
        <v>1113</v>
      </c>
      <c r="D214" s="122"/>
      <c r="E214" s="122"/>
      <c r="F214" s="123"/>
      <c r="G214" s="105"/>
      <c r="H214" s="124" t="s">
        <v>1114</v>
      </c>
      <c r="I214" s="36">
        <v>984</v>
      </c>
      <c r="J214" s="105" t="s">
        <v>186</v>
      </c>
      <c r="K214" s="36">
        <v>200</v>
      </c>
      <c r="L214" s="105" t="s">
        <v>120</v>
      </c>
      <c r="M214" s="211"/>
      <c r="N214" s="143" t="s">
        <v>242</v>
      </c>
      <c r="O214" s="143"/>
      <c r="P214" s="36" t="s">
        <v>242</v>
      </c>
      <c r="Q214" s="36" t="s">
        <v>242</v>
      </c>
      <c r="R214" s="144"/>
      <c r="S214" s="122"/>
      <c r="T214" s="122"/>
      <c r="U214" s="122"/>
      <c r="V214" s="70" t="s">
        <v>2549</v>
      </c>
    </row>
    <row r="215" spans="1:22" ht="12.75" customHeight="1" x14ac:dyDescent="0.15">
      <c r="A215" s="209" t="s">
        <v>2711</v>
      </c>
      <c r="B215" s="103" t="s">
        <v>2561</v>
      </c>
      <c r="C215" s="104" t="s">
        <v>2562</v>
      </c>
      <c r="D215" s="122" t="s">
        <v>2563</v>
      </c>
      <c r="E215" s="122" t="s">
        <v>2356</v>
      </c>
      <c r="F215" s="123" t="s">
        <v>1129</v>
      </c>
      <c r="G215" s="105" t="s">
        <v>2357</v>
      </c>
      <c r="H215" s="124" t="s">
        <v>2358</v>
      </c>
      <c r="I215" s="36">
        <v>212</v>
      </c>
      <c r="J215" s="105" t="s">
        <v>131</v>
      </c>
      <c r="K215" s="36"/>
      <c r="L215" s="105" t="s">
        <v>17</v>
      </c>
      <c r="M215" s="211"/>
      <c r="N215" s="143" t="s">
        <v>242</v>
      </c>
      <c r="O215" s="143">
        <v>42736</v>
      </c>
      <c r="P215" s="36" t="s">
        <v>242</v>
      </c>
      <c r="Q215" s="36" t="s">
        <v>242</v>
      </c>
      <c r="R215" s="144"/>
      <c r="S215" s="122" t="s">
        <v>2361</v>
      </c>
      <c r="T215" s="122"/>
      <c r="U215" s="153">
        <v>691845890</v>
      </c>
      <c r="V215" s="122"/>
    </row>
    <row r="216" spans="1:22" ht="12.75" customHeight="1" x14ac:dyDescent="0.15">
      <c r="A216" s="209" t="s">
        <v>2711</v>
      </c>
      <c r="B216" s="103" t="s">
        <v>2564</v>
      </c>
      <c r="C216" s="104" t="s">
        <v>2565</v>
      </c>
      <c r="D216" s="122" t="s">
        <v>263</v>
      </c>
      <c r="E216" s="122" t="s">
        <v>2566</v>
      </c>
      <c r="F216" s="123" t="s">
        <v>256</v>
      </c>
      <c r="G216" s="105" t="s">
        <v>257</v>
      </c>
      <c r="H216" s="124" t="s">
        <v>320</v>
      </c>
      <c r="I216" s="36">
        <v>2</v>
      </c>
      <c r="J216" s="105" t="s">
        <v>29</v>
      </c>
      <c r="K216" s="36">
        <v>2</v>
      </c>
      <c r="L216" s="105" t="s">
        <v>29</v>
      </c>
      <c r="M216" s="211" t="s">
        <v>2567</v>
      </c>
      <c r="N216" s="143">
        <v>42755</v>
      </c>
      <c r="O216" s="143">
        <v>40854</v>
      </c>
      <c r="P216" s="211">
        <v>2027</v>
      </c>
      <c r="Q216" s="143">
        <v>35682</v>
      </c>
      <c r="R216" s="144" t="s">
        <v>2568</v>
      </c>
      <c r="S216" s="122" t="s">
        <v>252</v>
      </c>
      <c r="T216" s="122"/>
      <c r="U216" s="153">
        <v>621327041</v>
      </c>
      <c r="V216" s="212" t="s">
        <v>2569</v>
      </c>
    </row>
    <row r="217" spans="1:22" ht="12.75" customHeight="1" x14ac:dyDescent="0.15">
      <c r="A217" s="209" t="s">
        <v>2711</v>
      </c>
      <c r="B217" s="103" t="s">
        <v>2575</v>
      </c>
      <c r="C217" s="104" t="s">
        <v>1035</v>
      </c>
      <c r="D217" s="122" t="s">
        <v>107</v>
      </c>
      <c r="E217" s="122" t="s">
        <v>2273</v>
      </c>
      <c r="F217" s="123" t="s">
        <v>2274</v>
      </c>
      <c r="G217" s="105" t="s">
        <v>2275</v>
      </c>
      <c r="H217" s="124" t="s">
        <v>2276</v>
      </c>
      <c r="I217" s="36">
        <v>983</v>
      </c>
      <c r="J217" s="105" t="s">
        <v>182</v>
      </c>
      <c r="K217" s="36"/>
      <c r="L217" s="105" t="s">
        <v>17</v>
      </c>
      <c r="M217" s="211"/>
      <c r="N217" s="143" t="s">
        <v>242</v>
      </c>
      <c r="O217" s="143"/>
      <c r="P217" s="36" t="s">
        <v>242</v>
      </c>
      <c r="Q217" s="36" t="s">
        <v>242</v>
      </c>
      <c r="R217" s="144" t="s">
        <v>244</v>
      </c>
      <c r="S217" s="122" t="s">
        <v>2278</v>
      </c>
      <c r="T217" s="122"/>
      <c r="U217" s="153">
        <v>691867565</v>
      </c>
      <c r="V217" s="70" t="s">
        <v>2576</v>
      </c>
    </row>
    <row r="218" spans="1:22" ht="12.75" customHeight="1" x14ac:dyDescent="0.15">
      <c r="A218" s="209" t="s">
        <v>2711</v>
      </c>
      <c r="B218" s="103" t="s">
        <v>1146</v>
      </c>
      <c r="C218" s="104" t="s">
        <v>174</v>
      </c>
      <c r="D218" s="122" t="s">
        <v>107</v>
      </c>
      <c r="E218" s="122" t="s">
        <v>1147</v>
      </c>
      <c r="F218" s="123" t="s">
        <v>110</v>
      </c>
      <c r="G218" s="105" t="s">
        <v>111</v>
      </c>
      <c r="H218" s="124" t="s">
        <v>1149</v>
      </c>
      <c r="I218" s="36">
        <v>700</v>
      </c>
      <c r="J218" s="105" t="s">
        <v>2589</v>
      </c>
      <c r="K218" s="36"/>
      <c r="L218" s="105" t="s">
        <v>17</v>
      </c>
      <c r="M218" s="211"/>
      <c r="N218" s="143" t="s">
        <v>242</v>
      </c>
      <c r="O218" s="143"/>
      <c r="P218" s="36" t="s">
        <v>242</v>
      </c>
      <c r="Q218" s="36" t="s">
        <v>242</v>
      </c>
      <c r="R218" s="144" t="s">
        <v>244</v>
      </c>
      <c r="S218" s="122" t="s">
        <v>1729</v>
      </c>
      <c r="T218" s="122"/>
      <c r="U218" s="122"/>
      <c r="V218" s="70" t="s">
        <v>2590</v>
      </c>
    </row>
    <row r="219" spans="1:22" ht="12.75" customHeight="1" x14ac:dyDescent="0.15">
      <c r="A219" s="209" t="s">
        <v>2711</v>
      </c>
      <c r="B219" s="103" t="s">
        <v>1146</v>
      </c>
      <c r="C219" s="104" t="s">
        <v>1460</v>
      </c>
      <c r="D219" s="122" t="s">
        <v>107</v>
      </c>
      <c r="E219" s="122" t="s">
        <v>1147</v>
      </c>
      <c r="F219" s="123" t="s">
        <v>110</v>
      </c>
      <c r="G219" s="105" t="s">
        <v>111</v>
      </c>
      <c r="H219" s="124" t="s">
        <v>1149</v>
      </c>
      <c r="I219" s="36">
        <v>993</v>
      </c>
      <c r="J219" s="105" t="s">
        <v>201</v>
      </c>
      <c r="K219" s="36">
        <v>1</v>
      </c>
      <c r="L219" s="105" t="s">
        <v>96</v>
      </c>
      <c r="M219" s="36" t="s">
        <v>2591</v>
      </c>
      <c r="N219" s="143">
        <v>42019</v>
      </c>
      <c r="O219" s="143">
        <v>42019</v>
      </c>
      <c r="P219" s="211" t="s">
        <v>242</v>
      </c>
      <c r="Q219" s="143">
        <v>24369</v>
      </c>
      <c r="R219" s="144" t="s">
        <v>244</v>
      </c>
      <c r="S219" s="122" t="s">
        <v>1729</v>
      </c>
      <c r="T219" s="153">
        <v>621242616</v>
      </c>
      <c r="U219" s="145" t="s">
        <v>2592</v>
      </c>
      <c r="V219" s="146" t="s">
        <v>2593</v>
      </c>
    </row>
    <row r="220" spans="1:22" ht="12.75" customHeight="1" x14ac:dyDescent="0.15">
      <c r="A220" s="209" t="s">
        <v>2711</v>
      </c>
      <c r="B220" s="241" t="s">
        <v>2594</v>
      </c>
      <c r="C220" s="104" t="s">
        <v>2595</v>
      </c>
      <c r="D220" s="122" t="s">
        <v>263</v>
      </c>
      <c r="E220" s="122" t="s">
        <v>2596</v>
      </c>
      <c r="F220" s="123" t="s">
        <v>2597</v>
      </c>
      <c r="G220" s="105" t="s">
        <v>1371</v>
      </c>
      <c r="H220" s="124" t="s">
        <v>320</v>
      </c>
      <c r="I220" s="36">
        <v>2</v>
      </c>
      <c r="J220" s="105" t="s">
        <v>29</v>
      </c>
      <c r="K220" s="36">
        <v>2</v>
      </c>
      <c r="L220" s="105" t="s">
        <v>29</v>
      </c>
      <c r="M220" s="36" t="s">
        <v>2598</v>
      </c>
      <c r="N220" s="143">
        <v>38673</v>
      </c>
      <c r="O220" s="143">
        <v>38673</v>
      </c>
      <c r="P220" s="211">
        <v>2019</v>
      </c>
      <c r="Q220" s="143">
        <v>35528</v>
      </c>
      <c r="R220" s="144"/>
      <c r="S220" s="122" t="s">
        <v>2599</v>
      </c>
      <c r="T220" s="122"/>
      <c r="U220" s="145" t="s">
        <v>2600</v>
      </c>
      <c r="V220" s="146" t="s">
        <v>2601</v>
      </c>
    </row>
    <row r="221" spans="1:22" ht="12.75" customHeight="1" x14ac:dyDescent="0.15">
      <c r="A221" s="209" t="s">
        <v>2711</v>
      </c>
      <c r="B221" s="103" t="s">
        <v>1173</v>
      </c>
      <c r="C221" s="104" t="s">
        <v>1174</v>
      </c>
      <c r="D221" s="122" t="s">
        <v>107</v>
      </c>
      <c r="E221" s="122" t="s">
        <v>1175</v>
      </c>
      <c r="F221" s="123" t="s">
        <v>1176</v>
      </c>
      <c r="G221" s="105" t="s">
        <v>982</v>
      </c>
      <c r="H221" s="124" t="s">
        <v>1114</v>
      </c>
      <c r="I221" s="36">
        <v>2</v>
      </c>
      <c r="J221" s="105" t="s">
        <v>29</v>
      </c>
      <c r="K221" s="36">
        <v>2</v>
      </c>
      <c r="L221" s="105" t="s">
        <v>29</v>
      </c>
      <c r="M221" s="36" t="s">
        <v>1180</v>
      </c>
      <c r="N221" s="143">
        <v>37217</v>
      </c>
      <c r="O221" s="143">
        <v>37217</v>
      </c>
      <c r="P221" s="211">
        <v>2013</v>
      </c>
      <c r="Q221" s="143">
        <v>33262</v>
      </c>
      <c r="R221" s="144"/>
      <c r="S221" s="122"/>
      <c r="T221" s="122"/>
      <c r="U221" s="145" t="s">
        <v>2651</v>
      </c>
      <c r="V221" s="146" t="s">
        <v>2652</v>
      </c>
    </row>
    <row r="222" spans="1:22" ht="12.75" customHeight="1" x14ac:dyDescent="0.15">
      <c r="A222" s="209" t="s">
        <v>2711</v>
      </c>
      <c r="B222" s="103" t="s">
        <v>2669</v>
      </c>
      <c r="C222" s="104" t="s">
        <v>2670</v>
      </c>
      <c r="D222" s="122"/>
      <c r="E222" s="122"/>
      <c r="F222" s="123"/>
      <c r="G222" s="105"/>
      <c r="H222" s="124" t="s">
        <v>2671</v>
      </c>
      <c r="I222" s="36">
        <v>17</v>
      </c>
      <c r="J222" s="105" t="s">
        <v>94</v>
      </c>
      <c r="K222" s="36">
        <v>0</v>
      </c>
      <c r="L222" s="105" t="s">
        <v>17</v>
      </c>
      <c r="M222" s="211"/>
      <c r="N222" s="143" t="s">
        <v>242</v>
      </c>
      <c r="O222" s="143">
        <v>43360</v>
      </c>
      <c r="P222" s="36"/>
      <c r="Q222" s="143"/>
      <c r="R222" s="144"/>
      <c r="S222" s="122"/>
      <c r="T222" s="122" t="s">
        <v>2672</v>
      </c>
      <c r="U222" s="122" t="s">
        <v>2673</v>
      </c>
      <c r="V222" s="70" t="s">
        <v>2674</v>
      </c>
    </row>
    <row r="223" spans="1:22" ht="12.75" customHeight="1" x14ac:dyDescent="0.15">
      <c r="A223" s="209" t="s">
        <v>2711</v>
      </c>
      <c r="B223" s="103" t="s">
        <v>2669</v>
      </c>
      <c r="C223" s="104" t="s">
        <v>2675</v>
      </c>
      <c r="D223" s="122"/>
      <c r="E223" s="122"/>
      <c r="F223" s="123"/>
      <c r="G223" s="105"/>
      <c r="H223" s="124" t="s">
        <v>2671</v>
      </c>
      <c r="I223" s="36">
        <v>17</v>
      </c>
      <c r="J223" s="105" t="s">
        <v>94</v>
      </c>
      <c r="K223" s="36">
        <v>0</v>
      </c>
      <c r="L223" s="105" t="s">
        <v>17</v>
      </c>
      <c r="M223" s="211"/>
      <c r="N223" s="143" t="s">
        <v>242</v>
      </c>
      <c r="O223" s="143">
        <v>43360</v>
      </c>
      <c r="P223" s="36"/>
      <c r="Q223" s="143"/>
      <c r="R223" s="144" t="s">
        <v>252</v>
      </c>
      <c r="S223" s="122"/>
      <c r="T223" s="122" t="s">
        <v>2676</v>
      </c>
      <c r="U223" s="122" t="s">
        <v>2677</v>
      </c>
      <c r="V223" s="70" t="s">
        <v>2674</v>
      </c>
    </row>
    <row r="224" spans="1:22" ht="12.75" customHeight="1" x14ac:dyDescent="0.15">
      <c r="A224" s="209" t="s">
        <v>2711</v>
      </c>
      <c r="B224" s="103" t="s">
        <v>2669</v>
      </c>
      <c r="C224" s="104"/>
      <c r="D224" s="122"/>
      <c r="E224" s="122"/>
      <c r="F224" s="123"/>
      <c r="G224" s="105"/>
      <c r="H224" s="124" t="s">
        <v>2671</v>
      </c>
      <c r="I224" s="36">
        <v>212</v>
      </c>
      <c r="J224" s="105" t="s">
        <v>131</v>
      </c>
      <c r="K224" s="36"/>
      <c r="L224" s="105" t="s">
        <v>17</v>
      </c>
      <c r="M224" s="211"/>
      <c r="N224" s="143" t="s">
        <v>242</v>
      </c>
      <c r="O224" s="143">
        <v>40539</v>
      </c>
      <c r="P224" s="211" t="s">
        <v>242</v>
      </c>
      <c r="Q224" s="143" t="s">
        <v>242</v>
      </c>
      <c r="R224" s="144"/>
      <c r="S224" s="122"/>
      <c r="T224" s="153"/>
      <c r="U224" s="145" t="s">
        <v>2682</v>
      </c>
      <c r="V224" s="146" t="s">
        <v>2674</v>
      </c>
    </row>
    <row r="225" spans="1:22" ht="12.75" customHeight="1" x14ac:dyDescent="0.15">
      <c r="A225" s="209" t="s">
        <v>2711</v>
      </c>
      <c r="B225" s="103" t="s">
        <v>2669</v>
      </c>
      <c r="C225" s="104"/>
      <c r="D225" s="122"/>
      <c r="E225" s="122"/>
      <c r="F225" s="123"/>
      <c r="G225" s="105"/>
      <c r="H225" s="124" t="s">
        <v>2671</v>
      </c>
      <c r="I225" s="36">
        <v>212</v>
      </c>
      <c r="J225" s="105" t="s">
        <v>131</v>
      </c>
      <c r="K225" s="36"/>
      <c r="L225" s="105" t="s">
        <v>17</v>
      </c>
      <c r="M225" s="211"/>
      <c r="N225" s="143" t="s">
        <v>242</v>
      </c>
      <c r="O225" s="143">
        <v>40539</v>
      </c>
      <c r="P225" s="36" t="s">
        <v>242</v>
      </c>
      <c r="Q225" s="143" t="s">
        <v>242</v>
      </c>
      <c r="R225" s="144"/>
      <c r="S225" s="122"/>
      <c r="T225" s="122"/>
      <c r="U225" s="122" t="s">
        <v>2681</v>
      </c>
      <c r="V225" s="146" t="s">
        <v>2674</v>
      </c>
    </row>
    <row r="226" spans="1:22" ht="12.75" customHeight="1" x14ac:dyDescent="0.15">
      <c r="A226" s="209" t="s">
        <v>3355</v>
      </c>
      <c r="B226" s="103" t="s">
        <v>2225</v>
      </c>
      <c r="C226" s="104" t="s">
        <v>2226</v>
      </c>
      <c r="D226" s="122" t="s">
        <v>2227</v>
      </c>
      <c r="E226" s="122" t="s">
        <v>2228</v>
      </c>
      <c r="F226" s="123" t="s">
        <v>2229</v>
      </c>
      <c r="G226" s="105" t="s">
        <v>177</v>
      </c>
      <c r="H226" s="124" t="s">
        <v>320</v>
      </c>
      <c r="I226" s="36">
        <v>2</v>
      </c>
      <c r="J226" s="105" t="str">
        <f t="shared" ref="J226" si="8">VLOOKUP(I226,CAT_JOUEUR,2,FALSE)</f>
        <v>Seniors - Hommes</v>
      </c>
      <c r="K226" s="36">
        <v>2</v>
      </c>
      <c r="L226" s="105" t="str">
        <f t="shared" ref="L226:L227" si="9">VLOOKUP(K226,CAT_JOUEUR,2,FALSE)</f>
        <v>Seniors - Hommes</v>
      </c>
      <c r="M226" s="124" t="s">
        <v>3022</v>
      </c>
      <c r="N226" s="143">
        <v>43378</v>
      </c>
      <c r="O226" s="143">
        <v>43363</v>
      </c>
      <c r="P226" s="36">
        <v>2027</v>
      </c>
      <c r="Q226" s="143">
        <v>31809</v>
      </c>
      <c r="R226" s="144" t="s">
        <v>2230</v>
      </c>
      <c r="S226" s="144"/>
      <c r="T226" s="122"/>
      <c r="U226" s="122"/>
      <c r="V226" s="70" t="s">
        <v>2231</v>
      </c>
    </row>
    <row r="227" spans="1:22" ht="12.75" customHeight="1" x14ac:dyDescent="0.15">
      <c r="A227" s="209" t="s">
        <v>3355</v>
      </c>
      <c r="B227" s="103" t="s">
        <v>2430</v>
      </c>
      <c r="C227" s="104" t="s">
        <v>2431</v>
      </c>
      <c r="D227" s="122" t="s">
        <v>248</v>
      </c>
      <c r="E227" s="122" t="s">
        <v>2432</v>
      </c>
      <c r="F227" s="123" t="s">
        <v>2433</v>
      </c>
      <c r="G227" s="105" t="s">
        <v>2434</v>
      </c>
      <c r="H227" s="124" t="s">
        <v>320</v>
      </c>
      <c r="I227" s="36">
        <v>2</v>
      </c>
      <c r="J227" s="105" t="str">
        <f t="shared" ref="J227" si="10">VLOOKUP(I227,CAT_JOUEUR,2,FALSE)</f>
        <v>Seniors - Hommes</v>
      </c>
      <c r="K227" s="36">
        <v>2</v>
      </c>
      <c r="L227" s="105" t="str">
        <f t="shared" si="9"/>
        <v>Seniors - Hommes</v>
      </c>
      <c r="M227" s="124" t="s">
        <v>3048</v>
      </c>
      <c r="N227" s="143">
        <v>43369</v>
      </c>
      <c r="O227" s="143">
        <v>43355</v>
      </c>
      <c r="P227" s="36">
        <v>2024</v>
      </c>
      <c r="Q227" s="143">
        <v>34584</v>
      </c>
      <c r="R227" s="123" t="s">
        <v>2435</v>
      </c>
      <c r="S227" s="123"/>
      <c r="T227" s="122"/>
      <c r="U227" s="122" t="s">
        <v>2436</v>
      </c>
      <c r="V227" s="70" t="s">
        <v>2437</v>
      </c>
    </row>
    <row r="228" spans="1:22" ht="12.75" customHeight="1" x14ac:dyDescent="0.15">
      <c r="A228" s="209" t="s">
        <v>3355</v>
      </c>
      <c r="B228" s="103" t="s">
        <v>316</v>
      </c>
      <c r="C228" s="104" t="s">
        <v>289</v>
      </c>
      <c r="D228" s="122" t="s">
        <v>107</v>
      </c>
      <c r="E228" s="122" t="s">
        <v>317</v>
      </c>
      <c r="F228" s="123" t="s">
        <v>318</v>
      </c>
      <c r="G228" s="105" t="s">
        <v>319</v>
      </c>
      <c r="H228" s="124" t="s">
        <v>320</v>
      </c>
      <c r="I228" s="36">
        <v>12</v>
      </c>
      <c r="J228" s="105" t="s">
        <v>64</v>
      </c>
      <c r="K228" s="36">
        <v>12</v>
      </c>
      <c r="L228" s="105" t="s">
        <v>64</v>
      </c>
      <c r="M228" s="124" t="s">
        <v>2918</v>
      </c>
      <c r="N228" s="143"/>
      <c r="O228" s="143">
        <v>42919</v>
      </c>
      <c r="P228" s="36"/>
      <c r="Q228" s="143">
        <v>39558</v>
      </c>
      <c r="R228" s="144" t="s">
        <v>505</v>
      </c>
      <c r="S228" s="122"/>
      <c r="T228" s="122"/>
      <c r="U228" s="122"/>
      <c r="V228" s="122"/>
    </row>
    <row r="229" spans="1:22" ht="12.75" customHeight="1" x14ac:dyDescent="0.15">
      <c r="A229" s="209" t="s">
        <v>3355</v>
      </c>
      <c r="B229" s="103" t="s">
        <v>489</v>
      </c>
      <c r="C229" s="104" t="s">
        <v>271</v>
      </c>
      <c r="D229" s="122" t="s">
        <v>490</v>
      </c>
      <c r="E229" s="122" t="s">
        <v>491</v>
      </c>
      <c r="F229" s="123" t="s">
        <v>492</v>
      </c>
      <c r="G229" s="105" t="s">
        <v>493</v>
      </c>
      <c r="H229" s="124" t="s">
        <v>494</v>
      </c>
      <c r="I229" s="36">
        <v>220</v>
      </c>
      <c r="J229" s="105" t="s">
        <v>136</v>
      </c>
      <c r="K229" s="36">
        <v>6</v>
      </c>
      <c r="L229" s="105" t="s">
        <v>43</v>
      </c>
      <c r="M229" s="124" t="s">
        <v>2805</v>
      </c>
      <c r="N229" s="143" t="s">
        <v>242</v>
      </c>
      <c r="O229" s="143">
        <v>42919</v>
      </c>
      <c r="P229" s="36" t="s">
        <v>242</v>
      </c>
      <c r="Q229" s="36" t="s">
        <v>242</v>
      </c>
      <c r="R229" s="144" t="s">
        <v>244</v>
      </c>
      <c r="S229" s="122" t="s">
        <v>512</v>
      </c>
      <c r="T229" s="122"/>
      <c r="U229" s="153">
        <v>621363998</v>
      </c>
      <c r="V229" s="122"/>
    </row>
    <row r="230" spans="1:22" ht="12.75" customHeight="1" x14ac:dyDescent="0.15">
      <c r="A230" s="209" t="s">
        <v>3355</v>
      </c>
      <c r="B230" s="103" t="s">
        <v>489</v>
      </c>
      <c r="C230" s="104" t="s">
        <v>506</v>
      </c>
      <c r="D230" s="122" t="s">
        <v>490</v>
      </c>
      <c r="E230" s="122" t="s">
        <v>491</v>
      </c>
      <c r="F230" s="123" t="s">
        <v>492</v>
      </c>
      <c r="G230" s="105" t="s">
        <v>493</v>
      </c>
      <c r="H230" s="124" t="s">
        <v>494</v>
      </c>
      <c r="I230" s="36">
        <v>220</v>
      </c>
      <c r="J230" s="105" t="s">
        <v>136</v>
      </c>
      <c r="K230" s="36">
        <v>212</v>
      </c>
      <c r="L230" s="105" t="s">
        <v>131</v>
      </c>
      <c r="M230" s="124"/>
      <c r="N230" s="143">
        <v>43402</v>
      </c>
      <c r="O230" s="143">
        <v>43383</v>
      </c>
      <c r="P230" s="36">
        <v>2026</v>
      </c>
      <c r="Q230" s="143">
        <v>35369</v>
      </c>
      <c r="R230" s="144" t="s">
        <v>529</v>
      </c>
      <c r="S230" s="122" t="s">
        <v>530</v>
      </c>
      <c r="T230" s="122"/>
      <c r="U230" s="122" t="s">
        <v>531</v>
      </c>
      <c r="V230" s="70" t="s">
        <v>532</v>
      </c>
    </row>
    <row r="231" spans="1:22" ht="12.75" customHeight="1" x14ac:dyDescent="0.15">
      <c r="A231" s="209" t="s">
        <v>3355</v>
      </c>
      <c r="B231" s="103" t="s">
        <v>513</v>
      </c>
      <c r="C231" s="104" t="s">
        <v>514</v>
      </c>
      <c r="D231" s="122" t="s">
        <v>515</v>
      </c>
      <c r="E231" s="122" t="s">
        <v>516</v>
      </c>
      <c r="F231" s="123" t="s">
        <v>517</v>
      </c>
      <c r="G231" s="105" t="s">
        <v>518</v>
      </c>
      <c r="H231" s="124" t="s">
        <v>519</v>
      </c>
      <c r="I231" s="36">
        <v>12</v>
      </c>
      <c r="J231" s="105" t="s">
        <v>64</v>
      </c>
      <c r="K231" s="36">
        <v>12</v>
      </c>
      <c r="L231" s="105" t="s">
        <v>64</v>
      </c>
      <c r="M231" s="124" t="s">
        <v>2924</v>
      </c>
      <c r="N231" s="143" t="s">
        <v>242</v>
      </c>
      <c r="O231" s="143">
        <v>43383</v>
      </c>
      <c r="P231" s="36" t="s">
        <v>242</v>
      </c>
      <c r="Q231" s="36" t="s">
        <v>242</v>
      </c>
      <c r="R231" s="144" t="s">
        <v>244</v>
      </c>
      <c r="S231" s="122" t="s">
        <v>530</v>
      </c>
      <c r="T231" s="122"/>
      <c r="U231" s="122" t="s">
        <v>538</v>
      </c>
      <c r="V231" s="70" t="s">
        <v>539</v>
      </c>
    </row>
    <row r="232" spans="1:22" ht="12.75" customHeight="1" x14ac:dyDescent="0.15">
      <c r="A232" s="209" t="s">
        <v>3355</v>
      </c>
      <c r="B232" s="103" t="s">
        <v>513</v>
      </c>
      <c r="C232" s="104" t="s">
        <v>534</v>
      </c>
      <c r="D232" s="122" t="s">
        <v>515</v>
      </c>
      <c r="E232" s="122" t="s">
        <v>516</v>
      </c>
      <c r="F232" s="123" t="s">
        <v>517</v>
      </c>
      <c r="G232" s="105" t="s">
        <v>518</v>
      </c>
      <c r="H232" s="124" t="s">
        <v>519</v>
      </c>
      <c r="I232" s="36">
        <v>212</v>
      </c>
      <c r="J232" s="105" t="s">
        <v>131</v>
      </c>
      <c r="K232" s="36">
        <v>212</v>
      </c>
      <c r="L232" s="105" t="s">
        <v>131</v>
      </c>
      <c r="M232" s="124"/>
      <c r="N232" s="143" t="s">
        <v>242</v>
      </c>
      <c r="O232" s="143">
        <v>43383</v>
      </c>
      <c r="P232" s="36" t="s">
        <v>242</v>
      </c>
      <c r="Q232" s="36" t="s">
        <v>242</v>
      </c>
      <c r="R232" s="144" t="s">
        <v>244</v>
      </c>
      <c r="S232" s="122" t="s">
        <v>530</v>
      </c>
      <c r="T232" s="122"/>
      <c r="U232" s="122" t="s">
        <v>546</v>
      </c>
      <c r="V232" s="70" t="s">
        <v>547</v>
      </c>
    </row>
    <row r="233" spans="1:22" ht="12.75" customHeight="1" x14ac:dyDescent="0.15">
      <c r="A233" s="209" t="s">
        <v>3355</v>
      </c>
      <c r="B233" s="103" t="s">
        <v>513</v>
      </c>
      <c r="C233" s="104" t="s">
        <v>543</v>
      </c>
      <c r="D233" s="122" t="s">
        <v>515</v>
      </c>
      <c r="E233" s="122" t="s">
        <v>516</v>
      </c>
      <c r="F233" s="123" t="s">
        <v>517</v>
      </c>
      <c r="G233" s="105" t="s">
        <v>518</v>
      </c>
      <c r="H233" s="124" t="s">
        <v>519</v>
      </c>
      <c r="I233" s="36">
        <v>212</v>
      </c>
      <c r="J233" s="105" t="s">
        <v>131</v>
      </c>
      <c r="K233" s="36">
        <v>212</v>
      </c>
      <c r="L233" s="105" t="s">
        <v>131</v>
      </c>
      <c r="M233" s="124"/>
      <c r="N233" s="143">
        <v>43382</v>
      </c>
      <c r="O233" s="143">
        <v>43318</v>
      </c>
      <c r="P233" s="36">
        <v>2024</v>
      </c>
      <c r="Q233" s="143">
        <v>34465</v>
      </c>
      <c r="R233" s="144" t="s">
        <v>729</v>
      </c>
      <c r="S233" s="122" t="s">
        <v>730</v>
      </c>
      <c r="T233" s="122"/>
      <c r="U233" s="122" t="s">
        <v>731</v>
      </c>
      <c r="V233" s="70" t="s">
        <v>732</v>
      </c>
    </row>
    <row r="234" spans="1:22" ht="12.75" customHeight="1" x14ac:dyDescent="0.15">
      <c r="A234" s="209" t="s">
        <v>3355</v>
      </c>
      <c r="B234" s="103" t="s">
        <v>684</v>
      </c>
      <c r="C234" s="104" t="s">
        <v>685</v>
      </c>
      <c r="D234" s="122" t="s">
        <v>107</v>
      </c>
      <c r="E234" s="122" t="s">
        <v>688</v>
      </c>
      <c r="F234" s="123" t="s">
        <v>689</v>
      </c>
      <c r="G234" s="105" t="s">
        <v>691</v>
      </c>
      <c r="H234" s="124" t="s">
        <v>320</v>
      </c>
      <c r="I234" s="36">
        <v>12</v>
      </c>
      <c r="J234" s="105" t="s">
        <v>64</v>
      </c>
      <c r="K234" s="36">
        <v>12</v>
      </c>
      <c r="L234" s="105" t="s">
        <v>64</v>
      </c>
      <c r="M234" s="124" t="s">
        <v>2926</v>
      </c>
      <c r="N234" s="143" t="s">
        <v>242</v>
      </c>
      <c r="O234" s="143"/>
      <c r="P234" s="36" t="s">
        <v>242</v>
      </c>
      <c r="Q234" s="36" t="s">
        <v>242</v>
      </c>
      <c r="R234" s="144" t="s">
        <v>244</v>
      </c>
      <c r="S234" s="122" t="s">
        <v>973</v>
      </c>
      <c r="T234" s="122"/>
      <c r="U234" s="153">
        <v>621320899</v>
      </c>
      <c r="V234" s="70" t="s">
        <v>976</v>
      </c>
    </row>
    <row r="235" spans="1:22" ht="12.75" customHeight="1" x14ac:dyDescent="0.15">
      <c r="A235" s="209" t="s">
        <v>3355</v>
      </c>
      <c r="B235" s="103" t="s">
        <v>657</v>
      </c>
      <c r="C235" s="104" t="s">
        <v>400</v>
      </c>
      <c r="D235" s="122" t="s">
        <v>107</v>
      </c>
      <c r="E235" s="122" t="s">
        <v>659</v>
      </c>
      <c r="F235" s="123" t="s">
        <v>660</v>
      </c>
      <c r="G235" s="105" t="s">
        <v>661</v>
      </c>
      <c r="H235" s="124" t="s">
        <v>662</v>
      </c>
      <c r="I235" s="36">
        <v>212</v>
      </c>
      <c r="J235" s="105" t="s">
        <v>131</v>
      </c>
      <c r="K235" s="36">
        <v>212</v>
      </c>
      <c r="L235" s="105" t="s">
        <v>131</v>
      </c>
      <c r="M235" s="124"/>
      <c r="N235" s="143">
        <v>42633</v>
      </c>
      <c r="O235" s="143">
        <v>42632</v>
      </c>
      <c r="P235" s="36">
        <v>2021</v>
      </c>
      <c r="Q235" s="143">
        <v>37278</v>
      </c>
      <c r="R235" s="144" t="s">
        <v>1022</v>
      </c>
      <c r="S235" s="122" t="s">
        <v>973</v>
      </c>
      <c r="T235" s="122"/>
      <c r="U235" s="153">
        <v>621887915</v>
      </c>
      <c r="V235" s="70" t="s">
        <v>976</v>
      </c>
    </row>
    <row r="236" spans="1:22" ht="12.75" customHeight="1" x14ac:dyDescent="0.15">
      <c r="A236" s="209" t="s">
        <v>3355</v>
      </c>
      <c r="B236" s="103" t="s">
        <v>657</v>
      </c>
      <c r="C236" s="104" t="s">
        <v>658</v>
      </c>
      <c r="D236" s="122" t="s">
        <v>107</v>
      </c>
      <c r="E236" s="122" t="s">
        <v>659</v>
      </c>
      <c r="F236" s="123" t="s">
        <v>660</v>
      </c>
      <c r="G236" s="105" t="s">
        <v>661</v>
      </c>
      <c r="H236" s="124" t="s">
        <v>662</v>
      </c>
      <c r="I236" s="36">
        <v>303</v>
      </c>
      <c r="J236" s="105" t="s">
        <v>159</v>
      </c>
      <c r="K236" s="36">
        <v>3</v>
      </c>
      <c r="L236" s="105" t="s">
        <v>31</v>
      </c>
      <c r="M236" s="124" t="s">
        <v>2927</v>
      </c>
      <c r="N236" s="143">
        <v>40841</v>
      </c>
      <c r="O236" s="143">
        <v>40841</v>
      </c>
      <c r="P236" s="211">
        <v>2019</v>
      </c>
      <c r="Q236" s="143">
        <v>37050</v>
      </c>
      <c r="R236" s="144"/>
      <c r="S236" s="122" t="s">
        <v>1109</v>
      </c>
      <c r="T236" s="122"/>
      <c r="U236" s="145" t="s">
        <v>1110</v>
      </c>
      <c r="V236" s="145" t="s">
        <v>1111</v>
      </c>
    </row>
    <row r="237" spans="1:22" ht="12.75" customHeight="1" x14ac:dyDescent="0.15">
      <c r="A237" s="209" t="s">
        <v>3355</v>
      </c>
      <c r="B237" s="103" t="s">
        <v>1043</v>
      </c>
      <c r="C237" s="104" t="s">
        <v>1045</v>
      </c>
      <c r="D237" s="122" t="s">
        <v>107</v>
      </c>
      <c r="E237" s="122" t="s">
        <v>1046</v>
      </c>
      <c r="F237" s="123" t="s">
        <v>1047</v>
      </c>
      <c r="G237" s="105" t="s">
        <v>266</v>
      </c>
      <c r="H237" s="124" t="s">
        <v>320</v>
      </c>
      <c r="I237" s="36">
        <v>14</v>
      </c>
      <c r="J237" s="105" t="s">
        <v>68</v>
      </c>
      <c r="K237" s="36">
        <v>12</v>
      </c>
      <c r="L237" s="105" t="s">
        <v>64</v>
      </c>
      <c r="M237" s="124" t="s">
        <v>2928</v>
      </c>
      <c r="N237" s="143">
        <v>34529</v>
      </c>
      <c r="O237" s="143">
        <v>34529</v>
      </c>
      <c r="P237" s="211">
        <v>2017</v>
      </c>
      <c r="Q237" s="143">
        <v>24523</v>
      </c>
      <c r="R237" s="144"/>
      <c r="S237" s="122" t="s">
        <v>1138</v>
      </c>
      <c r="T237" s="122"/>
      <c r="U237" s="145" t="s">
        <v>1139</v>
      </c>
      <c r="V237" s="145" t="s">
        <v>1140</v>
      </c>
    </row>
    <row r="238" spans="1:22" ht="12.75" customHeight="1" x14ac:dyDescent="0.15">
      <c r="A238" s="209" t="s">
        <v>3355</v>
      </c>
      <c r="B238" s="103" t="s">
        <v>1130</v>
      </c>
      <c r="C238" s="104" t="s">
        <v>1133</v>
      </c>
      <c r="D238" s="122" t="s">
        <v>107</v>
      </c>
      <c r="E238" s="122" t="s">
        <v>1134</v>
      </c>
      <c r="F238" s="123" t="s">
        <v>1135</v>
      </c>
      <c r="G238" s="105" t="s">
        <v>936</v>
      </c>
      <c r="H238" s="124" t="s">
        <v>268</v>
      </c>
      <c r="I238" s="36">
        <v>993</v>
      </c>
      <c r="J238" s="105" t="s">
        <v>201</v>
      </c>
      <c r="K238" s="36">
        <v>9</v>
      </c>
      <c r="L238" s="105" t="s">
        <v>101</v>
      </c>
      <c r="M238" s="124" t="s">
        <v>2930</v>
      </c>
      <c r="N238" s="143"/>
      <c r="O238" s="143">
        <v>43311</v>
      </c>
      <c r="P238" s="36"/>
      <c r="Q238" s="143">
        <v>29859</v>
      </c>
      <c r="R238" s="144" t="s">
        <v>1285</v>
      </c>
      <c r="S238" s="122" t="s">
        <v>226</v>
      </c>
      <c r="T238" s="122"/>
      <c r="U238" s="122" t="s">
        <v>227</v>
      </c>
      <c r="V238" s="70" t="s">
        <v>1287</v>
      </c>
    </row>
    <row r="239" spans="1:22" ht="12.75" customHeight="1" x14ac:dyDescent="0.15">
      <c r="A239" s="209" t="s">
        <v>3355</v>
      </c>
      <c r="B239" s="103" t="s">
        <v>219</v>
      </c>
      <c r="C239" s="104" t="s">
        <v>220</v>
      </c>
      <c r="D239" s="122" t="s">
        <v>107</v>
      </c>
      <c r="E239" s="122" t="s">
        <v>221</v>
      </c>
      <c r="F239" s="123" t="s">
        <v>222</v>
      </c>
      <c r="G239" s="105" t="s">
        <v>223</v>
      </c>
      <c r="H239" s="124" t="s">
        <v>320</v>
      </c>
      <c r="I239" s="36">
        <v>19</v>
      </c>
      <c r="J239" s="105" t="s">
        <v>102</v>
      </c>
      <c r="K239" s="36">
        <v>19</v>
      </c>
      <c r="L239" s="105" t="s">
        <v>102</v>
      </c>
      <c r="M239" s="124" t="s">
        <v>2805</v>
      </c>
      <c r="N239" s="143">
        <v>42990</v>
      </c>
      <c r="O239" s="143">
        <v>42948</v>
      </c>
      <c r="P239" s="36">
        <v>2021</v>
      </c>
      <c r="Q239" s="143">
        <v>29671</v>
      </c>
      <c r="R239" s="144" t="s">
        <v>1361</v>
      </c>
      <c r="S239" s="122" t="s">
        <v>1362</v>
      </c>
      <c r="T239" s="122"/>
      <c r="U239" s="153">
        <v>621506005</v>
      </c>
      <c r="V239" s="70" t="s">
        <v>1363</v>
      </c>
    </row>
    <row r="240" spans="1:22" ht="12.75" customHeight="1" x14ac:dyDescent="0.15">
      <c r="A240" s="209" t="s">
        <v>3355</v>
      </c>
      <c r="B240" s="103" t="s">
        <v>677</v>
      </c>
      <c r="C240" s="104" t="s">
        <v>678</v>
      </c>
      <c r="D240" s="122" t="s">
        <v>1350</v>
      </c>
      <c r="E240" s="122" t="s">
        <v>679</v>
      </c>
      <c r="F240" s="123" t="s">
        <v>418</v>
      </c>
      <c r="G240" s="105" t="s">
        <v>618</v>
      </c>
      <c r="H240" s="124" t="s">
        <v>320</v>
      </c>
      <c r="I240" s="36">
        <v>9</v>
      </c>
      <c r="J240" s="105" t="s">
        <v>101</v>
      </c>
      <c r="K240" s="36">
        <v>9</v>
      </c>
      <c r="L240" s="105" t="s">
        <v>101</v>
      </c>
      <c r="M240" s="124" t="s">
        <v>2935</v>
      </c>
      <c r="N240" s="143">
        <v>39773</v>
      </c>
      <c r="O240" s="143">
        <v>39773</v>
      </c>
      <c r="P240" s="211">
        <v>2019</v>
      </c>
      <c r="Q240" s="143">
        <v>37085</v>
      </c>
      <c r="R240" s="144" t="s">
        <v>1383</v>
      </c>
      <c r="S240" s="122" t="s">
        <v>1373</v>
      </c>
      <c r="T240" s="122" t="s">
        <v>252</v>
      </c>
      <c r="U240" s="145" t="s">
        <v>1374</v>
      </c>
      <c r="V240" s="70" t="s">
        <v>1375</v>
      </c>
    </row>
    <row r="241" spans="1:22" ht="12.75" customHeight="1" x14ac:dyDescent="0.15">
      <c r="A241" s="209" t="s">
        <v>3355</v>
      </c>
      <c r="B241" s="103" t="s">
        <v>686</v>
      </c>
      <c r="C241" s="104" t="s">
        <v>696</v>
      </c>
      <c r="D241" s="122" t="s">
        <v>1368</v>
      </c>
      <c r="E241" s="122" t="s">
        <v>690</v>
      </c>
      <c r="F241" s="123" t="s">
        <v>692</v>
      </c>
      <c r="G241" s="105" t="s">
        <v>266</v>
      </c>
      <c r="H241" s="124" t="s">
        <v>694</v>
      </c>
      <c r="I241" s="36">
        <v>988</v>
      </c>
      <c r="J241" s="105" t="s">
        <v>190</v>
      </c>
      <c r="K241" s="36">
        <v>12</v>
      </c>
      <c r="L241" s="105" t="s">
        <v>64</v>
      </c>
      <c r="M241" s="124" t="s">
        <v>2937</v>
      </c>
      <c r="N241" s="143">
        <v>36445</v>
      </c>
      <c r="O241" s="143">
        <v>41922</v>
      </c>
      <c r="P241" s="211">
        <v>2021</v>
      </c>
      <c r="Q241" s="143">
        <v>32933</v>
      </c>
      <c r="R241" s="144"/>
      <c r="S241" s="122"/>
      <c r="T241" s="122"/>
      <c r="U241" s="145" t="s">
        <v>1550</v>
      </c>
      <c r="V241" s="146" t="s">
        <v>1551</v>
      </c>
    </row>
    <row r="242" spans="1:22" ht="12.75" customHeight="1" x14ac:dyDescent="0.15">
      <c r="A242" s="209" t="s">
        <v>3355</v>
      </c>
      <c r="B242" s="103" t="s">
        <v>709</v>
      </c>
      <c r="C242" s="104" t="s">
        <v>1538</v>
      </c>
      <c r="D242" s="122" t="s">
        <v>107</v>
      </c>
      <c r="E242" s="105" t="s">
        <v>1541</v>
      </c>
      <c r="F242" s="123" t="s">
        <v>868</v>
      </c>
      <c r="G242" s="105" t="s">
        <v>869</v>
      </c>
      <c r="H242" s="124" t="s">
        <v>320</v>
      </c>
      <c r="I242" s="36">
        <v>255</v>
      </c>
      <c r="J242" s="105" t="s">
        <v>3356</v>
      </c>
      <c r="K242" s="36">
        <v>12</v>
      </c>
      <c r="L242" s="105" t="s">
        <v>64</v>
      </c>
      <c r="M242" s="124" t="s">
        <v>2942</v>
      </c>
      <c r="N242" s="143">
        <v>42802</v>
      </c>
      <c r="O242" s="143">
        <v>42773</v>
      </c>
      <c r="P242" s="36">
        <v>2022</v>
      </c>
      <c r="Q242" s="143">
        <v>37328</v>
      </c>
      <c r="R242" s="144" t="s">
        <v>1601</v>
      </c>
      <c r="S242" s="122" t="s">
        <v>1445</v>
      </c>
      <c r="T242" s="122"/>
      <c r="U242" s="145" t="s">
        <v>1603</v>
      </c>
      <c r="V242" s="122" t="s">
        <v>1448</v>
      </c>
    </row>
    <row r="243" spans="1:22" ht="12.75" customHeight="1" x14ac:dyDescent="0.15">
      <c r="A243" s="209" t="s">
        <v>3355</v>
      </c>
      <c r="B243" s="103" t="s">
        <v>723</v>
      </c>
      <c r="C243" s="104" t="s">
        <v>733</v>
      </c>
      <c r="D243" s="122" t="s">
        <v>1593</v>
      </c>
      <c r="E243" s="122" t="s">
        <v>725</v>
      </c>
      <c r="F243" s="123" t="s">
        <v>726</v>
      </c>
      <c r="G243" s="105" t="s">
        <v>727</v>
      </c>
      <c r="H243" s="124" t="s">
        <v>728</v>
      </c>
      <c r="I243" s="36">
        <v>4</v>
      </c>
      <c r="J243" s="105" t="s">
        <v>34</v>
      </c>
      <c r="K243" s="36">
        <v>3</v>
      </c>
      <c r="L243" s="105" t="s">
        <v>31</v>
      </c>
      <c r="M243" s="124" t="s">
        <v>2945</v>
      </c>
      <c r="N243" s="143">
        <v>42697</v>
      </c>
      <c r="O243" s="143">
        <v>42669</v>
      </c>
      <c r="P243" s="36">
        <v>2019</v>
      </c>
      <c r="Q243" s="143">
        <v>30771</v>
      </c>
      <c r="R243" s="144" t="s">
        <v>1639</v>
      </c>
      <c r="S243" s="122"/>
      <c r="T243" s="122"/>
      <c r="U243" s="153">
        <v>691205307</v>
      </c>
      <c r="V243" s="212" t="s">
        <v>1640</v>
      </c>
    </row>
    <row r="244" spans="1:22" ht="12.75" customHeight="1" x14ac:dyDescent="0.15">
      <c r="A244" s="209" t="s">
        <v>3355</v>
      </c>
      <c r="B244" s="103" t="s">
        <v>1633</v>
      </c>
      <c r="C244" s="104" t="s">
        <v>1634</v>
      </c>
      <c r="D244" s="122" t="s">
        <v>263</v>
      </c>
      <c r="E244" s="122" t="s">
        <v>1635</v>
      </c>
      <c r="F244" s="123" t="s">
        <v>1636</v>
      </c>
      <c r="G244" s="105" t="s">
        <v>177</v>
      </c>
      <c r="H244" s="124" t="s">
        <v>320</v>
      </c>
      <c r="I244" s="36">
        <v>2</v>
      </c>
      <c r="J244" s="105" t="s">
        <v>29</v>
      </c>
      <c r="K244" s="36">
        <v>9</v>
      </c>
      <c r="L244" s="105" t="s">
        <v>101</v>
      </c>
      <c r="M244" s="124" t="s">
        <v>2947</v>
      </c>
      <c r="N244" s="143">
        <v>41669</v>
      </c>
      <c r="O244" s="143">
        <v>41669</v>
      </c>
      <c r="P244" s="211">
        <v>2016</v>
      </c>
      <c r="Q244" s="143">
        <v>37999</v>
      </c>
      <c r="R244" s="144"/>
      <c r="S244" s="122"/>
      <c r="T244" s="122"/>
      <c r="U244" s="145" t="s">
        <v>1661</v>
      </c>
      <c r="V244" s="145"/>
    </row>
    <row r="245" spans="1:22" ht="12.75" customHeight="1" x14ac:dyDescent="0.15">
      <c r="A245" s="209" t="s">
        <v>3355</v>
      </c>
      <c r="B245" s="103" t="s">
        <v>1645</v>
      </c>
      <c r="C245" s="104" t="s">
        <v>1646</v>
      </c>
      <c r="D245" s="122" t="s">
        <v>1647</v>
      </c>
      <c r="E245" s="122" t="s">
        <v>1648</v>
      </c>
      <c r="F245" s="123" t="s">
        <v>293</v>
      </c>
      <c r="G245" s="105" t="s">
        <v>294</v>
      </c>
      <c r="H245" s="124" t="s">
        <v>320</v>
      </c>
      <c r="I245" s="36">
        <v>996</v>
      </c>
      <c r="J245" s="105" t="s">
        <v>203</v>
      </c>
      <c r="K245" s="36">
        <v>14</v>
      </c>
      <c r="L245" s="105" t="s">
        <v>68</v>
      </c>
      <c r="M245" s="124" t="s">
        <v>2948</v>
      </c>
      <c r="N245" s="143">
        <v>41963</v>
      </c>
      <c r="O245" s="143">
        <v>41962</v>
      </c>
      <c r="P245" s="211">
        <v>2016</v>
      </c>
      <c r="Q245" s="143">
        <v>38023</v>
      </c>
      <c r="R245" s="144"/>
      <c r="S245" s="122" t="s">
        <v>1677</v>
      </c>
      <c r="T245" s="122"/>
      <c r="U245" s="145" t="s">
        <v>1678</v>
      </c>
      <c r="V245" s="145"/>
    </row>
    <row r="246" spans="1:22" ht="12.75" customHeight="1" x14ac:dyDescent="0.15">
      <c r="A246" s="209" t="s">
        <v>3355</v>
      </c>
      <c r="B246" s="103" t="s">
        <v>1663</v>
      </c>
      <c r="C246" s="104" t="s">
        <v>1664</v>
      </c>
      <c r="D246" s="122" t="s">
        <v>263</v>
      </c>
      <c r="E246" s="122" t="s">
        <v>1665</v>
      </c>
      <c r="F246" s="123" t="s">
        <v>1666</v>
      </c>
      <c r="G246" s="105" t="s">
        <v>274</v>
      </c>
      <c r="H246" s="124" t="s">
        <v>320</v>
      </c>
      <c r="I246" s="36">
        <v>996</v>
      </c>
      <c r="J246" s="105" t="s">
        <v>203</v>
      </c>
      <c r="K246" s="36">
        <v>14</v>
      </c>
      <c r="L246" s="105" t="s">
        <v>68</v>
      </c>
      <c r="M246" s="124" t="s">
        <v>2949</v>
      </c>
      <c r="N246" s="143">
        <v>42917</v>
      </c>
      <c r="O246" s="143">
        <v>42639</v>
      </c>
      <c r="P246" s="36">
        <v>2025</v>
      </c>
      <c r="Q246" s="143">
        <v>35033</v>
      </c>
      <c r="R246" s="123" t="s">
        <v>1818</v>
      </c>
      <c r="S246" s="122" t="s">
        <v>1819</v>
      </c>
      <c r="T246" s="122"/>
      <c r="U246" s="153">
        <v>691528084</v>
      </c>
      <c r="V246" s="70" t="s">
        <v>1820</v>
      </c>
    </row>
    <row r="247" spans="1:22" ht="12.75" customHeight="1" x14ac:dyDescent="0.15">
      <c r="A247" s="209" t="s">
        <v>3355</v>
      </c>
      <c r="B247" s="103" t="s">
        <v>830</v>
      </c>
      <c r="C247" s="104" t="s">
        <v>831</v>
      </c>
      <c r="D247" s="122" t="s">
        <v>107</v>
      </c>
      <c r="E247" s="122" t="s">
        <v>832</v>
      </c>
      <c r="F247" s="123" t="s">
        <v>833</v>
      </c>
      <c r="G247" s="105" t="s">
        <v>834</v>
      </c>
      <c r="H247" s="124" t="s">
        <v>320</v>
      </c>
      <c r="I247" s="36">
        <v>12</v>
      </c>
      <c r="J247" s="105" t="s">
        <v>64</v>
      </c>
      <c r="K247" s="36">
        <v>12</v>
      </c>
      <c r="L247" s="105" t="s">
        <v>64</v>
      </c>
      <c r="M247" s="124" t="s">
        <v>2960</v>
      </c>
      <c r="N247" s="211" t="s">
        <v>210</v>
      </c>
      <c r="O247" s="211" t="s">
        <v>210</v>
      </c>
      <c r="P247" s="211" t="s">
        <v>210</v>
      </c>
      <c r="Q247" s="211" t="s">
        <v>210</v>
      </c>
      <c r="R247" s="144" t="s">
        <v>244</v>
      </c>
      <c r="S247" s="122"/>
      <c r="T247" s="122"/>
      <c r="U247" s="145" t="s">
        <v>1823</v>
      </c>
      <c r="V247" s="145"/>
    </row>
    <row r="248" spans="1:22" ht="12.75" customHeight="1" x14ac:dyDescent="0.15">
      <c r="A248" s="209" t="s">
        <v>3355</v>
      </c>
      <c r="B248" s="103" t="s">
        <v>1822</v>
      </c>
      <c r="C248" s="104"/>
      <c r="D248" s="122" t="s">
        <v>1056</v>
      </c>
      <c r="E248" s="122" t="s">
        <v>1495</v>
      </c>
      <c r="F248" s="123" t="s">
        <v>1496</v>
      </c>
      <c r="G248" s="105" t="s">
        <v>1497</v>
      </c>
      <c r="H248" s="124" t="s">
        <v>320</v>
      </c>
      <c r="I248" s="36">
        <v>997</v>
      </c>
      <c r="J248" s="105" t="s">
        <v>204</v>
      </c>
      <c r="K248" s="36"/>
      <c r="L248" s="105" t="s">
        <v>17</v>
      </c>
      <c r="M248" s="124"/>
      <c r="N248" s="143">
        <v>31352</v>
      </c>
      <c r="O248" s="143">
        <v>34915</v>
      </c>
      <c r="P248" s="211">
        <v>2020</v>
      </c>
      <c r="Q248" s="143">
        <v>24019</v>
      </c>
      <c r="R248" s="144"/>
      <c r="S248" s="122" t="s">
        <v>1891</v>
      </c>
      <c r="T248" s="153"/>
      <c r="U248" s="145" t="s">
        <v>1892</v>
      </c>
      <c r="V248" s="146" t="s">
        <v>1893</v>
      </c>
    </row>
    <row r="249" spans="1:22" ht="12.75" customHeight="1" x14ac:dyDescent="0.15">
      <c r="A249" s="209" t="s">
        <v>3355</v>
      </c>
      <c r="B249" s="103" t="s">
        <v>870</v>
      </c>
      <c r="C249" s="104" t="s">
        <v>871</v>
      </c>
      <c r="D249" s="122" t="s">
        <v>107</v>
      </c>
      <c r="E249" s="122" t="s">
        <v>872</v>
      </c>
      <c r="F249" s="123" t="s">
        <v>873</v>
      </c>
      <c r="G249" s="105" t="s">
        <v>874</v>
      </c>
      <c r="H249" s="124" t="s">
        <v>320</v>
      </c>
      <c r="I249" s="36">
        <v>993</v>
      </c>
      <c r="J249" s="105" t="s">
        <v>201</v>
      </c>
      <c r="K249" s="36">
        <v>9</v>
      </c>
      <c r="L249" s="105" t="s">
        <v>101</v>
      </c>
      <c r="M249" s="124" t="s">
        <v>2974</v>
      </c>
      <c r="N249" s="143">
        <v>43067</v>
      </c>
      <c r="O249" s="143">
        <v>43046</v>
      </c>
      <c r="P249" s="36">
        <v>2028</v>
      </c>
      <c r="Q249" s="143">
        <v>36147</v>
      </c>
      <c r="R249" s="144" t="s">
        <v>1930</v>
      </c>
      <c r="S249" s="122"/>
      <c r="T249" s="125"/>
      <c r="U249" s="122" t="s">
        <v>1931</v>
      </c>
      <c r="V249" s="70" t="s">
        <v>1932</v>
      </c>
    </row>
    <row r="250" spans="1:22" ht="12.75" customHeight="1" x14ac:dyDescent="0.15">
      <c r="A250" s="209" t="s">
        <v>3355</v>
      </c>
      <c r="B250" s="103" t="s">
        <v>324</v>
      </c>
      <c r="C250" s="104" t="s">
        <v>905</v>
      </c>
      <c r="D250" s="122" t="s">
        <v>107</v>
      </c>
      <c r="E250" s="125" t="s">
        <v>907</v>
      </c>
      <c r="F250" s="123" t="s">
        <v>908</v>
      </c>
      <c r="G250" s="126" t="s">
        <v>910</v>
      </c>
      <c r="H250" s="124" t="s">
        <v>912</v>
      </c>
      <c r="I250" s="36">
        <v>12</v>
      </c>
      <c r="J250" s="105" t="s">
        <v>64</v>
      </c>
      <c r="K250" s="36">
        <v>12</v>
      </c>
      <c r="L250" s="105" t="s">
        <v>64</v>
      </c>
      <c r="M250" s="124" t="s">
        <v>2978</v>
      </c>
      <c r="N250" s="143" t="s">
        <v>242</v>
      </c>
      <c r="O250" s="143">
        <v>43046</v>
      </c>
      <c r="P250" s="36" t="s">
        <v>242</v>
      </c>
      <c r="Q250" s="36" t="s">
        <v>242</v>
      </c>
      <c r="R250" s="144" t="s">
        <v>244</v>
      </c>
      <c r="S250" s="122"/>
      <c r="T250" s="125"/>
      <c r="U250" s="122" t="s">
        <v>1934</v>
      </c>
      <c r="V250" s="70" t="s">
        <v>1935</v>
      </c>
    </row>
    <row r="251" spans="1:22" ht="12.75" customHeight="1" x14ac:dyDescent="0.15">
      <c r="A251" s="209" t="s">
        <v>3355</v>
      </c>
      <c r="B251" s="103" t="s">
        <v>324</v>
      </c>
      <c r="C251" s="104" t="s">
        <v>1933</v>
      </c>
      <c r="D251" s="122" t="s">
        <v>107</v>
      </c>
      <c r="E251" s="125" t="s">
        <v>907</v>
      </c>
      <c r="F251" s="123" t="s">
        <v>908</v>
      </c>
      <c r="G251" s="126" t="s">
        <v>910</v>
      </c>
      <c r="H251" s="124" t="s">
        <v>912</v>
      </c>
      <c r="I251" s="36">
        <v>212</v>
      </c>
      <c r="J251" s="105" t="s">
        <v>131</v>
      </c>
      <c r="K251" s="36">
        <v>212</v>
      </c>
      <c r="L251" s="105" t="s">
        <v>131</v>
      </c>
      <c r="M251" s="124"/>
      <c r="N251" s="143">
        <v>42278</v>
      </c>
      <c r="O251" s="143">
        <v>42278</v>
      </c>
      <c r="P251" s="211">
        <v>2017</v>
      </c>
      <c r="Q251" s="143">
        <v>37350</v>
      </c>
      <c r="R251" s="144"/>
      <c r="S251" s="122"/>
      <c r="T251" s="153">
        <v>621474702</v>
      </c>
      <c r="U251" s="145" t="s">
        <v>1938</v>
      </c>
      <c r="V251" s="146" t="s">
        <v>1939</v>
      </c>
    </row>
    <row r="252" spans="1:22" ht="12.75" customHeight="1" x14ac:dyDescent="0.15">
      <c r="A252" s="209" t="s">
        <v>3355</v>
      </c>
      <c r="B252" s="103" t="s">
        <v>1936</v>
      </c>
      <c r="C252" s="104" t="s">
        <v>1664</v>
      </c>
      <c r="D252" s="122" t="s">
        <v>263</v>
      </c>
      <c r="E252" s="122" t="s">
        <v>1937</v>
      </c>
      <c r="F252" s="123" t="s">
        <v>471</v>
      </c>
      <c r="G252" s="105" t="s">
        <v>135</v>
      </c>
      <c r="H252" s="124" t="s">
        <v>320</v>
      </c>
      <c r="I252" s="36">
        <v>996</v>
      </c>
      <c r="J252" s="105" t="s">
        <v>203</v>
      </c>
      <c r="K252" s="36">
        <v>14</v>
      </c>
      <c r="L252" s="105" t="s">
        <v>68</v>
      </c>
      <c r="M252" s="124" t="s">
        <v>2979</v>
      </c>
      <c r="N252" s="143">
        <v>40872</v>
      </c>
      <c r="O252" s="143">
        <v>40872</v>
      </c>
      <c r="P252" s="211">
        <v>2017</v>
      </c>
      <c r="Q252" s="143">
        <v>38376</v>
      </c>
      <c r="R252" s="144"/>
      <c r="S252" s="122" t="s">
        <v>1944</v>
      </c>
      <c r="T252" s="122" t="s">
        <v>252</v>
      </c>
      <c r="U252" s="145" t="s">
        <v>1945</v>
      </c>
      <c r="V252" s="145" t="s">
        <v>1946</v>
      </c>
    </row>
    <row r="253" spans="1:22" ht="12.75" customHeight="1" x14ac:dyDescent="0.15">
      <c r="A253" s="209" t="s">
        <v>3355</v>
      </c>
      <c r="B253" s="103" t="s">
        <v>1940</v>
      </c>
      <c r="C253" s="104" t="s">
        <v>1941</v>
      </c>
      <c r="D253" s="122" t="s">
        <v>107</v>
      </c>
      <c r="E253" s="122" t="s">
        <v>1942</v>
      </c>
      <c r="F253" s="123" t="s">
        <v>418</v>
      </c>
      <c r="G253" s="105" t="s">
        <v>257</v>
      </c>
      <c r="H253" s="124" t="s">
        <v>1943</v>
      </c>
      <c r="I253" s="36">
        <v>996</v>
      </c>
      <c r="J253" s="105" t="s">
        <v>203</v>
      </c>
      <c r="K253" s="36">
        <v>5</v>
      </c>
      <c r="L253" s="105" t="s">
        <v>37</v>
      </c>
      <c r="M253" s="124" t="s">
        <v>2980</v>
      </c>
      <c r="N253" s="143">
        <v>40872</v>
      </c>
      <c r="O253" s="143">
        <v>40872</v>
      </c>
      <c r="P253" s="211">
        <v>2018</v>
      </c>
      <c r="Q253" s="143">
        <v>37869</v>
      </c>
      <c r="R253" s="144"/>
      <c r="S253" s="122" t="s">
        <v>1944</v>
      </c>
      <c r="T253" s="122"/>
      <c r="U253" s="145" t="s">
        <v>1945</v>
      </c>
      <c r="V253" s="145" t="s">
        <v>1946</v>
      </c>
    </row>
    <row r="254" spans="1:22" ht="12.75" customHeight="1" x14ac:dyDescent="0.15">
      <c r="A254" s="209" t="s">
        <v>3355</v>
      </c>
      <c r="B254" s="103" t="s">
        <v>1940</v>
      </c>
      <c r="C254" s="104" t="s">
        <v>1947</v>
      </c>
      <c r="D254" s="122" t="s">
        <v>107</v>
      </c>
      <c r="E254" s="122" t="s">
        <v>1942</v>
      </c>
      <c r="F254" s="123" t="s">
        <v>418</v>
      </c>
      <c r="G254" s="105" t="s">
        <v>257</v>
      </c>
      <c r="H254" s="124" t="s">
        <v>1943</v>
      </c>
      <c r="I254" s="36">
        <v>999</v>
      </c>
      <c r="J254" s="105" t="s">
        <v>1948</v>
      </c>
      <c r="K254" s="36">
        <v>14</v>
      </c>
      <c r="L254" s="105" t="s">
        <v>68</v>
      </c>
      <c r="M254" s="124" t="s">
        <v>2981</v>
      </c>
      <c r="N254" s="143">
        <v>41976</v>
      </c>
      <c r="O254" s="143">
        <v>41976</v>
      </c>
      <c r="P254" s="211">
        <v>2019</v>
      </c>
      <c r="Q254" s="143">
        <v>39367</v>
      </c>
      <c r="R254" s="144" t="s">
        <v>1955</v>
      </c>
      <c r="S254" s="122" t="s">
        <v>1956</v>
      </c>
      <c r="T254" s="105"/>
      <c r="U254" s="122" t="s">
        <v>1957</v>
      </c>
      <c r="V254" s="146" t="s">
        <v>1958</v>
      </c>
    </row>
    <row r="255" spans="1:22" ht="12.75" customHeight="1" x14ac:dyDescent="0.15">
      <c r="A255" s="209" t="s">
        <v>3355</v>
      </c>
      <c r="B255" s="103" t="s">
        <v>921</v>
      </c>
      <c r="C255" s="104" t="s">
        <v>923</v>
      </c>
      <c r="D255" s="122" t="s">
        <v>248</v>
      </c>
      <c r="E255" s="122" t="s">
        <v>924</v>
      </c>
      <c r="F255" s="123" t="s">
        <v>925</v>
      </c>
      <c r="G255" s="105" t="s">
        <v>135</v>
      </c>
      <c r="H255" s="124" t="s">
        <v>926</v>
      </c>
      <c r="I255" s="36">
        <v>700</v>
      </c>
      <c r="J255" s="105" t="s">
        <v>1421</v>
      </c>
      <c r="K255" s="36">
        <v>6</v>
      </c>
      <c r="L255" s="105" t="s">
        <v>43</v>
      </c>
      <c r="M255" s="124" t="s">
        <v>2982</v>
      </c>
      <c r="N255" s="143" t="s">
        <v>242</v>
      </c>
      <c r="O255" s="143"/>
      <c r="P255" s="211" t="s">
        <v>242</v>
      </c>
      <c r="Q255" s="36" t="s">
        <v>242</v>
      </c>
      <c r="R255" s="144" t="s">
        <v>244</v>
      </c>
      <c r="S255" s="122"/>
      <c r="T255" s="122" t="s">
        <v>252</v>
      </c>
      <c r="U255" s="145" t="s">
        <v>1960</v>
      </c>
      <c r="V255" s="146" t="s">
        <v>1958</v>
      </c>
    </row>
    <row r="256" spans="1:22" ht="12.75" customHeight="1" x14ac:dyDescent="0.15">
      <c r="A256" s="209" t="s">
        <v>3355</v>
      </c>
      <c r="B256" s="103" t="s">
        <v>921</v>
      </c>
      <c r="C256" s="104" t="s">
        <v>1959</v>
      </c>
      <c r="D256" s="122" t="s">
        <v>252</v>
      </c>
      <c r="E256" s="122"/>
      <c r="F256" s="123"/>
      <c r="G256" s="105"/>
      <c r="H256" s="124" t="s">
        <v>926</v>
      </c>
      <c r="I256" s="36">
        <v>212</v>
      </c>
      <c r="J256" s="105" t="s">
        <v>1421</v>
      </c>
      <c r="K256" s="36">
        <v>212</v>
      </c>
      <c r="L256" s="105" t="s">
        <v>131</v>
      </c>
      <c r="M256" s="124"/>
      <c r="N256" s="143"/>
      <c r="O256" s="143">
        <v>43313</v>
      </c>
      <c r="P256" s="36">
        <v>2020</v>
      </c>
      <c r="Q256" s="143">
        <v>36629</v>
      </c>
      <c r="R256" s="144" t="s">
        <v>1969</v>
      </c>
      <c r="S256" s="122"/>
      <c r="T256" s="122"/>
      <c r="U256" s="122" t="s">
        <v>1970</v>
      </c>
      <c r="V256" s="70" t="s">
        <v>1971</v>
      </c>
    </row>
    <row r="257" spans="1:22" ht="12.75" customHeight="1" x14ac:dyDescent="0.15">
      <c r="A257" s="209" t="s">
        <v>3355</v>
      </c>
      <c r="B257" s="103" t="s">
        <v>1964</v>
      </c>
      <c r="C257" s="104" t="s">
        <v>1965</v>
      </c>
      <c r="D257" s="122" t="s">
        <v>107</v>
      </c>
      <c r="E257" s="122" t="s">
        <v>1966</v>
      </c>
      <c r="F257" s="123" t="s">
        <v>1967</v>
      </c>
      <c r="G257" s="105" t="s">
        <v>1968</v>
      </c>
      <c r="H257" s="124" t="s">
        <v>320</v>
      </c>
      <c r="I257" s="36">
        <v>302</v>
      </c>
      <c r="J257" s="105" t="s">
        <v>157</v>
      </c>
      <c r="K257" s="36">
        <v>12</v>
      </c>
      <c r="L257" s="105" t="s">
        <v>64</v>
      </c>
      <c r="M257" s="124" t="s">
        <v>2805</v>
      </c>
      <c r="N257" s="143">
        <v>40205</v>
      </c>
      <c r="O257" s="143">
        <v>40093</v>
      </c>
      <c r="P257" s="211">
        <v>2018</v>
      </c>
      <c r="Q257" s="143">
        <v>37838</v>
      </c>
      <c r="R257" s="144" t="s">
        <v>1976</v>
      </c>
      <c r="S257" s="122" t="s">
        <v>1973</v>
      </c>
      <c r="T257" s="125"/>
      <c r="U257" s="145" t="s">
        <v>1974</v>
      </c>
      <c r="V257" s="145" t="s">
        <v>342</v>
      </c>
    </row>
    <row r="258" spans="1:22" ht="12.75" customHeight="1" x14ac:dyDescent="0.15">
      <c r="A258" s="209" t="s">
        <v>3355</v>
      </c>
      <c r="B258" s="103" t="s">
        <v>335</v>
      </c>
      <c r="C258" s="104" t="s">
        <v>1975</v>
      </c>
      <c r="D258" s="122" t="s">
        <v>107</v>
      </c>
      <c r="E258" s="122" t="s">
        <v>337</v>
      </c>
      <c r="F258" s="123" t="s">
        <v>338</v>
      </c>
      <c r="G258" s="105" t="s">
        <v>215</v>
      </c>
      <c r="H258" s="124" t="s">
        <v>929</v>
      </c>
      <c r="I258" s="36">
        <v>979</v>
      </c>
      <c r="J258" s="105" t="e">
        <v>#NULL!</v>
      </c>
      <c r="K258" s="36">
        <v>4</v>
      </c>
      <c r="L258" s="105" t="s">
        <v>34</v>
      </c>
      <c r="M258" s="124" t="s">
        <v>2985</v>
      </c>
      <c r="N258" s="143">
        <v>42356</v>
      </c>
      <c r="O258" s="143">
        <v>42634</v>
      </c>
      <c r="P258" s="36">
        <v>2018</v>
      </c>
      <c r="Q258" s="143">
        <v>37982</v>
      </c>
      <c r="R258" s="144"/>
      <c r="S258" s="122" t="s">
        <v>2011</v>
      </c>
      <c r="T258" s="122"/>
      <c r="U258" s="153">
        <v>621579844</v>
      </c>
      <c r="V258" s="70" t="s">
        <v>2012</v>
      </c>
    </row>
    <row r="259" spans="1:22" ht="12.75" customHeight="1" x14ac:dyDescent="0.15">
      <c r="A259" s="209" t="s">
        <v>3355</v>
      </c>
      <c r="B259" s="103" t="s">
        <v>2004</v>
      </c>
      <c r="C259" s="104" t="s">
        <v>2005</v>
      </c>
      <c r="D259" s="122" t="s">
        <v>2006</v>
      </c>
      <c r="E259" s="122" t="s">
        <v>2007</v>
      </c>
      <c r="F259" s="123" t="s">
        <v>2008</v>
      </c>
      <c r="G259" s="105" t="s">
        <v>2009</v>
      </c>
      <c r="H259" s="124" t="s">
        <v>2010</v>
      </c>
      <c r="I259" s="36">
        <v>252</v>
      </c>
      <c r="J259" s="105" t="s">
        <v>145</v>
      </c>
      <c r="K259" s="36">
        <v>4</v>
      </c>
      <c r="L259" s="105" t="s">
        <v>34</v>
      </c>
      <c r="M259" s="124" t="s">
        <v>2988</v>
      </c>
      <c r="N259" s="143" t="s">
        <v>242</v>
      </c>
      <c r="O259" s="143"/>
      <c r="P259" s="36" t="s">
        <v>242</v>
      </c>
      <c r="Q259" s="36" t="s">
        <v>242</v>
      </c>
      <c r="R259" s="144" t="s">
        <v>244</v>
      </c>
      <c r="S259" s="122" t="s">
        <v>2011</v>
      </c>
      <c r="T259" s="122"/>
      <c r="U259" s="153">
        <v>621718772</v>
      </c>
      <c r="V259" s="70" t="s">
        <v>2014</v>
      </c>
    </row>
    <row r="260" spans="1:22" ht="12.75" customHeight="1" x14ac:dyDescent="0.15">
      <c r="A260" s="209" t="s">
        <v>3355</v>
      </c>
      <c r="B260" s="103" t="s">
        <v>2004</v>
      </c>
      <c r="C260" s="104" t="s">
        <v>2013</v>
      </c>
      <c r="D260" s="122" t="s">
        <v>2006</v>
      </c>
      <c r="E260" s="122" t="s">
        <v>2007</v>
      </c>
      <c r="F260" s="123" t="s">
        <v>2008</v>
      </c>
      <c r="G260" s="105" t="s">
        <v>2009</v>
      </c>
      <c r="H260" s="124" t="s">
        <v>2010</v>
      </c>
      <c r="I260" s="36">
        <v>212</v>
      </c>
      <c r="J260" s="105" t="s">
        <v>131</v>
      </c>
      <c r="K260" s="36">
        <v>212</v>
      </c>
      <c r="L260" s="105" t="s">
        <v>131</v>
      </c>
      <c r="M260" s="124"/>
      <c r="N260" s="143" t="s">
        <v>242</v>
      </c>
      <c r="O260" s="143">
        <v>42637</v>
      </c>
      <c r="P260" s="36" t="s">
        <v>242</v>
      </c>
      <c r="Q260" s="36" t="s">
        <v>242</v>
      </c>
      <c r="R260" s="144" t="s">
        <v>244</v>
      </c>
      <c r="S260" s="122" t="s">
        <v>2018</v>
      </c>
      <c r="T260" s="122"/>
      <c r="U260" s="153">
        <v>691453315</v>
      </c>
      <c r="V260" s="70" t="s">
        <v>2019</v>
      </c>
    </row>
    <row r="261" spans="1:22" ht="12.75" customHeight="1" x14ac:dyDescent="0.15">
      <c r="A261" s="209" t="s">
        <v>3355</v>
      </c>
      <c r="B261" s="103" t="s">
        <v>2015</v>
      </c>
      <c r="C261" s="104" t="s">
        <v>2016</v>
      </c>
      <c r="D261" s="122" t="s">
        <v>2017</v>
      </c>
      <c r="E261" s="122" t="s">
        <v>1061</v>
      </c>
      <c r="F261" s="123" t="s">
        <v>492</v>
      </c>
      <c r="G261" s="105" t="s">
        <v>493</v>
      </c>
      <c r="H261" s="124" t="s">
        <v>1062</v>
      </c>
      <c r="I261" s="36">
        <v>212</v>
      </c>
      <c r="J261" s="105" t="s">
        <v>131</v>
      </c>
      <c r="K261" s="36">
        <v>212</v>
      </c>
      <c r="L261" s="105" t="s">
        <v>131</v>
      </c>
      <c r="M261" s="124"/>
      <c r="N261" s="143">
        <v>42017</v>
      </c>
      <c r="O261" s="143">
        <v>42017</v>
      </c>
      <c r="P261" s="211">
        <v>2015</v>
      </c>
      <c r="Q261" s="143">
        <v>37880</v>
      </c>
      <c r="R261" s="144"/>
      <c r="S261" s="122" t="s">
        <v>2103</v>
      </c>
      <c r="T261" s="122"/>
      <c r="U261" s="145" t="s">
        <v>2104</v>
      </c>
      <c r="V261" s="145"/>
    </row>
    <row r="262" spans="1:22" ht="12.75" customHeight="1" x14ac:dyDescent="0.15">
      <c r="A262" s="209" t="s">
        <v>3355</v>
      </c>
      <c r="B262" s="103" t="s">
        <v>2097</v>
      </c>
      <c r="C262" s="104" t="s">
        <v>2105</v>
      </c>
      <c r="D262" s="122" t="s">
        <v>345</v>
      </c>
      <c r="E262" s="122" t="s">
        <v>2099</v>
      </c>
      <c r="F262" s="123" t="s">
        <v>293</v>
      </c>
      <c r="G262" s="105" t="s">
        <v>294</v>
      </c>
      <c r="H262" s="124" t="s">
        <v>2100</v>
      </c>
      <c r="I262" s="36">
        <v>999</v>
      </c>
      <c r="J262" s="105" t="s">
        <v>2101</v>
      </c>
      <c r="K262" s="36">
        <v>4</v>
      </c>
      <c r="L262" s="105" t="s">
        <v>34</v>
      </c>
      <c r="M262" s="124" t="s">
        <v>3003</v>
      </c>
      <c r="N262" s="143">
        <v>42118</v>
      </c>
      <c r="O262" s="143">
        <v>42118</v>
      </c>
      <c r="P262" s="211">
        <v>2017</v>
      </c>
      <c r="Q262" s="143">
        <v>37334</v>
      </c>
      <c r="R262" s="144"/>
      <c r="S262" s="122"/>
      <c r="T262" s="122"/>
      <c r="U262" s="145" t="s">
        <v>2125</v>
      </c>
      <c r="V262" s="145"/>
    </row>
    <row r="263" spans="1:22" ht="12.75" customHeight="1" x14ac:dyDescent="0.15">
      <c r="A263" s="209" t="s">
        <v>3355</v>
      </c>
      <c r="B263" s="103" t="s">
        <v>2122</v>
      </c>
      <c r="C263" s="104" t="s">
        <v>2123</v>
      </c>
      <c r="D263" s="122" t="s">
        <v>2124</v>
      </c>
      <c r="E263" s="122" t="s">
        <v>1704</v>
      </c>
      <c r="F263" s="123" t="s">
        <v>1129</v>
      </c>
      <c r="G263" s="105" t="s">
        <v>274</v>
      </c>
      <c r="H263" s="124" t="s">
        <v>320</v>
      </c>
      <c r="I263" s="36">
        <v>996</v>
      </c>
      <c r="J263" s="105" t="s">
        <v>203</v>
      </c>
      <c r="K263" s="36">
        <v>14</v>
      </c>
      <c r="L263" s="105" t="s">
        <v>68</v>
      </c>
      <c r="M263" s="124" t="s">
        <v>3006</v>
      </c>
      <c r="N263" s="143" t="s">
        <v>242</v>
      </c>
      <c r="O263" s="143"/>
      <c r="P263" s="36" t="s">
        <v>242</v>
      </c>
      <c r="Q263" s="36" t="s">
        <v>242</v>
      </c>
      <c r="R263" s="144" t="s">
        <v>244</v>
      </c>
      <c r="S263" s="122"/>
      <c r="T263" s="122"/>
      <c r="U263" s="153">
        <v>621657631</v>
      </c>
      <c r="V263" s="70" t="s">
        <v>2132</v>
      </c>
    </row>
    <row r="264" spans="1:22" ht="12.75" customHeight="1" x14ac:dyDescent="0.15">
      <c r="A264" s="209" t="s">
        <v>3355</v>
      </c>
      <c r="B264" s="103" t="s">
        <v>2129</v>
      </c>
      <c r="C264" s="104" t="s">
        <v>2130</v>
      </c>
      <c r="D264" s="122" t="s">
        <v>107</v>
      </c>
      <c r="E264" s="125" t="s">
        <v>1078</v>
      </c>
      <c r="F264" s="123" t="s">
        <v>1079</v>
      </c>
      <c r="G264" s="126" t="s">
        <v>1080</v>
      </c>
      <c r="H264" s="124" t="s">
        <v>1081</v>
      </c>
      <c r="I264" s="36">
        <v>700</v>
      </c>
      <c r="J264" s="105" t="s">
        <v>2131</v>
      </c>
      <c r="K264" s="36">
        <v>212</v>
      </c>
      <c r="L264" s="105" t="s">
        <v>131</v>
      </c>
      <c r="M264" s="124"/>
      <c r="N264" s="143">
        <v>41961</v>
      </c>
      <c r="O264" s="143">
        <v>41961</v>
      </c>
      <c r="P264" s="211">
        <v>2018</v>
      </c>
      <c r="Q264" s="143">
        <v>37742</v>
      </c>
      <c r="R264" s="144"/>
      <c r="S264" s="122"/>
      <c r="T264" s="153">
        <v>691426128</v>
      </c>
      <c r="U264" s="145" t="s">
        <v>2184</v>
      </c>
      <c r="V264" s="145"/>
    </row>
    <row r="265" spans="1:22" ht="12.75" customHeight="1" x14ac:dyDescent="0.15">
      <c r="A265" s="209" t="s">
        <v>3355</v>
      </c>
      <c r="B265" s="103" t="s">
        <v>2182</v>
      </c>
      <c r="C265" s="104" t="s">
        <v>1898</v>
      </c>
      <c r="D265" s="122" t="s">
        <v>263</v>
      </c>
      <c r="E265" s="122" t="s">
        <v>2183</v>
      </c>
      <c r="F265" s="123" t="s">
        <v>471</v>
      </c>
      <c r="G265" s="105" t="s">
        <v>135</v>
      </c>
      <c r="H265" s="124" t="s">
        <v>320</v>
      </c>
      <c r="I265" s="36">
        <v>996</v>
      </c>
      <c r="J265" s="105" t="s">
        <v>203</v>
      </c>
      <c r="K265" s="36">
        <v>14</v>
      </c>
      <c r="L265" s="105" t="s">
        <v>68</v>
      </c>
      <c r="M265" s="124" t="s">
        <v>3016</v>
      </c>
      <c r="N265" s="143">
        <v>43354</v>
      </c>
      <c r="O265" s="143">
        <v>43344</v>
      </c>
      <c r="P265" s="36" t="s">
        <v>242</v>
      </c>
      <c r="Q265" s="143">
        <v>25059</v>
      </c>
      <c r="R265" s="144" t="s">
        <v>2323</v>
      </c>
      <c r="S265" s="122"/>
      <c r="T265" s="122"/>
      <c r="U265" s="122" t="s">
        <v>2324</v>
      </c>
      <c r="V265" s="70" t="s">
        <v>2325</v>
      </c>
    </row>
    <row r="266" spans="1:22" ht="12.75" customHeight="1" x14ac:dyDescent="0.15">
      <c r="A266" s="209" t="s">
        <v>3355</v>
      </c>
      <c r="B266" s="103" t="s">
        <v>2317</v>
      </c>
      <c r="C266" s="104" t="s">
        <v>2318</v>
      </c>
      <c r="D266" s="122" t="s">
        <v>2319</v>
      </c>
      <c r="E266" s="122" t="s">
        <v>2320</v>
      </c>
      <c r="F266" s="123" t="s">
        <v>2321</v>
      </c>
      <c r="G266" s="105" t="s">
        <v>2322</v>
      </c>
      <c r="H266" s="124" t="s">
        <v>320</v>
      </c>
      <c r="I266" s="36">
        <v>1</v>
      </c>
      <c r="J266" s="105" t="s">
        <v>96</v>
      </c>
      <c r="K266" s="36">
        <v>1</v>
      </c>
      <c r="L266" s="105" t="s">
        <v>96</v>
      </c>
      <c r="M266" s="124"/>
      <c r="N266" s="143">
        <v>41590</v>
      </c>
      <c r="O266" s="143">
        <v>41590</v>
      </c>
      <c r="P266" s="211">
        <v>2018</v>
      </c>
      <c r="Q266" s="143">
        <v>37855</v>
      </c>
      <c r="R266" s="144" t="s">
        <v>2349</v>
      </c>
      <c r="S266" s="122"/>
      <c r="T266" s="122"/>
      <c r="U266" s="145" t="s">
        <v>2350</v>
      </c>
      <c r="V266" s="146" t="s">
        <v>2351</v>
      </c>
    </row>
    <row r="267" spans="1:22" ht="12.75" customHeight="1" x14ac:dyDescent="0.15">
      <c r="A267" s="209" t="s">
        <v>3355</v>
      </c>
      <c r="B267" s="103" t="s">
        <v>2345</v>
      </c>
      <c r="C267" s="104" t="s">
        <v>415</v>
      </c>
      <c r="D267" s="122" t="s">
        <v>107</v>
      </c>
      <c r="E267" s="122" t="s">
        <v>2346</v>
      </c>
      <c r="F267" s="123" t="s">
        <v>1102</v>
      </c>
      <c r="G267" s="105" t="s">
        <v>2347</v>
      </c>
      <c r="H267" s="124" t="s">
        <v>2348</v>
      </c>
      <c r="I267" s="36">
        <v>252</v>
      </c>
      <c r="J267" s="105" t="s">
        <v>145</v>
      </c>
      <c r="K267" s="36">
        <v>4</v>
      </c>
      <c r="L267" s="105" t="s">
        <v>34</v>
      </c>
      <c r="M267" s="124" t="s">
        <v>3035</v>
      </c>
      <c r="N267" s="143" t="s">
        <v>242</v>
      </c>
      <c r="O267" s="143"/>
      <c r="P267" s="211" t="s">
        <v>242</v>
      </c>
      <c r="Q267" s="36" t="s">
        <v>242</v>
      </c>
      <c r="R267" s="144" t="s">
        <v>244</v>
      </c>
      <c r="S267" s="122"/>
      <c r="T267" s="122"/>
      <c r="U267" s="145"/>
      <c r="V267" s="146" t="s">
        <v>2352</v>
      </c>
    </row>
    <row r="268" spans="1:22" ht="12.75" customHeight="1" x14ac:dyDescent="0.15">
      <c r="A268" s="209" t="s">
        <v>3355</v>
      </c>
      <c r="B268" s="103" t="s">
        <v>1017</v>
      </c>
      <c r="C268" s="104" t="s">
        <v>1018</v>
      </c>
      <c r="D268" s="122" t="s">
        <v>416</v>
      </c>
      <c r="E268" s="122" t="s">
        <v>1019</v>
      </c>
      <c r="F268" s="123" t="s">
        <v>773</v>
      </c>
      <c r="G268" s="105" t="s">
        <v>774</v>
      </c>
      <c r="H268" s="124" t="s">
        <v>1020</v>
      </c>
      <c r="I268" s="36"/>
      <c r="J268" s="105"/>
      <c r="K268" s="36">
        <v>212</v>
      </c>
      <c r="L268" s="105" t="s">
        <v>131</v>
      </c>
      <c r="M268" s="124"/>
      <c r="N268" s="143">
        <v>43542</v>
      </c>
      <c r="O268" s="143">
        <v>43536</v>
      </c>
      <c r="P268" s="36">
        <v>2029</v>
      </c>
      <c r="Q268" s="143">
        <v>32653</v>
      </c>
      <c r="R268" s="144" t="s">
        <v>2370</v>
      </c>
      <c r="S268" s="122"/>
      <c r="T268" s="122"/>
      <c r="U268" s="122" t="s">
        <v>2371</v>
      </c>
      <c r="V268" s="70" t="s">
        <v>2372</v>
      </c>
    </row>
    <row r="269" spans="1:22" ht="12.75" customHeight="1" x14ac:dyDescent="0.15">
      <c r="A269" s="209" t="s">
        <v>3355</v>
      </c>
      <c r="B269" s="103" t="s">
        <v>2368</v>
      </c>
      <c r="C269" s="104" t="s">
        <v>1978</v>
      </c>
      <c r="D269" s="122" t="s">
        <v>107</v>
      </c>
      <c r="E269" s="122" t="s">
        <v>2369</v>
      </c>
      <c r="F269" s="123" t="s">
        <v>110</v>
      </c>
      <c r="G269" s="105" t="s">
        <v>111</v>
      </c>
      <c r="H269" s="124" t="s">
        <v>320</v>
      </c>
      <c r="I269" s="36">
        <v>12</v>
      </c>
      <c r="J269" s="105" t="s">
        <v>64</v>
      </c>
      <c r="K269" s="36">
        <v>12</v>
      </c>
      <c r="L269" s="105" t="s">
        <v>64</v>
      </c>
      <c r="M269" s="124" t="s">
        <v>3037</v>
      </c>
      <c r="N269" s="143" t="s">
        <v>242</v>
      </c>
      <c r="O269" s="143">
        <v>42637</v>
      </c>
      <c r="P269" s="211" t="s">
        <v>242</v>
      </c>
      <c r="Q269" s="36" t="s">
        <v>242</v>
      </c>
      <c r="R269" s="144" t="s">
        <v>244</v>
      </c>
      <c r="S269" s="122" t="s">
        <v>2018</v>
      </c>
      <c r="T269" s="122"/>
      <c r="U269" s="153">
        <v>691777288</v>
      </c>
      <c r="V269" s="70" t="s">
        <v>2394</v>
      </c>
    </row>
    <row r="270" spans="1:22" ht="12.75" customHeight="1" x14ac:dyDescent="0.15">
      <c r="A270" s="209" t="s">
        <v>3355</v>
      </c>
      <c r="B270" s="103" t="s">
        <v>2392</v>
      </c>
      <c r="C270" s="104" t="s">
        <v>2393</v>
      </c>
      <c r="D270" s="122" t="s">
        <v>1681</v>
      </c>
      <c r="E270" s="122" t="s">
        <v>1061</v>
      </c>
      <c r="F270" s="123" t="s">
        <v>492</v>
      </c>
      <c r="G270" s="105" t="s">
        <v>493</v>
      </c>
      <c r="H270" s="124" t="s">
        <v>1062</v>
      </c>
      <c r="I270" s="36">
        <v>212</v>
      </c>
      <c r="J270" s="105" t="s">
        <v>131</v>
      </c>
      <c r="K270" s="36">
        <v>212</v>
      </c>
      <c r="L270" s="105" t="s">
        <v>131</v>
      </c>
      <c r="M270" s="124"/>
      <c r="N270" s="143">
        <v>42668</v>
      </c>
      <c r="O270" s="143">
        <v>42637</v>
      </c>
      <c r="P270" s="211">
        <v>2019</v>
      </c>
      <c r="Q270" s="143">
        <v>39440</v>
      </c>
      <c r="R270" s="144" t="s">
        <v>2396</v>
      </c>
      <c r="S270" s="122" t="s">
        <v>2018</v>
      </c>
      <c r="T270" s="122"/>
      <c r="U270" s="153">
        <v>691777288</v>
      </c>
      <c r="V270" s="70" t="s">
        <v>2019</v>
      </c>
    </row>
    <row r="271" spans="1:22" ht="12.75" customHeight="1" x14ac:dyDescent="0.15">
      <c r="A271" s="209" t="s">
        <v>3355</v>
      </c>
      <c r="B271" s="103" t="s">
        <v>1059</v>
      </c>
      <c r="C271" s="104" t="s">
        <v>1060</v>
      </c>
      <c r="D271" s="122" t="s">
        <v>2395</v>
      </c>
      <c r="E271" s="122" t="s">
        <v>1061</v>
      </c>
      <c r="F271" s="123" t="s">
        <v>492</v>
      </c>
      <c r="G271" s="105" t="s">
        <v>493</v>
      </c>
      <c r="H271" s="124" t="s">
        <v>1062</v>
      </c>
      <c r="I271" s="36">
        <v>16</v>
      </c>
      <c r="J271" s="105" t="s">
        <v>92</v>
      </c>
      <c r="K271" s="36">
        <v>16</v>
      </c>
      <c r="L271" s="105" t="s">
        <v>92</v>
      </c>
      <c r="M271" s="124" t="s">
        <v>3043</v>
      </c>
      <c r="N271" s="143">
        <v>41697</v>
      </c>
      <c r="O271" s="143">
        <v>41697</v>
      </c>
      <c r="P271" s="211">
        <v>2017</v>
      </c>
      <c r="Q271" s="143">
        <v>30225</v>
      </c>
      <c r="R271" s="144"/>
      <c r="S271" s="122"/>
      <c r="T271" s="122"/>
      <c r="U271" s="145" t="s">
        <v>2402</v>
      </c>
      <c r="V271" s="146" t="s">
        <v>2403</v>
      </c>
    </row>
    <row r="272" spans="1:22" ht="12.75" customHeight="1" x14ac:dyDescent="0.15">
      <c r="A272" s="209" t="s">
        <v>3355</v>
      </c>
      <c r="B272" s="103" t="s">
        <v>2397</v>
      </c>
      <c r="C272" s="104" t="s">
        <v>2398</v>
      </c>
      <c r="D272" s="122" t="s">
        <v>263</v>
      </c>
      <c r="E272" s="122" t="s">
        <v>2399</v>
      </c>
      <c r="F272" s="123" t="s">
        <v>2400</v>
      </c>
      <c r="G272" s="105" t="s">
        <v>2401</v>
      </c>
      <c r="H272" s="124" t="s">
        <v>320</v>
      </c>
      <c r="I272" s="36">
        <v>9</v>
      </c>
      <c r="J272" s="105" t="s">
        <v>101</v>
      </c>
      <c r="K272" s="36">
        <v>9</v>
      </c>
      <c r="L272" s="105" t="s">
        <v>101</v>
      </c>
      <c r="M272" s="124" t="s">
        <v>3044</v>
      </c>
      <c r="N272" s="143">
        <v>43369</v>
      </c>
      <c r="O272" s="143">
        <v>43311</v>
      </c>
      <c r="P272" s="36">
        <v>2027</v>
      </c>
      <c r="Q272" s="143">
        <v>31848</v>
      </c>
      <c r="R272" s="144" t="s">
        <v>2505</v>
      </c>
      <c r="S272" s="122" t="s">
        <v>2506</v>
      </c>
      <c r="T272" s="122"/>
      <c r="U272" s="122" t="s">
        <v>2507</v>
      </c>
      <c r="V272" s="70" t="s">
        <v>2508</v>
      </c>
    </row>
    <row r="273" spans="1:22" ht="12.75" customHeight="1" x14ac:dyDescent="0.15">
      <c r="A273" s="209" t="s">
        <v>3355</v>
      </c>
      <c r="B273" s="103" t="s">
        <v>2502</v>
      </c>
      <c r="C273" s="104" t="s">
        <v>2503</v>
      </c>
      <c r="D273" s="122" t="s">
        <v>107</v>
      </c>
      <c r="E273" s="122" t="s">
        <v>2504</v>
      </c>
      <c r="F273" s="123" t="s">
        <v>1095</v>
      </c>
      <c r="G273" s="105" t="s">
        <v>241</v>
      </c>
      <c r="H273" s="124" t="s">
        <v>320</v>
      </c>
      <c r="I273" s="36">
        <v>12</v>
      </c>
      <c r="J273" s="105" t="s">
        <v>64</v>
      </c>
      <c r="K273" s="36">
        <v>12</v>
      </c>
      <c r="L273" s="105" t="s">
        <v>64</v>
      </c>
      <c r="M273" s="124" t="s">
        <v>3059</v>
      </c>
      <c r="N273" s="143">
        <v>43035</v>
      </c>
      <c r="O273" s="143">
        <v>42926</v>
      </c>
      <c r="P273" s="36">
        <v>2022</v>
      </c>
      <c r="Q273" s="143">
        <v>37274</v>
      </c>
      <c r="R273" s="144" t="s">
        <v>2551</v>
      </c>
      <c r="S273" s="122"/>
      <c r="T273" s="122"/>
      <c r="U273" s="153">
        <v>661260216</v>
      </c>
      <c r="V273" s="70" t="s">
        <v>2552</v>
      </c>
    </row>
    <row r="274" spans="1:22" ht="12.75" customHeight="1" x14ac:dyDescent="0.15">
      <c r="A274" s="209" t="s">
        <v>3355</v>
      </c>
      <c r="B274" s="103" t="s">
        <v>2550</v>
      </c>
      <c r="C274" s="104" t="s">
        <v>1434</v>
      </c>
      <c r="D274" s="105" t="s">
        <v>107</v>
      </c>
      <c r="E274" s="122" t="s">
        <v>1768</v>
      </c>
      <c r="F274" s="123" t="s">
        <v>1047</v>
      </c>
      <c r="G274" s="105" t="s">
        <v>266</v>
      </c>
      <c r="H274" s="124" t="s">
        <v>1769</v>
      </c>
      <c r="I274" s="36"/>
      <c r="J274" s="105" t="s">
        <v>17</v>
      </c>
      <c r="K274" s="36">
        <v>14</v>
      </c>
      <c r="L274" s="105" t="s">
        <v>68</v>
      </c>
      <c r="M274" s="124" t="s">
        <v>3065</v>
      </c>
      <c r="N274" s="143">
        <v>40924</v>
      </c>
      <c r="O274" s="143">
        <v>40924</v>
      </c>
      <c r="P274" s="211" t="s">
        <v>210</v>
      </c>
      <c r="Q274" s="143">
        <v>25058</v>
      </c>
      <c r="R274" s="144" t="s">
        <v>244</v>
      </c>
      <c r="S274" s="122" t="s">
        <v>1630</v>
      </c>
      <c r="T274" s="125"/>
      <c r="U274" s="125"/>
      <c r="V274" s="145" t="s">
        <v>1754</v>
      </c>
    </row>
    <row r="275" spans="1:22" ht="12.75" customHeight="1" x14ac:dyDescent="0.15">
      <c r="A275" s="209" t="s">
        <v>3355</v>
      </c>
      <c r="B275" s="340" t="s">
        <v>1626</v>
      </c>
      <c r="C275" s="341" t="s">
        <v>2583</v>
      </c>
      <c r="D275" s="122" t="s">
        <v>107</v>
      </c>
      <c r="E275" s="122" t="s">
        <v>1627</v>
      </c>
      <c r="F275" s="123" t="s">
        <v>1628</v>
      </c>
      <c r="G275" s="105" t="s">
        <v>223</v>
      </c>
      <c r="H275" s="124" t="s">
        <v>1629</v>
      </c>
      <c r="I275" s="36">
        <v>993</v>
      </c>
      <c r="J275" s="105" t="s">
        <v>201</v>
      </c>
      <c r="K275" s="36">
        <v>11</v>
      </c>
      <c r="L275" s="105" t="s">
        <v>100</v>
      </c>
      <c r="M275" s="342"/>
      <c r="N275" s="143">
        <v>31686</v>
      </c>
      <c r="O275" s="143">
        <v>31686</v>
      </c>
      <c r="P275" s="211" t="s">
        <v>210</v>
      </c>
      <c r="Q275" s="143">
        <v>24219</v>
      </c>
      <c r="R275" s="144" t="s">
        <v>244</v>
      </c>
      <c r="S275" s="122" t="s">
        <v>1630</v>
      </c>
      <c r="T275" s="153" t="s">
        <v>2584</v>
      </c>
      <c r="U275" s="145" t="s">
        <v>1631</v>
      </c>
      <c r="V275" s="146" t="s">
        <v>2585</v>
      </c>
    </row>
    <row r="276" spans="1:22" ht="12.75" customHeight="1" x14ac:dyDescent="0.15">
      <c r="A276" s="209" t="s">
        <v>3355</v>
      </c>
      <c r="B276" s="103" t="s">
        <v>1626</v>
      </c>
      <c r="C276" s="104" t="s">
        <v>506</v>
      </c>
      <c r="D276" s="122" t="s">
        <v>107</v>
      </c>
      <c r="E276" s="122" t="s">
        <v>1627</v>
      </c>
      <c r="F276" s="123" t="s">
        <v>1628</v>
      </c>
      <c r="G276" s="105" t="s">
        <v>223</v>
      </c>
      <c r="H276" s="124" t="s">
        <v>1629</v>
      </c>
      <c r="I276" s="36">
        <v>993</v>
      </c>
      <c r="J276" s="105" t="s">
        <v>201</v>
      </c>
      <c r="K276" s="36">
        <v>9</v>
      </c>
      <c r="L276" s="105" t="s">
        <v>101</v>
      </c>
      <c r="M276" s="124" t="s">
        <v>3070</v>
      </c>
      <c r="N276" s="143">
        <v>40928</v>
      </c>
      <c r="O276" s="143">
        <v>40928</v>
      </c>
      <c r="P276" s="36">
        <v>2017</v>
      </c>
      <c r="Q276" s="143">
        <v>37282</v>
      </c>
      <c r="R276" s="144"/>
      <c r="S276" s="122"/>
      <c r="T276" s="122"/>
      <c r="U276" s="153"/>
      <c r="V276" s="122" t="s">
        <v>2616</v>
      </c>
    </row>
    <row r="277" spans="1:22" ht="12.75" customHeight="1" x14ac:dyDescent="0.15">
      <c r="A277" s="209" t="s">
        <v>3355</v>
      </c>
      <c r="B277" s="103" t="s">
        <v>2614</v>
      </c>
      <c r="C277" s="104" t="s">
        <v>866</v>
      </c>
      <c r="D277" s="122" t="s">
        <v>107</v>
      </c>
      <c r="E277" s="343" t="s">
        <v>2615</v>
      </c>
      <c r="F277" s="123" t="s">
        <v>214</v>
      </c>
      <c r="G277" s="105" t="s">
        <v>215</v>
      </c>
      <c r="H277" s="124" t="s">
        <v>320</v>
      </c>
      <c r="I277" s="36">
        <v>221</v>
      </c>
      <c r="J277" s="105" t="s">
        <v>137</v>
      </c>
      <c r="K277" s="36">
        <v>3</v>
      </c>
      <c r="L277" s="105" t="s">
        <v>31</v>
      </c>
      <c r="M277" s="124" t="s">
        <v>3074</v>
      </c>
      <c r="N277" s="143">
        <v>42051</v>
      </c>
      <c r="O277" s="143">
        <v>42051</v>
      </c>
      <c r="P277" s="211">
        <v>2019</v>
      </c>
      <c r="Q277" s="143">
        <v>37142</v>
      </c>
      <c r="R277" s="144" t="s">
        <v>2627</v>
      </c>
      <c r="S277" s="122"/>
      <c r="T277" s="153">
        <v>621302102</v>
      </c>
      <c r="U277" s="145" t="s">
        <v>2628</v>
      </c>
      <c r="V277" s="146" t="s">
        <v>2629</v>
      </c>
    </row>
    <row r="278" spans="1:22" ht="12.75" customHeight="1" x14ac:dyDescent="0.15">
      <c r="A278" s="209" t="s">
        <v>3355</v>
      </c>
      <c r="B278" s="103" t="s">
        <v>2625</v>
      </c>
      <c r="C278" s="104" t="s">
        <v>2626</v>
      </c>
      <c r="D278" s="122" t="s">
        <v>416</v>
      </c>
      <c r="E278" s="343" t="s">
        <v>1019</v>
      </c>
      <c r="F278" s="123" t="s">
        <v>773</v>
      </c>
      <c r="G278" s="105" t="s">
        <v>774</v>
      </c>
      <c r="H278" s="124" t="s">
        <v>1020</v>
      </c>
      <c r="I278" s="36">
        <v>12</v>
      </c>
      <c r="J278" s="105" t="s">
        <v>64</v>
      </c>
      <c r="K278" s="36">
        <v>12</v>
      </c>
      <c r="L278" s="105" t="s">
        <v>64</v>
      </c>
      <c r="M278" s="124" t="s">
        <v>3075</v>
      </c>
      <c r="N278" s="143">
        <v>42117</v>
      </c>
      <c r="O278" s="143">
        <v>42117</v>
      </c>
      <c r="P278" s="211">
        <v>2017</v>
      </c>
      <c r="Q278" s="143">
        <v>36325</v>
      </c>
      <c r="R278" s="144" t="s">
        <v>2631</v>
      </c>
      <c r="S278" s="122"/>
      <c r="T278" s="122"/>
      <c r="U278" s="145" t="s">
        <v>2632</v>
      </c>
      <c r="V278" s="146" t="s">
        <v>2633</v>
      </c>
    </row>
    <row r="279" spans="1:22" ht="12.75" customHeight="1" x14ac:dyDescent="0.15">
      <c r="A279" s="209" t="s">
        <v>3355</v>
      </c>
      <c r="B279" s="103" t="s">
        <v>2625</v>
      </c>
      <c r="C279" s="104" t="s">
        <v>2630</v>
      </c>
      <c r="D279" s="122" t="s">
        <v>416</v>
      </c>
      <c r="E279" s="122" t="s">
        <v>1019</v>
      </c>
      <c r="F279" s="123" t="s">
        <v>773</v>
      </c>
      <c r="G279" s="105" t="s">
        <v>774</v>
      </c>
      <c r="H279" s="124" t="s">
        <v>1020</v>
      </c>
      <c r="I279" s="36">
        <v>12</v>
      </c>
      <c r="J279" s="105" t="s">
        <v>64</v>
      </c>
      <c r="K279" s="36">
        <v>12</v>
      </c>
      <c r="L279" s="105" t="s">
        <v>64</v>
      </c>
      <c r="M279" s="124" t="s">
        <v>3076</v>
      </c>
      <c r="N279" s="143">
        <v>43367</v>
      </c>
      <c r="O279" s="143">
        <v>43311</v>
      </c>
      <c r="P279" s="36">
        <v>2027</v>
      </c>
      <c r="Q279" s="143">
        <v>35558</v>
      </c>
      <c r="R279" s="144" t="s">
        <v>2658</v>
      </c>
      <c r="S279" s="122" t="s">
        <v>2659</v>
      </c>
      <c r="T279" s="122"/>
      <c r="U279" s="122" t="s">
        <v>2660</v>
      </c>
      <c r="V279" s="70" t="s">
        <v>2661</v>
      </c>
    </row>
    <row r="280" spans="1:22" ht="12.75" customHeight="1" x14ac:dyDescent="0.15">
      <c r="A280" s="209" t="s">
        <v>3355</v>
      </c>
      <c r="B280" s="103" t="s">
        <v>2653</v>
      </c>
      <c r="C280" s="104" t="s">
        <v>2654</v>
      </c>
      <c r="D280" s="122" t="s">
        <v>1799</v>
      </c>
      <c r="E280" s="122" t="s">
        <v>2655</v>
      </c>
      <c r="F280" s="123" t="s">
        <v>2656</v>
      </c>
      <c r="G280" s="105" t="s">
        <v>2657</v>
      </c>
      <c r="H280" s="124" t="s">
        <v>320</v>
      </c>
      <c r="I280" s="36">
        <v>12</v>
      </c>
      <c r="J280" s="105" t="s">
        <v>64</v>
      </c>
      <c r="K280" s="36">
        <v>12</v>
      </c>
      <c r="L280" s="105" t="s">
        <v>64</v>
      </c>
      <c r="M280" s="124" t="s">
        <v>3080</v>
      </c>
      <c r="N280" s="143">
        <v>42668</v>
      </c>
      <c r="O280" s="143">
        <v>42641</v>
      </c>
      <c r="P280" s="36">
        <v>2017</v>
      </c>
      <c r="Q280" s="143">
        <v>30867</v>
      </c>
      <c r="R280" s="144"/>
      <c r="S280" s="122"/>
      <c r="T280" s="122"/>
      <c r="U280" s="153">
        <v>691802747</v>
      </c>
      <c r="V280" s="70" t="s">
        <v>2664</v>
      </c>
    </row>
    <row r="281" spans="1:22" ht="12.75" customHeight="1" x14ac:dyDescent="0.15">
      <c r="A281" s="209" t="s">
        <v>3355</v>
      </c>
      <c r="B281" s="103" t="s">
        <v>2662</v>
      </c>
      <c r="C281" s="104" t="s">
        <v>415</v>
      </c>
      <c r="D281" s="122" t="s">
        <v>107</v>
      </c>
      <c r="E281" s="122" t="s">
        <v>2663</v>
      </c>
      <c r="F281" s="123" t="s">
        <v>1095</v>
      </c>
      <c r="G281" s="105" t="s">
        <v>241</v>
      </c>
      <c r="H281" s="124" t="s">
        <v>320</v>
      </c>
      <c r="I281" s="36">
        <v>983</v>
      </c>
      <c r="J281" s="105" t="s">
        <v>182</v>
      </c>
      <c r="K281" s="36">
        <v>9</v>
      </c>
      <c r="L281" s="105" t="s">
        <v>101</v>
      </c>
      <c r="M281" s="124" t="s">
        <v>3081</v>
      </c>
      <c r="N281" s="143" t="s">
        <v>242</v>
      </c>
      <c r="O281" s="143">
        <v>42685</v>
      </c>
      <c r="P281" s="36" t="s">
        <v>242</v>
      </c>
      <c r="Q281" s="143" t="s">
        <v>242</v>
      </c>
      <c r="R281" s="144" t="s">
        <v>244</v>
      </c>
      <c r="S281" s="122" t="s">
        <v>2698</v>
      </c>
      <c r="T281" s="122"/>
      <c r="U281" s="153">
        <v>691338999</v>
      </c>
      <c r="V281" s="70" t="s">
        <v>2699</v>
      </c>
    </row>
    <row r="282" spans="1:22" ht="12.75" customHeight="1" x14ac:dyDescent="0.15">
      <c r="A282" s="209" t="s">
        <v>3355</v>
      </c>
      <c r="B282" s="103" t="s">
        <v>2693</v>
      </c>
      <c r="C282" s="104" t="s">
        <v>2694</v>
      </c>
      <c r="D282" s="122" t="s">
        <v>107</v>
      </c>
      <c r="E282" s="122" t="s">
        <v>2695</v>
      </c>
      <c r="F282" s="123" t="s">
        <v>2696</v>
      </c>
      <c r="G282" s="105" t="s">
        <v>800</v>
      </c>
      <c r="H282" s="124" t="s">
        <v>2697</v>
      </c>
      <c r="I282" s="36">
        <v>983</v>
      </c>
      <c r="J282" s="105" t="s">
        <v>182</v>
      </c>
      <c r="K282" s="36">
        <v>212</v>
      </c>
      <c r="L282" s="105" t="s">
        <v>131</v>
      </c>
      <c r="M282" s="124"/>
      <c r="N282" s="143">
        <v>42696</v>
      </c>
      <c r="O282" s="143">
        <v>42685</v>
      </c>
      <c r="P282" s="36">
        <v>2019</v>
      </c>
      <c r="Q282" s="143">
        <v>38089</v>
      </c>
      <c r="R282" s="144" t="s">
        <v>2700</v>
      </c>
      <c r="S282" s="122" t="s">
        <v>2698</v>
      </c>
      <c r="T282" s="122"/>
      <c r="U282" s="153">
        <v>691814323</v>
      </c>
      <c r="V282" s="70" t="s">
        <v>2701</v>
      </c>
    </row>
    <row r="283" spans="1:22" ht="12.75" customHeight="1" x14ac:dyDescent="0.15">
      <c r="A283" s="209" t="s">
        <v>3355</v>
      </c>
      <c r="B283" s="103" t="s">
        <v>2693</v>
      </c>
      <c r="C283" s="104" t="s">
        <v>479</v>
      </c>
      <c r="D283" s="122" t="s">
        <v>107</v>
      </c>
      <c r="E283" s="122" t="s">
        <v>2695</v>
      </c>
      <c r="F283" s="123" t="s">
        <v>2696</v>
      </c>
      <c r="G283" s="105" t="s">
        <v>800</v>
      </c>
      <c r="H283" s="124" t="s">
        <v>2697</v>
      </c>
      <c r="I283" s="36">
        <v>983</v>
      </c>
      <c r="J283" s="105" t="s">
        <v>182</v>
      </c>
      <c r="K283" s="36">
        <v>4</v>
      </c>
      <c r="L283" s="105" t="s">
        <v>34</v>
      </c>
      <c r="M283" s="124" t="s">
        <v>3086</v>
      </c>
      <c r="N283" s="143" t="s">
        <v>242</v>
      </c>
      <c r="O283" s="143">
        <v>42685</v>
      </c>
      <c r="P283" s="36" t="s">
        <v>242</v>
      </c>
      <c r="Q283" s="143" t="s">
        <v>242</v>
      </c>
      <c r="R283" s="144" t="s">
        <v>244</v>
      </c>
      <c r="S283" s="122" t="s">
        <v>2698</v>
      </c>
      <c r="T283" s="122"/>
      <c r="U283" s="153">
        <v>621400745</v>
      </c>
      <c r="V283" s="122" t="s">
        <v>2701</v>
      </c>
    </row>
    <row r="284" spans="1:22" ht="12.75" customHeight="1" x14ac:dyDescent="0.15">
      <c r="A284" s="209" t="s">
        <v>3355</v>
      </c>
      <c r="B284" s="103" t="s">
        <v>2702</v>
      </c>
      <c r="C284" s="104" t="s">
        <v>2703</v>
      </c>
      <c r="D284" s="122" t="s">
        <v>107</v>
      </c>
      <c r="E284" s="122" t="s">
        <v>2695</v>
      </c>
      <c r="F284" s="123" t="s">
        <v>2696</v>
      </c>
      <c r="G284" s="105" t="s">
        <v>800</v>
      </c>
      <c r="H284" s="124" t="s">
        <v>2697</v>
      </c>
      <c r="I284" s="36">
        <v>983</v>
      </c>
      <c r="J284" s="105" t="s">
        <v>182</v>
      </c>
      <c r="K284" s="36">
        <v>212</v>
      </c>
      <c r="L284" s="105" t="s">
        <v>131</v>
      </c>
      <c r="M284" s="124"/>
      <c r="N284" s="143">
        <v>42051</v>
      </c>
      <c r="O284" s="143">
        <v>42051</v>
      </c>
      <c r="P284" s="211">
        <v>2018</v>
      </c>
      <c r="Q284" s="143">
        <v>37958</v>
      </c>
      <c r="R284" s="144"/>
      <c r="S284" s="122"/>
      <c r="T284" s="122"/>
      <c r="U284" s="145" t="s">
        <v>2704</v>
      </c>
      <c r="V284" s="145"/>
    </row>
    <row r="285" spans="1:22" ht="12.75" customHeight="1" x14ac:dyDescent="0.15">
      <c r="A285" s="209" t="s">
        <v>3355</v>
      </c>
      <c r="B285" s="103" t="s">
        <v>1698</v>
      </c>
      <c r="C285" s="104" t="s">
        <v>224</v>
      </c>
      <c r="D285" s="122"/>
      <c r="E285" s="122"/>
      <c r="F285" s="123"/>
      <c r="G285" s="105"/>
      <c r="H285" s="124" t="s">
        <v>1699</v>
      </c>
      <c r="I285" s="36">
        <v>212</v>
      </c>
      <c r="J285" s="105" t="s">
        <v>131</v>
      </c>
      <c r="K285" s="210">
        <v>212</v>
      </c>
      <c r="L285" s="105" t="s">
        <v>131</v>
      </c>
      <c r="M285" s="124"/>
      <c r="N285" s="143" t="s">
        <v>242</v>
      </c>
      <c r="O285" s="143"/>
      <c r="P285" s="36" t="s">
        <v>242</v>
      </c>
      <c r="Q285" s="36" t="s">
        <v>242</v>
      </c>
      <c r="R285" s="144" t="s">
        <v>244</v>
      </c>
      <c r="S285" s="122"/>
      <c r="T285" s="122"/>
      <c r="U285" s="122"/>
      <c r="V285" s="70" t="s">
        <v>1706</v>
      </c>
    </row>
    <row r="286" spans="1:22" ht="12.75" customHeight="1" x14ac:dyDescent="0.15">
      <c r="A286" s="209" t="s">
        <v>3355</v>
      </c>
      <c r="B286" s="103" t="s">
        <v>1698</v>
      </c>
      <c r="C286" s="104" t="s">
        <v>1247</v>
      </c>
      <c r="D286" s="122" t="s">
        <v>107</v>
      </c>
      <c r="E286" s="122" t="s">
        <v>291</v>
      </c>
      <c r="F286" s="123" t="s">
        <v>1717</v>
      </c>
      <c r="G286" s="105" t="s">
        <v>962</v>
      </c>
      <c r="H286" s="124" t="s">
        <v>1699</v>
      </c>
      <c r="I286" s="36"/>
      <c r="J286" s="105" t="s">
        <v>17</v>
      </c>
      <c r="K286" s="210"/>
      <c r="L286" s="105" t="s">
        <v>17</v>
      </c>
      <c r="M286" s="124"/>
      <c r="N286" s="143"/>
      <c r="O286" s="143"/>
      <c r="P286" s="36"/>
      <c r="Q286" s="143"/>
      <c r="R286" s="144"/>
      <c r="S286" s="122"/>
      <c r="T286" s="122"/>
      <c r="U286" s="122"/>
      <c r="V286" s="70" t="s">
        <v>1706</v>
      </c>
    </row>
    <row r="287" spans="1:22" ht="12.75" customHeight="1" x14ac:dyDescent="0.15">
      <c r="A287" s="209" t="s">
        <v>3355</v>
      </c>
      <c r="B287" s="103" t="s">
        <v>1767</v>
      </c>
      <c r="C287" s="104" t="s">
        <v>775</v>
      </c>
      <c r="D287" s="105" t="s">
        <v>107</v>
      </c>
      <c r="E287" s="122" t="s">
        <v>1768</v>
      </c>
      <c r="F287" s="123" t="s">
        <v>1047</v>
      </c>
      <c r="G287" s="105" t="s">
        <v>266</v>
      </c>
      <c r="H287" s="124" t="s">
        <v>1769</v>
      </c>
      <c r="I287" s="36">
        <v>212</v>
      </c>
      <c r="J287" s="105" t="s">
        <v>131</v>
      </c>
      <c r="K287" s="210">
        <v>212</v>
      </c>
      <c r="L287" s="105" t="s">
        <v>131</v>
      </c>
      <c r="M287" s="124"/>
      <c r="N287" s="143" t="s">
        <v>242</v>
      </c>
      <c r="O287" s="143">
        <v>42926</v>
      </c>
      <c r="P287" s="36" t="s">
        <v>242</v>
      </c>
      <c r="Q287" s="36" t="s">
        <v>242</v>
      </c>
      <c r="R287" s="144" t="s">
        <v>244</v>
      </c>
      <c r="S287" s="122"/>
      <c r="T287" s="122"/>
      <c r="U287" s="153">
        <v>661772410</v>
      </c>
      <c r="V287" s="122"/>
    </row>
    <row r="288" spans="1:22" ht="12.75" customHeight="1" x14ac:dyDescent="0.15">
      <c r="A288" s="209" t="s">
        <v>3355</v>
      </c>
      <c r="B288" s="103" t="s">
        <v>324</v>
      </c>
      <c r="C288" s="104" t="s">
        <v>479</v>
      </c>
      <c r="D288" s="122" t="s">
        <v>107</v>
      </c>
      <c r="E288" s="125" t="s">
        <v>907</v>
      </c>
      <c r="F288" s="123" t="s">
        <v>908</v>
      </c>
      <c r="G288" s="126" t="s">
        <v>910</v>
      </c>
      <c r="H288" s="124" t="s">
        <v>912</v>
      </c>
      <c r="I288" s="36">
        <v>212</v>
      </c>
      <c r="J288" s="105" t="s">
        <v>131</v>
      </c>
      <c r="K288" s="210">
        <v>212</v>
      </c>
      <c r="L288" s="105" t="s">
        <v>131</v>
      </c>
      <c r="M288" s="124"/>
      <c r="N288" s="143" t="s">
        <v>242</v>
      </c>
      <c r="O288" s="143">
        <v>43046</v>
      </c>
      <c r="P288" s="36" t="s">
        <v>242</v>
      </c>
      <c r="Q288" s="36" t="s">
        <v>242</v>
      </c>
      <c r="R288" s="144" t="s">
        <v>244</v>
      </c>
      <c r="S288" s="122"/>
      <c r="T288" s="125"/>
      <c r="U288" s="122" t="s">
        <v>1928</v>
      </c>
      <c r="V288" s="70" t="s">
        <v>1929</v>
      </c>
    </row>
    <row r="289" spans="1:23" ht="12.75" customHeight="1" x14ac:dyDescent="0.15">
      <c r="A289" s="209" t="s">
        <v>3355</v>
      </c>
      <c r="B289" s="103" t="s">
        <v>2289</v>
      </c>
      <c r="C289" s="104" t="s">
        <v>2290</v>
      </c>
      <c r="D289" s="122" t="s">
        <v>2006</v>
      </c>
      <c r="E289" s="122" t="s">
        <v>2007</v>
      </c>
      <c r="F289" s="123" t="s">
        <v>2008</v>
      </c>
      <c r="G289" s="105" t="s">
        <v>2009</v>
      </c>
      <c r="H289" s="124" t="s">
        <v>2010</v>
      </c>
      <c r="I289" s="36">
        <v>212</v>
      </c>
      <c r="J289" s="105" t="s">
        <v>131</v>
      </c>
      <c r="K289" s="210">
        <v>212</v>
      </c>
      <c r="L289" s="105" t="s">
        <v>131</v>
      </c>
      <c r="M289" s="124"/>
      <c r="N289" s="143" t="s">
        <v>242</v>
      </c>
      <c r="O289" s="143"/>
      <c r="P289" s="36" t="s">
        <v>242</v>
      </c>
      <c r="Q289" s="36" t="s">
        <v>242</v>
      </c>
      <c r="R289" s="144" t="s">
        <v>244</v>
      </c>
      <c r="S289" s="122" t="s">
        <v>2011</v>
      </c>
      <c r="T289" s="122"/>
      <c r="U289" s="153">
        <v>621319078</v>
      </c>
      <c r="V289" s="70" t="s">
        <v>2291</v>
      </c>
    </row>
    <row r="290" spans="1:23" ht="12.75" customHeight="1" x14ac:dyDescent="0.15">
      <c r="A290" s="209" t="s">
        <v>3355</v>
      </c>
      <c r="B290" s="103" t="s">
        <v>2307</v>
      </c>
      <c r="C290" s="104" t="s">
        <v>2308</v>
      </c>
      <c r="D290" s="122" t="s">
        <v>490</v>
      </c>
      <c r="E290" s="122" t="s">
        <v>491</v>
      </c>
      <c r="F290" s="123" t="s">
        <v>492</v>
      </c>
      <c r="G290" s="105" t="s">
        <v>493</v>
      </c>
      <c r="H290" s="124" t="s">
        <v>494</v>
      </c>
      <c r="I290" s="36">
        <v>220</v>
      </c>
      <c r="J290" s="105" t="s">
        <v>136</v>
      </c>
      <c r="K290" s="210">
        <v>212</v>
      </c>
      <c r="L290" s="105" t="s">
        <v>131</v>
      </c>
      <c r="M290" s="124"/>
      <c r="N290" s="143" t="s">
        <v>242</v>
      </c>
      <c r="O290" s="143">
        <v>42919</v>
      </c>
      <c r="P290" s="36" t="s">
        <v>242</v>
      </c>
      <c r="Q290" s="36" t="s">
        <v>242</v>
      </c>
      <c r="R290" s="144" t="s">
        <v>244</v>
      </c>
      <c r="S290" s="122" t="s">
        <v>512</v>
      </c>
      <c r="T290" s="122"/>
      <c r="U290" s="153">
        <v>621213284</v>
      </c>
      <c r="V290" s="70" t="s">
        <v>2309</v>
      </c>
    </row>
    <row r="291" spans="1:23" ht="12.75" customHeight="1" x14ac:dyDescent="0.15">
      <c r="A291" s="209" t="s">
        <v>3355</v>
      </c>
      <c r="B291" s="103" t="s">
        <v>2498</v>
      </c>
      <c r="C291" s="104" t="s">
        <v>407</v>
      </c>
      <c r="D291" s="122"/>
      <c r="E291" s="122" t="s">
        <v>2346</v>
      </c>
      <c r="F291" s="123" t="s">
        <v>1158</v>
      </c>
      <c r="G291" s="105" t="s">
        <v>2347</v>
      </c>
      <c r="H291" s="124" t="s">
        <v>2348</v>
      </c>
      <c r="I291" s="36">
        <v>212</v>
      </c>
      <c r="J291" s="105" t="s">
        <v>131</v>
      </c>
      <c r="K291" s="210">
        <v>212</v>
      </c>
      <c r="L291" s="105" t="s">
        <v>131</v>
      </c>
      <c r="M291" s="124"/>
      <c r="N291" s="143" t="s">
        <v>242</v>
      </c>
      <c r="O291" s="143"/>
      <c r="P291" s="211" t="s">
        <v>242</v>
      </c>
      <c r="Q291" s="36" t="s">
        <v>242</v>
      </c>
      <c r="R291" s="144" t="s">
        <v>244</v>
      </c>
      <c r="S291" s="122"/>
      <c r="T291" s="122"/>
      <c r="U291" s="145"/>
      <c r="V291" s="146"/>
    </row>
    <row r="292" spans="1:23" ht="12.75" customHeight="1" x14ac:dyDescent="0.15">
      <c r="A292" s="209" t="s">
        <v>3355</v>
      </c>
      <c r="B292" s="103" t="s">
        <v>1358</v>
      </c>
      <c r="C292" s="104" t="s">
        <v>2514</v>
      </c>
      <c r="D292" s="122" t="s">
        <v>107</v>
      </c>
      <c r="E292" s="122" t="s">
        <v>659</v>
      </c>
      <c r="F292" s="123" t="s">
        <v>660</v>
      </c>
      <c r="G292" s="105" t="s">
        <v>661</v>
      </c>
      <c r="H292" s="124" t="s">
        <v>662</v>
      </c>
      <c r="I292" s="36">
        <v>212</v>
      </c>
      <c r="J292" s="105" t="s">
        <v>131</v>
      </c>
      <c r="K292" s="210">
        <v>212</v>
      </c>
      <c r="L292" s="105" t="s">
        <v>131</v>
      </c>
      <c r="M292" s="124"/>
      <c r="N292" s="143" t="s">
        <v>242</v>
      </c>
      <c r="O292" s="143"/>
      <c r="P292" s="36" t="s">
        <v>242</v>
      </c>
      <c r="Q292" s="36" t="s">
        <v>242</v>
      </c>
      <c r="R292" s="144" t="s">
        <v>244</v>
      </c>
      <c r="S292" s="122" t="s">
        <v>973</v>
      </c>
      <c r="T292" s="122"/>
      <c r="U292" s="153">
        <v>621636316</v>
      </c>
      <c r="V292" s="70" t="s">
        <v>2515</v>
      </c>
      <c r="W292" s="344"/>
    </row>
    <row r="293" spans="1:23" ht="12.75" customHeight="1" x14ac:dyDescent="0.15">
      <c r="A293" s="209" t="s">
        <v>3355</v>
      </c>
      <c r="B293" s="103" t="s">
        <v>1459</v>
      </c>
      <c r="C293" s="104" t="s">
        <v>871</v>
      </c>
      <c r="D293" s="122" t="s">
        <v>107</v>
      </c>
      <c r="E293" s="122" t="s">
        <v>3289</v>
      </c>
      <c r="F293" s="123" t="s">
        <v>3290</v>
      </c>
      <c r="G293" s="105" t="s">
        <v>3291</v>
      </c>
      <c r="H293" s="237" t="s">
        <v>320</v>
      </c>
      <c r="I293" s="36">
        <v>2</v>
      </c>
      <c r="J293" s="105" t="s">
        <v>29</v>
      </c>
      <c r="K293" s="210">
        <v>2</v>
      </c>
      <c r="L293" s="105" t="s">
        <v>29</v>
      </c>
      <c r="M293" s="124" t="s">
        <v>3309</v>
      </c>
      <c r="N293" s="143">
        <v>43861</v>
      </c>
      <c r="O293" s="143">
        <v>43859</v>
      </c>
      <c r="P293" s="36">
        <v>2021</v>
      </c>
      <c r="Q293" s="143">
        <v>33275</v>
      </c>
      <c r="R293" s="144" t="s">
        <v>3292</v>
      </c>
      <c r="S293" s="122"/>
      <c r="T293" s="122"/>
      <c r="U293" s="122" t="s">
        <v>3293</v>
      </c>
      <c r="V293" s="152" t="s">
        <v>3294</v>
      </c>
      <c r="W293" s="135" t="s">
        <v>3372</v>
      </c>
    </row>
    <row r="294" spans="1:23" ht="12.75" customHeight="1" x14ac:dyDescent="0.15">
      <c r="A294" s="209" t="s">
        <v>3355</v>
      </c>
      <c r="B294" s="103" t="s">
        <v>3312</v>
      </c>
      <c r="C294" s="104" t="s">
        <v>3313</v>
      </c>
      <c r="D294" s="122" t="s">
        <v>3282</v>
      </c>
      <c r="E294" s="122" t="s">
        <v>3314</v>
      </c>
      <c r="F294" s="123" t="s">
        <v>3315</v>
      </c>
      <c r="G294" s="105" t="s">
        <v>3316</v>
      </c>
      <c r="H294" s="237" t="s">
        <v>320</v>
      </c>
      <c r="I294" s="36">
        <v>2</v>
      </c>
      <c r="J294" s="105" t="s">
        <v>29</v>
      </c>
      <c r="K294" s="210">
        <v>2</v>
      </c>
      <c r="L294" s="105" t="s">
        <v>29</v>
      </c>
      <c r="M294" s="124" t="s">
        <v>3327</v>
      </c>
      <c r="N294" s="143">
        <v>43866</v>
      </c>
      <c r="O294" s="143">
        <v>43859</v>
      </c>
      <c r="P294" s="36">
        <v>2023</v>
      </c>
      <c r="Q294" s="143">
        <v>34289</v>
      </c>
      <c r="R294" s="144" t="s">
        <v>3319</v>
      </c>
      <c r="S294" s="122"/>
      <c r="T294" s="122"/>
      <c r="U294" s="122" t="s">
        <v>3320</v>
      </c>
      <c r="V294" s="152" t="s">
        <v>3321</v>
      </c>
      <c r="W294" s="135" t="s">
        <v>3372</v>
      </c>
    </row>
    <row r="295" spans="1:23" ht="12.75" customHeight="1" x14ac:dyDescent="0.15">
      <c r="A295" s="209" t="s">
        <v>3355</v>
      </c>
      <c r="B295" s="103" t="s">
        <v>3272</v>
      </c>
      <c r="C295" s="104" t="s">
        <v>3273</v>
      </c>
      <c r="D295" s="122" t="s">
        <v>263</v>
      </c>
      <c r="E295" s="122" t="s">
        <v>3274</v>
      </c>
      <c r="F295" s="123" t="s">
        <v>3275</v>
      </c>
      <c r="G295" s="105" t="s">
        <v>3276</v>
      </c>
      <c r="H295" s="237" t="s">
        <v>320</v>
      </c>
      <c r="I295" s="36">
        <v>3</v>
      </c>
      <c r="J295" s="105" t="s">
        <v>31</v>
      </c>
      <c r="K295" s="210">
        <v>3</v>
      </c>
      <c r="L295" s="105" t="s">
        <v>31</v>
      </c>
      <c r="M295" s="124" t="s">
        <v>3311</v>
      </c>
      <c r="N295" s="143">
        <v>43861</v>
      </c>
      <c r="O295" s="143">
        <v>43859</v>
      </c>
      <c r="P295" s="36">
        <v>2022</v>
      </c>
      <c r="Q295" s="143">
        <v>37461</v>
      </c>
      <c r="R295" s="144" t="s">
        <v>3277</v>
      </c>
      <c r="S295" s="122" t="s">
        <v>3278</v>
      </c>
      <c r="U295" s="122" t="s">
        <v>3279</v>
      </c>
      <c r="V295" s="152" t="s">
        <v>3280</v>
      </c>
      <c r="W295" s="135" t="s">
        <v>3372</v>
      </c>
    </row>
    <row r="296" spans="1:23" ht="12.75" customHeight="1" x14ac:dyDescent="0.15">
      <c r="A296" s="209" t="s">
        <v>3355</v>
      </c>
      <c r="B296" s="103" t="s">
        <v>3304</v>
      </c>
      <c r="C296" s="104" t="s">
        <v>3305</v>
      </c>
      <c r="D296" s="122" t="s">
        <v>107</v>
      </c>
      <c r="E296" s="122" t="s">
        <v>3306</v>
      </c>
      <c r="F296" s="123" t="s">
        <v>1838</v>
      </c>
      <c r="G296" s="105" t="s">
        <v>177</v>
      </c>
      <c r="H296" s="237" t="s">
        <v>320</v>
      </c>
      <c r="I296" s="36">
        <v>2</v>
      </c>
      <c r="J296" s="105" t="s">
        <v>29</v>
      </c>
      <c r="K296" s="210">
        <v>2</v>
      </c>
      <c r="L296" s="105" t="s">
        <v>29</v>
      </c>
      <c r="M296" s="124" t="s">
        <v>3307</v>
      </c>
      <c r="N296" s="143">
        <v>43861</v>
      </c>
      <c r="O296" s="143">
        <v>43859</v>
      </c>
      <c r="P296" s="36">
        <v>2020</v>
      </c>
      <c r="Q296" s="143">
        <v>33079</v>
      </c>
      <c r="R296" s="144" t="s">
        <v>3308</v>
      </c>
      <c r="S296" s="122"/>
      <c r="T296" s="122"/>
      <c r="U296" s="122" t="s">
        <v>3322</v>
      </c>
      <c r="V296" s="152" t="s">
        <v>3323</v>
      </c>
      <c r="W296" s="135" t="s">
        <v>3372</v>
      </c>
    </row>
    <row r="297" spans="1:23" ht="12.75" customHeight="1" x14ac:dyDescent="0.15">
      <c r="A297" s="209" t="s">
        <v>3355</v>
      </c>
      <c r="B297" s="103" t="s">
        <v>3281</v>
      </c>
      <c r="C297" s="104" t="s">
        <v>2066</v>
      </c>
      <c r="D297" s="122" t="s">
        <v>3282</v>
      </c>
      <c r="E297" s="122" t="s">
        <v>3283</v>
      </c>
      <c r="F297" s="123" t="s">
        <v>3284</v>
      </c>
      <c r="G297" s="105" t="s">
        <v>3285</v>
      </c>
      <c r="H297" s="237" t="s">
        <v>320</v>
      </c>
      <c r="I297" s="36">
        <v>2</v>
      </c>
      <c r="J297" s="105" t="s">
        <v>29</v>
      </c>
      <c r="K297" s="210">
        <v>2</v>
      </c>
      <c r="L297" s="105" t="s">
        <v>29</v>
      </c>
      <c r="M297" s="124" t="s">
        <v>3310</v>
      </c>
      <c r="N297" s="143">
        <v>43861</v>
      </c>
      <c r="O297" s="143">
        <v>43859</v>
      </c>
      <c r="P297" s="36">
        <v>2021</v>
      </c>
      <c r="Q297" s="143">
        <v>33405</v>
      </c>
      <c r="R297" s="144" t="s">
        <v>3286</v>
      </c>
      <c r="S297" s="122"/>
      <c r="T297" s="122"/>
      <c r="U297" s="122" t="s">
        <v>3287</v>
      </c>
      <c r="V297" s="152" t="s">
        <v>3288</v>
      </c>
      <c r="W297" s="135" t="s">
        <v>3372</v>
      </c>
    </row>
    <row r="298" spans="1:23" ht="12.75" customHeight="1" x14ac:dyDescent="0.15">
      <c r="A298" s="209" t="s">
        <v>3355</v>
      </c>
      <c r="B298" s="103" t="s">
        <v>3295</v>
      </c>
      <c r="C298" s="104" t="s">
        <v>956</v>
      </c>
      <c r="D298" s="122" t="s">
        <v>107</v>
      </c>
      <c r="E298" s="122" t="s">
        <v>3296</v>
      </c>
      <c r="F298" s="123" t="s">
        <v>3297</v>
      </c>
      <c r="G298" s="105" t="s">
        <v>205</v>
      </c>
      <c r="H298" s="237" t="s">
        <v>320</v>
      </c>
      <c r="I298" s="36">
        <v>2</v>
      </c>
      <c r="J298" s="105" t="s">
        <v>29</v>
      </c>
      <c r="K298" s="210">
        <v>2</v>
      </c>
      <c r="L298" s="105" t="s">
        <v>29</v>
      </c>
      <c r="M298" s="124" t="s">
        <v>3303</v>
      </c>
      <c r="N298" s="143">
        <v>43861</v>
      </c>
      <c r="O298" s="143">
        <v>43859</v>
      </c>
      <c r="P298" s="36">
        <v>2020</v>
      </c>
      <c r="Q298" s="143">
        <v>34619</v>
      </c>
      <c r="R298" s="144" t="s">
        <v>3298</v>
      </c>
      <c r="S298" s="122"/>
      <c r="T298" s="122"/>
      <c r="U298" s="122" t="s">
        <v>3299</v>
      </c>
      <c r="V298" s="152" t="s">
        <v>3300</v>
      </c>
      <c r="W298" s="135" t="s">
        <v>3372</v>
      </c>
    </row>
    <row r="299" spans="1:23" ht="12.75" customHeight="1" x14ac:dyDescent="0.15">
      <c r="A299" s="209" t="s">
        <v>3590</v>
      </c>
      <c r="B299" s="103" t="s">
        <v>2775</v>
      </c>
      <c r="C299" s="104" t="s">
        <v>2776</v>
      </c>
      <c r="D299" s="122" t="s">
        <v>107</v>
      </c>
      <c r="E299" s="122" t="s">
        <v>2777</v>
      </c>
      <c r="F299" s="123" t="s">
        <v>542</v>
      </c>
      <c r="G299" s="105" t="s">
        <v>544</v>
      </c>
      <c r="H299" s="124" t="s">
        <v>320</v>
      </c>
      <c r="I299" s="36">
        <v>2</v>
      </c>
      <c r="J299" s="105" t="str">
        <f>VLOOKUP(I299,CAT_JOUEUR,2,FALSE)</f>
        <v>Seniors - Hommes</v>
      </c>
      <c r="K299" s="105">
        <v>9</v>
      </c>
      <c r="L299" s="105" t="s">
        <v>101</v>
      </c>
      <c r="M299" s="124" t="s">
        <v>2991</v>
      </c>
      <c r="N299" s="143">
        <v>43717</v>
      </c>
      <c r="O299" s="143">
        <v>43709</v>
      </c>
      <c r="P299" s="36">
        <v>2020</v>
      </c>
      <c r="Q299" s="143">
        <v>30428</v>
      </c>
      <c r="R299" s="144" t="s">
        <v>2780</v>
      </c>
      <c r="S299" s="144"/>
      <c r="T299" s="122"/>
      <c r="U299" s="122" t="s">
        <v>2778</v>
      </c>
      <c r="V299" s="213" t="s">
        <v>2779</v>
      </c>
      <c r="W299" s="242" t="s">
        <v>2902</v>
      </c>
    </row>
    <row r="300" spans="1:23" ht="12.75" customHeight="1" x14ac:dyDescent="0.15">
      <c r="A300" s="209" t="s">
        <v>3590</v>
      </c>
      <c r="B300" s="103" t="s">
        <v>942</v>
      </c>
      <c r="C300" s="104" t="s">
        <v>943</v>
      </c>
      <c r="D300" s="122" t="s">
        <v>2022</v>
      </c>
      <c r="E300" s="122" t="s">
        <v>944</v>
      </c>
      <c r="F300" s="123" t="s">
        <v>945</v>
      </c>
      <c r="G300" s="105" t="s">
        <v>946</v>
      </c>
      <c r="H300" s="124" t="s">
        <v>948</v>
      </c>
      <c r="I300" s="36">
        <v>11</v>
      </c>
      <c r="J300" s="105" t="str">
        <f t="shared" ref="J300" si="11">VLOOKUP(I300,CAT_JOUEUR,2,FALSE)</f>
        <v>Officiel D</v>
      </c>
      <c r="K300" s="210">
        <v>11</v>
      </c>
      <c r="L300" s="105" t="str">
        <f t="shared" ref="L300" si="12">VLOOKUP(K300,CAT_JOUEUR,2,FALSE)</f>
        <v>Officiel D</v>
      </c>
      <c r="M300" s="124" t="s">
        <v>3098</v>
      </c>
      <c r="N300" s="143">
        <v>39339</v>
      </c>
      <c r="O300" s="143">
        <v>39339</v>
      </c>
      <c r="P300" s="211" t="s">
        <v>210</v>
      </c>
      <c r="Q300" s="143">
        <v>22831</v>
      </c>
      <c r="R300" s="144" t="s">
        <v>244</v>
      </c>
      <c r="S300" s="122" t="s">
        <v>2023</v>
      </c>
      <c r="T300" s="122"/>
      <c r="U300" s="145"/>
      <c r="V300" s="146" t="s">
        <v>2024</v>
      </c>
    </row>
    <row r="301" spans="1:23" ht="12.75" customHeight="1" x14ac:dyDescent="0.15">
      <c r="A301" s="209" t="s">
        <v>3590</v>
      </c>
      <c r="B301" s="103" t="s">
        <v>835</v>
      </c>
      <c r="C301" s="104" t="s">
        <v>836</v>
      </c>
      <c r="D301" s="122" t="s">
        <v>107</v>
      </c>
      <c r="E301" s="122" t="s">
        <v>837</v>
      </c>
      <c r="F301" s="123" t="s">
        <v>838</v>
      </c>
      <c r="G301" s="105" t="s">
        <v>840</v>
      </c>
      <c r="H301" s="124" t="s">
        <v>320</v>
      </c>
      <c r="I301" s="36">
        <v>12</v>
      </c>
      <c r="J301" s="105" t="str">
        <f t="shared" ref="J301:J307" si="13">VLOOKUP(I301,CAT_JOUEUR,2,FALSE)</f>
        <v>Dames</v>
      </c>
      <c r="K301" s="210">
        <v>12</v>
      </c>
      <c r="L301" s="105" t="str">
        <f t="shared" ref="L301:L310" si="14">VLOOKUP(K301,CAT_JOUEUR,2,FALSE)</f>
        <v>Dames</v>
      </c>
      <c r="M301" s="124" t="s">
        <v>2962</v>
      </c>
      <c r="N301" s="143">
        <v>41765</v>
      </c>
      <c r="O301" s="143">
        <v>41765</v>
      </c>
      <c r="P301" s="211">
        <v>2022</v>
      </c>
      <c r="Q301" s="143">
        <v>33895</v>
      </c>
      <c r="R301" s="144" t="s">
        <v>1830</v>
      </c>
      <c r="S301" s="122" t="s">
        <v>1831</v>
      </c>
      <c r="T301" s="122"/>
      <c r="U301" s="145" t="s">
        <v>1832</v>
      </c>
      <c r="V301" s="146" t="s">
        <v>1833</v>
      </c>
    </row>
    <row r="302" spans="1:23" ht="12.75" customHeight="1" x14ac:dyDescent="0.15">
      <c r="A302" s="209" t="s">
        <v>3590</v>
      </c>
      <c r="B302" s="103" t="s">
        <v>1881</v>
      </c>
      <c r="C302" s="104" t="s">
        <v>972</v>
      </c>
      <c r="D302" s="122" t="s">
        <v>107</v>
      </c>
      <c r="E302" s="122" t="s">
        <v>3407</v>
      </c>
      <c r="F302" s="123" t="s">
        <v>273</v>
      </c>
      <c r="G302" s="105" t="s">
        <v>274</v>
      </c>
      <c r="H302" s="124" t="s">
        <v>320</v>
      </c>
      <c r="I302" s="36">
        <v>255</v>
      </c>
      <c r="J302" s="105" t="str">
        <f t="shared" si="13"/>
        <v>Arrêt</v>
      </c>
      <c r="K302" s="210">
        <v>12</v>
      </c>
      <c r="L302" s="105" t="str">
        <f t="shared" si="14"/>
        <v>Dames</v>
      </c>
      <c r="M302" s="124" t="s">
        <v>3354</v>
      </c>
      <c r="N302" s="143">
        <v>43896</v>
      </c>
      <c r="O302" s="143">
        <v>43857</v>
      </c>
      <c r="P302" s="36">
        <v>2020</v>
      </c>
      <c r="Q302" s="143">
        <v>32833</v>
      </c>
      <c r="R302" s="144" t="s">
        <v>3262</v>
      </c>
      <c r="S302" s="122"/>
      <c r="T302" s="122" t="s">
        <v>252</v>
      </c>
      <c r="U302" s="122" t="s">
        <v>3263</v>
      </c>
      <c r="V302" s="152" t="s">
        <v>3264</v>
      </c>
    </row>
    <row r="303" spans="1:23" ht="12.75" customHeight="1" x14ac:dyDescent="0.15">
      <c r="A303" s="209" t="s">
        <v>3590</v>
      </c>
      <c r="B303" s="103" t="s">
        <v>3265</v>
      </c>
      <c r="C303" s="104" t="s">
        <v>3266</v>
      </c>
      <c r="D303" s="122" t="s">
        <v>107</v>
      </c>
      <c r="E303" s="122" t="s">
        <v>3267</v>
      </c>
      <c r="F303" s="123" t="s">
        <v>737</v>
      </c>
      <c r="G303" s="105" t="s">
        <v>727</v>
      </c>
      <c r="H303" s="124" t="s">
        <v>320</v>
      </c>
      <c r="I303" s="36">
        <v>12</v>
      </c>
      <c r="J303" s="105" t="str">
        <f t="shared" si="13"/>
        <v>Dames</v>
      </c>
      <c r="K303" s="210">
        <v>12</v>
      </c>
      <c r="L303" s="105" t="str">
        <f t="shared" si="14"/>
        <v>Dames</v>
      </c>
      <c r="M303" s="124" t="s">
        <v>3340</v>
      </c>
      <c r="N303" s="143">
        <v>43881</v>
      </c>
      <c r="O303" s="143">
        <v>43857</v>
      </c>
      <c r="P303" s="36">
        <v>2021</v>
      </c>
      <c r="Q303" s="143">
        <v>37056</v>
      </c>
      <c r="R303" s="144" t="s">
        <v>3268</v>
      </c>
      <c r="S303" s="122"/>
      <c r="T303" s="122"/>
      <c r="U303" s="122" t="s">
        <v>3269</v>
      </c>
      <c r="V303" s="152" t="s">
        <v>3270</v>
      </c>
    </row>
    <row r="304" spans="1:23" ht="12.75" customHeight="1" x14ac:dyDescent="0.15">
      <c r="A304" s="209" t="s">
        <v>3590</v>
      </c>
      <c r="B304" s="103" t="s">
        <v>2029</v>
      </c>
      <c r="C304" s="104" t="s">
        <v>540</v>
      </c>
      <c r="D304" s="122" t="s">
        <v>107</v>
      </c>
      <c r="E304" s="122" t="s">
        <v>2030</v>
      </c>
      <c r="F304" s="123" t="s">
        <v>2031</v>
      </c>
      <c r="G304" s="105" t="s">
        <v>2032</v>
      </c>
      <c r="H304" s="124" t="s">
        <v>2033</v>
      </c>
      <c r="I304" s="36">
        <v>12</v>
      </c>
      <c r="J304" s="105" t="str">
        <f t="shared" si="13"/>
        <v>Dames</v>
      </c>
      <c r="K304" s="210">
        <v>12</v>
      </c>
      <c r="L304" s="105" t="str">
        <f t="shared" si="14"/>
        <v>Dames</v>
      </c>
      <c r="M304" s="124" t="s">
        <v>2990</v>
      </c>
      <c r="N304" s="143">
        <v>43367</v>
      </c>
      <c r="O304" s="143">
        <v>43318</v>
      </c>
      <c r="P304" s="36">
        <v>2025</v>
      </c>
      <c r="Q304" s="143">
        <v>34720</v>
      </c>
      <c r="R304" s="144" t="s">
        <v>2034</v>
      </c>
      <c r="S304" s="122" t="s">
        <v>2035</v>
      </c>
      <c r="T304" s="122"/>
      <c r="U304" s="122" t="s">
        <v>2036</v>
      </c>
      <c r="V304" s="70" t="s">
        <v>2037</v>
      </c>
    </row>
    <row r="305" spans="1:37" ht="12.75" customHeight="1" x14ac:dyDescent="0.15">
      <c r="A305" s="209" t="s">
        <v>3590</v>
      </c>
      <c r="B305" s="103" t="s">
        <v>1011</v>
      </c>
      <c r="C305" s="104" t="s">
        <v>795</v>
      </c>
      <c r="D305" s="122" t="s">
        <v>107</v>
      </c>
      <c r="E305" s="122" t="s">
        <v>1013</v>
      </c>
      <c r="F305" s="123" t="s">
        <v>1014</v>
      </c>
      <c r="G305" s="105" t="s">
        <v>241</v>
      </c>
      <c r="H305" s="124" t="s">
        <v>1015</v>
      </c>
      <c r="I305" s="36">
        <v>12</v>
      </c>
      <c r="J305" s="105" t="str">
        <f t="shared" si="13"/>
        <v>Dames</v>
      </c>
      <c r="K305" s="210">
        <v>12</v>
      </c>
      <c r="L305" s="105" t="str">
        <f t="shared" si="14"/>
        <v>Dames</v>
      </c>
      <c r="M305" s="124" t="s">
        <v>3034</v>
      </c>
      <c r="N305" s="143">
        <v>43444</v>
      </c>
      <c r="O305" s="143">
        <v>43390</v>
      </c>
      <c r="P305" s="36">
        <v>2028</v>
      </c>
      <c r="Q305" s="143">
        <v>36102</v>
      </c>
      <c r="R305" s="144" t="s">
        <v>2342</v>
      </c>
      <c r="S305" s="122" t="s">
        <v>2333</v>
      </c>
      <c r="T305" s="122"/>
      <c r="U305" s="122" t="s">
        <v>2343</v>
      </c>
      <c r="V305" s="70" t="s">
        <v>2334</v>
      </c>
    </row>
    <row r="306" spans="1:37" ht="12.75" customHeight="1" x14ac:dyDescent="0.15">
      <c r="A306" s="209" t="s">
        <v>3590</v>
      </c>
      <c r="B306" s="103" t="s">
        <v>2326</v>
      </c>
      <c r="C306" s="104" t="s">
        <v>1785</v>
      </c>
      <c r="D306" s="122" t="s">
        <v>107</v>
      </c>
      <c r="E306" s="122" t="s">
        <v>2327</v>
      </c>
      <c r="F306" s="123" t="s">
        <v>110</v>
      </c>
      <c r="G306" s="105" t="s">
        <v>111</v>
      </c>
      <c r="H306" s="124" t="s">
        <v>320</v>
      </c>
      <c r="I306" s="36">
        <v>252</v>
      </c>
      <c r="J306" s="105" t="str">
        <f t="shared" si="13"/>
        <v>Arrêt jeune (garder licence)</v>
      </c>
      <c r="K306" s="210">
        <v>14</v>
      </c>
      <c r="L306" s="105" t="str">
        <f t="shared" si="14"/>
        <v>U 17 Dames</v>
      </c>
      <c r="M306" s="124" t="s">
        <v>3031</v>
      </c>
      <c r="N306" s="143">
        <v>41557</v>
      </c>
      <c r="O306" s="143">
        <v>41557</v>
      </c>
      <c r="P306" s="211">
        <v>2018</v>
      </c>
      <c r="Q306" s="143">
        <v>37906</v>
      </c>
      <c r="R306" s="144"/>
      <c r="S306" s="122" t="s">
        <v>2328</v>
      </c>
      <c r="T306" s="122"/>
      <c r="U306" s="145" t="s">
        <v>2329</v>
      </c>
      <c r="V306" s="146" t="s">
        <v>2330</v>
      </c>
    </row>
    <row r="307" spans="1:37" ht="12.75" customHeight="1" x14ac:dyDescent="0.15">
      <c r="A307" s="209" t="s">
        <v>3590</v>
      </c>
      <c r="B307" s="103" t="s">
        <v>3408</v>
      </c>
      <c r="C307" s="104" t="s">
        <v>884</v>
      </c>
      <c r="D307" s="122" t="s">
        <v>107</v>
      </c>
      <c r="E307" s="122" t="s">
        <v>3409</v>
      </c>
      <c r="F307" s="123" t="s">
        <v>3410</v>
      </c>
      <c r="G307" s="105" t="s">
        <v>629</v>
      </c>
      <c r="H307" s="124" t="s">
        <v>320</v>
      </c>
      <c r="I307" s="36">
        <v>255</v>
      </c>
      <c r="J307" s="105" t="str">
        <f t="shared" si="13"/>
        <v>Arrêt</v>
      </c>
      <c r="K307" s="210">
        <v>12</v>
      </c>
      <c r="L307" s="105" t="str">
        <f t="shared" si="14"/>
        <v>Dames</v>
      </c>
      <c r="M307" s="124" t="s">
        <v>3432</v>
      </c>
      <c r="N307" s="143">
        <v>44053</v>
      </c>
      <c r="O307" s="143">
        <v>44046</v>
      </c>
      <c r="P307" s="36">
        <v>2021</v>
      </c>
      <c r="Q307" s="143">
        <v>33313</v>
      </c>
      <c r="R307" s="144" t="s">
        <v>3411</v>
      </c>
      <c r="S307" s="122"/>
      <c r="T307" s="122"/>
      <c r="U307" s="122" t="s">
        <v>3412</v>
      </c>
      <c r="V307" s="152" t="s">
        <v>3413</v>
      </c>
    </row>
    <row r="308" spans="1:37" ht="12.75" customHeight="1" x14ac:dyDescent="0.15">
      <c r="A308" s="209" t="s">
        <v>3590</v>
      </c>
      <c r="B308" s="103" t="s">
        <v>2867</v>
      </c>
      <c r="C308" s="104" t="s">
        <v>681</v>
      </c>
      <c r="D308" s="122" t="s">
        <v>107</v>
      </c>
      <c r="E308" s="122" t="s">
        <v>2868</v>
      </c>
      <c r="F308" s="123" t="s">
        <v>2869</v>
      </c>
      <c r="G308" s="105" t="s">
        <v>2870</v>
      </c>
      <c r="H308" s="124" t="s">
        <v>320</v>
      </c>
      <c r="I308" s="36">
        <v>2</v>
      </c>
      <c r="J308" s="105" t="str">
        <f t="shared" ref="J308:J310" si="15">VLOOKUP(I308,CAT_JOUEUR,2,FALSE)</f>
        <v>Seniors - Hommes</v>
      </c>
      <c r="K308" s="210">
        <v>2</v>
      </c>
      <c r="L308" s="105" t="str">
        <f t="shared" si="14"/>
        <v>Seniors - Hommes</v>
      </c>
      <c r="M308" s="124" t="s">
        <v>2891</v>
      </c>
      <c r="N308" s="143">
        <v>43651</v>
      </c>
      <c r="O308" s="143">
        <v>43709</v>
      </c>
      <c r="P308" s="36">
        <v>2022</v>
      </c>
      <c r="Q308" s="143">
        <v>33875</v>
      </c>
      <c r="R308" s="144" t="s">
        <v>2871</v>
      </c>
      <c r="S308" s="151"/>
      <c r="T308" s="122"/>
      <c r="U308" s="122" t="s">
        <v>2872</v>
      </c>
      <c r="V308" s="152" t="s">
        <v>2873</v>
      </c>
    </row>
    <row r="309" spans="1:37" ht="12.75" customHeight="1" x14ac:dyDescent="0.15">
      <c r="A309" s="209" t="s">
        <v>3590</v>
      </c>
      <c r="B309" s="103" t="s">
        <v>1755</v>
      </c>
      <c r="C309" s="104" t="s">
        <v>968</v>
      </c>
      <c r="D309" s="122" t="s">
        <v>107</v>
      </c>
      <c r="E309" s="122" t="s">
        <v>1756</v>
      </c>
      <c r="F309" s="123" t="s">
        <v>1757</v>
      </c>
      <c r="G309" s="105" t="s">
        <v>1010</v>
      </c>
      <c r="H309" s="124" t="s">
        <v>320</v>
      </c>
      <c r="I309" s="36">
        <v>2</v>
      </c>
      <c r="J309" s="105" t="str">
        <f t="shared" si="15"/>
        <v>Seniors - Hommes</v>
      </c>
      <c r="K309" s="210">
        <v>2</v>
      </c>
      <c r="L309" s="105" t="str">
        <f t="shared" si="14"/>
        <v>Seniors - Hommes</v>
      </c>
      <c r="M309" s="124" t="s">
        <v>2951</v>
      </c>
      <c r="N309" s="143">
        <v>43168</v>
      </c>
      <c r="O309" s="143">
        <v>43355</v>
      </c>
      <c r="P309" s="36">
        <v>2027</v>
      </c>
      <c r="Q309" s="143">
        <v>35749</v>
      </c>
      <c r="R309" s="144" t="s">
        <v>1758</v>
      </c>
      <c r="S309" s="144"/>
      <c r="T309" s="122"/>
      <c r="U309" s="122" t="s">
        <v>1759</v>
      </c>
      <c r="V309" s="212" t="s">
        <v>1760</v>
      </c>
    </row>
    <row r="310" spans="1:37" ht="12.75" customHeight="1" x14ac:dyDescent="0.15">
      <c r="A310" s="209" t="s">
        <v>3590</v>
      </c>
      <c r="B310" s="103" t="s">
        <v>967</v>
      </c>
      <c r="C310" s="104" t="s">
        <v>968</v>
      </c>
      <c r="D310" s="122" t="s">
        <v>107</v>
      </c>
      <c r="E310" s="122" t="s">
        <v>969</v>
      </c>
      <c r="F310" s="123" t="s">
        <v>293</v>
      </c>
      <c r="G310" s="105" t="s">
        <v>294</v>
      </c>
      <c r="H310" s="124" t="s">
        <v>320</v>
      </c>
      <c r="I310" s="36">
        <v>255</v>
      </c>
      <c r="J310" s="105" t="str">
        <f t="shared" si="15"/>
        <v>Arrêt</v>
      </c>
      <c r="K310" s="210">
        <v>2</v>
      </c>
      <c r="L310" s="105" t="str">
        <f t="shared" si="14"/>
        <v>Seniors - Hommes</v>
      </c>
      <c r="M310" s="124" t="s">
        <v>3004</v>
      </c>
      <c r="N310" s="143">
        <v>43062</v>
      </c>
      <c r="O310" s="143">
        <v>43025</v>
      </c>
      <c r="P310" s="36">
        <v>2021</v>
      </c>
      <c r="Q310" s="143">
        <v>33541</v>
      </c>
      <c r="R310" s="144" t="s">
        <v>2108</v>
      </c>
      <c r="S310" s="144"/>
      <c r="T310" s="122" t="s">
        <v>2109</v>
      </c>
      <c r="U310" s="153" t="s">
        <v>3505</v>
      </c>
      <c r="V310" s="70" t="s">
        <v>2110</v>
      </c>
    </row>
    <row r="311" spans="1:37" ht="12.75" customHeight="1" x14ac:dyDescent="0.15">
      <c r="A311" s="209" t="s">
        <v>3590</v>
      </c>
      <c r="B311" s="103" t="s">
        <v>2728</v>
      </c>
      <c r="C311" s="104" t="s">
        <v>2768</v>
      </c>
      <c r="D311" s="122" t="s">
        <v>107</v>
      </c>
      <c r="E311" s="122" t="s">
        <v>2729</v>
      </c>
      <c r="F311" s="123" t="s">
        <v>2730</v>
      </c>
      <c r="G311" s="105" t="s">
        <v>834</v>
      </c>
      <c r="H311" s="36" t="s">
        <v>2727</v>
      </c>
      <c r="I311" s="36">
        <v>2</v>
      </c>
      <c r="J311" s="105" t="str">
        <f t="shared" ref="J311" si="16">VLOOKUP(I311,CAT_JOUEUR,2,FALSE)</f>
        <v>Seniors - Hommes</v>
      </c>
      <c r="K311" s="210">
        <v>2</v>
      </c>
      <c r="L311" s="105" t="str">
        <f t="shared" ref="L311" si="17">VLOOKUP(K311,CAT_JOUEUR,2,FALSE)</f>
        <v>Seniors - Hommes</v>
      </c>
      <c r="M311" s="124" t="s">
        <v>2893</v>
      </c>
      <c r="N311" s="143">
        <v>43735</v>
      </c>
      <c r="O311" s="143">
        <v>43694</v>
      </c>
      <c r="P311" s="36">
        <v>2027</v>
      </c>
      <c r="Q311" s="143">
        <v>35782</v>
      </c>
      <c r="R311" s="144" t="s">
        <v>2731</v>
      </c>
      <c r="S311" s="122" t="s">
        <v>2732</v>
      </c>
      <c r="T311" s="122"/>
      <c r="U311" s="122" t="s">
        <v>2733</v>
      </c>
      <c r="V311" s="152" t="s">
        <v>2734</v>
      </c>
      <c r="X311" s="124"/>
      <c r="Y311" s="124"/>
      <c r="Z311" s="124"/>
      <c r="AA311" s="143"/>
      <c r="AB311" s="143"/>
      <c r="AC311" s="36"/>
      <c r="AD311" s="143"/>
      <c r="AE311" s="144"/>
      <c r="AF311" s="144"/>
      <c r="AG311" s="122"/>
      <c r="AH311" s="122"/>
      <c r="AI311" s="122"/>
      <c r="AJ311" s="213"/>
    </row>
    <row r="312" spans="1:37" ht="12.75" customHeight="1" x14ac:dyDescent="0.15">
      <c r="A312" s="209" t="s">
        <v>3590</v>
      </c>
      <c r="B312" s="103" t="s">
        <v>3414</v>
      </c>
      <c r="C312" s="104" t="s">
        <v>3393</v>
      </c>
      <c r="D312" s="122" t="s">
        <v>107</v>
      </c>
      <c r="E312" s="122" t="s">
        <v>3416</v>
      </c>
      <c r="F312" s="123" t="s">
        <v>3417</v>
      </c>
      <c r="G312" s="105" t="s">
        <v>2455</v>
      </c>
      <c r="H312" s="124" t="s">
        <v>320</v>
      </c>
      <c r="I312" s="36">
        <v>2</v>
      </c>
      <c r="J312" s="105" t="str">
        <f t="shared" ref="J312" si="18">VLOOKUP(I312,CAT_JOUEUR,2,FALSE)</f>
        <v>Seniors - Hommes</v>
      </c>
      <c r="K312" s="210">
        <v>2</v>
      </c>
      <c r="L312" s="105" t="str">
        <f t="shared" ref="L312" si="19">VLOOKUP(K312,CAT_JOUEUR,2,FALSE)</f>
        <v>Seniors - Hommes</v>
      </c>
      <c r="M312" s="124" t="s">
        <v>3437</v>
      </c>
      <c r="N312" s="143">
        <v>44061</v>
      </c>
      <c r="O312" s="143">
        <v>44042</v>
      </c>
      <c r="P312" s="36">
        <v>2026</v>
      </c>
      <c r="Q312" s="143">
        <v>35125</v>
      </c>
      <c r="R312" s="144" t="s">
        <v>3415</v>
      </c>
      <c r="S312" s="122"/>
      <c r="T312" s="122"/>
      <c r="U312" s="122" t="s">
        <v>3394</v>
      </c>
      <c r="V312" s="213" t="s">
        <v>3395</v>
      </c>
    </row>
    <row r="313" spans="1:37" ht="12.75" customHeight="1" x14ac:dyDescent="0.15">
      <c r="A313" s="209" t="s">
        <v>3590</v>
      </c>
      <c r="B313" s="103" t="s">
        <v>1324</v>
      </c>
      <c r="C313" s="104" t="s">
        <v>3398</v>
      </c>
      <c r="D313" s="122" t="s">
        <v>107</v>
      </c>
      <c r="E313" s="122" t="s">
        <v>1327</v>
      </c>
      <c r="F313" s="214" t="s">
        <v>1328</v>
      </c>
      <c r="G313" s="105" t="s">
        <v>215</v>
      </c>
      <c r="H313" s="124" t="s">
        <v>2915</v>
      </c>
      <c r="I313" s="36">
        <v>2</v>
      </c>
      <c r="J313" s="105" t="str">
        <f t="shared" ref="J313" si="20">VLOOKUP(I313,CAT_JOUEUR,2,FALSE)</f>
        <v>Seniors - Hommes</v>
      </c>
      <c r="K313" s="210">
        <v>2</v>
      </c>
      <c r="L313" s="105" t="str">
        <f t="shared" ref="L313" si="21">VLOOKUP(K313,CAT_JOUEUR,2,FALSE)</f>
        <v>Seniors - Hommes</v>
      </c>
      <c r="M313" s="124" t="s">
        <v>3644</v>
      </c>
      <c r="N313" s="143">
        <v>44243</v>
      </c>
      <c r="O313" s="143">
        <v>44220</v>
      </c>
      <c r="P313" s="36">
        <v>2021</v>
      </c>
      <c r="Q313" s="143">
        <v>36703</v>
      </c>
      <c r="R313" s="144" t="s">
        <v>3640</v>
      </c>
      <c r="S313" s="122" t="s">
        <v>1330</v>
      </c>
      <c r="T313" s="122"/>
      <c r="U313" s="122" t="s">
        <v>3639</v>
      </c>
      <c r="V313" s="215" t="s">
        <v>3635</v>
      </c>
      <c r="X313" s="124"/>
      <c r="Y313" s="124"/>
      <c r="Z313" s="124"/>
      <c r="AF313" s="151"/>
    </row>
    <row r="314" spans="1:37" ht="12.75" customHeight="1" x14ac:dyDescent="0.15">
      <c r="A314" s="209" t="s">
        <v>3590</v>
      </c>
      <c r="B314" s="103" t="s">
        <v>1028</v>
      </c>
      <c r="C314" s="104" t="s">
        <v>1029</v>
      </c>
      <c r="D314" s="122" t="s">
        <v>107</v>
      </c>
      <c r="E314" s="122" t="s">
        <v>1030</v>
      </c>
      <c r="F314" s="123" t="s">
        <v>293</v>
      </c>
      <c r="G314" s="105" t="s">
        <v>294</v>
      </c>
      <c r="H314" s="124" t="s">
        <v>1031</v>
      </c>
      <c r="I314" s="36">
        <v>252</v>
      </c>
      <c r="J314" s="105" t="str">
        <f t="shared" ref="J314:J317" si="22">VLOOKUP(I314,CAT_JOUEUR,2,FALSE)</f>
        <v>Arrêt jeune (garder licence)</v>
      </c>
      <c r="K314" s="210">
        <v>15</v>
      </c>
      <c r="L314" s="105" t="str">
        <f t="shared" ref="L314:L317" si="23">VLOOKUP(K314,CAT_JOUEUR,2,FALSE)</f>
        <v>U 13 Dames</v>
      </c>
      <c r="M314" s="124" t="s">
        <v>3039</v>
      </c>
      <c r="N314" s="143">
        <v>42402</v>
      </c>
      <c r="O314" s="143">
        <v>42421</v>
      </c>
      <c r="P314" s="36">
        <v>2019</v>
      </c>
      <c r="Q314" s="143">
        <v>39292</v>
      </c>
      <c r="R314" s="144" t="s">
        <v>2376</v>
      </c>
      <c r="S314" s="122" t="s">
        <v>1723</v>
      </c>
      <c r="U314" s="145" t="s">
        <v>1724</v>
      </c>
      <c r="V314" s="145" t="s">
        <v>1725</v>
      </c>
      <c r="X314" s="124"/>
      <c r="Y314" s="124"/>
      <c r="Z314" s="218"/>
      <c r="AA314" s="218"/>
      <c r="AB314" s="104"/>
      <c r="AC314" s="36"/>
    </row>
    <row r="315" spans="1:37" ht="12.75" customHeight="1" x14ac:dyDescent="0.15">
      <c r="A315" s="209" t="s">
        <v>3590</v>
      </c>
      <c r="B315" s="103" t="s">
        <v>1039</v>
      </c>
      <c r="C315" s="104" t="s">
        <v>1941</v>
      </c>
      <c r="D315" s="122" t="s">
        <v>107</v>
      </c>
      <c r="E315" s="122" t="s">
        <v>3473</v>
      </c>
      <c r="F315" s="123" t="s">
        <v>1738</v>
      </c>
      <c r="G315" s="105" t="s">
        <v>1739</v>
      </c>
      <c r="H315" s="124" t="s">
        <v>2100</v>
      </c>
      <c r="I315" s="36">
        <v>303</v>
      </c>
      <c r="J315" s="105" t="str">
        <f t="shared" si="22"/>
        <v>Prêt gratuit pas équipe club origine</v>
      </c>
      <c r="K315" s="210">
        <v>4</v>
      </c>
      <c r="L315" s="105" t="str">
        <f t="shared" si="23"/>
        <v>U 17 Hommes</v>
      </c>
      <c r="M315" s="124" t="s">
        <v>3526</v>
      </c>
      <c r="N315" s="143">
        <v>44095</v>
      </c>
      <c r="O315" s="143">
        <v>44090</v>
      </c>
      <c r="P315" s="36">
        <v>2021</v>
      </c>
      <c r="Q315" s="143">
        <v>38620</v>
      </c>
      <c r="R315" s="144" t="s">
        <v>3474</v>
      </c>
      <c r="S315" s="122" t="s">
        <v>3475</v>
      </c>
      <c r="T315" s="122"/>
      <c r="U315" s="122" t="s">
        <v>3476</v>
      </c>
      <c r="V315" s="213" t="s">
        <v>3477</v>
      </c>
    </row>
    <row r="316" spans="1:37" ht="12.75" customHeight="1" x14ac:dyDescent="0.15">
      <c r="A316" s="209" t="s">
        <v>3590</v>
      </c>
      <c r="B316" s="103" t="s">
        <v>1388</v>
      </c>
      <c r="C316" s="104" t="s">
        <v>850</v>
      </c>
      <c r="D316" s="122" t="s">
        <v>107</v>
      </c>
      <c r="E316" s="122" t="s">
        <v>3552</v>
      </c>
      <c r="F316" s="123" t="s">
        <v>3553</v>
      </c>
      <c r="G316" s="105" t="s">
        <v>3554</v>
      </c>
      <c r="H316" s="124" t="s">
        <v>320</v>
      </c>
      <c r="I316" s="36">
        <v>303</v>
      </c>
      <c r="J316" s="105" t="str">
        <f t="shared" si="22"/>
        <v>Prêt gratuit pas équipe club origine</v>
      </c>
      <c r="K316" s="210">
        <v>4</v>
      </c>
      <c r="L316" s="105" t="str">
        <f t="shared" si="23"/>
        <v>U 17 Hommes</v>
      </c>
      <c r="M316" s="124" t="s">
        <v>3576</v>
      </c>
      <c r="N316" s="143">
        <v>44117</v>
      </c>
      <c r="O316" s="143">
        <v>44109</v>
      </c>
      <c r="P316" s="36">
        <v>2021</v>
      </c>
      <c r="Q316" s="143">
        <v>38706</v>
      </c>
      <c r="R316" s="144" t="s">
        <v>3555</v>
      </c>
      <c r="S316" s="144"/>
      <c r="T316" s="122"/>
      <c r="U316" s="122" t="s">
        <v>3556</v>
      </c>
      <c r="V316" s="213" t="s">
        <v>3557</v>
      </c>
    </row>
    <row r="317" spans="1:37" ht="12.75" customHeight="1" x14ac:dyDescent="0.15">
      <c r="A317" s="209" t="s">
        <v>3874</v>
      </c>
      <c r="B317" s="103" t="s">
        <v>2608</v>
      </c>
      <c r="C317" s="104" t="s">
        <v>2609</v>
      </c>
      <c r="D317" s="122" t="s">
        <v>107</v>
      </c>
      <c r="E317" s="122" t="s">
        <v>2509</v>
      </c>
      <c r="F317" s="123" t="s">
        <v>2510</v>
      </c>
      <c r="G317" s="105" t="s">
        <v>266</v>
      </c>
      <c r="H317" s="124" t="s">
        <v>2511</v>
      </c>
      <c r="I317" s="36">
        <v>3</v>
      </c>
      <c r="J317" s="105" t="str">
        <f t="shared" si="22"/>
        <v>U 21 Hommes</v>
      </c>
      <c r="K317" s="210">
        <v>3</v>
      </c>
      <c r="L317" s="105" t="str">
        <f t="shared" si="23"/>
        <v>U 21 Hommes</v>
      </c>
      <c r="M317" s="124" t="s">
        <v>3073</v>
      </c>
      <c r="N317" s="143">
        <v>43614</v>
      </c>
      <c r="O317" s="143">
        <v>43606</v>
      </c>
      <c r="P317" s="36">
        <v>2022</v>
      </c>
      <c r="Q317" s="143">
        <v>37556</v>
      </c>
      <c r="R317" s="144" t="s">
        <v>2610</v>
      </c>
      <c r="S317" s="144"/>
      <c r="T317" s="122"/>
      <c r="U317" s="122" t="s">
        <v>2611</v>
      </c>
      <c r="V317" s="70" t="s">
        <v>2612</v>
      </c>
    </row>
    <row r="318" spans="1:37" ht="12.75" customHeight="1" x14ac:dyDescent="0.15">
      <c r="A318" s="209" t="s">
        <v>3874</v>
      </c>
      <c r="B318" s="103" t="s">
        <v>2608</v>
      </c>
      <c r="C318" s="104" t="s">
        <v>1909</v>
      </c>
      <c r="D318" s="122" t="s">
        <v>107</v>
      </c>
      <c r="E318" s="122" t="s">
        <v>2509</v>
      </c>
      <c r="F318" s="123" t="s">
        <v>2510</v>
      </c>
      <c r="G318" s="105" t="s">
        <v>266</v>
      </c>
      <c r="H318" s="124" t="s">
        <v>2511</v>
      </c>
      <c r="I318" s="36">
        <v>212</v>
      </c>
      <c r="J318" s="105" t="str">
        <f t="shared" ref="J318" si="24">VLOOKUP(I318,CAT_JOUEUR,2,FALSE)</f>
        <v>Contact famille</v>
      </c>
      <c r="K318" s="210">
        <v>212</v>
      </c>
      <c r="L318" s="105" t="str">
        <f t="shared" ref="L318" si="25">VLOOKUP(K318,CAT_JOUEUR,2,FALSE)</f>
        <v>Contact famille</v>
      </c>
      <c r="M318" s="237" t="s">
        <v>242</v>
      </c>
      <c r="N318" s="237" t="s">
        <v>242</v>
      </c>
      <c r="O318" s="237" t="s">
        <v>242</v>
      </c>
      <c r="P318" s="237" t="s">
        <v>242</v>
      </c>
      <c r="Q318" s="237" t="s">
        <v>242</v>
      </c>
      <c r="R318" s="237" t="s">
        <v>242</v>
      </c>
      <c r="S318" s="122" t="s">
        <v>2512</v>
      </c>
      <c r="T318" s="122"/>
      <c r="U318" s="122" t="s">
        <v>2613</v>
      </c>
      <c r="V318" s="70" t="s">
        <v>2513</v>
      </c>
    </row>
    <row r="319" spans="1:37" ht="12.75" customHeight="1" x14ac:dyDescent="0.15">
      <c r="A319" s="209" t="s">
        <v>3874</v>
      </c>
      <c r="B319" s="103" t="s">
        <v>3719</v>
      </c>
      <c r="C319" s="104" t="s">
        <v>3720</v>
      </c>
      <c r="D319" s="122" t="s">
        <v>490</v>
      </c>
      <c r="E319" s="122" t="s">
        <v>3721</v>
      </c>
      <c r="F319" s="123" t="s">
        <v>3611</v>
      </c>
      <c r="G319" s="105" t="s">
        <v>3722</v>
      </c>
      <c r="H319" s="124" t="s">
        <v>320</v>
      </c>
      <c r="I319" s="36">
        <v>304</v>
      </c>
      <c r="J319" s="104" t="str">
        <f t="shared" ref="J319" si="26">VLOOKUP(I319,CAT_JOUEUR,2,FALSE)</f>
        <v xml:space="preserve">Transfert vers autre club </v>
      </c>
      <c r="K319" s="210">
        <v>2</v>
      </c>
      <c r="L319" s="105" t="str">
        <f t="shared" ref="L319" si="27">VLOOKUP(K319,CAT_JOUEUR,2,FALSE)</f>
        <v>Seniors - Hommes</v>
      </c>
      <c r="M319" s="124" t="s">
        <v>3738</v>
      </c>
      <c r="N319" s="143">
        <v>44385</v>
      </c>
      <c r="O319" s="143">
        <v>44379</v>
      </c>
      <c r="P319" s="36">
        <v>2029</v>
      </c>
      <c r="Q319" s="143">
        <v>36302</v>
      </c>
      <c r="R319" s="144" t="s">
        <v>3723</v>
      </c>
      <c r="S319" s="123"/>
      <c r="T319" s="123"/>
      <c r="U319" s="145" t="s">
        <v>3842</v>
      </c>
      <c r="V319" s="213" t="s">
        <v>3750</v>
      </c>
      <c r="W319" s="124"/>
      <c r="X319" s="124"/>
      <c r="Y319" s="124"/>
      <c r="Z319" s="124"/>
      <c r="AA319" s="218"/>
      <c r="AB319" s="218"/>
      <c r="AC319" s="242"/>
      <c r="AD319" s="36"/>
      <c r="AJ319" s="151"/>
      <c r="AK319" s="122" t="s">
        <v>252</v>
      </c>
    </row>
    <row r="320" spans="1:37" ht="12.75" customHeight="1" x14ac:dyDescent="0.15">
      <c r="A320" s="209" t="s">
        <v>3874</v>
      </c>
      <c r="B320" s="241" t="s">
        <v>667</v>
      </c>
      <c r="C320" s="104" t="s">
        <v>676</v>
      </c>
      <c r="D320" s="122" t="s">
        <v>107</v>
      </c>
      <c r="E320" s="122" t="s">
        <v>669</v>
      </c>
      <c r="F320" s="123" t="s">
        <v>670</v>
      </c>
      <c r="G320" s="105" t="s">
        <v>223</v>
      </c>
      <c r="H320" s="124" t="s">
        <v>671</v>
      </c>
      <c r="I320" s="36">
        <v>11</v>
      </c>
      <c r="J320" s="105" t="str">
        <f t="shared" ref="J320" si="28">VLOOKUP(I320,CAT_JOUEUR,2,FALSE)</f>
        <v>Officiel D</v>
      </c>
      <c r="K320" s="210">
        <v>11</v>
      </c>
      <c r="L320" s="105" t="str">
        <f t="shared" ref="L320" si="29">VLOOKUP(K320,CAT_JOUEUR,2,FALSE)</f>
        <v>Officiel D</v>
      </c>
      <c r="M320" s="124" t="s">
        <v>3089</v>
      </c>
      <c r="N320" s="143">
        <v>33225</v>
      </c>
      <c r="O320" s="143">
        <v>33225</v>
      </c>
      <c r="P320" s="211" t="s">
        <v>210</v>
      </c>
      <c r="Q320" s="143">
        <v>21655</v>
      </c>
      <c r="R320" s="144" t="s">
        <v>244</v>
      </c>
      <c r="S320" s="122" t="s">
        <v>1297</v>
      </c>
      <c r="T320" s="122"/>
      <c r="U320" s="145" t="s">
        <v>1310</v>
      </c>
      <c r="V320" s="146" t="s">
        <v>1311</v>
      </c>
      <c r="Y320" s="124"/>
      <c r="Z320" s="124"/>
      <c r="AA320" s="218"/>
      <c r="AB320" s="218"/>
      <c r="AC320" s="104"/>
      <c r="AD320" s="36"/>
    </row>
    <row r="321" spans="1:23" ht="12.75" customHeight="1" x14ac:dyDescent="0.15">
      <c r="A321" s="209" t="s">
        <v>3874</v>
      </c>
      <c r="B321" s="103" t="s">
        <v>2860</v>
      </c>
      <c r="C321" s="104" t="s">
        <v>2537</v>
      </c>
      <c r="D321" s="122" t="s">
        <v>107</v>
      </c>
      <c r="E321" s="122" t="s">
        <v>2861</v>
      </c>
      <c r="F321" s="123" t="s">
        <v>2862</v>
      </c>
      <c r="G321" s="105" t="s">
        <v>518</v>
      </c>
      <c r="H321" s="124" t="s">
        <v>320</v>
      </c>
      <c r="I321" s="36">
        <v>301</v>
      </c>
      <c r="J321" s="104" t="str">
        <f t="shared" ref="J321" si="30">VLOOKUP(I321,CAT_JOUEUR,2,FALSE)</f>
        <v>Prêt, entrée Mersch75</v>
      </c>
      <c r="K321" s="210">
        <v>3</v>
      </c>
      <c r="L321" s="105" t="str">
        <f t="shared" ref="L321" si="31">VLOOKUP(K321,CAT_JOUEUR,2,FALSE)</f>
        <v>U 21 Hommes</v>
      </c>
      <c r="M321" s="124" t="s">
        <v>2866</v>
      </c>
      <c r="N321" s="143">
        <v>43741</v>
      </c>
      <c r="O321" s="143">
        <v>43741</v>
      </c>
      <c r="P321" s="36">
        <v>2031</v>
      </c>
      <c r="Q321" s="143">
        <v>37069</v>
      </c>
      <c r="R321" s="144" t="s">
        <v>2863</v>
      </c>
      <c r="S321" s="151"/>
      <c r="T321" s="122"/>
      <c r="U321" s="122" t="s">
        <v>2864</v>
      </c>
      <c r="V321" s="213" t="s">
        <v>2865</v>
      </c>
      <c r="W321" s="242" t="s">
        <v>3974</v>
      </c>
    </row>
    <row r="322" spans="1:23" ht="12.75" customHeight="1" x14ac:dyDescent="0.15">
      <c r="A322" s="209" t="s">
        <v>3874</v>
      </c>
      <c r="B322" s="103" t="s">
        <v>843</v>
      </c>
      <c r="C322" s="104" t="s">
        <v>845</v>
      </c>
      <c r="D322" s="122" t="s">
        <v>107</v>
      </c>
      <c r="E322" s="122" t="s">
        <v>852</v>
      </c>
      <c r="F322" s="123" t="s">
        <v>773</v>
      </c>
      <c r="G322" s="105" t="s">
        <v>774</v>
      </c>
      <c r="H322" s="124" t="s">
        <v>849</v>
      </c>
      <c r="I322" s="36">
        <v>300</v>
      </c>
      <c r="J322" s="104" t="str">
        <f t="shared" ref="J322" si="32">VLOOKUP(I322,CAT_JOUEUR,2,FALSE)</f>
        <v>Prêt, sortie Mersch75</v>
      </c>
      <c r="K322" s="210">
        <v>2</v>
      </c>
      <c r="L322" s="105" t="str">
        <f t="shared" ref="L322" si="33">VLOOKUP(K322,CAT_JOUEUR,2,FALSE)</f>
        <v>Seniors - Hommes</v>
      </c>
      <c r="M322" s="124" t="s">
        <v>2964</v>
      </c>
      <c r="N322" s="143">
        <v>42536</v>
      </c>
      <c r="O322" s="143">
        <v>42627</v>
      </c>
      <c r="P322" s="36">
        <v>2030</v>
      </c>
      <c r="Q322" s="143">
        <v>36614</v>
      </c>
      <c r="R322" s="144" t="s">
        <v>1842</v>
      </c>
      <c r="S322" s="144"/>
      <c r="T322" s="122"/>
      <c r="U322" s="153" t="s">
        <v>3575</v>
      </c>
      <c r="V322" s="70" t="s">
        <v>1843</v>
      </c>
    </row>
    <row r="323" spans="1:23" ht="12.75" customHeight="1" x14ac:dyDescent="0.15">
      <c r="A323" s="209" t="s">
        <v>3874</v>
      </c>
      <c r="B323" s="103" t="s">
        <v>1001</v>
      </c>
      <c r="C323" s="104" t="s">
        <v>1002</v>
      </c>
      <c r="D323" s="122" t="s">
        <v>555</v>
      </c>
      <c r="E323" s="122" t="s">
        <v>1003</v>
      </c>
      <c r="F323" s="123" t="s">
        <v>1004</v>
      </c>
      <c r="G323" s="105" t="s">
        <v>1005</v>
      </c>
      <c r="H323" s="124" t="s">
        <v>1006</v>
      </c>
      <c r="I323" s="36">
        <v>255</v>
      </c>
      <c r="J323" s="104" t="str">
        <f t="shared" ref="J323" si="34">VLOOKUP(I323,CAT_JOUEUR,2,FALSE)</f>
        <v>Arrêt</v>
      </c>
      <c r="K323" s="210">
        <v>9</v>
      </c>
      <c r="L323" s="105" t="str">
        <f t="shared" ref="L323" si="35">VLOOKUP(K323,CAT_JOUEUR,2,FALSE)</f>
        <v>Vétérans - Hommes</v>
      </c>
      <c r="M323" s="124" t="s">
        <v>3027</v>
      </c>
      <c r="N323" s="143">
        <v>42479</v>
      </c>
      <c r="O323" s="143">
        <v>42479</v>
      </c>
      <c r="P323" s="36">
        <v>2021</v>
      </c>
      <c r="Q323" s="143">
        <v>29773</v>
      </c>
      <c r="R323" s="144" t="s">
        <v>2280</v>
      </c>
      <c r="S323" s="151"/>
      <c r="T323" s="122"/>
      <c r="U323" s="153" t="s">
        <v>3496</v>
      </c>
      <c r="V323" s="122" t="s">
        <v>2281</v>
      </c>
    </row>
    <row r="324" spans="1:23" ht="12.75" customHeight="1" x14ac:dyDescent="0.15">
      <c r="A324" s="209" t="s">
        <v>3874</v>
      </c>
      <c r="B324" s="103" t="s">
        <v>2345</v>
      </c>
      <c r="C324" s="104" t="s">
        <v>1402</v>
      </c>
      <c r="D324" s="122" t="s">
        <v>107</v>
      </c>
      <c r="E324" s="122" t="s">
        <v>2346</v>
      </c>
      <c r="F324" s="123" t="s">
        <v>1102</v>
      </c>
      <c r="G324" s="105" t="s">
        <v>2347</v>
      </c>
      <c r="H324" s="124" t="s">
        <v>926</v>
      </c>
      <c r="I324" s="36">
        <v>255</v>
      </c>
      <c r="J324" s="104" t="str">
        <f t="shared" ref="J324" si="36">VLOOKUP(I324,CAT_JOUEUR,2,FALSE)</f>
        <v>Arrêt</v>
      </c>
      <c r="K324" s="210">
        <v>14</v>
      </c>
      <c r="L324" s="105" t="str">
        <f t="shared" ref="L324" si="37">VLOOKUP(K324,CAT_JOUEUR,2,FALSE)</f>
        <v>U 17 Dames</v>
      </c>
      <c r="M324" s="124" t="s">
        <v>3715</v>
      </c>
      <c r="N324" s="143">
        <v>44350</v>
      </c>
      <c r="O324" s="143">
        <v>44330</v>
      </c>
      <c r="P324" s="36">
        <v>2022</v>
      </c>
      <c r="Q324" s="143">
        <v>39321</v>
      </c>
      <c r="R324" s="144" t="s">
        <v>3681</v>
      </c>
      <c r="S324" s="151"/>
      <c r="T324" s="122"/>
      <c r="U324" s="122" t="s">
        <v>3682</v>
      </c>
      <c r="V324" s="213" t="s">
        <v>3683</v>
      </c>
    </row>
    <row r="325" spans="1:23" ht="12.75" customHeight="1" x14ac:dyDescent="0.15">
      <c r="A325" s="209" t="s">
        <v>3874</v>
      </c>
      <c r="B325" s="103" t="s">
        <v>1070</v>
      </c>
      <c r="C325" s="104" t="s">
        <v>1071</v>
      </c>
      <c r="D325" s="122" t="s">
        <v>1681</v>
      </c>
      <c r="E325" s="122" t="s">
        <v>1072</v>
      </c>
      <c r="F325" s="123" t="s">
        <v>1073</v>
      </c>
      <c r="G325" s="105" t="s">
        <v>1074</v>
      </c>
      <c r="H325" s="124" t="s">
        <v>320</v>
      </c>
      <c r="I325" s="36">
        <v>201</v>
      </c>
      <c r="J325" s="105" t="str">
        <f t="shared" ref="J325" si="38">VLOOKUP(I325,CAT_JOUEUR,2,FALSE)</f>
        <v>Donateurs licencié</v>
      </c>
      <c r="K325" s="210">
        <v>9</v>
      </c>
      <c r="L325" s="105" t="str">
        <f t="shared" ref="L325" si="39">VLOOKUP(K325,CAT_JOUEUR,2,FALSE)</f>
        <v>Vétérans - Hommes</v>
      </c>
      <c r="M325" s="124" t="s">
        <v>3050</v>
      </c>
      <c r="N325" s="143">
        <v>29830</v>
      </c>
      <c r="O325" s="143">
        <v>29830</v>
      </c>
      <c r="P325" s="211"/>
      <c r="Q325" s="143">
        <v>24014</v>
      </c>
      <c r="R325" s="144"/>
      <c r="S325" s="122" t="s">
        <v>2442</v>
      </c>
      <c r="T325" s="122"/>
      <c r="U325" s="145" t="s">
        <v>2443</v>
      </c>
      <c r="V325" s="146" t="s">
        <v>2444</v>
      </c>
    </row>
    <row r="326" spans="1:23" ht="12.75" customHeight="1" x14ac:dyDescent="0.15">
      <c r="A326" s="209" t="s">
        <v>3874</v>
      </c>
      <c r="B326" s="103" t="s">
        <v>1076</v>
      </c>
      <c r="C326" s="104" t="s">
        <v>1077</v>
      </c>
      <c r="D326" s="122" t="s">
        <v>107</v>
      </c>
      <c r="E326" s="125" t="s">
        <v>1078</v>
      </c>
      <c r="F326" s="123" t="s">
        <v>1079</v>
      </c>
      <c r="G326" s="126" t="s">
        <v>1080</v>
      </c>
      <c r="H326" s="124" t="s">
        <v>320</v>
      </c>
      <c r="I326" s="36">
        <v>700</v>
      </c>
      <c r="J326" s="104" t="s">
        <v>2483</v>
      </c>
      <c r="K326" s="210">
        <v>2</v>
      </c>
      <c r="L326" s="105" t="str">
        <f t="shared" ref="L326" si="40">VLOOKUP(K326,CAT_JOUEUR,2,FALSE)</f>
        <v>Seniors - Hommes</v>
      </c>
      <c r="M326" s="124" t="s">
        <v>3057</v>
      </c>
      <c r="N326" s="143">
        <v>41232</v>
      </c>
      <c r="O326" s="143">
        <v>41232</v>
      </c>
      <c r="P326" s="36">
        <v>2021</v>
      </c>
      <c r="Q326" s="143">
        <v>36118</v>
      </c>
      <c r="R326" s="144" t="s">
        <v>2484</v>
      </c>
      <c r="S326" s="144"/>
      <c r="T326" s="122"/>
      <c r="U326" s="151" t="s">
        <v>2485</v>
      </c>
      <c r="V326" s="70" t="s">
        <v>2486</v>
      </c>
    </row>
    <row r="327" spans="1:23" ht="12.75" customHeight="1" x14ac:dyDescent="0.15">
      <c r="A327" s="209" t="s">
        <v>3874</v>
      </c>
      <c r="B327" s="103" t="s">
        <v>3706</v>
      </c>
      <c r="C327" s="104" t="s">
        <v>1449</v>
      </c>
      <c r="D327" s="122" t="s">
        <v>3707</v>
      </c>
      <c r="E327" s="122" t="s">
        <v>3708</v>
      </c>
      <c r="F327" s="123" t="s">
        <v>3709</v>
      </c>
      <c r="G327" s="105" t="s">
        <v>266</v>
      </c>
      <c r="H327" s="124" t="s">
        <v>320</v>
      </c>
      <c r="I327" s="36">
        <v>12</v>
      </c>
      <c r="J327" s="105" t="str">
        <f t="shared" ref="J327" si="41">VLOOKUP(I327,CAT_JOUEUR,2,FALSE)</f>
        <v>Dames</v>
      </c>
      <c r="K327" s="210">
        <v>12</v>
      </c>
      <c r="L327" s="105" t="str">
        <f t="shared" ref="L327" si="42">VLOOKUP(K327,CAT_JOUEUR,2,FALSE)</f>
        <v>Dames</v>
      </c>
      <c r="M327" s="124" t="s">
        <v>3740</v>
      </c>
      <c r="N327" s="143">
        <v>44399</v>
      </c>
      <c r="O327" s="143">
        <v>44343</v>
      </c>
      <c r="P327" s="36">
        <v>2025</v>
      </c>
      <c r="Q327" s="143">
        <v>34962</v>
      </c>
      <c r="R327" s="144" t="s">
        <v>3710</v>
      </c>
      <c r="S327" s="123"/>
      <c r="T327" s="123"/>
      <c r="U327" s="122" t="s">
        <v>3711</v>
      </c>
      <c r="V327" s="213" t="s">
        <v>3712</v>
      </c>
      <c r="W327" s="124"/>
    </row>
    <row r="328" spans="1:23" ht="12.75" customHeight="1" x14ac:dyDescent="0.15">
      <c r="A328" s="209" t="s">
        <v>3874</v>
      </c>
      <c r="B328" s="103" t="s">
        <v>3250</v>
      </c>
      <c r="C328" s="104" t="s">
        <v>2914</v>
      </c>
      <c r="D328" s="122" t="s">
        <v>107</v>
      </c>
      <c r="E328" s="122" t="s">
        <v>3251</v>
      </c>
      <c r="F328" s="123" t="s">
        <v>3252</v>
      </c>
      <c r="G328" s="105" t="s">
        <v>3253</v>
      </c>
      <c r="H328" s="124" t="s">
        <v>320</v>
      </c>
      <c r="I328" s="36">
        <v>12</v>
      </c>
      <c r="J328" s="105" t="str">
        <f t="shared" ref="J328" si="43">VLOOKUP(I328,CAT_JOUEUR,2,FALSE)</f>
        <v>Dames</v>
      </c>
      <c r="K328" s="210">
        <v>12</v>
      </c>
      <c r="L328" s="105" t="str">
        <f t="shared" ref="L328" si="44">VLOOKUP(K328,CAT_JOUEUR,2,FALSE)</f>
        <v>Dames</v>
      </c>
      <c r="M328" s="124" t="s">
        <v>3271</v>
      </c>
      <c r="N328" s="143">
        <v>43858</v>
      </c>
      <c r="O328" s="143">
        <v>43851</v>
      </c>
      <c r="P328" s="36">
        <v>2024</v>
      </c>
      <c r="Q328" s="143">
        <v>34338</v>
      </c>
      <c r="R328" s="144" t="s">
        <v>3254</v>
      </c>
      <c r="S328" s="151"/>
      <c r="T328" s="122"/>
      <c r="U328" s="122" t="s">
        <v>3255</v>
      </c>
      <c r="V328" s="213" t="s">
        <v>3256</v>
      </c>
    </row>
    <row r="329" spans="1:23" ht="12.75" customHeight="1" x14ac:dyDescent="0.15">
      <c r="A329" s="209" t="s">
        <v>3874</v>
      </c>
      <c r="B329" s="103" t="s">
        <v>2715</v>
      </c>
      <c r="C329" s="104" t="s">
        <v>2716</v>
      </c>
      <c r="D329" s="122" t="s">
        <v>107</v>
      </c>
      <c r="E329" s="122" t="s">
        <v>2740</v>
      </c>
      <c r="F329" s="123" t="s">
        <v>2741</v>
      </c>
      <c r="G329" s="105" t="s">
        <v>2742</v>
      </c>
      <c r="H329" s="124" t="s">
        <v>2717</v>
      </c>
      <c r="I329" s="36">
        <v>2</v>
      </c>
      <c r="J329" s="105" t="str">
        <f t="shared" ref="J329" si="45">VLOOKUP(I329,CAT_JOUEUR,2,FALSE)</f>
        <v>Seniors - Hommes</v>
      </c>
      <c r="K329" s="210">
        <v>2</v>
      </c>
      <c r="L329" s="105" t="str">
        <f t="shared" ref="L329" si="46">VLOOKUP(K329,CAT_JOUEUR,2,FALSE)</f>
        <v>Seniors - Hommes</v>
      </c>
      <c r="M329" s="124" t="s">
        <v>3069</v>
      </c>
      <c r="N329" s="143">
        <v>43646</v>
      </c>
      <c r="O329" s="143">
        <v>43658</v>
      </c>
      <c r="P329" s="36">
        <v>2020</v>
      </c>
      <c r="Q329" s="143">
        <v>33135</v>
      </c>
      <c r="R329" s="144" t="s">
        <v>2718</v>
      </c>
      <c r="S329" s="151"/>
      <c r="T329" s="122" t="s">
        <v>2719</v>
      </c>
      <c r="U329" s="122" t="s">
        <v>2720</v>
      </c>
      <c r="V329" s="213" t="s">
        <v>2721</v>
      </c>
    </row>
    <row r="330" spans="1:23" ht="12.75" customHeight="1" x14ac:dyDescent="0.15">
      <c r="A330" s="209" t="s">
        <v>3874</v>
      </c>
      <c r="B330" s="103" t="s">
        <v>3243</v>
      </c>
      <c r="C330" s="104" t="s">
        <v>3244</v>
      </c>
      <c r="D330" s="122" t="s">
        <v>107</v>
      </c>
      <c r="E330" s="122" t="s">
        <v>3245</v>
      </c>
      <c r="F330" s="123" t="s">
        <v>3246</v>
      </c>
      <c r="G330" s="105" t="s">
        <v>1179</v>
      </c>
      <c r="H330" s="124" t="s">
        <v>320</v>
      </c>
      <c r="I330" s="36">
        <v>12</v>
      </c>
      <c r="J330" s="105" t="str">
        <f t="shared" ref="J330" si="47">VLOOKUP(I330,CAT_JOUEUR,2,FALSE)</f>
        <v>Dames</v>
      </c>
      <c r="K330" s="210">
        <v>12</v>
      </c>
      <c r="L330" s="105" t="str">
        <f t="shared" ref="L330" si="48">VLOOKUP(K330,CAT_JOUEUR,2,FALSE)</f>
        <v>Dames</v>
      </c>
      <c r="M330" s="124" t="s">
        <v>3326</v>
      </c>
      <c r="N330" s="143">
        <v>43866</v>
      </c>
      <c r="O330" s="143">
        <v>43851</v>
      </c>
      <c r="P330" s="36">
        <v>2027</v>
      </c>
      <c r="Q330" s="143">
        <v>35439</v>
      </c>
      <c r="R330" s="144" t="s">
        <v>3247</v>
      </c>
      <c r="S330" s="151"/>
      <c r="T330" s="122"/>
      <c r="U330" s="122" t="s">
        <v>3248</v>
      </c>
      <c r="V330" s="213" t="s">
        <v>3249</v>
      </c>
    </row>
    <row r="331" spans="1:23" ht="12.75" customHeight="1" x14ac:dyDescent="0.15">
      <c r="A331" s="209" t="s">
        <v>3874</v>
      </c>
      <c r="B331" s="103" t="s">
        <v>2817</v>
      </c>
      <c r="C331" s="104" t="s">
        <v>2818</v>
      </c>
      <c r="D331" s="122" t="s">
        <v>107</v>
      </c>
      <c r="E331" s="122" t="s">
        <v>2819</v>
      </c>
      <c r="F331" s="123" t="s">
        <v>2820</v>
      </c>
      <c r="G331" s="105" t="s">
        <v>834</v>
      </c>
      <c r="H331" s="124" t="s">
        <v>320</v>
      </c>
      <c r="I331" s="36">
        <v>2</v>
      </c>
      <c r="J331" s="105" t="str">
        <f t="shared" ref="J331" si="49">VLOOKUP(I331,CAT_JOUEUR,2,FALSE)</f>
        <v>Seniors - Hommes</v>
      </c>
      <c r="K331" s="210">
        <v>2</v>
      </c>
      <c r="L331" s="105" t="str">
        <f t="shared" ref="L331" si="50">VLOOKUP(K331,CAT_JOUEUR,2,FALSE)</f>
        <v>Seniors - Hommes</v>
      </c>
      <c r="M331" s="124" t="s">
        <v>2882</v>
      </c>
      <c r="N331" s="143">
        <v>43749</v>
      </c>
      <c r="O331" s="143">
        <v>43737</v>
      </c>
      <c r="P331" s="36">
        <v>2026</v>
      </c>
      <c r="Q331" s="143">
        <v>35150</v>
      </c>
      <c r="R331" s="144" t="s">
        <v>2821</v>
      </c>
      <c r="S331" s="144"/>
      <c r="T331" s="122"/>
      <c r="U331" s="122" t="s">
        <v>2822</v>
      </c>
      <c r="V331" s="213" t="s">
        <v>2823</v>
      </c>
    </row>
    <row r="332" spans="1:23" ht="12.75" customHeight="1" x14ac:dyDescent="0.15">
      <c r="A332" s="209" t="s">
        <v>3874</v>
      </c>
      <c r="B332" s="103" t="s">
        <v>2725</v>
      </c>
      <c r="C332" s="104" t="s">
        <v>1228</v>
      </c>
      <c r="D332" s="122" t="s">
        <v>107</v>
      </c>
      <c r="E332" s="122" t="s">
        <v>2740</v>
      </c>
      <c r="F332" s="123" t="s">
        <v>2741</v>
      </c>
      <c r="G332" s="105" t="s">
        <v>2742</v>
      </c>
      <c r="H332" s="124" t="s">
        <v>2717</v>
      </c>
      <c r="I332" s="36">
        <v>11</v>
      </c>
      <c r="J332" s="105" t="str">
        <f t="shared" ref="J332" si="51">VLOOKUP(I332,CAT_JOUEUR,2,FALSE)</f>
        <v>Officiel D</v>
      </c>
      <c r="K332" s="210">
        <v>11</v>
      </c>
      <c r="L332" s="105" t="str">
        <f t="shared" ref="L332" si="52">VLOOKUP(K332,CAT_JOUEUR,2,FALSE)</f>
        <v>Officiel D</v>
      </c>
      <c r="M332" s="124" t="s">
        <v>2795</v>
      </c>
      <c r="N332" s="143">
        <v>43646</v>
      </c>
      <c r="O332" s="143">
        <v>43658</v>
      </c>
      <c r="P332" s="211" t="s">
        <v>210</v>
      </c>
      <c r="Q332" s="143">
        <v>33185</v>
      </c>
      <c r="R332" s="144" t="s">
        <v>2724</v>
      </c>
      <c r="S332" s="151"/>
      <c r="T332" s="122"/>
      <c r="U332" s="122" t="s">
        <v>2723</v>
      </c>
      <c r="V332" s="213" t="s">
        <v>2722</v>
      </c>
    </row>
    <row r="333" spans="1:23" ht="12.75" customHeight="1" x14ac:dyDescent="0.15">
      <c r="A333" s="209" t="s">
        <v>3874</v>
      </c>
      <c r="B333" s="103" t="s">
        <v>995</v>
      </c>
      <c r="C333" s="104" t="s">
        <v>857</v>
      </c>
      <c r="D333" s="122" t="s">
        <v>107</v>
      </c>
      <c r="E333" s="122" t="s">
        <v>4015</v>
      </c>
      <c r="F333" s="123" t="s">
        <v>4016</v>
      </c>
      <c r="G333" s="105" t="s">
        <v>4017</v>
      </c>
      <c r="H333" s="124" t="s">
        <v>751</v>
      </c>
      <c r="I333" s="36">
        <v>2</v>
      </c>
      <c r="J333" s="105" t="str">
        <f t="shared" ref="J333" si="53">VLOOKUP(I333,CAT_JOUEUR,2,FALSE)</f>
        <v>Seniors - Hommes</v>
      </c>
      <c r="K333" s="210">
        <v>2</v>
      </c>
      <c r="L333" s="105" t="str">
        <f t="shared" ref="L333" si="54">VLOOKUP(K333,CAT_JOUEUR,2,FALSE)</f>
        <v>Seniors - Hommes</v>
      </c>
      <c r="M333" s="124" t="s">
        <v>3021</v>
      </c>
      <c r="N333" s="143">
        <v>35052</v>
      </c>
      <c r="O333" s="143">
        <v>41565</v>
      </c>
      <c r="P333" s="211">
        <v>2031</v>
      </c>
      <c r="Q333" s="143">
        <v>33288</v>
      </c>
      <c r="R333" s="144" t="s">
        <v>2222</v>
      </c>
      <c r="S333" s="151"/>
      <c r="T333" s="122"/>
      <c r="U333" s="145" t="s">
        <v>2223</v>
      </c>
      <c r="V333" s="146" t="s">
        <v>2224</v>
      </c>
    </row>
    <row r="334" spans="1:23" ht="12.75" customHeight="1" x14ac:dyDescent="0.15">
      <c r="A334" s="209" t="s">
        <v>3874</v>
      </c>
      <c r="B334" s="103" t="s">
        <v>3779</v>
      </c>
      <c r="C334" s="104" t="s">
        <v>3780</v>
      </c>
      <c r="D334" s="122" t="s">
        <v>3781</v>
      </c>
      <c r="E334" s="122" t="s">
        <v>3782</v>
      </c>
      <c r="F334" s="123" t="s">
        <v>3783</v>
      </c>
      <c r="G334" s="105" t="s">
        <v>3784</v>
      </c>
      <c r="H334" s="124" t="s">
        <v>320</v>
      </c>
      <c r="I334" s="36">
        <v>301</v>
      </c>
      <c r="J334" s="105" t="str">
        <f t="shared" ref="J334" si="55">VLOOKUP(I334,CAT_JOUEUR,2,FALSE)</f>
        <v>Prêt, entrée Mersch75</v>
      </c>
      <c r="K334" s="210">
        <v>9</v>
      </c>
      <c r="L334" s="105" t="str">
        <f t="shared" ref="L334" si="56">VLOOKUP(K334,CAT_JOUEUR,2,FALSE)</f>
        <v>Vétérans - Hommes</v>
      </c>
      <c r="M334" s="124" t="s">
        <v>3788</v>
      </c>
      <c r="N334" s="143">
        <v>44462</v>
      </c>
      <c r="O334" s="143">
        <v>44460</v>
      </c>
      <c r="P334" s="36">
        <v>2026</v>
      </c>
      <c r="Q334" s="143">
        <v>31600</v>
      </c>
      <c r="R334" s="144" t="s">
        <v>3786</v>
      </c>
      <c r="S334" s="151"/>
      <c r="T334" s="122"/>
      <c r="U334" s="145" t="s">
        <v>3845</v>
      </c>
      <c r="V334" s="213" t="s">
        <v>3787</v>
      </c>
      <c r="W334" s="242" t="s">
        <v>3785</v>
      </c>
    </row>
    <row r="335" spans="1:23" ht="12.75" customHeight="1" x14ac:dyDescent="0.15">
      <c r="A335" s="209" t="s">
        <v>3874</v>
      </c>
      <c r="B335" s="103" t="s">
        <v>667</v>
      </c>
      <c r="C335" s="104" t="s">
        <v>668</v>
      </c>
      <c r="D335" s="122" t="s">
        <v>107</v>
      </c>
      <c r="E335" s="122" t="s">
        <v>669</v>
      </c>
      <c r="F335" s="123" t="s">
        <v>670</v>
      </c>
      <c r="G335" s="105" t="s">
        <v>223</v>
      </c>
      <c r="H335" s="124" t="s">
        <v>671</v>
      </c>
      <c r="I335" s="36">
        <v>109</v>
      </c>
      <c r="J335" s="105" t="str">
        <f t="shared" ref="J335" si="57">VLOOKUP(I335,CAT_JOUEUR,2,FALSE)</f>
        <v>Veteran arbitre</v>
      </c>
      <c r="K335" s="210">
        <v>9</v>
      </c>
      <c r="L335" s="105" t="str">
        <f t="shared" ref="L335" si="58">VLOOKUP(K335,CAT_JOUEUR,2,FALSE)</f>
        <v>Vétérans - Hommes</v>
      </c>
      <c r="M335" s="124" t="s">
        <v>2934</v>
      </c>
      <c r="N335" s="143">
        <v>28399</v>
      </c>
      <c r="O335" s="143">
        <v>28399</v>
      </c>
      <c r="P335" s="211"/>
      <c r="Q335" s="143">
        <v>21453</v>
      </c>
      <c r="R335" s="144" t="s">
        <v>244</v>
      </c>
      <c r="S335" s="122" t="s">
        <v>1297</v>
      </c>
      <c r="T335" s="122" t="s">
        <v>1298</v>
      </c>
      <c r="U335" s="145" t="s">
        <v>1299</v>
      </c>
      <c r="V335" s="146" t="s">
        <v>1300</v>
      </c>
    </row>
    <row r="336" spans="1:23" ht="12.75" customHeight="1" x14ac:dyDescent="0.15">
      <c r="A336" s="209" t="s">
        <v>3874</v>
      </c>
      <c r="B336" s="103" t="s">
        <v>667</v>
      </c>
      <c r="C336" s="104" t="s">
        <v>795</v>
      </c>
      <c r="D336" s="105" t="s">
        <v>107</v>
      </c>
      <c r="E336" s="105" t="s">
        <v>1318</v>
      </c>
      <c r="F336" s="123" t="s">
        <v>1320</v>
      </c>
      <c r="G336" s="105" t="s">
        <v>1322</v>
      </c>
      <c r="H336" s="124" t="s">
        <v>1323</v>
      </c>
      <c r="I336" s="36">
        <v>240</v>
      </c>
      <c r="J336" s="105" t="str">
        <f t="shared" ref="J336" si="59">VLOOKUP(I336,CAT_JOUEUR,2,FALSE)</f>
        <v>Ancien Membre</v>
      </c>
      <c r="K336" s="210">
        <v>240</v>
      </c>
      <c r="L336" s="105" t="str">
        <f t="shared" ref="L336" si="60">VLOOKUP(K336,CAT_JOUEUR,2,FALSE)</f>
        <v>Ancien Membre</v>
      </c>
      <c r="N336" s="143">
        <v>41907</v>
      </c>
      <c r="O336" s="143">
        <v>41907</v>
      </c>
      <c r="P336" s="211">
        <v>2018</v>
      </c>
      <c r="Q336" s="143">
        <v>34695</v>
      </c>
      <c r="R336" s="144" t="s">
        <v>244</v>
      </c>
      <c r="S336" s="144"/>
      <c r="T336" s="122" t="s">
        <v>1345</v>
      </c>
      <c r="U336" s="145" t="s">
        <v>1346</v>
      </c>
      <c r="V336" s="146" t="s">
        <v>1347</v>
      </c>
    </row>
    <row r="337" spans="1:23" ht="12.75" customHeight="1" x14ac:dyDescent="0.15">
      <c r="A337" s="209" t="s">
        <v>3874</v>
      </c>
      <c r="B337" s="103" t="s">
        <v>3342</v>
      </c>
      <c r="C337" s="104" t="s">
        <v>3464</v>
      </c>
      <c r="D337" s="122" t="s">
        <v>107</v>
      </c>
      <c r="E337" s="122" t="s">
        <v>3344</v>
      </c>
      <c r="F337" s="123" t="s">
        <v>3345</v>
      </c>
      <c r="G337" s="105" t="s">
        <v>582</v>
      </c>
      <c r="H337" s="124" t="s">
        <v>1943</v>
      </c>
      <c r="I337" s="36">
        <v>8</v>
      </c>
      <c r="J337" s="105" t="str">
        <f t="shared" ref="J337:J338" si="61">VLOOKUP(I337,CAT_JOUEUR,2,FALSE)</f>
        <v xml:space="preserve">U 9 Hommes </v>
      </c>
      <c r="K337" s="210">
        <v>8</v>
      </c>
      <c r="L337" s="105" t="str">
        <f t="shared" ref="L337:L338" si="62">VLOOKUP(K337,CAT_JOUEUR,2,FALSE)</f>
        <v xml:space="preserve">U 9 Hommes </v>
      </c>
      <c r="M337" s="124" t="s">
        <v>3478</v>
      </c>
      <c r="N337" s="143">
        <v>44090</v>
      </c>
      <c r="O337" s="143">
        <v>44085</v>
      </c>
      <c r="P337" s="36">
        <v>2022</v>
      </c>
      <c r="Q337" s="143">
        <v>41796</v>
      </c>
      <c r="R337" s="144" t="s">
        <v>3465</v>
      </c>
      <c r="S337" s="122"/>
      <c r="T337" s="122" t="s">
        <v>3469</v>
      </c>
      <c r="U337" s="122" t="s">
        <v>3470</v>
      </c>
      <c r="V337" s="213" t="s">
        <v>3349</v>
      </c>
    </row>
    <row r="338" spans="1:23" ht="12.75" customHeight="1" x14ac:dyDescent="0.15">
      <c r="A338" s="209" t="s">
        <v>3874</v>
      </c>
      <c r="B338" s="103" t="s">
        <v>3342</v>
      </c>
      <c r="C338" s="104" t="s">
        <v>3343</v>
      </c>
      <c r="D338" s="122" t="s">
        <v>107</v>
      </c>
      <c r="E338" s="122" t="s">
        <v>3344</v>
      </c>
      <c r="F338" s="123" t="s">
        <v>3345</v>
      </c>
      <c r="G338" s="105" t="s">
        <v>582</v>
      </c>
      <c r="H338" s="124" t="s">
        <v>1943</v>
      </c>
      <c r="I338" s="36">
        <v>1</v>
      </c>
      <c r="J338" s="105" t="str">
        <f t="shared" si="61"/>
        <v>Officiel H</v>
      </c>
      <c r="K338" s="210">
        <v>1</v>
      </c>
      <c r="L338" s="105" t="str">
        <f t="shared" si="62"/>
        <v>Officiel H</v>
      </c>
      <c r="M338" s="124" t="s">
        <v>3479</v>
      </c>
      <c r="N338" s="143">
        <v>43894</v>
      </c>
      <c r="O338" s="143">
        <v>43892</v>
      </c>
      <c r="P338" s="36">
        <v>2022</v>
      </c>
      <c r="Q338" s="143">
        <v>30385</v>
      </c>
      <c r="R338" s="144" t="s">
        <v>3346</v>
      </c>
      <c r="S338" s="122" t="s">
        <v>3347</v>
      </c>
      <c r="T338" s="122"/>
      <c r="U338" s="122" t="s">
        <v>3348</v>
      </c>
      <c r="V338" s="213" t="s">
        <v>3349</v>
      </c>
    </row>
    <row r="339" spans="1:23" ht="12.75" customHeight="1" x14ac:dyDescent="0.15">
      <c r="A339" s="209" t="s">
        <v>3874</v>
      </c>
      <c r="B339" s="103" t="s">
        <v>987</v>
      </c>
      <c r="C339" s="104" t="s">
        <v>3136</v>
      </c>
      <c r="D339" s="122" t="s">
        <v>107</v>
      </c>
      <c r="E339" s="122" t="s">
        <v>711</v>
      </c>
      <c r="F339" s="123" t="s">
        <v>712</v>
      </c>
      <c r="G339" s="105" t="s">
        <v>713</v>
      </c>
      <c r="H339" s="124" t="s">
        <v>714</v>
      </c>
      <c r="I339" s="36">
        <v>18</v>
      </c>
      <c r="J339" s="105" t="str">
        <f t="shared" ref="J339:J340" si="63">VLOOKUP(I339,CAT_JOUEUR,2,FALSE)</f>
        <v>U 9 Dames</v>
      </c>
      <c r="K339" s="210">
        <v>17</v>
      </c>
      <c r="L339" s="105" t="str">
        <f t="shared" ref="L339:L340" si="64">VLOOKUP(K339,CAT_JOUEUR,2,FALSE)</f>
        <v>U 11 Dames</v>
      </c>
      <c r="M339" s="124" t="s">
        <v>2805</v>
      </c>
      <c r="N339" s="143"/>
      <c r="O339" s="143">
        <v>43739</v>
      </c>
      <c r="P339" s="36">
        <v>2021</v>
      </c>
      <c r="Q339" s="143">
        <v>41949</v>
      </c>
      <c r="R339" s="144" t="s">
        <v>3137</v>
      </c>
      <c r="S339" s="122" t="s">
        <v>1505</v>
      </c>
      <c r="T339" s="145" t="s">
        <v>2177</v>
      </c>
      <c r="U339" s="145" t="s">
        <v>2178</v>
      </c>
      <c r="V339" s="146" t="s">
        <v>2179</v>
      </c>
    </row>
    <row r="340" spans="1:23" ht="12.75" customHeight="1" x14ac:dyDescent="0.15">
      <c r="A340" s="209" t="s">
        <v>3874</v>
      </c>
      <c r="B340" s="103" t="s">
        <v>987</v>
      </c>
      <c r="C340" s="104" t="s">
        <v>989</v>
      </c>
      <c r="D340" s="122" t="s">
        <v>107</v>
      </c>
      <c r="E340" s="122" t="s">
        <v>711</v>
      </c>
      <c r="F340" s="123" t="s">
        <v>712</v>
      </c>
      <c r="G340" s="105" t="s">
        <v>713</v>
      </c>
      <c r="H340" s="124" t="s">
        <v>714</v>
      </c>
      <c r="I340" s="36">
        <v>300</v>
      </c>
      <c r="J340" s="105" t="str">
        <f t="shared" si="63"/>
        <v>Prêt, sortie Mersch75</v>
      </c>
      <c r="K340" s="210">
        <v>17</v>
      </c>
      <c r="L340" s="105" t="str">
        <f t="shared" si="64"/>
        <v>U 11 Dames</v>
      </c>
      <c r="M340" s="124" t="s">
        <v>3014</v>
      </c>
      <c r="N340" s="143">
        <v>43027</v>
      </c>
      <c r="O340" s="143">
        <v>43023</v>
      </c>
      <c r="P340" s="36">
        <v>2023</v>
      </c>
      <c r="Q340" s="143">
        <v>40713</v>
      </c>
      <c r="R340" s="144" t="s">
        <v>2176</v>
      </c>
      <c r="S340" s="122" t="s">
        <v>1505</v>
      </c>
      <c r="T340" s="145" t="s">
        <v>2177</v>
      </c>
      <c r="U340" s="145" t="s">
        <v>2178</v>
      </c>
      <c r="V340" s="146" t="s">
        <v>2179</v>
      </c>
    </row>
    <row r="341" spans="1:23" ht="12.75" customHeight="1" x14ac:dyDescent="0.15">
      <c r="A341" s="209" t="s">
        <v>3874</v>
      </c>
      <c r="B341" s="103" t="s">
        <v>3601</v>
      </c>
      <c r="C341" s="104" t="s">
        <v>760</v>
      </c>
      <c r="D341" s="122" t="s">
        <v>490</v>
      </c>
      <c r="E341" s="122" t="s">
        <v>3602</v>
      </c>
      <c r="F341" s="123" t="s">
        <v>3603</v>
      </c>
      <c r="G341" s="105" t="s">
        <v>1623</v>
      </c>
      <c r="H341" s="124" t="s">
        <v>320</v>
      </c>
      <c r="I341" s="36">
        <v>2</v>
      </c>
      <c r="J341" s="105" t="str">
        <f t="shared" ref="J341" si="65">VLOOKUP(I341,CAT_JOUEUR,2,FALSE)</f>
        <v>Seniors - Hommes</v>
      </c>
      <c r="K341" s="210">
        <v>2</v>
      </c>
      <c r="L341" s="105" t="str">
        <f t="shared" ref="L341" si="66">VLOOKUP(K341,CAT_JOUEUR,2,FALSE)</f>
        <v>Seniors - Hommes</v>
      </c>
      <c r="M341" s="124" t="s">
        <v>3626</v>
      </c>
      <c r="N341" s="143">
        <v>44140</v>
      </c>
      <c r="O341" s="143">
        <v>44125</v>
      </c>
      <c r="P341" s="36">
        <v>2031</v>
      </c>
      <c r="Q341" s="143">
        <v>37153</v>
      </c>
      <c r="R341" s="144" t="s">
        <v>3604</v>
      </c>
      <c r="S341" s="151"/>
      <c r="T341" s="122"/>
      <c r="U341" s="122" t="s">
        <v>3605</v>
      </c>
      <c r="V341" s="70" t="s">
        <v>3606</v>
      </c>
    </row>
    <row r="342" spans="1:23" ht="12.75" customHeight="1" x14ac:dyDescent="0.15">
      <c r="A342" s="209" t="s">
        <v>3874</v>
      </c>
      <c r="B342" s="103" t="s">
        <v>3745</v>
      </c>
      <c r="C342" s="104" t="s">
        <v>3746</v>
      </c>
      <c r="D342" s="122" t="s">
        <v>263</v>
      </c>
      <c r="E342" s="122" t="s">
        <v>3373</v>
      </c>
      <c r="F342" s="123" t="s">
        <v>110</v>
      </c>
      <c r="G342" s="105" t="s">
        <v>111</v>
      </c>
      <c r="H342" s="124" t="s">
        <v>320</v>
      </c>
      <c r="I342" s="36">
        <v>2</v>
      </c>
      <c r="J342" s="105" t="str">
        <f t="shared" ref="J342" si="67">VLOOKUP(I342,CAT_JOUEUR,2,FALSE)</f>
        <v>Seniors - Hommes</v>
      </c>
      <c r="K342" s="210">
        <v>2</v>
      </c>
      <c r="L342" s="105" t="str">
        <f t="shared" ref="L342" si="68">VLOOKUP(K342,CAT_JOUEUR,2,FALSE)</f>
        <v>Seniors - Hommes</v>
      </c>
      <c r="M342" s="124" t="s">
        <v>3764</v>
      </c>
      <c r="N342" s="143">
        <v>44446</v>
      </c>
      <c r="O342" s="143">
        <v>44413</v>
      </c>
      <c r="P342" s="36">
        <v>2025</v>
      </c>
      <c r="Q342" s="143">
        <v>34812</v>
      </c>
      <c r="R342" s="144" t="s">
        <v>3752</v>
      </c>
      <c r="S342" s="151"/>
      <c r="T342" s="122"/>
      <c r="U342" s="145" t="s">
        <v>3841</v>
      </c>
      <c r="V342" s="213" t="s">
        <v>3747</v>
      </c>
    </row>
    <row r="343" spans="1:23" ht="13.25" customHeight="1" x14ac:dyDescent="0.15">
      <c r="A343" s="209" t="s">
        <v>3874</v>
      </c>
      <c r="B343" s="103" t="s">
        <v>3755</v>
      </c>
      <c r="C343" s="104" t="s">
        <v>3756</v>
      </c>
      <c r="D343" s="122" t="s">
        <v>107</v>
      </c>
      <c r="E343" s="122" t="s">
        <v>3775</v>
      </c>
      <c r="F343" s="123" t="s">
        <v>3776</v>
      </c>
      <c r="G343" s="105" t="s">
        <v>518</v>
      </c>
      <c r="H343" s="124" t="s">
        <v>320</v>
      </c>
      <c r="I343" s="36">
        <v>301</v>
      </c>
      <c r="J343" s="104" t="str">
        <f t="shared" ref="J343" si="69">VLOOKUP(I343,CAT_JOUEUR,2,FALSE)</f>
        <v>Prêt, entrée Mersch75</v>
      </c>
      <c r="K343" s="210">
        <v>3</v>
      </c>
      <c r="L343" s="105" t="str">
        <f t="shared" ref="L343" si="70">VLOOKUP(K343,CAT_JOUEUR,2,FALSE)</f>
        <v>U 21 Hommes</v>
      </c>
      <c r="M343" s="124" t="s">
        <v>3790</v>
      </c>
      <c r="N343" s="143">
        <v>44461</v>
      </c>
      <c r="O343" s="143">
        <v>44421</v>
      </c>
      <c r="P343" s="36">
        <v>2022</v>
      </c>
      <c r="Q343" s="143">
        <v>37777</v>
      </c>
      <c r="R343" s="144" t="s">
        <v>3757</v>
      </c>
      <c r="S343" s="123"/>
      <c r="T343" s="123"/>
      <c r="U343" s="153">
        <v>621579331</v>
      </c>
      <c r="V343" s="213" t="s">
        <v>3777</v>
      </c>
      <c r="W343" s="242" t="s">
        <v>4018</v>
      </c>
    </row>
    <row r="344" spans="1:23" ht="12.75" customHeight="1" x14ac:dyDescent="0.15">
      <c r="A344" s="209" t="s">
        <v>3874</v>
      </c>
      <c r="B344" s="103" t="s">
        <v>1142</v>
      </c>
      <c r="C344" s="104" t="s">
        <v>968</v>
      </c>
      <c r="D344" s="122" t="s">
        <v>345</v>
      </c>
      <c r="E344" s="122" t="s">
        <v>1157</v>
      </c>
      <c r="F344" s="123" t="s">
        <v>1158</v>
      </c>
      <c r="G344" s="105" t="s">
        <v>800</v>
      </c>
      <c r="H344" s="124" t="s">
        <v>1144</v>
      </c>
      <c r="I344" s="36">
        <v>252</v>
      </c>
      <c r="J344" s="104" t="str">
        <f t="shared" ref="J344" si="71">VLOOKUP(I344,CAT_JOUEUR,2,FALSE)</f>
        <v>Arrêt jeune (garder licence)</v>
      </c>
      <c r="K344" s="210">
        <v>4</v>
      </c>
      <c r="L344" s="105" t="str">
        <f t="shared" ref="L344" si="72">VLOOKUP(K344,CAT_JOUEUR,2,FALSE)</f>
        <v>U 17 Hommes</v>
      </c>
      <c r="M344" s="124" t="s">
        <v>2931</v>
      </c>
      <c r="N344" s="143">
        <v>43143</v>
      </c>
      <c r="O344" s="143">
        <v>43133</v>
      </c>
      <c r="P344" s="36">
        <v>2021</v>
      </c>
      <c r="Q344" s="143">
        <v>38609</v>
      </c>
      <c r="R344" s="144" t="s">
        <v>1159</v>
      </c>
      <c r="S344" s="144"/>
      <c r="T344" s="122" t="s">
        <v>1160</v>
      </c>
      <c r="U344" s="122" t="s">
        <v>1161</v>
      </c>
      <c r="V344" s="70" t="s">
        <v>1162</v>
      </c>
    </row>
    <row r="345" spans="1:23" ht="12.75" customHeight="1" x14ac:dyDescent="0.15">
      <c r="A345" s="209" t="s">
        <v>3874</v>
      </c>
      <c r="B345" s="103" t="s">
        <v>1211</v>
      </c>
      <c r="C345" s="104" t="s">
        <v>1212</v>
      </c>
      <c r="D345" s="122" t="s">
        <v>345</v>
      </c>
      <c r="E345" s="122" t="s">
        <v>1213</v>
      </c>
      <c r="F345" s="123" t="s">
        <v>1214</v>
      </c>
      <c r="G345" s="105" t="s">
        <v>834</v>
      </c>
      <c r="H345" s="124" t="s">
        <v>320</v>
      </c>
      <c r="I345" s="36">
        <v>300</v>
      </c>
      <c r="J345" s="105" t="str">
        <f t="shared" ref="J345" si="73">VLOOKUP(I345,CAT_JOUEUR,2,FALSE)</f>
        <v>Prêt, sortie Mersch75</v>
      </c>
      <c r="K345" s="210">
        <v>2</v>
      </c>
      <c r="L345" s="105" t="str">
        <f t="shared" ref="L345" si="74">VLOOKUP(K345,CAT_JOUEUR,2,FALSE)</f>
        <v>Seniors - Hommes</v>
      </c>
      <c r="M345" s="124" t="s">
        <v>2932</v>
      </c>
      <c r="N345" s="143">
        <v>43281</v>
      </c>
      <c r="O345" s="143">
        <v>43282</v>
      </c>
      <c r="P345" s="36">
        <v>2025</v>
      </c>
      <c r="Q345" s="143">
        <v>34946</v>
      </c>
      <c r="R345" s="144" t="s">
        <v>1222</v>
      </c>
      <c r="S345" s="122" t="s">
        <v>1223</v>
      </c>
      <c r="T345" s="122"/>
      <c r="U345" s="122" t="s">
        <v>1224</v>
      </c>
      <c r="V345" s="70" t="s">
        <v>1226</v>
      </c>
    </row>
    <row r="346" spans="1:23" ht="12.75" customHeight="1" x14ac:dyDescent="0.15">
      <c r="A346" s="209" t="s">
        <v>3874</v>
      </c>
      <c r="B346" s="103" t="s">
        <v>2185</v>
      </c>
      <c r="C346" s="104" t="s">
        <v>2186</v>
      </c>
      <c r="D346" s="122" t="s">
        <v>263</v>
      </c>
      <c r="E346" s="122" t="s">
        <v>3717</v>
      </c>
      <c r="F346" s="123" t="s">
        <v>3718</v>
      </c>
      <c r="G346" s="105" t="s">
        <v>223</v>
      </c>
      <c r="H346" s="124" t="s">
        <v>320</v>
      </c>
      <c r="I346" s="36">
        <v>9</v>
      </c>
      <c r="J346" s="105" t="str">
        <f t="shared" ref="J346" si="75">VLOOKUP(I346,CAT_JOUEUR,2,FALSE)</f>
        <v>Vétérans - Hommes</v>
      </c>
      <c r="K346" s="210">
        <v>9</v>
      </c>
      <c r="L346" s="105" t="str">
        <f t="shared" ref="L346" si="76">VLOOKUP(K346,CAT_JOUEUR,2,FALSE)</f>
        <v>Vétérans - Hommes</v>
      </c>
      <c r="M346" s="124" t="s">
        <v>3017</v>
      </c>
      <c r="N346" s="143">
        <v>41401</v>
      </c>
      <c r="O346" s="143">
        <v>41401</v>
      </c>
      <c r="P346" s="211">
        <v>2022</v>
      </c>
      <c r="Q346" s="143">
        <v>28384</v>
      </c>
      <c r="R346" s="123" t="s">
        <v>2187</v>
      </c>
      <c r="S346" s="123"/>
      <c r="T346" s="122"/>
      <c r="U346" s="145" t="s">
        <v>2188</v>
      </c>
      <c r="V346" s="146" t="s">
        <v>2189</v>
      </c>
    </row>
    <row r="347" spans="1:23" ht="12.75" customHeight="1" x14ac:dyDescent="0.15">
      <c r="A347" s="209" t="s">
        <v>3874</v>
      </c>
      <c r="B347" s="103" t="s">
        <v>1835</v>
      </c>
      <c r="C347" s="104" t="s">
        <v>1836</v>
      </c>
      <c r="D347" s="122" t="s">
        <v>107</v>
      </c>
      <c r="E347" s="122" t="s">
        <v>1837</v>
      </c>
      <c r="F347" s="123" t="s">
        <v>1838</v>
      </c>
      <c r="G347" s="105" t="s">
        <v>177</v>
      </c>
      <c r="H347" s="124" t="s">
        <v>320</v>
      </c>
      <c r="I347" s="36">
        <v>255</v>
      </c>
      <c r="J347" s="105" t="str">
        <f t="shared" ref="J347" si="77">VLOOKUP(I347,CAT_JOUEUR,2,FALSE)</f>
        <v>Arrêt</v>
      </c>
      <c r="K347" s="210">
        <v>2</v>
      </c>
      <c r="L347" s="105" t="str">
        <f t="shared" ref="L347" si="78">VLOOKUP(K347,CAT_JOUEUR,2,FALSE)</f>
        <v>Seniors - Hommes</v>
      </c>
      <c r="M347" s="124" t="s">
        <v>2963</v>
      </c>
      <c r="N347" s="143">
        <v>43281</v>
      </c>
      <c r="O347" s="143">
        <v>43318</v>
      </c>
      <c r="P347" s="36">
        <v>2021</v>
      </c>
      <c r="Q347" s="143">
        <v>33247</v>
      </c>
      <c r="R347" s="144" t="s">
        <v>1839</v>
      </c>
      <c r="S347" s="144"/>
      <c r="T347" s="122"/>
      <c r="U347" s="122" t="s">
        <v>1840</v>
      </c>
      <c r="V347" s="212" t="s">
        <v>1841</v>
      </c>
    </row>
    <row r="348" spans="1:23" ht="12.75" customHeight="1" x14ac:dyDescent="0.15">
      <c r="A348" s="209" t="s">
        <v>3874</v>
      </c>
      <c r="B348" s="103" t="s">
        <v>3397</v>
      </c>
      <c r="C348" s="104" t="s">
        <v>3398</v>
      </c>
      <c r="D348" s="122" t="s">
        <v>107</v>
      </c>
      <c r="E348" s="122" t="s">
        <v>3418</v>
      </c>
      <c r="F348" s="123" t="s">
        <v>3419</v>
      </c>
      <c r="G348" s="105" t="s">
        <v>1307</v>
      </c>
      <c r="H348" s="124" t="s">
        <v>320</v>
      </c>
      <c r="I348" s="36">
        <v>2</v>
      </c>
      <c r="J348" s="105" t="str">
        <f t="shared" ref="J348" si="79">VLOOKUP(I348,CAT_JOUEUR,2,FALSE)</f>
        <v>Seniors - Hommes</v>
      </c>
      <c r="K348" s="210">
        <v>2</v>
      </c>
      <c r="L348" s="105" t="str">
        <f t="shared" ref="L348" si="80">VLOOKUP(K348,CAT_JOUEUR,2,FALSE)</f>
        <v>Seniors - Hommes</v>
      </c>
      <c r="M348" s="124" t="s">
        <v>3438</v>
      </c>
      <c r="N348" s="143">
        <v>44061</v>
      </c>
      <c r="O348" s="143">
        <v>44042</v>
      </c>
      <c r="P348" s="36">
        <v>2027</v>
      </c>
      <c r="Q348" s="143">
        <v>35718</v>
      </c>
      <c r="R348" s="144" t="s">
        <v>3423</v>
      </c>
      <c r="S348" s="122" t="s">
        <v>3424</v>
      </c>
      <c r="U348" s="122" t="s">
        <v>3399</v>
      </c>
      <c r="V348" s="213" t="s">
        <v>3400</v>
      </c>
    </row>
    <row r="349" spans="1:23" ht="12.75" customHeight="1" x14ac:dyDescent="0.15">
      <c r="A349" s="209" t="s">
        <v>3874</v>
      </c>
      <c r="B349" s="103" t="s">
        <v>3758</v>
      </c>
      <c r="C349" s="104" t="s">
        <v>3759</v>
      </c>
      <c r="D349" s="122" t="s">
        <v>416</v>
      </c>
      <c r="E349" s="122" t="s">
        <v>3760</v>
      </c>
      <c r="F349" s="123" t="s">
        <v>3761</v>
      </c>
      <c r="G349" s="105" t="s">
        <v>177</v>
      </c>
      <c r="H349" s="124" t="s">
        <v>320</v>
      </c>
      <c r="I349" s="36">
        <v>2</v>
      </c>
      <c r="J349" s="105" t="str">
        <f t="shared" ref="J349" si="81">VLOOKUP(I349,CAT_JOUEUR,2,FALSE)</f>
        <v>Seniors - Hommes</v>
      </c>
      <c r="K349" s="210">
        <v>2</v>
      </c>
      <c r="L349" s="105" t="str">
        <f t="shared" ref="L349" si="82">VLOOKUP(K349,CAT_JOUEUR,2,FALSE)</f>
        <v>Seniors - Hommes</v>
      </c>
      <c r="M349" s="124" t="s">
        <v>3791</v>
      </c>
      <c r="N349" s="143">
        <v>44466</v>
      </c>
      <c r="O349" s="143">
        <v>44440</v>
      </c>
      <c r="P349" s="36">
        <v>2023</v>
      </c>
      <c r="Q349" s="143">
        <v>37106</v>
      </c>
      <c r="R349" s="144" t="s">
        <v>3762</v>
      </c>
      <c r="S349" s="151"/>
      <c r="T349" s="122"/>
      <c r="U349" s="153">
        <v>691204732</v>
      </c>
      <c r="V349" s="213" t="s">
        <v>3763</v>
      </c>
    </row>
    <row r="350" spans="1:23" ht="12.75" customHeight="1" x14ac:dyDescent="0.15">
      <c r="A350" s="209" t="s">
        <v>3874</v>
      </c>
      <c r="B350" s="103" t="s">
        <v>2602</v>
      </c>
      <c r="C350" s="104" t="s">
        <v>2603</v>
      </c>
      <c r="D350" s="122" t="s">
        <v>107</v>
      </c>
      <c r="E350" s="122" t="s">
        <v>550</v>
      </c>
      <c r="F350" s="123" t="s">
        <v>273</v>
      </c>
      <c r="G350" s="105" t="s">
        <v>274</v>
      </c>
      <c r="H350" s="124" t="s">
        <v>551</v>
      </c>
      <c r="I350" s="36">
        <v>4</v>
      </c>
      <c r="J350" s="105" t="str">
        <f t="shared" ref="J350" si="83">VLOOKUP(I350,CAT_JOUEUR,2,FALSE)</f>
        <v>U 17 Hommes</v>
      </c>
      <c r="K350" s="210">
        <v>3</v>
      </c>
      <c r="L350" s="105" t="str">
        <f t="shared" ref="L350" si="84">VLOOKUP(K350,CAT_JOUEUR,2,FALSE)</f>
        <v>U 21 Hommes</v>
      </c>
      <c r="M350" s="124" t="s">
        <v>3072</v>
      </c>
      <c r="N350" s="143">
        <v>43511</v>
      </c>
      <c r="O350" s="143">
        <v>43481</v>
      </c>
      <c r="P350" s="36">
        <v>2023</v>
      </c>
      <c r="Q350" s="143">
        <v>37729</v>
      </c>
      <c r="R350" s="144" t="s">
        <v>2604</v>
      </c>
      <c r="S350" s="144"/>
      <c r="T350" s="122"/>
      <c r="U350" s="122" t="s">
        <v>2605</v>
      </c>
      <c r="V350" s="70" t="s">
        <v>2606</v>
      </c>
    </row>
    <row r="351" spans="1:23" ht="12.75" customHeight="1" x14ac:dyDescent="0.15">
      <c r="A351" s="209" t="s">
        <v>3874</v>
      </c>
      <c r="B351" s="103" t="s">
        <v>963</v>
      </c>
      <c r="C351" s="104" t="s">
        <v>309</v>
      </c>
      <c r="D351" s="122" t="s">
        <v>107</v>
      </c>
      <c r="E351" s="122" t="s">
        <v>964</v>
      </c>
      <c r="F351" s="123" t="s">
        <v>110</v>
      </c>
      <c r="G351" s="105" t="s">
        <v>111</v>
      </c>
      <c r="H351" s="124" t="s">
        <v>320</v>
      </c>
      <c r="I351" s="36">
        <v>9</v>
      </c>
      <c r="J351" s="105" t="str">
        <f t="shared" ref="J351" si="85">VLOOKUP(I351,CAT_JOUEUR,2,FALSE)</f>
        <v>Vétérans - Hommes</v>
      </c>
      <c r="K351" s="210">
        <v>9</v>
      </c>
      <c r="L351" s="105" t="str">
        <f t="shared" ref="L351" si="86">VLOOKUP(K351,CAT_JOUEUR,2,FALSE)</f>
        <v>Vétérans - Hommes</v>
      </c>
      <c r="M351" s="124" t="s">
        <v>3001</v>
      </c>
      <c r="N351" s="143">
        <v>43646</v>
      </c>
      <c r="O351" s="143">
        <v>43033</v>
      </c>
      <c r="P351" s="36">
        <v>2023</v>
      </c>
      <c r="Q351" s="143">
        <v>30517</v>
      </c>
      <c r="R351" s="144" t="s">
        <v>2087</v>
      </c>
      <c r="S351" s="144"/>
      <c r="T351" s="122"/>
      <c r="U351" s="153" t="s">
        <v>3506</v>
      </c>
      <c r="V351" s="70" t="s">
        <v>2088</v>
      </c>
    </row>
    <row r="352" spans="1:23" ht="12.75" customHeight="1" x14ac:dyDescent="0.15">
      <c r="A352" s="209" t="s">
        <v>3874</v>
      </c>
      <c r="B352" s="103" t="s">
        <v>1188</v>
      </c>
      <c r="C352" s="104" t="s">
        <v>174</v>
      </c>
      <c r="D352" s="122" t="s">
        <v>107</v>
      </c>
      <c r="E352" s="122" t="s">
        <v>746</v>
      </c>
      <c r="F352" s="123" t="s">
        <v>726</v>
      </c>
      <c r="G352" s="105" t="s">
        <v>727</v>
      </c>
      <c r="H352" s="124" t="s">
        <v>747</v>
      </c>
      <c r="I352" s="36">
        <v>11</v>
      </c>
      <c r="J352" s="105" t="str">
        <f t="shared" ref="J352" si="87">VLOOKUP(I352,CAT_JOUEUR,2,FALSE)</f>
        <v>Officiel D</v>
      </c>
      <c r="K352" s="210">
        <v>11</v>
      </c>
      <c r="L352" s="105" t="str">
        <f t="shared" ref="L352" si="88">VLOOKUP(K352,CAT_JOUEUR,2,FALSE)</f>
        <v>Officiel D</v>
      </c>
      <c r="M352" s="124" t="s">
        <v>3109</v>
      </c>
      <c r="N352" s="143">
        <v>41869</v>
      </c>
      <c r="O352" s="143">
        <v>41869</v>
      </c>
      <c r="P352" s="211" t="s">
        <v>210</v>
      </c>
      <c r="Q352" s="143">
        <v>24094</v>
      </c>
      <c r="R352" s="144" t="s">
        <v>244</v>
      </c>
      <c r="S352" s="122" t="s">
        <v>2690</v>
      </c>
      <c r="T352" s="122" t="s">
        <v>3705</v>
      </c>
      <c r="U352" s="145" t="s">
        <v>2691</v>
      </c>
      <c r="V352" s="146" t="s">
        <v>2692</v>
      </c>
    </row>
    <row r="353" spans="1:23" ht="12.75" customHeight="1" x14ac:dyDescent="0.15">
      <c r="A353" s="209" t="s">
        <v>3874</v>
      </c>
      <c r="B353" s="103" t="s">
        <v>744</v>
      </c>
      <c r="C353" s="104" t="s">
        <v>745</v>
      </c>
      <c r="D353" s="254" t="s">
        <v>107</v>
      </c>
      <c r="E353" s="254" t="s">
        <v>746</v>
      </c>
      <c r="F353" s="253" t="s">
        <v>726</v>
      </c>
      <c r="G353" s="255" t="s">
        <v>727</v>
      </c>
      <c r="H353" s="124" t="s">
        <v>747</v>
      </c>
      <c r="I353" s="36">
        <v>2</v>
      </c>
      <c r="J353" s="105" t="str">
        <f t="shared" ref="J353" si="89">VLOOKUP(I353,CAT_JOUEUR,2,FALSE)</f>
        <v>Seniors - Hommes</v>
      </c>
      <c r="K353" s="210">
        <v>2</v>
      </c>
      <c r="L353" s="105" t="str">
        <f t="shared" ref="L353" si="90">VLOOKUP(K353,CAT_JOUEUR,2,FALSE)</f>
        <v>Seniors - Hommes</v>
      </c>
      <c r="M353" s="124" t="s">
        <v>2950</v>
      </c>
      <c r="N353" s="143">
        <v>41470</v>
      </c>
      <c r="O353" s="143">
        <v>41520</v>
      </c>
      <c r="P353" s="211">
        <v>2021</v>
      </c>
      <c r="Q353" s="143">
        <v>36705</v>
      </c>
      <c r="R353" s="144" t="s">
        <v>1752</v>
      </c>
      <c r="S353" s="144"/>
      <c r="T353" s="122"/>
      <c r="U353" s="145" t="s">
        <v>3302</v>
      </c>
      <c r="V353" s="146" t="s">
        <v>1753</v>
      </c>
    </row>
    <row r="354" spans="1:23" ht="12.75" customHeight="1" x14ac:dyDescent="0.15">
      <c r="A354" s="209" t="s">
        <v>3874</v>
      </c>
      <c r="B354" s="103" t="s">
        <v>3846</v>
      </c>
      <c r="C354" s="104" t="s">
        <v>3847</v>
      </c>
      <c r="D354" s="122" t="s">
        <v>1693</v>
      </c>
      <c r="E354" s="122" t="s">
        <v>3848</v>
      </c>
      <c r="F354" s="123" t="s">
        <v>1370</v>
      </c>
      <c r="G354" s="105" t="s">
        <v>1371</v>
      </c>
      <c r="H354" s="124" t="s">
        <v>320</v>
      </c>
      <c r="I354" s="36">
        <v>12</v>
      </c>
      <c r="J354" s="105" t="str">
        <f t="shared" ref="J354" si="91">VLOOKUP(I354,CAT_JOUEUR,2,FALSE)</f>
        <v>Dames</v>
      </c>
      <c r="K354" s="210">
        <v>12</v>
      </c>
      <c r="L354" s="105" t="str">
        <f t="shared" ref="L354" si="92">VLOOKUP(K354,CAT_JOUEUR,2,FALSE)</f>
        <v>Dames</v>
      </c>
      <c r="M354" s="124" t="s">
        <v>2805</v>
      </c>
      <c r="O354" s="143">
        <v>44482</v>
      </c>
      <c r="P354" s="36">
        <v>2021</v>
      </c>
      <c r="Q354" s="143">
        <v>34487</v>
      </c>
      <c r="R354" s="144" t="s">
        <v>3849</v>
      </c>
      <c r="S354" s="122"/>
      <c r="T354" s="122"/>
      <c r="U354" s="153">
        <v>671037972</v>
      </c>
      <c r="V354" s="213" t="s">
        <v>3850</v>
      </c>
      <c r="W354" s="124"/>
    </row>
    <row r="355" spans="1:23" ht="12.75" customHeight="1" x14ac:dyDescent="0.15">
      <c r="A355" s="209" t="s">
        <v>3874</v>
      </c>
      <c r="B355" s="103" t="s">
        <v>3607</v>
      </c>
      <c r="C355" s="104" t="s">
        <v>3608</v>
      </c>
      <c r="D355" s="122" t="s">
        <v>490</v>
      </c>
      <c r="E355" s="122" t="s">
        <v>3610</v>
      </c>
      <c r="F355" s="123" t="s">
        <v>3611</v>
      </c>
      <c r="G355" s="105" t="s">
        <v>3612</v>
      </c>
      <c r="H355" s="124" t="s">
        <v>320</v>
      </c>
      <c r="I355" s="36">
        <v>2</v>
      </c>
      <c r="J355" s="105" t="str">
        <f t="shared" ref="J355" si="93">VLOOKUP(I355,CAT_JOUEUR,2,FALSE)</f>
        <v>Seniors - Hommes</v>
      </c>
      <c r="K355" s="210">
        <v>2</v>
      </c>
      <c r="L355" s="105" t="str">
        <f t="shared" ref="L355" si="94">VLOOKUP(K355,CAT_JOUEUR,2,FALSE)</f>
        <v>Seniors - Hommes</v>
      </c>
      <c r="M355" s="124" t="s">
        <v>3627</v>
      </c>
      <c r="N355" s="143">
        <v>44140</v>
      </c>
      <c r="O355" s="143">
        <v>44125</v>
      </c>
      <c r="P355" s="36">
        <v>2030</v>
      </c>
      <c r="Q355" s="143">
        <v>36750</v>
      </c>
      <c r="R355" s="144" t="s">
        <v>3613</v>
      </c>
      <c r="S355" s="151"/>
      <c r="T355" s="122"/>
      <c r="U355" s="145" t="s">
        <v>3844</v>
      </c>
      <c r="V355" s="70" t="s">
        <v>3609</v>
      </c>
    </row>
    <row r="356" spans="1:23" ht="12.75" customHeight="1" x14ac:dyDescent="0.15">
      <c r="A356" s="209" t="s">
        <v>3874</v>
      </c>
      <c r="B356" s="103" t="s">
        <v>888</v>
      </c>
      <c r="C356" s="104" t="s">
        <v>889</v>
      </c>
      <c r="D356" s="122" t="s">
        <v>107</v>
      </c>
      <c r="E356" s="122" t="s">
        <v>890</v>
      </c>
      <c r="F356" s="123" t="s">
        <v>891</v>
      </c>
      <c r="G356" s="105" t="s">
        <v>892</v>
      </c>
      <c r="H356" s="124" t="s">
        <v>893</v>
      </c>
      <c r="I356" s="36">
        <v>3</v>
      </c>
      <c r="J356" s="105" t="str">
        <f t="shared" ref="J356" si="95">VLOOKUP(I356,CAT_JOUEUR,2,FALSE)</f>
        <v>U 21 Hommes</v>
      </c>
      <c r="K356" s="210">
        <v>3</v>
      </c>
      <c r="L356" s="105" t="str">
        <f t="shared" ref="L356" si="96">VLOOKUP(K356,CAT_JOUEUR,2,FALSE)</f>
        <v>U 21 Hommes</v>
      </c>
      <c r="M356" s="124" t="s">
        <v>2976</v>
      </c>
      <c r="N356" s="143">
        <v>43350</v>
      </c>
      <c r="O356" s="143">
        <v>43207</v>
      </c>
      <c r="P356" s="36">
        <v>2023</v>
      </c>
      <c r="Q356" s="143">
        <v>37963</v>
      </c>
      <c r="R356" s="144" t="s">
        <v>1912</v>
      </c>
      <c r="S356" s="122" t="s">
        <v>1821</v>
      </c>
      <c r="T356" s="122"/>
      <c r="U356" s="122" t="s">
        <v>1913</v>
      </c>
      <c r="V356" s="70" t="s">
        <v>1910</v>
      </c>
    </row>
    <row r="357" spans="1:23" ht="12.75" customHeight="1" x14ac:dyDescent="0.15">
      <c r="A357" s="209" t="s">
        <v>3874</v>
      </c>
      <c r="B357" s="103" t="s">
        <v>2310</v>
      </c>
      <c r="C357" s="104" t="s">
        <v>824</v>
      </c>
      <c r="D357" s="122" t="s">
        <v>107</v>
      </c>
      <c r="E357" s="122" t="s">
        <v>2311</v>
      </c>
      <c r="F357" s="123" t="s">
        <v>2312</v>
      </c>
      <c r="G357" s="105" t="s">
        <v>946</v>
      </c>
      <c r="H357" s="124" t="s">
        <v>320</v>
      </c>
      <c r="I357" s="36">
        <v>2</v>
      </c>
      <c r="J357" s="105" t="str">
        <f t="shared" ref="J357" si="97">VLOOKUP(I357,CAT_JOUEUR,2,FALSE)</f>
        <v>Seniors - Hommes</v>
      </c>
      <c r="K357" s="210">
        <v>2</v>
      </c>
      <c r="L357" s="105" t="str">
        <f t="shared" ref="L357" si="98">VLOOKUP(K357,CAT_JOUEUR,2,FALSE)</f>
        <v>Seniors - Hommes</v>
      </c>
      <c r="M357" s="124" t="s">
        <v>3030</v>
      </c>
      <c r="N357" s="143">
        <v>43236</v>
      </c>
      <c r="O357" s="143">
        <v>43115</v>
      </c>
      <c r="P357" s="36">
        <v>2027</v>
      </c>
      <c r="Q357" s="143">
        <v>35542</v>
      </c>
      <c r="R357" s="144" t="s">
        <v>2313</v>
      </c>
      <c r="S357" s="144"/>
      <c r="T357" s="122"/>
      <c r="U357" s="122" t="s">
        <v>2314</v>
      </c>
      <c r="V357" s="70" t="s">
        <v>2315</v>
      </c>
    </row>
    <row r="358" spans="1:23" ht="12.75" customHeight="1" x14ac:dyDescent="0.15">
      <c r="A358" s="209" t="s">
        <v>3874</v>
      </c>
      <c r="B358" s="103" t="s">
        <v>3741</v>
      </c>
      <c r="C358" s="104" t="s">
        <v>3742</v>
      </c>
      <c r="D358" s="122" t="s">
        <v>3560</v>
      </c>
      <c r="E358" s="122" t="s">
        <v>3744</v>
      </c>
      <c r="F358" s="123" t="s">
        <v>1496</v>
      </c>
      <c r="G358" s="105" t="s">
        <v>1497</v>
      </c>
      <c r="H358" s="124" t="s">
        <v>320</v>
      </c>
      <c r="I358" s="36">
        <v>2</v>
      </c>
      <c r="J358" s="105" t="str">
        <f t="shared" ref="J358" si="99">VLOOKUP(I358,CAT_JOUEUR,2,FALSE)</f>
        <v>Seniors - Hommes</v>
      </c>
      <c r="K358" s="210">
        <v>2</v>
      </c>
      <c r="L358" s="105" t="str">
        <f t="shared" ref="L358" si="100">VLOOKUP(K358,CAT_JOUEUR,2,FALSE)</f>
        <v>Seniors - Hommes</v>
      </c>
      <c r="M358" s="124" t="s">
        <v>3753</v>
      </c>
      <c r="N358" s="143">
        <v>44434</v>
      </c>
      <c r="O358" s="143">
        <v>44410</v>
      </c>
      <c r="P358" s="36">
        <v>2024</v>
      </c>
      <c r="Q358" s="143">
        <v>34613</v>
      </c>
      <c r="R358" s="144" t="s">
        <v>3743</v>
      </c>
      <c r="S358" s="151"/>
      <c r="T358" s="122"/>
      <c r="U358" s="145" t="s">
        <v>3843</v>
      </c>
      <c r="V358" s="213" t="s">
        <v>3749</v>
      </c>
    </row>
    <row r="359" spans="1:23" ht="12.75" customHeight="1" x14ac:dyDescent="0.15">
      <c r="A359" s="209" t="s">
        <v>3874</v>
      </c>
      <c r="B359" s="103" t="s">
        <v>877</v>
      </c>
      <c r="C359" s="104" t="s">
        <v>879</v>
      </c>
      <c r="D359" s="122" t="s">
        <v>107</v>
      </c>
      <c r="E359" s="122" t="s">
        <v>880</v>
      </c>
      <c r="F359" s="123" t="s">
        <v>881</v>
      </c>
      <c r="G359" s="105" t="s">
        <v>883</v>
      </c>
      <c r="H359" s="124" t="s">
        <v>885</v>
      </c>
      <c r="I359" s="36">
        <v>3</v>
      </c>
      <c r="J359" s="105" t="str">
        <f>VLOOKUP(I359,CAT_JOUEUR,2,FALSE)</f>
        <v>U 21 Hommes</v>
      </c>
      <c r="K359" s="210">
        <v>3</v>
      </c>
      <c r="L359" s="105" t="str">
        <f>VLOOKUP(K359,CAT_JOUEUR,2,FALSE)</f>
        <v>U 21 Hommes</v>
      </c>
      <c r="M359" s="124" t="s">
        <v>2975</v>
      </c>
      <c r="N359" s="143">
        <v>42231</v>
      </c>
      <c r="O359" s="143">
        <v>42261</v>
      </c>
      <c r="P359" s="211">
        <v>2021</v>
      </c>
      <c r="Q359" s="143">
        <v>36934</v>
      </c>
      <c r="R359" s="144" t="s">
        <v>1896</v>
      </c>
      <c r="S359" s="122" t="s">
        <v>1895</v>
      </c>
      <c r="T359" s="122"/>
      <c r="U359" s="145" t="s">
        <v>1897</v>
      </c>
      <c r="V359" s="347" t="s">
        <v>3637</v>
      </c>
    </row>
    <row r="360" spans="1:23" ht="12.75" customHeight="1" x14ac:dyDescent="0.15">
      <c r="A360" s="250"/>
      <c r="B360" s="103" t="s">
        <v>4133</v>
      </c>
      <c r="C360" s="104" t="s">
        <v>1325</v>
      </c>
      <c r="D360" s="122" t="s">
        <v>4136</v>
      </c>
      <c r="E360" s="122" t="s">
        <v>4137</v>
      </c>
      <c r="F360" s="123" t="s">
        <v>4138</v>
      </c>
      <c r="G360" s="105" t="s">
        <v>4139</v>
      </c>
      <c r="H360" s="124" t="s">
        <v>494</v>
      </c>
      <c r="I360" s="36">
        <v>212</v>
      </c>
      <c r="J360" s="105" t="str">
        <f t="shared" ref="J360:J362" si="101">VLOOKUP(I360,CAT_JOUEUR,2,FALSE)</f>
        <v>Contact famille</v>
      </c>
      <c r="K360" s="210">
        <v>212</v>
      </c>
      <c r="L360" s="105" t="str">
        <f t="shared" ref="L360:L362" si="102">VLOOKUP(K360,CAT_JOUEUR,2,FALSE)</f>
        <v>Contact famille</v>
      </c>
      <c r="M360" s="124"/>
      <c r="N360" s="143" t="s">
        <v>242</v>
      </c>
      <c r="O360" s="36" t="s">
        <v>242</v>
      </c>
      <c r="P360" s="36" t="s">
        <v>242</v>
      </c>
      <c r="Q360" s="144" t="s">
        <v>244</v>
      </c>
      <c r="R360" s="151"/>
      <c r="S360" s="122"/>
      <c r="T360" s="122"/>
      <c r="U360" s="153">
        <v>693998691</v>
      </c>
      <c r="V360" s="213" t="s">
        <v>4144</v>
      </c>
      <c r="W360" s="870" t="s">
        <v>4149</v>
      </c>
    </row>
    <row r="361" spans="1:23" ht="12.75" customHeight="1" x14ac:dyDescent="0.15">
      <c r="A361" s="250"/>
      <c r="B361" s="103" t="s">
        <v>4133</v>
      </c>
      <c r="C361" s="104" t="s">
        <v>4134</v>
      </c>
      <c r="D361" s="122" t="s">
        <v>4136</v>
      </c>
      <c r="E361" s="122" t="s">
        <v>4137</v>
      </c>
      <c r="F361" s="123" t="s">
        <v>4138</v>
      </c>
      <c r="G361" s="105" t="s">
        <v>4139</v>
      </c>
      <c r="H361" s="124" t="s">
        <v>494</v>
      </c>
      <c r="I361" s="36">
        <v>7</v>
      </c>
      <c r="J361" s="105" t="str">
        <f t="shared" si="101"/>
        <v>U 11 Hommes</v>
      </c>
      <c r="K361" s="210">
        <v>7</v>
      </c>
      <c r="L361" s="105" t="str">
        <f t="shared" si="102"/>
        <v>U 11 Hommes</v>
      </c>
      <c r="M361" s="124" t="s">
        <v>2805</v>
      </c>
      <c r="N361" s="143">
        <v>44858</v>
      </c>
      <c r="O361" s="36">
        <v>2025</v>
      </c>
      <c r="P361" s="143">
        <v>41423</v>
      </c>
      <c r="Q361" s="144" t="s">
        <v>4140</v>
      </c>
      <c r="R361" s="151"/>
      <c r="S361" s="122"/>
      <c r="T361" s="122" t="s">
        <v>4142</v>
      </c>
      <c r="U361" s="122" t="s">
        <v>4143</v>
      </c>
      <c r="V361" s="213" t="s">
        <v>4144</v>
      </c>
      <c r="W361" s="870"/>
    </row>
    <row r="362" spans="1:23" ht="12.75" customHeight="1" x14ac:dyDescent="0.15">
      <c r="A362" s="250"/>
      <c r="B362" s="103" t="s">
        <v>4133</v>
      </c>
      <c r="C362" s="104" t="s">
        <v>4135</v>
      </c>
      <c r="D362" s="122" t="s">
        <v>4136</v>
      </c>
      <c r="E362" s="122" t="s">
        <v>4137</v>
      </c>
      <c r="F362" s="123" t="s">
        <v>4138</v>
      </c>
      <c r="G362" s="105" t="s">
        <v>4139</v>
      </c>
      <c r="H362" s="124" t="s">
        <v>494</v>
      </c>
      <c r="I362" s="36">
        <v>7</v>
      </c>
      <c r="J362" s="105" t="str">
        <f t="shared" si="101"/>
        <v>U 11 Hommes</v>
      </c>
      <c r="K362" s="210">
        <v>7</v>
      </c>
      <c r="L362" s="105" t="str">
        <f t="shared" si="102"/>
        <v>U 11 Hommes</v>
      </c>
      <c r="M362" s="124" t="s">
        <v>2805</v>
      </c>
      <c r="N362" s="143">
        <v>44858</v>
      </c>
      <c r="O362" s="36">
        <v>2026</v>
      </c>
      <c r="P362" s="143">
        <v>41896</v>
      </c>
      <c r="Q362" s="144" t="s">
        <v>4141</v>
      </c>
      <c r="R362" s="151"/>
      <c r="S362" s="122"/>
      <c r="T362" s="122" t="s">
        <v>4145</v>
      </c>
      <c r="U362" s="122" t="s">
        <v>4146</v>
      </c>
      <c r="V362" s="213" t="s">
        <v>4144</v>
      </c>
      <c r="W362" s="870"/>
    </row>
    <row r="363" spans="1:23" ht="12.75" customHeight="1" x14ac:dyDescent="0.15">
      <c r="A363" s="250"/>
      <c r="B363" s="103" t="s">
        <v>2244</v>
      </c>
      <c r="C363" s="104" t="s">
        <v>1113</v>
      </c>
      <c r="D363" s="122" t="s">
        <v>107</v>
      </c>
      <c r="E363" s="122" t="s">
        <v>2245</v>
      </c>
      <c r="F363" s="123" t="s">
        <v>471</v>
      </c>
      <c r="G363" s="105" t="s">
        <v>135</v>
      </c>
      <c r="H363" s="124" t="s">
        <v>2246</v>
      </c>
      <c r="I363" s="36">
        <v>15</v>
      </c>
      <c r="J363" s="105" t="str">
        <f t="shared" ref="J363:J364" si="103">VLOOKUP(I363,CAT_JOUEUR,2,FALSE)</f>
        <v>U 13 Dames</v>
      </c>
      <c r="K363" s="210">
        <v>14</v>
      </c>
      <c r="L363" s="105" t="str">
        <f t="shared" ref="L363:L364" si="104">VLOOKUP(K363,CAT_JOUEUR,2,FALSE)</f>
        <v>U 17 Dames</v>
      </c>
      <c r="M363" s="124" t="s">
        <v>2805</v>
      </c>
      <c r="N363" s="143">
        <v>44568</v>
      </c>
      <c r="O363" s="36">
        <v>2022</v>
      </c>
      <c r="P363" s="143">
        <v>39351</v>
      </c>
      <c r="Q363" s="144" t="s">
        <v>3932</v>
      </c>
      <c r="R363" s="151"/>
      <c r="S363" s="122"/>
      <c r="T363" s="122"/>
      <c r="U363" s="153">
        <v>621621314</v>
      </c>
      <c r="V363" s="70" t="s">
        <v>2249</v>
      </c>
      <c r="W363" s="870" t="s">
        <v>4149</v>
      </c>
    </row>
    <row r="364" spans="1:23" ht="12.75" customHeight="1" x14ac:dyDescent="0.15">
      <c r="A364" s="250"/>
      <c r="B364" s="103" t="s">
        <v>2244</v>
      </c>
      <c r="C364" s="104" t="s">
        <v>3931</v>
      </c>
      <c r="D364" s="122" t="s">
        <v>107</v>
      </c>
      <c r="E364" s="122" t="s">
        <v>2245</v>
      </c>
      <c r="F364" s="123" t="s">
        <v>471</v>
      </c>
      <c r="G364" s="105" t="s">
        <v>135</v>
      </c>
      <c r="H364" s="124" t="s">
        <v>2246</v>
      </c>
      <c r="I364" s="36">
        <v>212</v>
      </c>
      <c r="J364" s="105" t="str">
        <f t="shared" si="103"/>
        <v>Contact famille</v>
      </c>
      <c r="K364" s="210">
        <v>212</v>
      </c>
      <c r="L364" s="105" t="str">
        <f t="shared" si="104"/>
        <v>Contact famille</v>
      </c>
      <c r="M364" s="124"/>
      <c r="N364" s="143" t="s">
        <v>242</v>
      </c>
      <c r="O364" s="143" t="s">
        <v>242</v>
      </c>
      <c r="P364" s="143" t="s">
        <v>242</v>
      </c>
      <c r="Q364" s="143" t="s">
        <v>242</v>
      </c>
      <c r="R364" s="151"/>
      <c r="S364" s="122"/>
      <c r="T364" s="122"/>
      <c r="U364" s="153">
        <v>661004342</v>
      </c>
      <c r="V364" s="70" t="s">
        <v>2249</v>
      </c>
      <c r="W364" s="870"/>
    </row>
    <row r="365" spans="1:23" ht="12.75" customHeight="1" x14ac:dyDescent="0.15">
      <c r="A365" s="250" t="s">
        <v>4265</v>
      </c>
      <c r="B365" s="103" t="s">
        <v>830</v>
      </c>
      <c r="C365" s="104" t="s">
        <v>4032</v>
      </c>
      <c r="D365" s="122" t="s">
        <v>107</v>
      </c>
      <c r="E365" s="122" t="s">
        <v>4033</v>
      </c>
      <c r="F365" s="123" t="s">
        <v>4034</v>
      </c>
      <c r="G365" s="105" t="s">
        <v>4035</v>
      </c>
      <c r="H365" s="124" t="s">
        <v>320</v>
      </c>
      <c r="I365" s="36">
        <v>2</v>
      </c>
      <c r="J365" s="105" t="str">
        <f t="shared" ref="J365" si="105">VLOOKUP(I365,CAT_JOUEUR,2,FALSE)</f>
        <v>Seniors - Hommes</v>
      </c>
      <c r="K365" s="210">
        <v>2</v>
      </c>
      <c r="L365" s="105" t="str">
        <f t="shared" ref="L365:L367" si="106">VLOOKUP(K365,CAT_JOUEUR,2,FALSE)</f>
        <v>Seniors - Hommes</v>
      </c>
      <c r="M365" s="124" t="s">
        <v>4059</v>
      </c>
      <c r="N365" s="143">
        <v>44792</v>
      </c>
      <c r="O365" s="143">
        <v>44757</v>
      </c>
      <c r="P365" s="36">
        <v>2023</v>
      </c>
      <c r="Q365" s="143">
        <v>37832</v>
      </c>
      <c r="R365" s="123" t="s">
        <v>4036</v>
      </c>
      <c r="S365" s="151"/>
      <c r="T365" s="122"/>
      <c r="U365" s="153">
        <v>691863020</v>
      </c>
      <c r="V365" s="213" t="s">
        <v>4037</v>
      </c>
      <c r="W365" s="70"/>
    </row>
    <row r="366" spans="1:23" ht="12.75" customHeight="1" x14ac:dyDescent="0.15">
      <c r="A366" s="250" t="s">
        <v>4265</v>
      </c>
      <c r="B366" s="103" t="s">
        <v>609</v>
      </c>
      <c r="C366" s="104" t="s">
        <v>610</v>
      </c>
      <c r="D366" s="122" t="s">
        <v>107</v>
      </c>
      <c r="E366" s="122" t="s">
        <v>1872</v>
      </c>
      <c r="F366" s="123" t="s">
        <v>612</v>
      </c>
      <c r="G366" s="105" t="s">
        <v>613</v>
      </c>
      <c r="H366" s="124" t="s">
        <v>1873</v>
      </c>
      <c r="I366" s="36">
        <v>252</v>
      </c>
      <c r="J366" s="104" t="str">
        <f t="shared" ref="J366" si="107">VLOOKUP(I366,CAT_JOUEUR,2,FALSE)</f>
        <v>Arrêt jeune (garder licence)</v>
      </c>
      <c r="K366" s="210">
        <v>256</v>
      </c>
      <c r="L366" s="105" t="str">
        <f t="shared" si="106"/>
        <v>Arrêt (supprimer Licence)</v>
      </c>
      <c r="M366" s="124" t="s">
        <v>2970</v>
      </c>
      <c r="N366" s="143">
        <v>43549</v>
      </c>
      <c r="O366" s="143">
        <v>43536</v>
      </c>
      <c r="P366" s="36">
        <v>2022</v>
      </c>
      <c r="Q366" s="143">
        <v>38434</v>
      </c>
      <c r="R366" s="143" t="s">
        <v>1874</v>
      </c>
      <c r="S366" s="143"/>
      <c r="T366" s="122"/>
      <c r="U366" s="122" t="s">
        <v>1875</v>
      </c>
      <c r="V366" s="70" t="s">
        <v>1876</v>
      </c>
    </row>
    <row r="367" spans="1:23" ht="12.75" customHeight="1" x14ac:dyDescent="0.15">
      <c r="A367" s="250" t="s">
        <v>4265</v>
      </c>
      <c r="B367" s="103" t="s">
        <v>3139</v>
      </c>
      <c r="C367" s="104" t="s">
        <v>3140</v>
      </c>
      <c r="D367" s="122" t="s">
        <v>107</v>
      </c>
      <c r="E367" s="122" t="s">
        <v>3141</v>
      </c>
      <c r="F367" s="123" t="s">
        <v>612</v>
      </c>
      <c r="G367" s="105" t="s">
        <v>613</v>
      </c>
      <c r="H367" s="124" t="s">
        <v>3138</v>
      </c>
      <c r="I367" s="36">
        <v>252</v>
      </c>
      <c r="J367" s="104" t="str">
        <f t="shared" ref="J367" si="108">VLOOKUP(I367,CAT_JOUEUR,2,FALSE)</f>
        <v>Arrêt jeune (garder licence)</v>
      </c>
      <c r="K367" s="210">
        <v>256</v>
      </c>
      <c r="L367" s="105" t="str">
        <f t="shared" si="106"/>
        <v>Arrêt (supprimer Licence)</v>
      </c>
      <c r="M367" s="124" t="s">
        <v>3222</v>
      </c>
      <c r="N367" s="143">
        <v>43822</v>
      </c>
      <c r="O367" s="143">
        <v>43787</v>
      </c>
      <c r="P367" s="36">
        <v>2021</v>
      </c>
      <c r="Q367" s="143">
        <v>38369</v>
      </c>
      <c r="R367" s="144" t="s">
        <v>3142</v>
      </c>
      <c r="S367" s="151"/>
      <c r="T367" s="122" t="s">
        <v>3143</v>
      </c>
      <c r="U367" s="122" t="s">
        <v>3144</v>
      </c>
      <c r="V367" s="213" t="s">
        <v>3145</v>
      </c>
    </row>
    <row r="368" spans="1:23" ht="12.75" customHeight="1" x14ac:dyDescent="0.15">
      <c r="A368" s="250" t="s">
        <v>4265</v>
      </c>
      <c r="B368" s="103" t="s">
        <v>2807</v>
      </c>
      <c r="C368" s="104" t="s">
        <v>1653</v>
      </c>
      <c r="D368" s="122" t="s">
        <v>107</v>
      </c>
      <c r="E368" s="122" t="s">
        <v>934</v>
      </c>
      <c r="F368" s="123" t="s">
        <v>935</v>
      </c>
      <c r="G368" s="105" t="s">
        <v>936</v>
      </c>
      <c r="H368" s="124" t="s">
        <v>320</v>
      </c>
      <c r="I368" s="36">
        <v>256</v>
      </c>
      <c r="J368" s="104" t="str">
        <f t="shared" ref="J368" si="109">VLOOKUP(I368,CAT_JOUEUR,2,FALSE)</f>
        <v>Arrêt (supprimer Licence)</v>
      </c>
      <c r="K368" s="210">
        <v>256</v>
      </c>
      <c r="L368" s="105" t="str">
        <f t="shared" ref="L368" si="110">VLOOKUP(K368,CAT_JOUEUR,2,FALSE)</f>
        <v>Arrêt (supprimer Licence)</v>
      </c>
      <c r="M368" s="124" t="s">
        <v>3097</v>
      </c>
      <c r="N368" s="143">
        <v>39764</v>
      </c>
      <c r="O368" s="143">
        <v>39764</v>
      </c>
      <c r="P368" s="211" t="s">
        <v>210</v>
      </c>
      <c r="Q368" s="143">
        <v>24453</v>
      </c>
      <c r="R368" s="144" t="s">
        <v>244</v>
      </c>
      <c r="S368" s="144"/>
      <c r="T368" s="122" t="s">
        <v>1994</v>
      </c>
      <c r="U368" s="145" t="s">
        <v>1995</v>
      </c>
      <c r="V368" s="146" t="s">
        <v>1997</v>
      </c>
    </row>
    <row r="369" spans="1:23" ht="12.75" customHeight="1" x14ac:dyDescent="0.15">
      <c r="A369" s="250" t="s">
        <v>4265</v>
      </c>
      <c r="B369" s="103" t="s">
        <v>3388</v>
      </c>
      <c r="C369" s="104" t="s">
        <v>3389</v>
      </c>
      <c r="D369" s="122" t="s">
        <v>3387</v>
      </c>
      <c r="E369" s="122" t="s">
        <v>2320</v>
      </c>
      <c r="F369" s="123" t="s">
        <v>2321</v>
      </c>
      <c r="G369" s="105" t="s">
        <v>2322</v>
      </c>
      <c r="H369" s="124" t="s">
        <v>320</v>
      </c>
      <c r="I369" s="36">
        <v>256</v>
      </c>
      <c r="J369" s="104" t="str">
        <f t="shared" ref="J369" si="111">VLOOKUP(I369,CAT_JOUEUR,2,FALSE)</f>
        <v>Arrêt (supprimer Licence)</v>
      </c>
      <c r="K369" s="210">
        <v>2</v>
      </c>
      <c r="L369" s="105" t="str">
        <f t="shared" ref="L369" si="112">VLOOKUP(K369,CAT_JOUEUR,2,FALSE)</f>
        <v>Seniors - Hommes</v>
      </c>
      <c r="M369" s="124" t="s">
        <v>3431</v>
      </c>
      <c r="N369" s="143">
        <v>44061</v>
      </c>
      <c r="O369" s="143">
        <v>44044</v>
      </c>
      <c r="P369" s="36">
        <v>2027</v>
      </c>
      <c r="Q369" s="143">
        <v>35718</v>
      </c>
      <c r="R369" s="144" t="s">
        <v>3428</v>
      </c>
      <c r="S369" s="151"/>
      <c r="T369" s="122"/>
      <c r="U369" s="122" t="s">
        <v>3430</v>
      </c>
      <c r="V369" s="213" t="s">
        <v>3429</v>
      </c>
    </row>
    <row r="370" spans="1:23" ht="12.75" customHeight="1" x14ac:dyDescent="0.15">
      <c r="A370" s="250" t="s">
        <v>4265</v>
      </c>
      <c r="B370" s="103" t="s">
        <v>983</v>
      </c>
      <c r="C370" s="104" t="s">
        <v>984</v>
      </c>
      <c r="D370" s="122" t="s">
        <v>2141</v>
      </c>
      <c r="E370" s="122" t="s">
        <v>985</v>
      </c>
      <c r="F370" s="123" t="s">
        <v>986</v>
      </c>
      <c r="G370" s="105" t="s">
        <v>800</v>
      </c>
      <c r="H370" s="124" t="s">
        <v>320</v>
      </c>
      <c r="I370" s="36">
        <v>252</v>
      </c>
      <c r="J370" s="104" t="str">
        <f t="shared" ref="J370" si="113">VLOOKUP(I370,CAT_JOUEUR,2,FALSE)</f>
        <v>Arrêt jeune (garder licence)</v>
      </c>
      <c r="K370" s="210">
        <v>256</v>
      </c>
      <c r="L370" s="105" t="str">
        <f t="shared" ref="L370" si="114">VLOOKUP(K370,CAT_JOUEUR,2,FALSE)</f>
        <v>Arrêt (supprimer Licence)</v>
      </c>
      <c r="M370" s="124" t="s">
        <v>3008</v>
      </c>
      <c r="N370" s="143">
        <v>43087</v>
      </c>
      <c r="O370" s="143">
        <v>43029</v>
      </c>
      <c r="P370" s="36">
        <v>2021</v>
      </c>
      <c r="Q370" s="143">
        <v>38591</v>
      </c>
      <c r="R370" s="144" t="s">
        <v>2142</v>
      </c>
      <c r="S370" s="144"/>
      <c r="T370" s="122"/>
      <c r="U370" s="153" t="s">
        <v>3504</v>
      </c>
      <c r="V370" s="70" t="s">
        <v>2143</v>
      </c>
    </row>
    <row r="371" spans="1:23" ht="12.75" customHeight="1" x14ac:dyDescent="0.15">
      <c r="A371" s="250" t="s">
        <v>4265</v>
      </c>
      <c r="B371" s="103" t="s">
        <v>2244</v>
      </c>
      <c r="C371" s="104" t="s">
        <v>2247</v>
      </c>
      <c r="D371" s="122" t="s">
        <v>107</v>
      </c>
      <c r="E371" s="122" t="s">
        <v>2245</v>
      </c>
      <c r="F371" s="123" t="s">
        <v>471</v>
      </c>
      <c r="G371" s="105" t="s">
        <v>135</v>
      </c>
      <c r="H371" s="124" t="s">
        <v>2246</v>
      </c>
      <c r="I371" s="36">
        <v>252</v>
      </c>
      <c r="J371" s="104" t="str">
        <f t="shared" ref="J371" si="115">VLOOKUP(I371,CAT_JOUEUR,2,FALSE)</f>
        <v>Arrêt jeune (garder licence)</v>
      </c>
      <c r="K371" s="210">
        <v>256</v>
      </c>
      <c r="L371" s="105" t="str">
        <f t="shared" ref="L371" si="116">VLOOKUP(K371,CAT_JOUEUR,2,FALSE)</f>
        <v>Arrêt (supprimer Licence)</v>
      </c>
      <c r="M371" s="124" t="s">
        <v>3025</v>
      </c>
      <c r="N371" s="143">
        <v>42499</v>
      </c>
      <c r="O371" s="143">
        <v>42499</v>
      </c>
      <c r="P371" s="36">
        <v>2017</v>
      </c>
      <c r="Q371" s="143">
        <v>38511</v>
      </c>
      <c r="R371" s="144" t="s">
        <v>2248</v>
      </c>
      <c r="S371" s="144"/>
      <c r="T371" s="122"/>
      <c r="U371" s="153" t="s">
        <v>3495</v>
      </c>
      <c r="V371" s="70" t="s">
        <v>2249</v>
      </c>
    </row>
    <row r="372" spans="1:23" ht="12.75" customHeight="1" x14ac:dyDescent="0.15">
      <c r="A372" s="250" t="s">
        <v>4265</v>
      </c>
      <c r="B372" s="103" t="s">
        <v>2536</v>
      </c>
      <c r="C372" s="104" t="s">
        <v>900</v>
      </c>
      <c r="D372" s="122" t="s">
        <v>107</v>
      </c>
      <c r="E372" s="122" t="s">
        <v>3494</v>
      </c>
      <c r="F372" s="123" t="s">
        <v>2538</v>
      </c>
      <c r="G372" s="105" t="s">
        <v>1051</v>
      </c>
      <c r="H372" s="124" t="s">
        <v>2539</v>
      </c>
      <c r="I372" s="36">
        <v>1</v>
      </c>
      <c r="J372" s="104" t="str">
        <f t="shared" ref="J372" si="117">VLOOKUP(I372,CAT_JOUEUR,2,FALSE)</f>
        <v>Officiel H</v>
      </c>
      <c r="K372" s="210">
        <v>256</v>
      </c>
      <c r="L372" s="105" t="str">
        <f t="shared" ref="L372" si="118">VLOOKUP(K372,CAT_JOUEUR,2,FALSE)</f>
        <v>Arrêt (supprimer Licence)</v>
      </c>
      <c r="M372" s="124" t="s">
        <v>2794</v>
      </c>
      <c r="N372" s="143">
        <v>43728</v>
      </c>
      <c r="O372" s="143">
        <v>43178</v>
      </c>
      <c r="P372" s="36" t="s">
        <v>242</v>
      </c>
      <c r="Q372" s="143">
        <v>26908</v>
      </c>
      <c r="R372" s="144" t="s">
        <v>2735</v>
      </c>
      <c r="S372" s="144"/>
      <c r="T372" s="122" t="s">
        <v>2541</v>
      </c>
      <c r="U372" s="122" t="s">
        <v>2548</v>
      </c>
      <c r="V372" s="70" t="s">
        <v>3462</v>
      </c>
    </row>
    <row r="373" spans="1:23" ht="12.75" customHeight="1" x14ac:dyDescent="0.15">
      <c r="A373" s="250" t="s">
        <v>4265</v>
      </c>
      <c r="B373" s="103" t="s">
        <v>1181</v>
      </c>
      <c r="C373" s="104" t="s">
        <v>1182</v>
      </c>
      <c r="D373" s="122" t="s">
        <v>107</v>
      </c>
      <c r="E373" s="122" t="s">
        <v>1049</v>
      </c>
      <c r="F373" s="123" t="s">
        <v>1050</v>
      </c>
      <c r="G373" s="105" t="s">
        <v>1051</v>
      </c>
      <c r="H373" s="124" t="s">
        <v>1052</v>
      </c>
      <c r="I373" s="36">
        <v>252</v>
      </c>
      <c r="J373" s="104" t="str">
        <f t="shared" ref="J373" si="119">VLOOKUP(I373,CAT_JOUEUR,2,FALSE)</f>
        <v>Arrêt jeune (garder licence)</v>
      </c>
      <c r="K373" s="210">
        <v>256</v>
      </c>
      <c r="L373" s="105" t="str">
        <f t="shared" ref="L373" si="120">VLOOKUP(K373,CAT_JOUEUR,2,FALSE)</f>
        <v>Arrêt (supprimer Licence)</v>
      </c>
      <c r="M373" s="124" t="s">
        <v>3083</v>
      </c>
      <c r="N373" s="143">
        <v>41936</v>
      </c>
      <c r="O373" s="143">
        <v>41937</v>
      </c>
      <c r="P373" s="211">
        <v>2021</v>
      </c>
      <c r="Q373" s="143">
        <v>38530</v>
      </c>
      <c r="R373" s="144" t="s">
        <v>2683</v>
      </c>
      <c r="S373" s="144"/>
      <c r="T373" s="122" t="s">
        <v>2389</v>
      </c>
      <c r="U373" s="145" t="s">
        <v>2684</v>
      </c>
      <c r="V373" s="146" t="s">
        <v>2390</v>
      </c>
    </row>
    <row r="374" spans="1:23" ht="12.75" customHeight="1" x14ac:dyDescent="0.15">
      <c r="A374" s="250" t="s">
        <v>4265</v>
      </c>
      <c r="B374" s="103" t="s">
        <v>3689</v>
      </c>
      <c r="C374" s="104" t="s">
        <v>3690</v>
      </c>
      <c r="D374" s="122" t="s">
        <v>107</v>
      </c>
      <c r="E374" s="122" t="s">
        <v>3691</v>
      </c>
      <c r="F374" s="123" t="s">
        <v>3692</v>
      </c>
      <c r="G374" s="105" t="s">
        <v>3693</v>
      </c>
      <c r="H374" s="124" t="s">
        <v>320</v>
      </c>
      <c r="I374" s="36">
        <v>19</v>
      </c>
      <c r="J374" s="105" t="str">
        <f t="shared" ref="J374" si="121">VLOOKUP(I374,CAT_JOUEUR,2,FALSE)</f>
        <v>Vétérans - Dames</v>
      </c>
      <c r="K374" s="210">
        <v>19</v>
      </c>
      <c r="L374" s="105" t="str">
        <f t="shared" ref="L374" si="122">VLOOKUP(K374,CAT_JOUEUR,2,FALSE)</f>
        <v>Vétérans - Dames</v>
      </c>
      <c r="M374" s="124" t="s">
        <v>3736</v>
      </c>
      <c r="N374" s="143">
        <v>44385</v>
      </c>
      <c r="O374" s="143">
        <v>44339</v>
      </c>
      <c r="P374" s="36">
        <v>2023</v>
      </c>
      <c r="Q374" s="143">
        <v>30831</v>
      </c>
      <c r="R374" s="144" t="s">
        <v>3694</v>
      </c>
      <c r="S374" s="151"/>
      <c r="T374" s="122"/>
      <c r="U374" s="122" t="s">
        <v>3695</v>
      </c>
      <c r="V374" s="213" t="s">
        <v>3696</v>
      </c>
    </row>
    <row r="375" spans="1:23" ht="12.75" customHeight="1" x14ac:dyDescent="0.15">
      <c r="A375" s="250" t="s">
        <v>4265</v>
      </c>
      <c r="B375" s="103" t="s">
        <v>4038</v>
      </c>
      <c r="C375" s="104" t="s">
        <v>4039</v>
      </c>
      <c r="D375" s="122" t="s">
        <v>107</v>
      </c>
      <c r="E375" s="122" t="s">
        <v>4040</v>
      </c>
      <c r="F375" s="123" t="s">
        <v>4041</v>
      </c>
      <c r="G375" s="105" t="s">
        <v>2870</v>
      </c>
      <c r="H375" s="124" t="s">
        <v>320</v>
      </c>
      <c r="I375" s="36">
        <v>2</v>
      </c>
      <c r="J375" s="105" t="str">
        <f t="shared" ref="J375" si="123">VLOOKUP(I375,CAT_JOUEUR,2,FALSE)</f>
        <v>Seniors - Hommes</v>
      </c>
      <c r="K375" s="210">
        <v>2</v>
      </c>
      <c r="L375" s="105" t="str">
        <f t="shared" ref="L375" si="124">VLOOKUP(K375,CAT_JOUEUR,2,FALSE)</f>
        <v>Seniors - Hommes</v>
      </c>
      <c r="M375" s="124" t="s">
        <v>4060</v>
      </c>
      <c r="N375" s="143">
        <v>44792</v>
      </c>
      <c r="O375" s="143">
        <v>44757</v>
      </c>
      <c r="P375" s="36">
        <v>2024</v>
      </c>
      <c r="Q375" s="143">
        <v>36819</v>
      </c>
      <c r="R375" s="144" t="s">
        <v>4042</v>
      </c>
      <c r="S375" s="151"/>
      <c r="T375" s="122"/>
      <c r="U375" s="153">
        <v>621355852</v>
      </c>
      <c r="V375" s="213" t="s">
        <v>4043</v>
      </c>
    </row>
    <row r="376" spans="1:23" ht="12.75" customHeight="1" x14ac:dyDescent="0.15">
      <c r="A376" s="250" t="s">
        <v>4265</v>
      </c>
      <c r="B376" s="103" t="s">
        <v>3645</v>
      </c>
      <c r="C376" s="104" t="s">
        <v>3646</v>
      </c>
      <c r="D376" s="122" t="s">
        <v>3647</v>
      </c>
      <c r="E376" s="122" t="s">
        <v>3649</v>
      </c>
      <c r="F376" s="123" t="s">
        <v>3650</v>
      </c>
      <c r="G376" s="105" t="s">
        <v>903</v>
      </c>
      <c r="H376" s="124" t="s">
        <v>320</v>
      </c>
      <c r="I376" s="36">
        <v>300</v>
      </c>
      <c r="J376" s="104" t="str">
        <f t="shared" ref="J376" si="125">VLOOKUP(I376,CAT_JOUEUR,2,FALSE)</f>
        <v>Prêt, sortie Mersch75</v>
      </c>
      <c r="K376" s="210">
        <v>2</v>
      </c>
      <c r="L376" s="105" t="str">
        <f t="shared" ref="L376" si="126">VLOOKUP(K376,CAT_JOUEUR,2,FALSE)</f>
        <v>Seniors - Hommes</v>
      </c>
      <c r="M376" s="124" t="s">
        <v>3659</v>
      </c>
      <c r="N376" s="143">
        <v>44278</v>
      </c>
      <c r="O376" s="143">
        <v>44244</v>
      </c>
      <c r="P376" s="36">
        <v>2031</v>
      </c>
      <c r="Q376" s="143">
        <v>33286</v>
      </c>
      <c r="R376" s="144" t="s">
        <v>3651</v>
      </c>
      <c r="S376" s="151"/>
      <c r="T376" s="122"/>
      <c r="U376" s="145" t="s">
        <v>4157</v>
      </c>
      <c r="V376" s="213" t="s">
        <v>3648</v>
      </c>
    </row>
    <row r="377" spans="1:23" ht="12.75" customHeight="1" x14ac:dyDescent="0.15">
      <c r="A377" s="250" t="s">
        <v>4265</v>
      </c>
      <c r="B377" s="103" t="s">
        <v>99</v>
      </c>
      <c r="C377" s="104" t="s">
        <v>103</v>
      </c>
      <c r="D377" s="122" t="s">
        <v>107</v>
      </c>
      <c r="E377" s="122" t="s">
        <v>109</v>
      </c>
      <c r="F377" s="123" t="s">
        <v>110</v>
      </c>
      <c r="G377" s="105" t="s">
        <v>111</v>
      </c>
      <c r="H377" s="124" t="s">
        <v>4376</v>
      </c>
      <c r="I377" s="36">
        <v>252</v>
      </c>
      <c r="J377" s="104" t="str">
        <f t="shared" ref="J377" si="127">VLOOKUP(I377,CAT_JOUEUR,2,FALSE)</f>
        <v>Arrêt jeune (garder licence)</v>
      </c>
      <c r="K377" s="210">
        <v>4</v>
      </c>
      <c r="L377" s="105" t="str">
        <f t="shared" ref="L377" si="128">VLOOKUP(K377,CAT_JOUEUR,2,FALSE)</f>
        <v>U 17 Hommes</v>
      </c>
      <c r="M377" s="124" t="s">
        <v>2917</v>
      </c>
      <c r="N377" s="143">
        <v>42493</v>
      </c>
      <c r="O377" s="143">
        <v>42493</v>
      </c>
      <c r="P377" s="36">
        <v>2021</v>
      </c>
      <c r="Q377" s="143">
        <v>39663</v>
      </c>
      <c r="R377" s="144" t="s">
        <v>207</v>
      </c>
      <c r="S377" s="144"/>
      <c r="T377" s="122"/>
      <c r="U377" s="153" t="s">
        <v>3511</v>
      </c>
      <c r="V377" s="70" t="s">
        <v>208</v>
      </c>
    </row>
    <row r="378" spans="1:23" ht="12.75" customHeight="1" x14ac:dyDescent="0.15">
      <c r="A378" s="250" t="s">
        <v>4265</v>
      </c>
      <c r="B378" s="103" t="s">
        <v>399</v>
      </c>
      <c r="C378" s="104" t="s">
        <v>467</v>
      </c>
      <c r="D378" s="122" t="s">
        <v>401</v>
      </c>
      <c r="E378" s="122" t="s">
        <v>402</v>
      </c>
      <c r="F378" s="123" t="s">
        <v>403</v>
      </c>
      <c r="G378" s="105" t="s">
        <v>404</v>
      </c>
      <c r="H378" s="124" t="s">
        <v>405</v>
      </c>
      <c r="I378" s="36">
        <v>4</v>
      </c>
      <c r="J378" s="105" t="str">
        <f t="shared" ref="J378" si="129">VLOOKUP(I378,CAT_JOUEUR,2,FALSE)</f>
        <v>U 17 Hommes</v>
      </c>
      <c r="K378" s="210">
        <v>3</v>
      </c>
      <c r="L378" s="105" t="str">
        <f t="shared" ref="L378" si="130">VLOOKUP(K378,CAT_JOUEUR,2,FALSE)</f>
        <v>U 21 Hommes</v>
      </c>
      <c r="M378" s="124" t="s">
        <v>2923</v>
      </c>
      <c r="N378" s="143">
        <v>43027</v>
      </c>
      <c r="O378" s="143">
        <v>42491</v>
      </c>
      <c r="P378" s="36">
        <v>2025</v>
      </c>
      <c r="Q378" s="143">
        <v>38476</v>
      </c>
      <c r="R378" s="144" t="s">
        <v>472</v>
      </c>
      <c r="S378" s="122" t="s">
        <v>413</v>
      </c>
      <c r="T378" s="122"/>
      <c r="U378" s="153" t="s">
        <v>3510</v>
      </c>
      <c r="V378" s="70" t="s">
        <v>473</v>
      </c>
    </row>
    <row r="379" spans="1:23" ht="12.75" customHeight="1" x14ac:dyDescent="0.15">
      <c r="A379" s="250" t="s">
        <v>4265</v>
      </c>
      <c r="B379" s="103" t="s">
        <v>686</v>
      </c>
      <c r="C379" s="104" t="s">
        <v>687</v>
      </c>
      <c r="D379" s="122" t="s">
        <v>1368</v>
      </c>
      <c r="E379" s="122" t="s">
        <v>690</v>
      </c>
      <c r="F379" s="123" t="s">
        <v>692</v>
      </c>
      <c r="G379" s="105" t="s">
        <v>266</v>
      </c>
      <c r="H379" s="124" t="s">
        <v>694</v>
      </c>
      <c r="I379" s="36">
        <v>21</v>
      </c>
      <c r="J379" s="105" t="str">
        <f t="shared" ref="J379:J382" si="131">VLOOKUP(I379,CAT_JOUEUR,2,FALSE)</f>
        <v>U7 Mixte</v>
      </c>
      <c r="K379" s="210">
        <v>21</v>
      </c>
      <c r="L379" s="105" t="str">
        <f t="shared" ref="L379:L382" si="132">VLOOKUP(K379,CAT_JOUEUR,2,FALSE)</f>
        <v>U7 Mixte</v>
      </c>
      <c r="M379" s="124" t="s">
        <v>2936</v>
      </c>
      <c r="N379" s="143">
        <v>39771</v>
      </c>
      <c r="O379" s="143">
        <v>39771</v>
      </c>
      <c r="P379" s="211">
        <v>2024</v>
      </c>
      <c r="Q379" s="143">
        <v>38286</v>
      </c>
      <c r="R379" s="144" t="s">
        <v>1372</v>
      </c>
      <c r="S379" s="122" t="s">
        <v>1373</v>
      </c>
      <c r="T379" s="122"/>
      <c r="U379" s="145" t="s">
        <v>1374</v>
      </c>
      <c r="V379" s="70" t="s">
        <v>1375</v>
      </c>
    </row>
    <row r="380" spans="1:23" ht="12.75" customHeight="1" x14ac:dyDescent="0.15">
      <c r="A380" s="250" t="s">
        <v>4265</v>
      </c>
      <c r="B380" s="103" t="s">
        <v>686</v>
      </c>
      <c r="C380" s="104" t="s">
        <v>697</v>
      </c>
      <c r="D380" s="122" t="s">
        <v>1368</v>
      </c>
      <c r="E380" s="122" t="s">
        <v>690</v>
      </c>
      <c r="F380" s="123" t="s">
        <v>692</v>
      </c>
      <c r="G380" s="105" t="s">
        <v>266</v>
      </c>
      <c r="H380" s="124" t="s">
        <v>694</v>
      </c>
      <c r="I380" s="36">
        <v>212</v>
      </c>
      <c r="J380" s="105" t="str">
        <f t="shared" si="131"/>
        <v>Contact famille</v>
      </c>
      <c r="K380" s="210">
        <v>212</v>
      </c>
      <c r="L380" s="105" t="str">
        <f t="shared" si="132"/>
        <v>Contact famille</v>
      </c>
      <c r="M380" s="124"/>
      <c r="N380" s="143" t="s">
        <v>242</v>
      </c>
      <c r="O380" s="143" t="s">
        <v>242</v>
      </c>
      <c r="P380" s="211" t="s">
        <v>242</v>
      </c>
      <c r="Q380" s="143" t="s">
        <v>242</v>
      </c>
      <c r="R380" s="144" t="s">
        <v>244</v>
      </c>
      <c r="S380" s="122"/>
      <c r="T380" s="122"/>
      <c r="U380" s="145" t="s">
        <v>1385</v>
      </c>
      <c r="V380" s="70" t="s">
        <v>1375</v>
      </c>
    </row>
    <row r="381" spans="1:23" ht="12.75" customHeight="1" x14ac:dyDescent="0.15">
      <c r="A381" s="250" t="s">
        <v>4265</v>
      </c>
      <c r="B381" s="103" t="s">
        <v>686</v>
      </c>
      <c r="C381" s="104" t="s">
        <v>698</v>
      </c>
      <c r="D381" s="122" t="s">
        <v>1368</v>
      </c>
      <c r="E381" s="122" t="s">
        <v>690</v>
      </c>
      <c r="F381" s="123" t="s">
        <v>692</v>
      </c>
      <c r="G381" s="105" t="s">
        <v>266</v>
      </c>
      <c r="H381" s="124" t="s">
        <v>694</v>
      </c>
      <c r="I381" s="36">
        <v>14</v>
      </c>
      <c r="J381" s="105" t="str">
        <f t="shared" si="131"/>
        <v>U 17 Dames</v>
      </c>
      <c r="K381" s="210">
        <v>14</v>
      </c>
      <c r="L381" s="105" t="str">
        <f t="shared" si="132"/>
        <v>U 17 Dames</v>
      </c>
      <c r="M381" s="124" t="s">
        <v>2938</v>
      </c>
      <c r="N381" s="143">
        <v>41628</v>
      </c>
      <c r="O381" s="143">
        <v>41628</v>
      </c>
      <c r="P381" s="211">
        <v>2021</v>
      </c>
      <c r="Q381" s="143">
        <v>39640</v>
      </c>
      <c r="R381" s="144" t="s">
        <v>1386</v>
      </c>
      <c r="S381" s="122" t="s">
        <v>1373</v>
      </c>
      <c r="T381" s="122"/>
      <c r="U381" s="145" t="s">
        <v>1374</v>
      </c>
      <c r="V381" s="70" t="s">
        <v>1375</v>
      </c>
    </row>
    <row r="382" spans="1:23" ht="12.75" customHeight="1" x14ac:dyDescent="0.15">
      <c r="A382" s="250" t="s">
        <v>4265</v>
      </c>
      <c r="B382" s="103" t="s">
        <v>699</v>
      </c>
      <c r="C382" s="104" t="s">
        <v>700</v>
      </c>
      <c r="D382" s="122" t="s">
        <v>1368</v>
      </c>
      <c r="E382" s="122" t="s">
        <v>690</v>
      </c>
      <c r="F382" s="123" t="s">
        <v>692</v>
      </c>
      <c r="G382" s="105" t="s">
        <v>266</v>
      </c>
      <c r="H382" s="124" t="s">
        <v>694</v>
      </c>
      <c r="I382" s="36">
        <v>212</v>
      </c>
      <c r="J382" s="105" t="str">
        <f t="shared" si="131"/>
        <v>Contact famille</v>
      </c>
      <c r="K382" s="210">
        <v>212</v>
      </c>
      <c r="L382" s="105" t="str">
        <f t="shared" si="132"/>
        <v>Contact famille</v>
      </c>
      <c r="N382" s="211" t="s">
        <v>242</v>
      </c>
      <c r="O382" s="211" t="s">
        <v>242</v>
      </c>
      <c r="P382" s="211" t="s">
        <v>242</v>
      </c>
      <c r="Q382" s="211" t="s">
        <v>242</v>
      </c>
      <c r="R382" s="144" t="s">
        <v>244</v>
      </c>
      <c r="S382" s="122"/>
      <c r="T382" s="122"/>
      <c r="U382" s="145" t="s">
        <v>1374</v>
      </c>
      <c r="V382" s="146" t="s">
        <v>1390</v>
      </c>
    </row>
    <row r="383" spans="1:23" ht="12.75" customHeight="1" x14ac:dyDescent="0.15">
      <c r="A383" s="250" t="s">
        <v>4265</v>
      </c>
      <c r="B383" s="103" t="s">
        <v>1469</v>
      </c>
      <c r="C383" s="104" t="s">
        <v>1470</v>
      </c>
      <c r="D383" s="122" t="s">
        <v>107</v>
      </c>
      <c r="E383" s="122" t="s">
        <v>1471</v>
      </c>
      <c r="F383" s="123" t="s">
        <v>240</v>
      </c>
      <c r="G383" s="105" t="s">
        <v>135</v>
      </c>
      <c r="H383" s="124" t="s">
        <v>4376</v>
      </c>
      <c r="I383" s="36">
        <v>252</v>
      </c>
      <c r="J383" s="104" t="str">
        <f t="shared" ref="J383" si="133">VLOOKUP(I383,CAT_JOUEUR,2,FALSE)</f>
        <v>Arrêt jeune (garder licence)</v>
      </c>
      <c r="K383" s="210">
        <v>4</v>
      </c>
      <c r="L383" s="105" t="str">
        <f t="shared" ref="L383" si="134">VLOOKUP(K383,CAT_JOUEUR,2,FALSE)</f>
        <v>U 17 Hommes</v>
      </c>
      <c r="M383" s="124" t="s">
        <v>2940</v>
      </c>
      <c r="N383" s="143">
        <v>43035</v>
      </c>
      <c r="O383" s="143">
        <v>42979</v>
      </c>
      <c r="P383" s="36">
        <v>2027</v>
      </c>
      <c r="Q383" s="143">
        <v>38929</v>
      </c>
      <c r="R383" s="144" t="s">
        <v>1479</v>
      </c>
      <c r="S383" s="122" t="s">
        <v>1480</v>
      </c>
      <c r="T383" s="122" t="s">
        <v>1481</v>
      </c>
      <c r="U383" s="122" t="s">
        <v>1482</v>
      </c>
      <c r="W383" s="122"/>
    </row>
    <row r="384" spans="1:23" ht="12.75" customHeight="1" x14ac:dyDescent="0.15">
      <c r="A384" s="250" t="s">
        <v>4265</v>
      </c>
      <c r="B384" s="103" t="s">
        <v>718</v>
      </c>
      <c r="C384" s="104" t="s">
        <v>719</v>
      </c>
      <c r="D384" s="122" t="s">
        <v>1554</v>
      </c>
      <c r="E384" s="105" t="s">
        <v>720</v>
      </c>
      <c r="F384" s="123" t="s">
        <v>721</v>
      </c>
      <c r="G384" s="105" t="s">
        <v>215</v>
      </c>
      <c r="H384" s="124" t="s">
        <v>4376</v>
      </c>
      <c r="I384" s="36">
        <v>252</v>
      </c>
      <c r="J384" s="104" t="str">
        <f t="shared" ref="J384" si="135">VLOOKUP(I384,CAT_JOUEUR,2,FALSE)</f>
        <v>Arrêt jeune (garder licence)</v>
      </c>
      <c r="K384" s="210">
        <v>4</v>
      </c>
      <c r="L384" s="105" t="str">
        <f t="shared" ref="L384" si="136">VLOOKUP(K384,CAT_JOUEUR,2,FALSE)</f>
        <v>U 17 Hommes</v>
      </c>
      <c r="M384" s="124" t="s">
        <v>2943</v>
      </c>
      <c r="N384" s="143">
        <v>42654</v>
      </c>
      <c r="O384" s="143">
        <v>42629</v>
      </c>
      <c r="P384" s="211">
        <v>2018</v>
      </c>
      <c r="Q384" s="143">
        <v>38839</v>
      </c>
      <c r="R384" s="144" t="s">
        <v>1562</v>
      </c>
      <c r="S384" s="144"/>
      <c r="T384" s="153" t="s">
        <v>1563</v>
      </c>
      <c r="U384" s="145" t="s">
        <v>1564</v>
      </c>
      <c r="V384" s="146" t="s">
        <v>1565</v>
      </c>
    </row>
    <row r="385" spans="1:23" ht="12.75" customHeight="1" x14ac:dyDescent="0.15">
      <c r="A385" s="250" t="s">
        <v>4265</v>
      </c>
      <c r="B385" s="103" t="s">
        <v>759</v>
      </c>
      <c r="C385" s="104" t="s">
        <v>760</v>
      </c>
      <c r="D385" s="105" t="s">
        <v>107</v>
      </c>
      <c r="E385" s="122" t="s">
        <v>761</v>
      </c>
      <c r="F385" s="123" t="s">
        <v>256</v>
      </c>
      <c r="G385" s="105" t="s">
        <v>257</v>
      </c>
      <c r="H385" s="124" t="s">
        <v>763</v>
      </c>
      <c r="I385" s="36">
        <v>21</v>
      </c>
      <c r="J385" s="105" t="str">
        <f t="shared" ref="J385" si="137">VLOOKUP(I385,CAT_JOUEUR,2,FALSE)</f>
        <v>U7 Mixte</v>
      </c>
      <c r="K385" s="210">
        <v>21</v>
      </c>
      <c r="L385" s="105" t="str">
        <f t="shared" ref="L385" si="138">VLOOKUP(K385,CAT_JOUEUR,2,FALSE)</f>
        <v>U7 Mixte</v>
      </c>
      <c r="M385" s="124" t="s">
        <v>2952</v>
      </c>
      <c r="N385" s="143">
        <v>42290</v>
      </c>
      <c r="O385" s="143">
        <v>42290</v>
      </c>
      <c r="P385" s="211">
        <v>2024</v>
      </c>
      <c r="Q385" s="143">
        <v>38251</v>
      </c>
      <c r="R385" s="144" t="s">
        <v>1763</v>
      </c>
      <c r="S385" s="122" t="s">
        <v>1764</v>
      </c>
      <c r="T385" s="122"/>
      <c r="U385" s="145" t="s">
        <v>1765</v>
      </c>
      <c r="V385" s="146" t="s">
        <v>1766</v>
      </c>
    </row>
    <row r="386" spans="1:23" ht="12.75" customHeight="1" x14ac:dyDescent="0.15">
      <c r="A386" s="250" t="s">
        <v>4265</v>
      </c>
      <c r="B386" s="103" t="s">
        <v>609</v>
      </c>
      <c r="C386" s="104" t="s">
        <v>623</v>
      </c>
      <c r="D386" s="122" t="s">
        <v>107</v>
      </c>
      <c r="E386" s="122" t="s">
        <v>1872</v>
      </c>
      <c r="F386" s="123" t="s">
        <v>612</v>
      </c>
      <c r="G386" s="105" t="s">
        <v>613</v>
      </c>
      <c r="H386" s="124" t="s">
        <v>4376</v>
      </c>
      <c r="I386" s="36">
        <v>252</v>
      </c>
      <c r="J386" s="104" t="str">
        <f t="shared" ref="J386" si="139">VLOOKUP(I386,CAT_JOUEUR,2,FALSE)</f>
        <v>Arrêt jeune (garder licence)</v>
      </c>
      <c r="K386" s="210">
        <v>4</v>
      </c>
      <c r="L386" s="105" t="str">
        <f t="shared" ref="L386" si="140">VLOOKUP(K386,CAT_JOUEUR,2,FALSE)</f>
        <v>U 17 Hommes</v>
      </c>
      <c r="M386" s="124" t="s">
        <v>2971</v>
      </c>
      <c r="N386" s="143">
        <v>40638</v>
      </c>
      <c r="O386" s="143">
        <v>40638</v>
      </c>
      <c r="P386" s="211">
        <v>2021</v>
      </c>
      <c r="Q386" s="143">
        <v>38909</v>
      </c>
      <c r="R386" s="144" t="s">
        <v>2850</v>
      </c>
      <c r="S386" s="144"/>
      <c r="T386" s="122" t="s">
        <v>2852</v>
      </c>
      <c r="U386" s="122" t="s">
        <v>2851</v>
      </c>
      <c r="V386" s="70" t="s">
        <v>1876</v>
      </c>
    </row>
    <row r="387" spans="1:23" ht="12.75" customHeight="1" x14ac:dyDescent="0.15">
      <c r="A387" s="250" t="s">
        <v>4265</v>
      </c>
      <c r="B387" s="103" t="s">
        <v>1416</v>
      </c>
      <c r="C387" s="104" t="s">
        <v>3116</v>
      </c>
      <c r="D387" s="122" t="s">
        <v>107</v>
      </c>
      <c r="E387" s="122" t="s">
        <v>3117</v>
      </c>
      <c r="F387" s="123" t="s">
        <v>2518</v>
      </c>
      <c r="G387" s="105" t="s">
        <v>241</v>
      </c>
      <c r="H387" s="124" t="s">
        <v>4376</v>
      </c>
      <c r="I387" s="36">
        <v>252</v>
      </c>
      <c r="J387" s="104" t="str">
        <f t="shared" ref="J387" si="141">VLOOKUP(I387,CAT_JOUEUR,2,FALSE)</f>
        <v>Arrêt jeune (garder licence)</v>
      </c>
      <c r="K387" s="210">
        <v>4</v>
      </c>
      <c r="L387" s="105" t="str">
        <f t="shared" ref="L387" si="142">VLOOKUP(K387,CAT_JOUEUR,2,FALSE)</f>
        <v>U 17 Hommes</v>
      </c>
      <c r="M387" s="124" t="s">
        <v>3123</v>
      </c>
      <c r="N387" s="143">
        <v>43782</v>
      </c>
      <c r="O387" s="143">
        <v>43780</v>
      </c>
      <c r="P387" s="36">
        <v>2023</v>
      </c>
      <c r="Q387" s="143">
        <v>39505</v>
      </c>
      <c r="R387" s="144" t="s">
        <v>3118</v>
      </c>
      <c r="S387" s="122" t="s">
        <v>3119</v>
      </c>
      <c r="T387" s="122" t="s">
        <v>3120</v>
      </c>
      <c r="U387" s="122" t="s">
        <v>3121</v>
      </c>
      <c r="V387" s="213" t="s">
        <v>3122</v>
      </c>
    </row>
    <row r="388" spans="1:23" ht="12.75" customHeight="1" x14ac:dyDescent="0.15">
      <c r="A388" s="250" t="s">
        <v>4265</v>
      </c>
      <c r="B388" s="103" t="s">
        <v>2057</v>
      </c>
      <c r="C388" s="104" t="s">
        <v>2060</v>
      </c>
      <c r="D388" s="122" t="s">
        <v>107</v>
      </c>
      <c r="E388" s="122" t="s">
        <v>2026</v>
      </c>
      <c r="F388" s="123" t="s">
        <v>617</v>
      </c>
      <c r="G388" s="105" t="s">
        <v>257</v>
      </c>
      <c r="H388" s="124" t="s">
        <v>4376</v>
      </c>
      <c r="I388" s="36">
        <v>252</v>
      </c>
      <c r="J388" s="104" t="str">
        <f t="shared" ref="J388:J389" si="143">VLOOKUP(I388,CAT_JOUEUR,2,FALSE)</f>
        <v>Arrêt jeune (garder licence)</v>
      </c>
      <c r="K388" s="210">
        <v>4</v>
      </c>
      <c r="L388" s="105" t="str">
        <f t="shared" ref="L388:L389" si="144">VLOOKUP(K388,CAT_JOUEUR,2,FALSE)</f>
        <v>U 17 Hommes</v>
      </c>
      <c r="M388" s="124" t="s">
        <v>2994</v>
      </c>
      <c r="N388" s="143">
        <v>43035</v>
      </c>
      <c r="O388" s="143">
        <v>42993</v>
      </c>
      <c r="P388" s="36">
        <v>2021</v>
      </c>
      <c r="Q388" s="143">
        <v>39014</v>
      </c>
      <c r="R388" s="144" t="s">
        <v>2061</v>
      </c>
      <c r="S388" s="144"/>
      <c r="T388" s="122" t="s">
        <v>2062</v>
      </c>
      <c r="U388" s="122" t="s">
        <v>2063</v>
      </c>
      <c r="W388" s="122"/>
    </row>
    <row r="389" spans="1:23" ht="12.75" customHeight="1" x14ac:dyDescent="0.15">
      <c r="A389" s="250" t="s">
        <v>4265</v>
      </c>
      <c r="B389" s="103" t="s">
        <v>2057</v>
      </c>
      <c r="C389" s="104" t="s">
        <v>467</v>
      </c>
      <c r="D389" s="122" t="s">
        <v>107</v>
      </c>
      <c r="E389" s="122" t="s">
        <v>2026</v>
      </c>
      <c r="F389" s="123" t="s">
        <v>617</v>
      </c>
      <c r="G389" s="105" t="s">
        <v>257</v>
      </c>
      <c r="H389" s="124" t="s">
        <v>4376</v>
      </c>
      <c r="I389" s="36">
        <v>252</v>
      </c>
      <c r="J389" s="104" t="str">
        <f t="shared" si="143"/>
        <v>Arrêt jeune (garder licence)</v>
      </c>
      <c r="K389" s="210">
        <v>4</v>
      </c>
      <c r="L389" s="105" t="str">
        <f t="shared" si="144"/>
        <v>U 17 Hommes</v>
      </c>
      <c r="M389" s="124" t="s">
        <v>2995</v>
      </c>
      <c r="N389" s="143">
        <v>43035</v>
      </c>
      <c r="O389" s="143">
        <v>42993</v>
      </c>
      <c r="P389" s="36">
        <v>2021</v>
      </c>
      <c r="Q389" s="143">
        <v>39582</v>
      </c>
      <c r="R389" s="144" t="s">
        <v>2064</v>
      </c>
      <c r="S389" s="144"/>
      <c r="T389" s="122" t="s">
        <v>2062</v>
      </c>
      <c r="U389" s="122" t="s">
        <v>2063</v>
      </c>
      <c r="W389" s="122"/>
    </row>
    <row r="390" spans="1:23" ht="12.75" customHeight="1" x14ac:dyDescent="0.15">
      <c r="A390" s="250" t="s">
        <v>4265</v>
      </c>
      <c r="B390" s="103" t="s">
        <v>356</v>
      </c>
      <c r="C390" s="104" t="s">
        <v>2081</v>
      </c>
      <c r="D390" s="122" t="s">
        <v>2082</v>
      </c>
      <c r="E390" s="122" t="s">
        <v>1850</v>
      </c>
      <c r="F390" s="123" t="s">
        <v>670</v>
      </c>
      <c r="G390" s="105" t="s">
        <v>223</v>
      </c>
      <c r="H390" s="124" t="s">
        <v>4376</v>
      </c>
      <c r="I390" s="36">
        <v>252</v>
      </c>
      <c r="J390" s="104" t="str">
        <f t="shared" ref="J390" si="145">VLOOKUP(I390,CAT_JOUEUR,2,FALSE)</f>
        <v>Arrêt jeune (garder licence)</v>
      </c>
      <c r="K390" s="210">
        <v>4</v>
      </c>
      <c r="L390" s="105" t="str">
        <f t="shared" ref="L390" si="146">VLOOKUP(K390,CAT_JOUEUR,2,FALSE)</f>
        <v>U 17 Hommes</v>
      </c>
      <c r="M390" s="124" t="s">
        <v>2999</v>
      </c>
      <c r="N390" s="143">
        <v>42917</v>
      </c>
      <c r="O390" s="143">
        <v>42882</v>
      </c>
      <c r="P390" s="36">
        <v>2018</v>
      </c>
      <c r="Q390" s="143">
        <v>38932</v>
      </c>
      <c r="R390" s="144" t="s">
        <v>2083</v>
      </c>
      <c r="S390" s="144"/>
      <c r="T390" s="122"/>
      <c r="U390" s="153" t="s">
        <v>3507</v>
      </c>
      <c r="V390" s="70" t="s">
        <v>2073</v>
      </c>
    </row>
    <row r="391" spans="1:23" ht="12.75" customHeight="1" x14ac:dyDescent="0.15">
      <c r="A391" s="250" t="s">
        <v>4265</v>
      </c>
      <c r="B391" s="103" t="s">
        <v>2172</v>
      </c>
      <c r="C391" s="104" t="s">
        <v>2171</v>
      </c>
      <c r="D391" s="122" t="s">
        <v>1681</v>
      </c>
      <c r="E391" s="122" t="s">
        <v>1801</v>
      </c>
      <c r="F391" s="123" t="s">
        <v>504</v>
      </c>
      <c r="G391" s="105" t="s">
        <v>241</v>
      </c>
      <c r="H391" s="124" t="s">
        <v>4376</v>
      </c>
      <c r="I391" s="36">
        <v>252</v>
      </c>
      <c r="J391" s="104" t="str">
        <f t="shared" ref="J391" si="147">VLOOKUP(I391,CAT_JOUEUR,2,FALSE)</f>
        <v>Arrêt jeune (garder licence)</v>
      </c>
      <c r="K391" s="210">
        <v>4</v>
      </c>
      <c r="L391" s="105" t="str">
        <f t="shared" ref="L391" si="148">VLOOKUP(K391,CAT_JOUEUR,2,FALSE)</f>
        <v>U 17 Hommes</v>
      </c>
      <c r="M391" s="124" t="s">
        <v>3012</v>
      </c>
      <c r="N391" s="143">
        <v>42774</v>
      </c>
      <c r="O391" s="143">
        <v>42763</v>
      </c>
      <c r="P391" s="36">
        <v>2023</v>
      </c>
      <c r="Q391" s="143">
        <v>39802</v>
      </c>
      <c r="R391" s="144" t="s">
        <v>2173</v>
      </c>
      <c r="S391" s="144"/>
      <c r="T391" s="122"/>
      <c r="U391" s="153" t="s">
        <v>3503</v>
      </c>
      <c r="V391" s="70" t="s">
        <v>1802</v>
      </c>
    </row>
    <row r="392" spans="1:23" ht="12.75" customHeight="1" x14ac:dyDescent="0.15">
      <c r="A392" s="250" t="s">
        <v>4265</v>
      </c>
      <c r="B392" s="103" t="s">
        <v>2190</v>
      </c>
      <c r="C392" s="104" t="s">
        <v>438</v>
      </c>
      <c r="D392" s="122" t="s">
        <v>107</v>
      </c>
      <c r="E392" s="122" t="s">
        <v>2191</v>
      </c>
      <c r="F392" s="123" t="s">
        <v>1496</v>
      </c>
      <c r="G392" s="105" t="s">
        <v>1497</v>
      </c>
      <c r="H392" s="124" t="s">
        <v>4376</v>
      </c>
      <c r="I392" s="36">
        <v>252</v>
      </c>
      <c r="J392" s="104" t="str">
        <f t="shared" ref="J392" si="149">VLOOKUP(I392,CAT_JOUEUR,2,FALSE)</f>
        <v>Arrêt jeune (garder licence)</v>
      </c>
      <c r="K392" s="210">
        <v>4</v>
      </c>
      <c r="L392" s="105" t="str">
        <f t="shared" ref="L392" si="150">VLOOKUP(K392,CAT_JOUEUR,2,FALSE)</f>
        <v>U 17 Hommes</v>
      </c>
      <c r="M392" s="124" t="s">
        <v>3018</v>
      </c>
      <c r="N392" s="143">
        <v>43178</v>
      </c>
      <c r="O392" s="143">
        <v>43171</v>
      </c>
      <c r="P392" s="36">
        <v>2021</v>
      </c>
      <c r="Q392" s="143">
        <v>39744</v>
      </c>
      <c r="R392" s="144" t="s">
        <v>2192</v>
      </c>
      <c r="S392" s="122" t="s">
        <v>2193</v>
      </c>
      <c r="T392" s="122"/>
      <c r="U392" s="122" t="s">
        <v>2194</v>
      </c>
      <c r="V392" s="70" t="s">
        <v>2195</v>
      </c>
    </row>
    <row r="393" spans="1:23" ht="12.75" customHeight="1" x14ac:dyDescent="0.15">
      <c r="A393" s="250" t="s">
        <v>4265</v>
      </c>
      <c r="B393" s="103" t="s">
        <v>2250</v>
      </c>
      <c r="C393" s="104" t="s">
        <v>2255</v>
      </c>
      <c r="D393" s="122" t="s">
        <v>2251</v>
      </c>
      <c r="E393" s="122" t="s">
        <v>2252</v>
      </c>
      <c r="F393" s="123" t="s">
        <v>2253</v>
      </c>
      <c r="G393" s="105" t="s">
        <v>266</v>
      </c>
      <c r="H393" s="124" t="s">
        <v>4376</v>
      </c>
      <c r="I393" s="36">
        <v>252</v>
      </c>
      <c r="J393" s="104" t="str">
        <f t="shared" ref="J393" si="151">VLOOKUP(I393,CAT_JOUEUR,2,FALSE)</f>
        <v>Arrêt jeune (garder licence)</v>
      </c>
      <c r="K393" s="210">
        <v>4</v>
      </c>
      <c r="L393" s="105" t="str">
        <f t="shared" ref="L393" si="152">VLOOKUP(K393,CAT_JOUEUR,2,FALSE)</f>
        <v>U 17 Hommes</v>
      </c>
      <c r="M393" s="124" t="s">
        <v>3026</v>
      </c>
      <c r="N393" s="143">
        <v>43364</v>
      </c>
      <c r="O393" s="143">
        <v>43311</v>
      </c>
      <c r="P393" s="36">
        <v>2021</v>
      </c>
      <c r="Q393" s="143">
        <v>39794</v>
      </c>
      <c r="R393" s="144" t="s">
        <v>2256</v>
      </c>
      <c r="S393" s="122" t="s">
        <v>2254</v>
      </c>
      <c r="T393" s="122"/>
      <c r="U393" s="122" t="s">
        <v>2257</v>
      </c>
      <c r="V393" s="70" t="s">
        <v>2258</v>
      </c>
    </row>
    <row r="394" spans="1:23" ht="12.75" customHeight="1" x14ac:dyDescent="0.15">
      <c r="A394" s="250" t="s">
        <v>4265</v>
      </c>
      <c r="B394" s="103" t="s">
        <v>1011</v>
      </c>
      <c r="C394" s="104" t="s">
        <v>2335</v>
      </c>
      <c r="D394" s="122" t="s">
        <v>107</v>
      </c>
      <c r="E394" s="122" t="s">
        <v>1013</v>
      </c>
      <c r="F394" s="123" t="s">
        <v>1014</v>
      </c>
      <c r="G394" s="105" t="s">
        <v>241</v>
      </c>
      <c r="H394" s="124" t="s">
        <v>1015</v>
      </c>
      <c r="I394" s="36">
        <v>21</v>
      </c>
      <c r="J394" s="105" t="str">
        <f t="shared" ref="J394" si="153">VLOOKUP(I394,CAT_JOUEUR,2,FALSE)</f>
        <v>U7 Mixte</v>
      </c>
      <c r="K394" s="210">
        <v>21</v>
      </c>
      <c r="L394" s="105" t="str">
        <f t="shared" ref="L394" si="154">VLOOKUP(K394,CAT_JOUEUR,2,FALSE)</f>
        <v>U7 Mixte</v>
      </c>
      <c r="M394" s="124" t="s">
        <v>3032</v>
      </c>
      <c r="N394" s="143">
        <v>43126</v>
      </c>
      <c r="O394" s="143">
        <v>43122</v>
      </c>
      <c r="P394" s="36">
        <v>2024</v>
      </c>
      <c r="Q394" s="143">
        <v>38184</v>
      </c>
      <c r="R394" s="144" t="s">
        <v>2336</v>
      </c>
      <c r="S394" s="122" t="s">
        <v>2333</v>
      </c>
      <c r="T394" s="122"/>
      <c r="U394" s="122" t="s">
        <v>2337</v>
      </c>
      <c r="V394" s="70" t="s">
        <v>2334</v>
      </c>
    </row>
    <row r="395" spans="1:23" ht="12.75" customHeight="1" x14ac:dyDescent="0.15">
      <c r="A395" s="250" t="s">
        <v>4265</v>
      </c>
      <c r="B395" s="103" t="s">
        <v>2459</v>
      </c>
      <c r="C395" s="104" t="s">
        <v>623</v>
      </c>
      <c r="D395" s="122" t="s">
        <v>107</v>
      </c>
      <c r="E395" s="122" t="s">
        <v>2462</v>
      </c>
      <c r="F395" s="123" t="s">
        <v>293</v>
      </c>
      <c r="G395" s="105" t="s">
        <v>294</v>
      </c>
      <c r="H395" s="124" t="s">
        <v>2460</v>
      </c>
      <c r="I395" s="36">
        <v>221</v>
      </c>
      <c r="J395" s="105" t="str">
        <f t="shared" ref="J395" si="155">VLOOKUP(I395,CAT_JOUEUR,2,FALSE)</f>
        <v>Arrêt temporaire licencié</v>
      </c>
      <c r="K395" s="210">
        <v>21</v>
      </c>
      <c r="L395" s="105" t="str">
        <f t="shared" ref="L395" si="156">VLOOKUP(K395,CAT_JOUEUR,2,FALSE)</f>
        <v>U7 Mixte</v>
      </c>
      <c r="M395" s="124" t="s">
        <v>3054</v>
      </c>
      <c r="N395" s="143">
        <v>40924</v>
      </c>
      <c r="O395" s="143">
        <v>40872</v>
      </c>
      <c r="P395" s="211">
        <v>2017</v>
      </c>
      <c r="Q395" s="143">
        <v>38576</v>
      </c>
      <c r="R395" s="144" t="s">
        <v>2466</v>
      </c>
      <c r="S395" s="144"/>
      <c r="T395" s="122"/>
      <c r="U395" s="145" t="s">
        <v>2464</v>
      </c>
      <c r="V395" s="146" t="s">
        <v>2465</v>
      </c>
    </row>
    <row r="396" spans="1:23" ht="12.75" customHeight="1" x14ac:dyDescent="0.15">
      <c r="A396" s="250" t="s">
        <v>4265</v>
      </c>
      <c r="B396" s="103" t="s">
        <v>2459</v>
      </c>
      <c r="C396" s="104" t="s">
        <v>2461</v>
      </c>
      <c r="D396" s="122" t="s">
        <v>107</v>
      </c>
      <c r="E396" s="122" t="s">
        <v>2462</v>
      </c>
      <c r="F396" s="123" t="s">
        <v>293</v>
      </c>
      <c r="G396" s="105" t="s">
        <v>294</v>
      </c>
      <c r="H396" s="124" t="s">
        <v>2460</v>
      </c>
      <c r="I396" s="36">
        <v>221</v>
      </c>
      <c r="J396" s="105" t="str">
        <f t="shared" ref="J396" si="157">VLOOKUP(I396,CAT_JOUEUR,2,FALSE)</f>
        <v>Arrêt temporaire licencié</v>
      </c>
      <c r="K396" s="210">
        <v>14</v>
      </c>
      <c r="L396" s="105" t="str">
        <f t="shared" ref="L396" si="158">VLOOKUP(K396,CAT_JOUEUR,2,FALSE)</f>
        <v>U 17 Dames</v>
      </c>
      <c r="M396" s="124" t="s">
        <v>3053</v>
      </c>
      <c r="N396" s="143">
        <v>40872</v>
      </c>
      <c r="O396" s="143">
        <v>40872</v>
      </c>
      <c r="P396" s="211">
        <v>2017</v>
      </c>
      <c r="Q396" s="143">
        <v>38576</v>
      </c>
      <c r="R396" s="144" t="s">
        <v>2463</v>
      </c>
      <c r="S396" s="144"/>
      <c r="T396" s="122"/>
      <c r="U396" s="145" t="s">
        <v>2464</v>
      </c>
      <c r="V396" s="146" t="s">
        <v>2465</v>
      </c>
    </row>
    <row r="397" spans="1:23" ht="12.75" customHeight="1" x14ac:dyDescent="0.15">
      <c r="A397" s="250" t="s">
        <v>4265</v>
      </c>
      <c r="B397" s="103" t="s">
        <v>2669</v>
      </c>
      <c r="C397" s="104" t="s">
        <v>2678</v>
      </c>
      <c r="D397" s="122" t="s">
        <v>107</v>
      </c>
      <c r="E397" s="122" t="s">
        <v>2679</v>
      </c>
      <c r="F397" s="123" t="s">
        <v>788</v>
      </c>
      <c r="G397" s="105" t="s">
        <v>789</v>
      </c>
      <c r="H397" s="124" t="s">
        <v>4376</v>
      </c>
      <c r="I397" s="36">
        <v>252</v>
      </c>
      <c r="J397" s="104" t="str">
        <f t="shared" ref="J397" si="159">VLOOKUP(I397,CAT_JOUEUR,2,FALSE)</f>
        <v>Arrêt jeune (garder licence)</v>
      </c>
      <c r="K397" s="210">
        <v>21</v>
      </c>
      <c r="L397" s="105" t="str">
        <f t="shared" ref="L397" si="160">VLOOKUP(K397,CAT_JOUEUR,2,FALSE)</f>
        <v>U7 Mixte</v>
      </c>
      <c r="M397" s="124" t="s">
        <v>3082</v>
      </c>
      <c r="N397" s="143">
        <v>40539</v>
      </c>
      <c r="O397" s="143">
        <v>40539</v>
      </c>
      <c r="P397" s="211">
        <v>2018</v>
      </c>
      <c r="Q397" s="143">
        <v>38777</v>
      </c>
      <c r="R397" s="144" t="s">
        <v>2680</v>
      </c>
      <c r="S397" s="144"/>
      <c r="T397" s="122"/>
      <c r="U397" s="145" t="s">
        <v>2681</v>
      </c>
      <c r="V397" s="146" t="s">
        <v>2674</v>
      </c>
    </row>
    <row r="398" spans="1:23" ht="12.75" customHeight="1" x14ac:dyDescent="0.15">
      <c r="A398" s="250" t="s">
        <v>4265</v>
      </c>
      <c r="B398" s="103" t="s">
        <v>2639</v>
      </c>
      <c r="C398" s="104" t="s">
        <v>745</v>
      </c>
      <c r="D398" s="122" t="s">
        <v>2643</v>
      </c>
      <c r="E398" s="122" t="s">
        <v>2640</v>
      </c>
      <c r="F398" s="123" t="s">
        <v>2234</v>
      </c>
      <c r="G398" s="105" t="s">
        <v>800</v>
      </c>
      <c r="H398" s="124" t="s">
        <v>2641</v>
      </c>
      <c r="I398" s="36">
        <v>21</v>
      </c>
      <c r="J398" s="105" t="str">
        <f t="shared" ref="J398" si="161">VLOOKUP(I398,CAT_JOUEUR,2,FALSE)</f>
        <v>U7 Mixte</v>
      </c>
      <c r="K398" s="210">
        <v>21</v>
      </c>
      <c r="L398" s="105" t="str">
        <f t="shared" ref="L398" si="162">VLOOKUP(K398,CAT_JOUEUR,2,FALSE)</f>
        <v>U7 Mixte</v>
      </c>
      <c r="M398" s="124" t="s">
        <v>3078</v>
      </c>
      <c r="N398" s="143">
        <v>43369</v>
      </c>
      <c r="O398" s="143">
        <v>43363</v>
      </c>
      <c r="P398" s="36">
        <v>2026</v>
      </c>
      <c r="Q398" s="143">
        <v>38969</v>
      </c>
      <c r="R398" s="144" t="s">
        <v>2644</v>
      </c>
      <c r="S398" s="122" t="s">
        <v>2642</v>
      </c>
      <c r="T398" s="122" t="s">
        <v>2645</v>
      </c>
      <c r="U398" s="122" t="s">
        <v>2646</v>
      </c>
      <c r="V398" s="70" t="s">
        <v>2647</v>
      </c>
    </row>
    <row r="399" spans="1:23" ht="12.75" customHeight="1" x14ac:dyDescent="0.15">
      <c r="A399" s="250" t="s">
        <v>4265</v>
      </c>
      <c r="B399" s="103" t="s">
        <v>1194</v>
      </c>
      <c r="C399" s="104" t="s">
        <v>1195</v>
      </c>
      <c r="D399" s="122" t="s">
        <v>107</v>
      </c>
      <c r="E399" s="122" t="s">
        <v>1196</v>
      </c>
      <c r="F399" s="123" t="s">
        <v>1197</v>
      </c>
      <c r="G399" s="105" t="s">
        <v>800</v>
      </c>
      <c r="H399" s="124" t="s">
        <v>4376</v>
      </c>
      <c r="I399" s="36">
        <v>252</v>
      </c>
      <c r="J399" s="104" t="str">
        <f t="shared" ref="J399" si="163">VLOOKUP(I399,CAT_JOUEUR,2,FALSE)</f>
        <v>Arrêt jeune (garder licence)</v>
      </c>
      <c r="K399" s="210">
        <v>21</v>
      </c>
      <c r="L399" s="105" t="str">
        <f t="shared" ref="L399" si="164">VLOOKUP(K399,CAT_JOUEUR,2,FALSE)</f>
        <v>U7 Mixte</v>
      </c>
      <c r="M399" s="124" t="s">
        <v>3087</v>
      </c>
      <c r="N399" s="143">
        <v>42501</v>
      </c>
      <c r="O399" s="143">
        <v>42501</v>
      </c>
      <c r="P399" s="36">
        <v>2021</v>
      </c>
      <c r="Q399" s="143">
        <v>38817</v>
      </c>
      <c r="R399" s="144" t="s">
        <v>2705</v>
      </c>
      <c r="S399" s="122" t="s">
        <v>2706</v>
      </c>
      <c r="T399" s="153" t="s">
        <v>2707</v>
      </c>
      <c r="U399" s="122" t="s">
        <v>2708</v>
      </c>
      <c r="V399" s="70" t="s">
        <v>2709</v>
      </c>
    </row>
    <row r="400" spans="1:23" ht="12.75" customHeight="1" x14ac:dyDescent="0.15">
      <c r="A400" s="250" t="s">
        <v>4265</v>
      </c>
      <c r="B400" s="103" t="s">
        <v>3184</v>
      </c>
      <c r="C400" s="104" t="s">
        <v>1077</v>
      </c>
      <c r="D400" s="122" t="s">
        <v>107</v>
      </c>
      <c r="E400" s="122" t="s">
        <v>3185</v>
      </c>
      <c r="F400" s="123" t="s">
        <v>492</v>
      </c>
      <c r="G400" s="105" t="s">
        <v>493</v>
      </c>
      <c r="H400" s="124" t="s">
        <v>4376</v>
      </c>
      <c r="I400" s="36">
        <v>252</v>
      </c>
      <c r="J400" s="104" t="str">
        <f t="shared" ref="J400" si="165">VLOOKUP(I400,CAT_JOUEUR,2,FALSE)</f>
        <v>Arrêt jeune (garder licence)</v>
      </c>
      <c r="K400" s="210">
        <v>21</v>
      </c>
      <c r="L400" s="105" t="str">
        <f t="shared" ref="L400" si="166">VLOOKUP(K400,CAT_JOUEUR,2,FALSE)</f>
        <v>U7 Mixte</v>
      </c>
      <c r="M400" s="124" t="s">
        <v>3223</v>
      </c>
      <c r="N400" s="143">
        <v>43843</v>
      </c>
      <c r="O400" s="143">
        <v>43802</v>
      </c>
      <c r="P400" s="36">
        <v>2021</v>
      </c>
      <c r="Q400" s="143">
        <v>38840</v>
      </c>
      <c r="R400" s="144" t="s">
        <v>3188</v>
      </c>
      <c r="S400" s="122" t="s">
        <v>3189</v>
      </c>
      <c r="T400" s="122"/>
      <c r="U400" s="122" t="s">
        <v>3190</v>
      </c>
      <c r="V400" s="213" t="s">
        <v>3194</v>
      </c>
    </row>
    <row r="401" spans="1:22" ht="12.75" customHeight="1" x14ac:dyDescent="0.15">
      <c r="A401" s="250" t="s">
        <v>4265</v>
      </c>
      <c r="B401" s="103" t="s">
        <v>316</v>
      </c>
      <c r="C401" s="104" t="s">
        <v>289</v>
      </c>
      <c r="D401" s="122" t="s">
        <v>107</v>
      </c>
      <c r="E401" s="122" t="s">
        <v>317</v>
      </c>
      <c r="F401" s="123" t="s">
        <v>318</v>
      </c>
      <c r="G401" s="105" t="s">
        <v>319</v>
      </c>
      <c r="H401" s="124" t="s">
        <v>320</v>
      </c>
      <c r="I401" s="36">
        <v>12</v>
      </c>
      <c r="J401" s="105" t="s">
        <v>64</v>
      </c>
      <c r="K401" s="36">
        <v>12</v>
      </c>
      <c r="L401" s="105" t="s">
        <v>64</v>
      </c>
      <c r="M401" s="124" t="s">
        <v>2918</v>
      </c>
      <c r="N401" s="143">
        <v>42920</v>
      </c>
      <c r="O401" s="143">
        <v>42887</v>
      </c>
      <c r="P401" s="36">
        <v>2029</v>
      </c>
      <c r="Q401" s="143">
        <v>36234</v>
      </c>
      <c r="R401" s="144" t="s">
        <v>3641</v>
      </c>
      <c r="S401" s="122"/>
      <c r="T401" s="122"/>
      <c r="U401" s="153" t="s">
        <v>3643</v>
      </c>
      <c r="V401" s="212" t="s">
        <v>3642</v>
      </c>
    </row>
    <row r="402" spans="1:22" ht="12.75" customHeight="1" x14ac:dyDescent="0.15">
      <c r="A402" s="250" t="s">
        <v>4265</v>
      </c>
      <c r="B402" s="103" t="s">
        <v>288</v>
      </c>
      <c r="C402" s="104" t="s">
        <v>289</v>
      </c>
      <c r="D402" s="122" t="s">
        <v>107</v>
      </c>
      <c r="E402" s="122" t="s">
        <v>291</v>
      </c>
      <c r="F402" s="123" t="s">
        <v>293</v>
      </c>
      <c r="G402" s="105" t="s">
        <v>294</v>
      </c>
      <c r="H402" s="124" t="s">
        <v>320</v>
      </c>
      <c r="I402" s="36">
        <v>255</v>
      </c>
      <c r="J402" s="105" t="str">
        <f t="shared" ref="J402" si="167">VLOOKUP(I402,CAT_JOUEUR,2,FALSE)</f>
        <v>Arrêt</v>
      </c>
      <c r="K402" s="210">
        <v>12</v>
      </c>
      <c r="L402" s="105" t="str">
        <f t="shared" ref="L402" si="168">VLOOKUP(K402,CAT_JOUEUR,2,FALSE)</f>
        <v>Dames</v>
      </c>
      <c r="M402" s="124" t="s">
        <v>3434</v>
      </c>
      <c r="N402" s="143">
        <v>44061</v>
      </c>
      <c r="O402" s="143">
        <v>44052</v>
      </c>
      <c r="P402" s="36">
        <v>2022</v>
      </c>
      <c r="Q402" s="143">
        <v>36546</v>
      </c>
      <c r="R402" s="144" t="s">
        <v>3425</v>
      </c>
      <c r="S402" s="122" t="s">
        <v>304</v>
      </c>
      <c r="T402" s="122"/>
      <c r="U402" s="122" t="s">
        <v>3426</v>
      </c>
      <c r="V402" s="213" t="s">
        <v>3427</v>
      </c>
    </row>
    <row r="403" spans="1:22" ht="12.75" customHeight="1" x14ac:dyDescent="0.15">
      <c r="A403" s="250" t="s">
        <v>4265</v>
      </c>
      <c r="B403" s="103" t="s">
        <v>853</v>
      </c>
      <c r="C403" s="104" t="s">
        <v>174</v>
      </c>
      <c r="D403" s="122" t="s">
        <v>107</v>
      </c>
      <c r="E403" s="122" t="s">
        <v>1857</v>
      </c>
      <c r="F403" s="123" t="s">
        <v>1858</v>
      </c>
      <c r="G403" s="105" t="s">
        <v>1859</v>
      </c>
      <c r="H403" s="124" t="s">
        <v>320</v>
      </c>
      <c r="I403" s="36">
        <v>12</v>
      </c>
      <c r="J403" s="105" t="str">
        <f t="shared" ref="J403" si="169">VLOOKUP(I403,CAT_JOUEUR,2,FALSE)</f>
        <v>Dames</v>
      </c>
      <c r="K403" s="210">
        <v>12</v>
      </c>
      <c r="L403" s="105" t="str">
        <f t="shared" ref="L403" si="170">VLOOKUP(K403,CAT_JOUEUR,2,FALSE)</f>
        <v>Dames</v>
      </c>
      <c r="M403" s="124" t="s">
        <v>2967</v>
      </c>
      <c r="N403" s="143">
        <v>43424</v>
      </c>
      <c r="O403" s="143">
        <v>43416</v>
      </c>
      <c r="P403" s="36">
        <v>2024</v>
      </c>
      <c r="Q403" s="143">
        <v>34523</v>
      </c>
      <c r="R403" s="144" t="s">
        <v>1860</v>
      </c>
      <c r="S403" s="122" t="s">
        <v>1861</v>
      </c>
      <c r="T403" s="122"/>
      <c r="U403" s="122" t="s">
        <v>1862</v>
      </c>
      <c r="V403" s="70" t="s">
        <v>1863</v>
      </c>
    </row>
    <row r="404" spans="1:22" ht="12.75" customHeight="1" x14ac:dyDescent="0.15">
      <c r="A404" s="250" t="s">
        <v>4265</v>
      </c>
      <c r="B404" s="103" t="s">
        <v>2271</v>
      </c>
      <c r="C404" s="104" t="s">
        <v>2272</v>
      </c>
      <c r="D404" s="122" t="s">
        <v>107</v>
      </c>
      <c r="E404" s="122" t="s">
        <v>2273</v>
      </c>
      <c r="F404" s="123" t="s">
        <v>2274</v>
      </c>
      <c r="G404" s="105" t="s">
        <v>2275</v>
      </c>
      <c r="H404" s="124" t="s">
        <v>320</v>
      </c>
      <c r="I404" s="36">
        <v>12</v>
      </c>
      <c r="J404" s="105" t="str">
        <f t="shared" ref="J404:J405" si="171">VLOOKUP(I404,CAT_JOUEUR,2,FALSE)</f>
        <v>Dames</v>
      </c>
      <c r="K404" s="210">
        <v>12</v>
      </c>
      <c r="L404" s="105" t="str">
        <f t="shared" ref="L404:L405" si="172">VLOOKUP(K404,CAT_JOUEUR,2,FALSE)</f>
        <v>Dames</v>
      </c>
      <c r="M404" s="124" t="s">
        <v>3599</v>
      </c>
      <c r="N404" s="143">
        <v>44124</v>
      </c>
      <c r="O404" s="143">
        <v>42633</v>
      </c>
      <c r="P404" s="36">
        <v>2021</v>
      </c>
      <c r="Q404" s="143">
        <v>36715</v>
      </c>
      <c r="R404" s="144" t="s">
        <v>3564</v>
      </c>
      <c r="S404" s="122" t="s">
        <v>2278</v>
      </c>
      <c r="T404" s="122"/>
      <c r="U404" s="153" t="s">
        <v>3565</v>
      </c>
      <c r="V404" s="70" t="s">
        <v>2279</v>
      </c>
    </row>
    <row r="405" spans="1:22" ht="12.75" customHeight="1" x14ac:dyDescent="0.15">
      <c r="A405" s="250" t="s">
        <v>4265</v>
      </c>
      <c r="B405" s="103" t="s">
        <v>3697</v>
      </c>
      <c r="C405" s="104" t="s">
        <v>3698</v>
      </c>
      <c r="D405" s="122" t="s">
        <v>555</v>
      </c>
      <c r="E405" s="122" t="s">
        <v>3699</v>
      </c>
      <c r="F405" s="123" t="s">
        <v>3700</v>
      </c>
      <c r="G405" s="105" t="s">
        <v>3701</v>
      </c>
      <c r="H405" s="124" t="s">
        <v>320</v>
      </c>
      <c r="I405" s="36">
        <v>12</v>
      </c>
      <c r="J405" s="105" t="str">
        <f t="shared" si="171"/>
        <v>Dames</v>
      </c>
      <c r="K405" s="210">
        <v>12</v>
      </c>
      <c r="L405" s="105" t="str">
        <f t="shared" si="172"/>
        <v>Dames</v>
      </c>
      <c r="M405" s="124" t="s">
        <v>3735</v>
      </c>
      <c r="N405" s="143">
        <v>44385</v>
      </c>
      <c r="O405" s="143">
        <v>44342</v>
      </c>
      <c r="P405" s="36">
        <v>2027</v>
      </c>
      <c r="Q405" s="143">
        <v>35639</v>
      </c>
      <c r="R405" s="144" t="s">
        <v>3702</v>
      </c>
      <c r="S405" s="122" t="s">
        <v>3703</v>
      </c>
      <c r="T405" s="122"/>
      <c r="U405" s="122" t="s">
        <v>4156</v>
      </c>
      <c r="V405" s="213" t="s">
        <v>3704</v>
      </c>
    </row>
    <row r="406" spans="1:22" ht="12.75" customHeight="1" x14ac:dyDescent="0.15">
      <c r="A406" s="250" t="s">
        <v>4265</v>
      </c>
      <c r="B406" s="103" t="s">
        <v>3331</v>
      </c>
      <c r="C406" s="104" t="s">
        <v>2480</v>
      </c>
      <c r="D406" s="122" t="s">
        <v>107</v>
      </c>
      <c r="E406" s="122" t="s">
        <v>3676</v>
      </c>
      <c r="F406" s="123" t="s">
        <v>3677</v>
      </c>
      <c r="G406" s="105" t="s">
        <v>1179</v>
      </c>
      <c r="H406" s="124" t="s">
        <v>1699</v>
      </c>
      <c r="I406" s="36">
        <v>14</v>
      </c>
      <c r="J406" s="105" t="str">
        <f t="shared" ref="J406" si="173">VLOOKUP(I406,CAT_JOUEUR,2,FALSE)</f>
        <v>U 17 Dames</v>
      </c>
      <c r="K406" s="210">
        <v>14</v>
      </c>
      <c r="L406" s="105" t="str">
        <f t="shared" ref="L406" si="174">VLOOKUP(K406,CAT_JOUEUR,2,FALSE)</f>
        <v>U 17 Dames</v>
      </c>
      <c r="M406" s="124" t="s">
        <v>3714</v>
      </c>
      <c r="N406" s="143">
        <v>44350</v>
      </c>
      <c r="O406" s="143">
        <v>44330</v>
      </c>
      <c r="P406" s="36">
        <v>2026</v>
      </c>
      <c r="Q406" s="143">
        <v>39024</v>
      </c>
      <c r="R406" s="144" t="s">
        <v>3678</v>
      </c>
      <c r="S406" s="151"/>
      <c r="T406" s="122"/>
      <c r="U406" s="122" t="s">
        <v>3679</v>
      </c>
      <c r="V406" s="213" t="s">
        <v>3680</v>
      </c>
    </row>
    <row r="407" spans="1:22" ht="12.75" customHeight="1" x14ac:dyDescent="0.15">
      <c r="A407" s="250" t="s">
        <v>4265</v>
      </c>
      <c r="B407" s="241" t="s">
        <v>1626</v>
      </c>
      <c r="C407" s="104" t="s">
        <v>753</v>
      </c>
      <c r="D407" s="122" t="s">
        <v>107</v>
      </c>
      <c r="E407" s="122" t="s">
        <v>1627</v>
      </c>
      <c r="F407" s="123" t="s">
        <v>1628</v>
      </c>
      <c r="G407" s="105" t="s">
        <v>223</v>
      </c>
      <c r="H407" s="124" t="s">
        <v>320</v>
      </c>
      <c r="I407" s="36">
        <v>2</v>
      </c>
      <c r="J407" s="105" t="str">
        <f t="shared" ref="J407" si="175">VLOOKUP(I407,CAT_JOUEUR,2,FALSE)</f>
        <v>Seniors - Hommes</v>
      </c>
      <c r="K407" s="210">
        <v>2</v>
      </c>
      <c r="L407" s="105" t="str">
        <f t="shared" ref="L407" si="176">VLOOKUP(K407,CAT_JOUEUR,2,FALSE)</f>
        <v>Seniors - Hommes</v>
      </c>
      <c r="M407" s="124" t="s">
        <v>3071</v>
      </c>
      <c r="N407" s="143">
        <v>42901</v>
      </c>
      <c r="O407" s="143">
        <v>39923</v>
      </c>
      <c r="P407" s="211">
        <v>2027</v>
      </c>
      <c r="Q407" s="143">
        <v>35543</v>
      </c>
      <c r="R407" s="123" t="s">
        <v>2586</v>
      </c>
      <c r="S407" s="122" t="s">
        <v>1630</v>
      </c>
      <c r="T407" s="122"/>
      <c r="U407" s="145" t="s">
        <v>2587</v>
      </c>
      <c r="V407" s="146" t="s">
        <v>2588</v>
      </c>
    </row>
    <row r="408" spans="1:22" ht="12.75" customHeight="1" x14ac:dyDescent="0.15">
      <c r="A408" s="250" t="s">
        <v>4265</v>
      </c>
      <c r="B408" s="103" t="s">
        <v>399</v>
      </c>
      <c r="C408" s="104" t="s">
        <v>400</v>
      </c>
      <c r="D408" s="122" t="s">
        <v>401</v>
      </c>
      <c r="E408" s="122" t="s">
        <v>402</v>
      </c>
      <c r="F408" s="123" t="s">
        <v>403</v>
      </c>
      <c r="G408" s="105" t="s">
        <v>404</v>
      </c>
      <c r="H408" s="124" t="s">
        <v>405</v>
      </c>
      <c r="I408" s="36">
        <v>212</v>
      </c>
      <c r="J408" s="105" t="str">
        <f t="shared" ref="J408:J411" si="177">VLOOKUP(I408,CAT_JOUEUR,2,FALSE)</f>
        <v>Contact famille</v>
      </c>
      <c r="K408" s="210">
        <v>212</v>
      </c>
      <c r="L408" s="105" t="str">
        <f t="shared" ref="L408:L411" si="178">VLOOKUP(K408,CAT_JOUEUR,2,FALSE)</f>
        <v>Contact famille</v>
      </c>
      <c r="M408" s="124"/>
      <c r="N408" s="143" t="s">
        <v>242</v>
      </c>
      <c r="O408" s="143" t="s">
        <v>242</v>
      </c>
      <c r="P408" s="36" t="s">
        <v>242</v>
      </c>
      <c r="Q408" s="36" t="s">
        <v>242</v>
      </c>
      <c r="R408" s="144" t="s">
        <v>244</v>
      </c>
      <c r="S408" s="144"/>
      <c r="T408" s="122" t="s">
        <v>413</v>
      </c>
      <c r="U408" s="153" t="s">
        <v>2713</v>
      </c>
      <c r="V408" s="70"/>
    </row>
    <row r="409" spans="1:22" ht="12.75" customHeight="1" x14ac:dyDescent="0.15">
      <c r="A409" s="250" t="s">
        <v>4265</v>
      </c>
      <c r="B409" s="103" t="s">
        <v>399</v>
      </c>
      <c r="C409" s="104" t="s">
        <v>423</v>
      </c>
      <c r="D409" s="122" t="s">
        <v>401</v>
      </c>
      <c r="E409" s="122" t="s">
        <v>402</v>
      </c>
      <c r="F409" s="123" t="s">
        <v>403</v>
      </c>
      <c r="G409" s="105" t="s">
        <v>404</v>
      </c>
      <c r="H409" s="124" t="s">
        <v>4376</v>
      </c>
      <c r="I409" s="36">
        <v>252</v>
      </c>
      <c r="J409" s="104" t="str">
        <f t="shared" si="177"/>
        <v>Arrêt jeune (garder licence)</v>
      </c>
      <c r="K409" s="210">
        <v>2</v>
      </c>
      <c r="L409" s="105" t="str">
        <f t="shared" si="178"/>
        <v>Seniors - Hommes</v>
      </c>
      <c r="M409" s="124" t="s">
        <v>2921</v>
      </c>
      <c r="N409" s="143">
        <v>43160</v>
      </c>
      <c r="O409" s="143">
        <v>43158</v>
      </c>
      <c r="P409" s="36">
        <v>2023</v>
      </c>
      <c r="Q409" s="143">
        <v>37701</v>
      </c>
      <c r="R409" s="144" t="s">
        <v>446</v>
      </c>
      <c r="S409" s="144"/>
      <c r="T409" s="122" t="s">
        <v>413</v>
      </c>
      <c r="U409" s="122" t="s">
        <v>449</v>
      </c>
      <c r="V409" s="70" t="s">
        <v>450</v>
      </c>
    </row>
    <row r="410" spans="1:22" ht="12.75" customHeight="1" x14ac:dyDescent="0.15">
      <c r="A410" s="250" t="s">
        <v>4265</v>
      </c>
      <c r="B410" s="103" t="s">
        <v>399</v>
      </c>
      <c r="C410" s="104" t="s">
        <v>453</v>
      </c>
      <c r="D410" s="122" t="s">
        <v>401</v>
      </c>
      <c r="E410" s="122" t="s">
        <v>402</v>
      </c>
      <c r="F410" s="123" t="s">
        <v>403</v>
      </c>
      <c r="G410" s="105" t="s">
        <v>404</v>
      </c>
      <c r="H410" s="124" t="s">
        <v>405</v>
      </c>
      <c r="I410" s="36">
        <v>2</v>
      </c>
      <c r="J410" s="105" t="str">
        <f t="shared" si="177"/>
        <v>Seniors - Hommes</v>
      </c>
      <c r="K410" s="210">
        <v>2</v>
      </c>
      <c r="L410" s="105" t="str">
        <f t="shared" si="178"/>
        <v>Seniors - Hommes</v>
      </c>
      <c r="M410" s="124" t="s">
        <v>2922</v>
      </c>
      <c r="N410" s="143">
        <v>40645</v>
      </c>
      <c r="O410" s="143">
        <v>42628</v>
      </c>
      <c r="P410" s="211">
        <v>2031</v>
      </c>
      <c r="Q410" s="143">
        <v>37023</v>
      </c>
      <c r="R410" s="144" t="s">
        <v>461</v>
      </c>
      <c r="S410" s="144"/>
      <c r="T410" s="122" t="s">
        <v>413</v>
      </c>
      <c r="U410" s="145" t="s">
        <v>462</v>
      </c>
      <c r="V410" s="146" t="s">
        <v>463</v>
      </c>
    </row>
    <row r="411" spans="1:22" ht="12.75" customHeight="1" x14ac:dyDescent="0.15">
      <c r="A411" s="250" t="s">
        <v>4265</v>
      </c>
      <c r="B411" s="103" t="s">
        <v>2773</v>
      </c>
      <c r="C411" s="104" t="s">
        <v>482</v>
      </c>
      <c r="D411" s="122" t="s">
        <v>2772</v>
      </c>
      <c r="E411" s="122" t="s">
        <v>402</v>
      </c>
      <c r="F411" s="123" t="s">
        <v>403</v>
      </c>
      <c r="G411" s="105" t="s">
        <v>404</v>
      </c>
      <c r="H411" s="124" t="s">
        <v>405</v>
      </c>
      <c r="I411" s="36">
        <v>11</v>
      </c>
      <c r="J411" s="105" t="str">
        <f t="shared" si="177"/>
        <v>Officiel D</v>
      </c>
      <c r="K411" s="210">
        <v>11</v>
      </c>
      <c r="L411" s="105" t="str">
        <f t="shared" si="178"/>
        <v>Officiel D</v>
      </c>
      <c r="M411" s="124" t="s">
        <v>2892</v>
      </c>
      <c r="N411" s="143" t="s">
        <v>242</v>
      </c>
      <c r="O411" s="143">
        <v>43733</v>
      </c>
      <c r="P411" s="36" t="s">
        <v>242</v>
      </c>
      <c r="Q411" s="143">
        <v>27751</v>
      </c>
      <c r="R411" s="144" t="s">
        <v>2771</v>
      </c>
      <c r="S411" s="144"/>
      <c r="T411" s="122" t="s">
        <v>413</v>
      </c>
      <c r="U411" s="153" t="s">
        <v>2770</v>
      </c>
      <c r="V411" s="213" t="s">
        <v>3324</v>
      </c>
    </row>
    <row r="412" spans="1:22" ht="12.75" customHeight="1" x14ac:dyDescent="0.15">
      <c r="A412" s="345" t="s">
        <v>4382</v>
      </c>
      <c r="B412" s="103" t="s">
        <v>3442</v>
      </c>
      <c r="C412" s="104" t="s">
        <v>1882</v>
      </c>
      <c r="D412" s="122" t="s">
        <v>107</v>
      </c>
      <c r="E412" s="122" t="s">
        <v>3978</v>
      </c>
      <c r="F412" s="123" t="s">
        <v>3979</v>
      </c>
      <c r="G412" s="105" t="s">
        <v>1010</v>
      </c>
      <c r="H412" s="124" t="s">
        <v>320</v>
      </c>
      <c r="I412" s="36">
        <v>300</v>
      </c>
      <c r="J412" s="105" t="str">
        <f t="shared" ref="J412:J422" si="179">VLOOKUP(I412,CAT_JOUEUR,2,FALSE)</f>
        <v>Prêt, sortie Mersch75</v>
      </c>
      <c r="K412" s="210">
        <v>12</v>
      </c>
      <c r="L412" s="105" t="str">
        <f t="shared" ref="L412:L421" si="180">VLOOKUP(K412,CAT_JOUEUR,2,FALSE)</f>
        <v>Dames</v>
      </c>
      <c r="M412" s="124" t="s">
        <v>3453</v>
      </c>
      <c r="N412" s="143">
        <v>44076</v>
      </c>
      <c r="O412" s="143">
        <v>44068</v>
      </c>
      <c r="P412" s="36">
        <v>2022</v>
      </c>
      <c r="Q412" s="143">
        <v>33784</v>
      </c>
      <c r="R412" s="144" t="s">
        <v>3443</v>
      </c>
      <c r="S412" s="122"/>
      <c r="T412" s="145" t="s">
        <v>4161</v>
      </c>
      <c r="U412" s="145" t="s">
        <v>3982</v>
      </c>
      <c r="V412" s="152" t="s">
        <v>3444</v>
      </c>
    </row>
    <row r="413" spans="1:22" ht="12.75" customHeight="1" x14ac:dyDescent="0.15">
      <c r="A413" s="345" t="s">
        <v>4382</v>
      </c>
      <c r="B413" s="103" t="s">
        <v>335</v>
      </c>
      <c r="C413" s="104" t="s">
        <v>927</v>
      </c>
      <c r="D413" s="122" t="s">
        <v>107</v>
      </c>
      <c r="E413" s="122" t="s">
        <v>337</v>
      </c>
      <c r="F413" s="123" t="s">
        <v>338</v>
      </c>
      <c r="G413" s="105" t="s">
        <v>215</v>
      </c>
      <c r="H413" s="124" t="s">
        <v>4376</v>
      </c>
      <c r="I413" s="36">
        <v>256</v>
      </c>
      <c r="J413" s="104" t="str">
        <f t="shared" si="179"/>
        <v>Arrêt (supprimer Licence)</v>
      </c>
      <c r="K413" s="210">
        <v>4</v>
      </c>
      <c r="L413" s="105" t="str">
        <f t="shared" si="180"/>
        <v>U 17 Hommes</v>
      </c>
      <c r="M413" s="124" t="s">
        <v>2984</v>
      </c>
      <c r="N413" s="143">
        <v>40917</v>
      </c>
      <c r="O413" s="143">
        <v>40917</v>
      </c>
      <c r="P413" s="211">
        <v>2021</v>
      </c>
      <c r="Q413" s="143">
        <v>38818</v>
      </c>
      <c r="R413" s="144" t="s">
        <v>1972</v>
      </c>
      <c r="S413" s="122" t="s">
        <v>1973</v>
      </c>
      <c r="T413" s="122"/>
      <c r="U413" s="145" t="s">
        <v>1974</v>
      </c>
      <c r="V413" s="145" t="s">
        <v>342</v>
      </c>
    </row>
    <row r="414" spans="1:22" ht="12.75" customHeight="1" x14ac:dyDescent="0.15">
      <c r="A414" s="345" t="s">
        <v>4382</v>
      </c>
      <c r="B414" s="103" t="s">
        <v>4020</v>
      </c>
      <c r="C414" s="104" t="s">
        <v>623</v>
      </c>
      <c r="D414" s="122" t="s">
        <v>107</v>
      </c>
      <c r="E414" s="122" t="s">
        <v>4021</v>
      </c>
      <c r="F414" s="123" t="s">
        <v>4022</v>
      </c>
      <c r="G414" s="105" t="s">
        <v>2316</v>
      </c>
      <c r="H414" s="124" t="s">
        <v>320</v>
      </c>
      <c r="I414" s="36">
        <v>2</v>
      </c>
      <c r="J414" s="105" t="str">
        <f t="shared" si="179"/>
        <v>Seniors - Hommes</v>
      </c>
      <c r="K414" s="210">
        <v>2</v>
      </c>
      <c r="L414" s="105" t="str">
        <f t="shared" si="180"/>
        <v>Seniors - Hommes</v>
      </c>
      <c r="M414" s="124" t="s">
        <v>4058</v>
      </c>
      <c r="N414" s="143">
        <v>44792</v>
      </c>
      <c r="O414" s="143">
        <v>44757</v>
      </c>
      <c r="P414" s="36">
        <v>2030</v>
      </c>
      <c r="Q414" s="143">
        <v>36598</v>
      </c>
      <c r="R414" s="144" t="s">
        <v>4023</v>
      </c>
      <c r="S414" s="122"/>
      <c r="T414" s="122"/>
      <c r="U414" s="153">
        <v>691881301</v>
      </c>
      <c r="V414" s="152" t="s">
        <v>4024</v>
      </c>
    </row>
    <row r="415" spans="1:22" ht="12.75" customHeight="1" x14ac:dyDescent="0.15">
      <c r="A415" s="345" t="s">
        <v>4382</v>
      </c>
      <c r="B415" s="103" t="s">
        <v>1039</v>
      </c>
      <c r="C415" s="104" t="s">
        <v>1040</v>
      </c>
      <c r="D415" s="122" t="s">
        <v>107</v>
      </c>
      <c r="E415" s="122" t="s">
        <v>1041</v>
      </c>
      <c r="F415" s="123" t="s">
        <v>1042</v>
      </c>
      <c r="G415" s="105" t="s">
        <v>215</v>
      </c>
      <c r="H415" s="124" t="s">
        <v>1044</v>
      </c>
      <c r="I415" s="36">
        <v>303</v>
      </c>
      <c r="J415" s="105" t="str">
        <f t="shared" si="179"/>
        <v>Prêt gratuit pas équipe club origine</v>
      </c>
      <c r="K415" s="210">
        <v>4</v>
      </c>
      <c r="L415" s="105" t="str">
        <f t="shared" si="180"/>
        <v>U 17 Hommes</v>
      </c>
      <c r="M415" s="124" t="s">
        <v>3041</v>
      </c>
      <c r="N415" s="143">
        <v>42390</v>
      </c>
      <c r="O415" s="143">
        <v>42380</v>
      </c>
      <c r="P415" s="36">
        <v>2026</v>
      </c>
      <c r="Q415" s="143">
        <v>38902</v>
      </c>
      <c r="R415" s="144" t="s">
        <v>2381</v>
      </c>
      <c r="S415" s="122" t="s">
        <v>2380</v>
      </c>
      <c r="T415" s="122"/>
      <c r="U415" s="153" t="s">
        <v>3498</v>
      </c>
      <c r="V415" s="70" t="s">
        <v>2382</v>
      </c>
    </row>
    <row r="416" spans="1:22" ht="12.75" customHeight="1" x14ac:dyDescent="0.15">
      <c r="A416" s="345" t="s">
        <v>4382</v>
      </c>
      <c r="B416" s="103" t="s">
        <v>1039</v>
      </c>
      <c r="C416" s="104" t="s">
        <v>2387</v>
      </c>
      <c r="D416" s="122" t="s">
        <v>107</v>
      </c>
      <c r="E416" s="122" t="s">
        <v>1041</v>
      </c>
      <c r="F416" s="123" t="s">
        <v>1042</v>
      </c>
      <c r="G416" s="105" t="s">
        <v>215</v>
      </c>
      <c r="H416" s="124" t="s">
        <v>1044</v>
      </c>
      <c r="I416" s="36">
        <v>4</v>
      </c>
      <c r="J416" s="105" t="str">
        <f t="shared" si="179"/>
        <v>U 17 Hommes</v>
      </c>
      <c r="K416" s="210">
        <v>4</v>
      </c>
      <c r="L416" s="105" t="str">
        <f t="shared" si="180"/>
        <v>U 17 Hommes</v>
      </c>
      <c r="M416" s="124" t="s">
        <v>3042</v>
      </c>
      <c r="N416" s="143">
        <v>43439</v>
      </c>
      <c r="O416" s="143">
        <v>42380</v>
      </c>
      <c r="P416" s="36">
        <v>2025</v>
      </c>
      <c r="Q416" s="143">
        <v>39601</v>
      </c>
      <c r="R416" s="144" t="s">
        <v>2388</v>
      </c>
      <c r="S416" s="122" t="s">
        <v>2380</v>
      </c>
      <c r="T416" s="122"/>
      <c r="U416" s="153" t="s">
        <v>3498</v>
      </c>
      <c r="V416" s="70" t="s">
        <v>2382</v>
      </c>
    </row>
    <row r="417" spans="1:22" ht="12.75" customHeight="1" x14ac:dyDescent="0.15">
      <c r="A417" s="345" t="s">
        <v>4382</v>
      </c>
      <c r="B417" s="103" t="s">
        <v>1054</v>
      </c>
      <c r="C417" s="104" t="s">
        <v>174</v>
      </c>
      <c r="D417" s="122" t="s">
        <v>107</v>
      </c>
      <c r="E417" s="122" t="s">
        <v>1041</v>
      </c>
      <c r="F417" s="123" t="s">
        <v>1042</v>
      </c>
      <c r="G417" s="105" t="s">
        <v>215</v>
      </c>
      <c r="H417" s="124" t="s">
        <v>1044</v>
      </c>
      <c r="I417" s="36">
        <v>11</v>
      </c>
      <c r="J417" s="105" t="str">
        <f t="shared" si="179"/>
        <v>Officiel D</v>
      </c>
      <c r="K417" s="210">
        <v>11</v>
      </c>
      <c r="L417" s="105" t="str">
        <f t="shared" si="180"/>
        <v>Officiel D</v>
      </c>
      <c r="M417" s="124" t="s">
        <v>2796</v>
      </c>
      <c r="N417" s="143">
        <v>43728</v>
      </c>
      <c r="O417" s="143">
        <v>42380</v>
      </c>
      <c r="P417" s="211" t="s">
        <v>242</v>
      </c>
      <c r="Q417" s="143">
        <v>28161</v>
      </c>
      <c r="R417" s="144" t="s">
        <v>2714</v>
      </c>
      <c r="S417" s="122" t="s">
        <v>2380</v>
      </c>
      <c r="T417" s="122"/>
      <c r="U417" s="153" t="s">
        <v>3498</v>
      </c>
      <c r="V417" s="70" t="s">
        <v>2382</v>
      </c>
    </row>
    <row r="418" spans="1:22" ht="12.75" customHeight="1" x14ac:dyDescent="0.15">
      <c r="A418" s="345" t="s">
        <v>4382</v>
      </c>
      <c r="B418" s="103" t="s">
        <v>4470</v>
      </c>
      <c r="C418" s="104" t="s">
        <v>4471</v>
      </c>
      <c r="D418" s="122" t="s">
        <v>616</v>
      </c>
      <c r="E418" s="384" t="s">
        <v>4468</v>
      </c>
      <c r="F418" s="384" t="s">
        <v>4469</v>
      </c>
      <c r="G418" s="384" t="s">
        <v>4398</v>
      </c>
      <c r="H418" s="124" t="s">
        <v>320</v>
      </c>
      <c r="I418" s="36">
        <v>2</v>
      </c>
      <c r="J418" s="105" t="str">
        <f t="shared" si="179"/>
        <v>Seniors - Hommes</v>
      </c>
      <c r="K418" s="210">
        <v>2</v>
      </c>
      <c r="L418" s="105" t="str">
        <f t="shared" si="180"/>
        <v>Seniors - Hommes</v>
      </c>
      <c r="M418" s="124" t="s">
        <v>4503</v>
      </c>
      <c r="N418" s="143">
        <v>45195</v>
      </c>
      <c r="O418" s="143">
        <v>45179</v>
      </c>
      <c r="P418" s="36">
        <v>2024</v>
      </c>
      <c r="Q418" s="143">
        <v>34345</v>
      </c>
      <c r="R418" s="144" t="s">
        <v>4477</v>
      </c>
      <c r="S418" s="122"/>
      <c r="T418" s="122"/>
      <c r="U418" s="145" t="s">
        <v>4472</v>
      </c>
      <c r="V418" s="152" t="s">
        <v>4473</v>
      </c>
    </row>
    <row r="419" spans="1:22" ht="12.75" customHeight="1" x14ac:dyDescent="0.15">
      <c r="A419" s="345" t="s">
        <v>4382</v>
      </c>
      <c r="B419" s="103" t="s">
        <v>1277</v>
      </c>
      <c r="C419" s="104" t="s">
        <v>1137</v>
      </c>
      <c r="D419" s="122" t="s">
        <v>107</v>
      </c>
      <c r="E419" s="122" t="s">
        <v>1278</v>
      </c>
      <c r="F419" s="123" t="s">
        <v>134</v>
      </c>
      <c r="G419" s="105" t="s">
        <v>135</v>
      </c>
      <c r="H419" s="124" t="s">
        <v>320</v>
      </c>
      <c r="I419" s="36">
        <v>2</v>
      </c>
      <c r="J419" s="105" t="str">
        <f t="shared" si="179"/>
        <v>Seniors - Hommes</v>
      </c>
      <c r="K419" s="210">
        <v>2</v>
      </c>
      <c r="L419" s="105" t="str">
        <f t="shared" si="180"/>
        <v>Seniors - Hommes</v>
      </c>
      <c r="M419" s="124" t="s">
        <v>3435</v>
      </c>
      <c r="N419" s="143">
        <v>44053</v>
      </c>
      <c r="O419" s="143">
        <v>44042</v>
      </c>
      <c r="P419" s="36">
        <v>2033</v>
      </c>
      <c r="Q419" s="143">
        <v>34177</v>
      </c>
      <c r="R419" s="144" t="s">
        <v>3420</v>
      </c>
      <c r="S419" s="122" t="s">
        <v>3421</v>
      </c>
      <c r="T419" s="122"/>
      <c r="U419" s="122" t="s">
        <v>3422</v>
      </c>
      <c r="V419" s="152" t="s">
        <v>1279</v>
      </c>
    </row>
    <row r="420" spans="1:22" ht="12.75" customHeight="1" x14ac:dyDescent="0.15">
      <c r="A420" s="345" t="s">
        <v>4382</v>
      </c>
      <c r="B420" s="103" t="s">
        <v>3558</v>
      </c>
      <c r="C420" s="104" t="s">
        <v>3559</v>
      </c>
      <c r="D420" s="122" t="s">
        <v>3560</v>
      </c>
      <c r="E420" s="122" t="s">
        <v>3561</v>
      </c>
      <c r="F420" s="123" t="s">
        <v>3772</v>
      </c>
      <c r="G420" s="105" t="s">
        <v>2316</v>
      </c>
      <c r="H420" s="124" t="s">
        <v>320</v>
      </c>
      <c r="I420" s="36">
        <v>9</v>
      </c>
      <c r="J420" s="105" t="str">
        <f t="shared" si="179"/>
        <v>Vétérans - Hommes</v>
      </c>
      <c r="K420" s="210">
        <v>9</v>
      </c>
      <c r="L420" s="105" t="str">
        <f t="shared" si="180"/>
        <v>Vétérans - Hommes</v>
      </c>
      <c r="M420" s="124" t="s">
        <v>3574</v>
      </c>
      <c r="N420" s="143">
        <v>44111</v>
      </c>
      <c r="O420" s="143">
        <v>44109</v>
      </c>
      <c r="P420" s="36">
        <v>2024</v>
      </c>
      <c r="Q420" s="143">
        <v>29075</v>
      </c>
      <c r="R420" s="144" t="s">
        <v>3562</v>
      </c>
      <c r="S420" s="122"/>
      <c r="T420" s="122"/>
      <c r="U420" s="122" t="s">
        <v>3563</v>
      </c>
      <c r="V420" s="152" t="s">
        <v>3998</v>
      </c>
    </row>
    <row r="421" spans="1:22" ht="12.75" customHeight="1" x14ac:dyDescent="0.15">
      <c r="A421" s="345" t="s">
        <v>4382</v>
      </c>
      <c r="B421" s="103" t="s">
        <v>4050</v>
      </c>
      <c r="C421" s="513" t="s">
        <v>560</v>
      </c>
      <c r="D421" s="122" t="s">
        <v>107</v>
      </c>
      <c r="E421" s="122" t="s">
        <v>4052</v>
      </c>
      <c r="F421" s="123" t="s">
        <v>4053</v>
      </c>
      <c r="G421" s="105" t="s">
        <v>4054</v>
      </c>
      <c r="H421" s="124" t="s">
        <v>320</v>
      </c>
      <c r="I421" s="36">
        <v>2</v>
      </c>
      <c r="J421" s="105" t="str">
        <f t="shared" si="179"/>
        <v>Seniors - Hommes</v>
      </c>
      <c r="K421" s="210">
        <v>2</v>
      </c>
      <c r="L421" s="105" t="str">
        <f t="shared" si="180"/>
        <v>Seniors - Hommes</v>
      </c>
      <c r="M421" s="124" t="s">
        <v>4062</v>
      </c>
      <c r="N421" s="143">
        <v>44799</v>
      </c>
      <c r="O421" s="143">
        <v>44788</v>
      </c>
      <c r="P421" s="36">
        <v>2029</v>
      </c>
      <c r="Q421" s="143">
        <v>36311</v>
      </c>
      <c r="R421" s="144" t="s">
        <v>4055</v>
      </c>
      <c r="S421" s="122"/>
      <c r="T421" s="122"/>
      <c r="U421" s="153">
        <v>621466781</v>
      </c>
      <c r="V421" s="152" t="s">
        <v>4051</v>
      </c>
    </row>
    <row r="422" spans="1:22" ht="12.75" customHeight="1" x14ac:dyDescent="0.15">
      <c r="A422" s="345" t="s">
        <v>4382</v>
      </c>
      <c r="B422" s="103" t="s">
        <v>2471</v>
      </c>
      <c r="C422" s="104" t="s">
        <v>2475</v>
      </c>
      <c r="D422" s="122" t="s">
        <v>107</v>
      </c>
      <c r="E422" s="122" t="s">
        <v>1999</v>
      </c>
      <c r="F422" s="123" t="s">
        <v>2476</v>
      </c>
      <c r="G422" s="105" t="s">
        <v>800</v>
      </c>
      <c r="H422" s="124" t="s">
        <v>4376</v>
      </c>
      <c r="I422" s="36">
        <v>252</v>
      </c>
      <c r="J422" s="104" t="str">
        <f t="shared" si="179"/>
        <v>Arrêt jeune (garder licence)</v>
      </c>
      <c r="K422" s="210">
        <v>14</v>
      </c>
      <c r="L422" s="105" t="str">
        <f t="shared" ref="L422:L425" si="181">VLOOKUP(K422,CAT_JOUEUR,2,FALSE)</f>
        <v>U 17 Dames</v>
      </c>
      <c r="M422" s="124" t="s">
        <v>3055</v>
      </c>
      <c r="N422" s="143">
        <v>43507</v>
      </c>
      <c r="O422" s="143">
        <v>43495</v>
      </c>
      <c r="P422" s="36">
        <v>2022</v>
      </c>
      <c r="Q422" s="143">
        <v>39443</v>
      </c>
      <c r="R422" s="144" t="s">
        <v>2477</v>
      </c>
      <c r="S422" s="122"/>
      <c r="T422" s="122" t="s">
        <v>2478</v>
      </c>
      <c r="U422" s="122" t="s">
        <v>2479</v>
      </c>
      <c r="V422" s="70" t="s">
        <v>2003</v>
      </c>
    </row>
    <row r="423" spans="1:22" ht="12.75" customHeight="1" x14ac:dyDescent="0.15">
      <c r="A423" s="345" t="s">
        <v>4382</v>
      </c>
      <c r="B423" s="103" t="s">
        <v>1358</v>
      </c>
      <c r="C423" s="104" t="s">
        <v>2521</v>
      </c>
      <c r="D423" s="122" t="s">
        <v>107</v>
      </c>
      <c r="E423" s="122" t="s">
        <v>2516</v>
      </c>
      <c r="F423" s="123" t="s">
        <v>381</v>
      </c>
      <c r="G423" s="105" t="s">
        <v>241</v>
      </c>
      <c r="H423" s="124" t="s">
        <v>4376</v>
      </c>
      <c r="I423" s="36">
        <v>252</v>
      </c>
      <c r="J423" s="104" t="str">
        <f t="shared" ref="J423:J424" si="182">VLOOKUP(I423,CAT_JOUEUR,2,FALSE)</f>
        <v>Arrêt jeune (garder licence)</v>
      </c>
      <c r="K423" s="210">
        <v>14</v>
      </c>
      <c r="L423" s="105" t="str">
        <f t="shared" si="181"/>
        <v>U 17 Dames</v>
      </c>
      <c r="M423" s="124" t="s">
        <v>3060</v>
      </c>
      <c r="N423" s="143">
        <v>43178</v>
      </c>
      <c r="O423" s="143">
        <v>43170</v>
      </c>
      <c r="P423" s="36">
        <v>2022</v>
      </c>
      <c r="Q423" s="143">
        <v>39257</v>
      </c>
      <c r="R423" s="144" t="s">
        <v>2522</v>
      </c>
      <c r="S423" s="122" t="s">
        <v>1364</v>
      </c>
      <c r="T423" s="122"/>
      <c r="U423" s="122" t="s">
        <v>2523</v>
      </c>
      <c r="V423" s="70" t="s">
        <v>1338</v>
      </c>
    </row>
    <row r="424" spans="1:22" ht="12.75" customHeight="1" x14ac:dyDescent="0.15">
      <c r="A424" s="345" t="s">
        <v>4382</v>
      </c>
      <c r="B424" s="103" t="s">
        <v>1181</v>
      </c>
      <c r="C424" s="104" t="s">
        <v>488</v>
      </c>
      <c r="D424" s="122" t="s">
        <v>107</v>
      </c>
      <c r="E424" s="122" t="s">
        <v>1049</v>
      </c>
      <c r="F424" s="123" t="s">
        <v>1050</v>
      </c>
      <c r="G424" s="105" t="s">
        <v>1051</v>
      </c>
      <c r="H424" s="124" t="s">
        <v>1052</v>
      </c>
      <c r="I424" s="36">
        <v>2</v>
      </c>
      <c r="J424" s="105" t="str">
        <f t="shared" si="182"/>
        <v>Seniors - Hommes</v>
      </c>
      <c r="K424" s="210">
        <v>21</v>
      </c>
      <c r="L424" s="105" t="str">
        <f t="shared" si="181"/>
        <v>U7 Mixte</v>
      </c>
      <c r="M424" s="124" t="s">
        <v>3084</v>
      </c>
      <c r="N424" s="143">
        <v>41936</v>
      </c>
      <c r="O424" s="143">
        <v>41937</v>
      </c>
      <c r="P424" s="211">
        <v>2023</v>
      </c>
      <c r="Q424" s="143">
        <v>37908</v>
      </c>
      <c r="R424" s="144" t="s">
        <v>2685</v>
      </c>
      <c r="S424" s="122" t="s">
        <v>2389</v>
      </c>
      <c r="T424" s="122"/>
      <c r="U424" s="145" t="s">
        <v>2686</v>
      </c>
      <c r="V424" s="381" t="s">
        <v>2815</v>
      </c>
    </row>
    <row r="425" spans="1:22" ht="12.75" customHeight="1" x14ac:dyDescent="0.15">
      <c r="A425" s="345" t="s">
        <v>4382</v>
      </c>
      <c r="B425" s="103" t="s">
        <v>937</v>
      </c>
      <c r="C425" s="104" t="s">
        <v>938</v>
      </c>
      <c r="D425" s="122" t="s">
        <v>4713</v>
      </c>
      <c r="E425" s="122" t="s">
        <v>939</v>
      </c>
      <c r="F425" s="123" t="s">
        <v>940</v>
      </c>
      <c r="G425" s="105" t="s">
        <v>241</v>
      </c>
      <c r="H425" s="124" t="s">
        <v>941</v>
      </c>
      <c r="I425" s="36">
        <v>252</v>
      </c>
      <c r="J425" s="104" t="s">
        <v>1421</v>
      </c>
      <c r="K425" s="210">
        <v>4</v>
      </c>
      <c r="L425" s="105" t="str">
        <f t="shared" si="181"/>
        <v>U 17 Hommes</v>
      </c>
      <c r="M425" s="124" t="s">
        <v>2989</v>
      </c>
      <c r="N425" s="143">
        <v>42920</v>
      </c>
      <c r="O425" s="143">
        <v>42899</v>
      </c>
      <c r="P425" s="211">
        <v>2019</v>
      </c>
      <c r="Q425" s="143">
        <v>40009</v>
      </c>
      <c r="R425" s="144" t="s">
        <v>2020</v>
      </c>
      <c r="T425" s="153" t="s">
        <v>2021</v>
      </c>
      <c r="U425" s="153" t="s">
        <v>4154</v>
      </c>
    </row>
    <row r="426" spans="1:22" ht="12.75" customHeight="1" x14ac:dyDescent="0.15">
      <c r="A426" s="345" t="s">
        <v>5165</v>
      </c>
      <c r="B426" s="103" t="s">
        <v>1116</v>
      </c>
      <c r="C426" s="104" t="s">
        <v>1117</v>
      </c>
      <c r="D426" s="122" t="s">
        <v>107</v>
      </c>
      <c r="E426" s="122" t="s">
        <v>2726</v>
      </c>
      <c r="F426" s="123" t="s">
        <v>1666</v>
      </c>
      <c r="G426" s="105" t="s">
        <v>274</v>
      </c>
      <c r="H426" s="124" t="s">
        <v>1120</v>
      </c>
      <c r="I426" s="36">
        <v>212</v>
      </c>
      <c r="J426" s="105" t="str">
        <f t="shared" ref="J426:J446" si="183">VLOOKUP(I426,CAT_JOUEUR,2,FALSE)</f>
        <v>Contact famille</v>
      </c>
      <c r="K426" s="210">
        <v>212</v>
      </c>
      <c r="L426" s="105" t="str">
        <f t="shared" ref="L426:L446" si="184">VLOOKUP(K426,CAT_JOUEUR,2,FALSE)</f>
        <v>Contact famille</v>
      </c>
      <c r="M426" s="124" t="s">
        <v>2929</v>
      </c>
      <c r="N426" s="143">
        <v>43646</v>
      </c>
      <c r="O426" s="143">
        <v>42901</v>
      </c>
      <c r="P426" s="36">
        <v>2027</v>
      </c>
      <c r="Q426" s="143">
        <v>32033</v>
      </c>
      <c r="R426" s="144" t="s">
        <v>1126</v>
      </c>
      <c r="S426" s="122"/>
      <c r="T426" s="122"/>
      <c r="U426" s="153" t="s">
        <v>3508</v>
      </c>
      <c r="V426" s="70" t="s">
        <v>1128</v>
      </c>
    </row>
    <row r="427" spans="1:22" ht="12.75" customHeight="1" x14ac:dyDescent="0.15">
      <c r="A427" s="345" t="s">
        <v>5165</v>
      </c>
      <c r="B427" s="103" t="s">
        <v>734</v>
      </c>
      <c r="C427" s="104" t="s">
        <v>735</v>
      </c>
      <c r="D427" s="122" t="s">
        <v>1489</v>
      </c>
      <c r="E427" s="122" t="s">
        <v>736</v>
      </c>
      <c r="F427" s="123" t="s">
        <v>737</v>
      </c>
      <c r="G427" s="105" t="s">
        <v>727</v>
      </c>
      <c r="H427" s="124" t="s">
        <v>738</v>
      </c>
      <c r="I427" s="36">
        <v>2</v>
      </c>
      <c r="J427" s="105" t="str">
        <f t="shared" si="183"/>
        <v>Seniors - Hommes</v>
      </c>
      <c r="K427" s="210">
        <v>2</v>
      </c>
      <c r="L427" s="105" t="str">
        <f t="shared" si="184"/>
        <v>Seniors - Hommes</v>
      </c>
      <c r="M427" s="124" t="s">
        <v>2946</v>
      </c>
      <c r="N427" s="143">
        <v>41835</v>
      </c>
      <c r="O427" s="143">
        <v>41904</v>
      </c>
      <c r="P427" s="211">
        <v>2023</v>
      </c>
      <c r="Q427" s="143">
        <v>36601</v>
      </c>
      <c r="R427" s="144" t="s">
        <v>1618</v>
      </c>
      <c r="S427" s="122" t="s">
        <v>1619</v>
      </c>
      <c r="T427" s="122"/>
      <c r="U427" s="145" t="s">
        <v>1620</v>
      </c>
      <c r="V427" s="146" t="s">
        <v>1621</v>
      </c>
    </row>
    <row r="428" spans="1:22" ht="12.75" customHeight="1" x14ac:dyDescent="0.15">
      <c r="A428" s="345" t="s">
        <v>5165</v>
      </c>
      <c r="B428" s="103" t="s">
        <v>2853</v>
      </c>
      <c r="C428" s="104" t="s">
        <v>1415</v>
      </c>
      <c r="D428" s="122" t="s">
        <v>107</v>
      </c>
      <c r="E428" s="122" t="s">
        <v>2855</v>
      </c>
      <c r="F428" s="123" t="s">
        <v>110</v>
      </c>
      <c r="G428" s="105" t="s">
        <v>111</v>
      </c>
      <c r="H428" s="124" t="s">
        <v>2854</v>
      </c>
      <c r="I428" s="36">
        <v>8</v>
      </c>
      <c r="J428" s="105" t="str">
        <f t="shared" si="183"/>
        <v xml:space="preserve">U 9 Hommes </v>
      </c>
      <c r="K428" s="210">
        <v>8</v>
      </c>
      <c r="L428" s="105" t="str">
        <f t="shared" si="184"/>
        <v xml:space="preserve">U 9 Hommes </v>
      </c>
      <c r="M428" s="124" t="s">
        <v>3860</v>
      </c>
      <c r="N428" s="143">
        <v>44484</v>
      </c>
      <c r="O428" s="143">
        <v>44455</v>
      </c>
      <c r="P428" s="36">
        <v>2029</v>
      </c>
      <c r="Q428" s="143">
        <v>42742</v>
      </c>
      <c r="R428" s="144" t="s">
        <v>3774</v>
      </c>
      <c r="S428" s="122"/>
      <c r="T428" s="122" t="s">
        <v>2857</v>
      </c>
      <c r="U428" s="122" t="s">
        <v>2858</v>
      </c>
      <c r="V428" s="213" t="s">
        <v>2856</v>
      </c>
    </row>
    <row r="429" spans="1:22" ht="12.75" customHeight="1" x14ac:dyDescent="0.15">
      <c r="A429" s="345" t="s">
        <v>5165</v>
      </c>
      <c r="B429" s="103" t="s">
        <v>1641</v>
      </c>
      <c r="C429" s="104" t="s">
        <v>2634</v>
      </c>
      <c r="D429" s="122" t="s">
        <v>107</v>
      </c>
      <c r="E429" s="122" t="s">
        <v>1643</v>
      </c>
      <c r="F429" s="123" t="s">
        <v>471</v>
      </c>
      <c r="G429" s="105" t="s">
        <v>135</v>
      </c>
      <c r="H429" s="124" t="s">
        <v>320</v>
      </c>
      <c r="I429" s="36">
        <v>2</v>
      </c>
      <c r="J429" s="105" t="str">
        <f t="shared" si="183"/>
        <v>Seniors - Hommes</v>
      </c>
      <c r="K429" s="210">
        <v>2</v>
      </c>
      <c r="L429" s="105" t="str">
        <f t="shared" si="184"/>
        <v>Seniors - Hommes</v>
      </c>
      <c r="M429" s="124" t="s">
        <v>3077</v>
      </c>
      <c r="N429" s="143">
        <v>43709</v>
      </c>
      <c r="O429" s="143">
        <v>43709</v>
      </c>
      <c r="P429" s="36">
        <v>2024</v>
      </c>
      <c r="Q429" s="143">
        <v>34406</v>
      </c>
      <c r="R429" s="144" t="s">
        <v>2816</v>
      </c>
      <c r="S429" s="122" t="s">
        <v>1649</v>
      </c>
      <c r="T429" s="122"/>
      <c r="U429" s="122" t="s">
        <v>2637</v>
      </c>
      <c r="V429" s="213" t="s">
        <v>2638</v>
      </c>
    </row>
    <row r="430" spans="1:22" ht="12.75" customHeight="1" x14ac:dyDescent="0.15">
      <c r="A430" s="345" t="s">
        <v>5165</v>
      </c>
      <c r="B430" s="103" t="s">
        <v>537</v>
      </c>
      <c r="C430" s="104" t="s">
        <v>1228</v>
      </c>
      <c r="D430" s="122" t="s">
        <v>107</v>
      </c>
      <c r="E430" s="122" t="s">
        <v>1229</v>
      </c>
      <c r="F430" s="123" t="s">
        <v>1230</v>
      </c>
      <c r="G430" s="105" t="s">
        <v>1231</v>
      </c>
      <c r="H430" s="124" t="s">
        <v>320</v>
      </c>
      <c r="I430" s="36">
        <v>11</v>
      </c>
      <c r="J430" s="105" t="str">
        <f t="shared" si="183"/>
        <v>Officiel D</v>
      </c>
      <c r="K430" s="210">
        <v>11</v>
      </c>
      <c r="L430" s="105" t="str">
        <f t="shared" si="184"/>
        <v>Officiel D</v>
      </c>
      <c r="M430" s="124" t="s">
        <v>3088</v>
      </c>
      <c r="N430" s="143">
        <v>43027</v>
      </c>
      <c r="O430" s="143">
        <v>41971</v>
      </c>
      <c r="P430" s="211" t="s">
        <v>242</v>
      </c>
      <c r="Q430" s="143">
        <v>31994</v>
      </c>
      <c r="R430" s="144"/>
      <c r="S430" s="122"/>
      <c r="T430" s="122"/>
      <c r="U430" s="145" t="s">
        <v>1245</v>
      </c>
      <c r="V430" s="146" t="s">
        <v>1248</v>
      </c>
    </row>
    <row r="431" spans="1:22" ht="12.75" customHeight="1" x14ac:dyDescent="0.15">
      <c r="A431" s="345" t="s">
        <v>5165</v>
      </c>
      <c r="B431" s="103" t="s">
        <v>709</v>
      </c>
      <c r="C431" s="104" t="s">
        <v>710</v>
      </c>
      <c r="D431" s="122" t="s">
        <v>107</v>
      </c>
      <c r="E431" s="122" t="s">
        <v>711</v>
      </c>
      <c r="F431" s="123" t="s">
        <v>712</v>
      </c>
      <c r="G431" s="105" t="s">
        <v>713</v>
      </c>
      <c r="H431" s="124" t="s">
        <v>714</v>
      </c>
      <c r="I431" s="36">
        <v>11</v>
      </c>
      <c r="J431" s="105" t="str">
        <f t="shared" si="183"/>
        <v>Officiel D</v>
      </c>
      <c r="K431" s="210">
        <v>11</v>
      </c>
      <c r="L431" s="105" t="str">
        <f t="shared" si="184"/>
        <v>Officiel D</v>
      </c>
      <c r="M431" s="124" t="s">
        <v>3091</v>
      </c>
      <c r="N431" s="143">
        <v>38148</v>
      </c>
      <c r="O431" s="143">
        <v>38148</v>
      </c>
      <c r="P431" s="211" t="s">
        <v>210</v>
      </c>
      <c r="Q431" s="143">
        <v>30610</v>
      </c>
      <c r="R431" s="144" t="s">
        <v>244</v>
      </c>
      <c r="S431" s="122" t="s">
        <v>1505</v>
      </c>
      <c r="T431" s="122"/>
      <c r="U431" s="145" t="s">
        <v>1506</v>
      </c>
      <c r="V431" s="146" t="s">
        <v>1507</v>
      </c>
    </row>
    <row r="432" spans="1:22" ht="12.75" customHeight="1" x14ac:dyDescent="0.15">
      <c r="A432" s="345" t="s">
        <v>5165</v>
      </c>
      <c r="B432" s="103" t="s">
        <v>739</v>
      </c>
      <c r="C432" s="104" t="s">
        <v>740</v>
      </c>
      <c r="D432" s="122" t="s">
        <v>1489</v>
      </c>
      <c r="E432" s="122" t="s">
        <v>736</v>
      </c>
      <c r="F432" s="123" t="s">
        <v>737</v>
      </c>
      <c r="G432" s="105" t="s">
        <v>727</v>
      </c>
      <c r="H432" s="124" t="s">
        <v>738</v>
      </c>
      <c r="I432" s="36">
        <v>11</v>
      </c>
      <c r="J432" s="105" t="str">
        <f t="shared" si="183"/>
        <v>Officiel D</v>
      </c>
      <c r="K432" s="210">
        <v>11</v>
      </c>
      <c r="L432" s="105" t="str">
        <f t="shared" si="184"/>
        <v>Officiel D</v>
      </c>
      <c r="M432" s="124" t="s">
        <v>3092</v>
      </c>
      <c r="N432" s="143">
        <v>42990</v>
      </c>
      <c r="O432" s="143">
        <v>41904</v>
      </c>
      <c r="P432" s="211" t="s">
        <v>242</v>
      </c>
      <c r="Q432" s="143">
        <v>26582</v>
      </c>
      <c r="R432" s="144" t="s">
        <v>1688</v>
      </c>
      <c r="S432" s="122" t="s">
        <v>1619</v>
      </c>
      <c r="T432" s="122" t="s">
        <v>252</v>
      </c>
      <c r="U432" s="145" t="s">
        <v>1689</v>
      </c>
      <c r="V432" s="146" t="s">
        <v>1690</v>
      </c>
    </row>
    <row r="433" spans="1:22" ht="12.75" customHeight="1" x14ac:dyDescent="0.15">
      <c r="A433" s="345" t="s">
        <v>5165</v>
      </c>
      <c r="B433" s="103" t="s">
        <v>830</v>
      </c>
      <c r="C433" s="104" t="s">
        <v>831</v>
      </c>
      <c r="D433" s="122" t="s">
        <v>107</v>
      </c>
      <c r="E433" s="122" t="s">
        <v>3686</v>
      </c>
      <c r="F433" s="123" t="s">
        <v>656</v>
      </c>
      <c r="G433" s="105" t="s">
        <v>241</v>
      </c>
      <c r="H433" s="124" t="s">
        <v>320</v>
      </c>
      <c r="I433" s="36">
        <v>12</v>
      </c>
      <c r="J433" s="105" t="str">
        <f t="shared" si="183"/>
        <v>Dames</v>
      </c>
      <c r="K433" s="210">
        <v>12</v>
      </c>
      <c r="L433" s="105" t="str">
        <f t="shared" si="184"/>
        <v>Dames</v>
      </c>
      <c r="M433" s="124" t="s">
        <v>2960</v>
      </c>
      <c r="N433" s="143">
        <v>42713</v>
      </c>
      <c r="O433" s="143">
        <v>42639</v>
      </c>
      <c r="P433" s="36">
        <v>2025</v>
      </c>
      <c r="Q433" s="143">
        <v>35033</v>
      </c>
      <c r="R433" s="123" t="s">
        <v>1818</v>
      </c>
      <c r="S433" s="122" t="s">
        <v>1819</v>
      </c>
      <c r="T433" s="122"/>
      <c r="U433" s="153">
        <v>691528084</v>
      </c>
      <c r="V433" s="70" t="s">
        <v>1820</v>
      </c>
    </row>
    <row r="434" spans="1:22" ht="12.75" customHeight="1" x14ac:dyDescent="0.15">
      <c r="A434" s="345" t="s">
        <v>5165</v>
      </c>
      <c r="B434" s="103" t="s">
        <v>4627</v>
      </c>
      <c r="C434" s="104" t="s">
        <v>4625</v>
      </c>
      <c r="D434" s="122" t="s">
        <v>263</v>
      </c>
      <c r="E434" s="122" t="s">
        <v>4626</v>
      </c>
      <c r="F434" s="123" t="s">
        <v>3150</v>
      </c>
      <c r="G434" s="105" t="s">
        <v>360</v>
      </c>
      <c r="H434" s="124" t="s">
        <v>320</v>
      </c>
      <c r="I434" s="36">
        <v>1</v>
      </c>
      <c r="J434" s="105" t="str">
        <f t="shared" si="183"/>
        <v>Officiel H</v>
      </c>
      <c r="K434" s="210">
        <v>1</v>
      </c>
      <c r="L434" s="105" t="str">
        <f t="shared" si="184"/>
        <v>Officiel H</v>
      </c>
      <c r="M434" s="124" t="s">
        <v>4630</v>
      </c>
      <c r="N434" s="143" t="s">
        <v>4631</v>
      </c>
      <c r="O434" s="143">
        <v>45244</v>
      </c>
      <c r="P434" s="36" t="s">
        <v>242</v>
      </c>
      <c r="Q434" s="143">
        <v>26252</v>
      </c>
      <c r="R434" s="144" t="s">
        <v>4628</v>
      </c>
      <c r="S434" s="122"/>
      <c r="T434" s="122"/>
      <c r="U434" s="153">
        <v>621665097</v>
      </c>
      <c r="V434" s="213" t="s">
        <v>4789</v>
      </c>
    </row>
    <row r="435" spans="1:22" ht="12.75" customHeight="1" x14ac:dyDescent="0.15">
      <c r="A435" s="345" t="s">
        <v>5165</v>
      </c>
      <c r="B435" s="103" t="s">
        <v>3385</v>
      </c>
      <c r="C435" s="104" t="s">
        <v>3386</v>
      </c>
      <c r="D435" s="122" t="s">
        <v>3387</v>
      </c>
      <c r="E435" s="122" t="s">
        <v>2320</v>
      </c>
      <c r="F435" s="123" t="s">
        <v>2321</v>
      </c>
      <c r="G435" s="105" t="s">
        <v>2322</v>
      </c>
      <c r="H435" s="124" t="s">
        <v>320</v>
      </c>
      <c r="I435" s="36">
        <v>300</v>
      </c>
      <c r="J435" s="104" t="str">
        <f t="shared" si="183"/>
        <v>Prêt, sortie Mersch75</v>
      </c>
      <c r="K435" s="210">
        <v>9</v>
      </c>
      <c r="L435" s="105" t="str">
        <f t="shared" si="184"/>
        <v>Vétérans - Hommes</v>
      </c>
      <c r="M435" s="124" t="s">
        <v>3439</v>
      </c>
      <c r="N435" s="143">
        <v>44061</v>
      </c>
      <c r="O435" s="143">
        <v>44044</v>
      </c>
      <c r="P435" s="36">
        <v>2023</v>
      </c>
      <c r="Q435" s="143">
        <v>30480</v>
      </c>
      <c r="R435" s="144" t="s">
        <v>3390</v>
      </c>
      <c r="S435" s="122"/>
      <c r="T435" s="122"/>
      <c r="U435" s="122" t="s">
        <v>3391</v>
      </c>
      <c r="V435" s="213" t="s">
        <v>3392</v>
      </c>
    </row>
    <row r="436" spans="1:22" ht="12.75" customHeight="1" x14ac:dyDescent="0.15">
      <c r="A436" s="345" t="s">
        <v>5165</v>
      </c>
      <c r="B436" s="103" t="s">
        <v>1034</v>
      </c>
      <c r="C436" s="104" t="s">
        <v>1035</v>
      </c>
      <c r="D436" s="122" t="s">
        <v>107</v>
      </c>
      <c r="E436" s="122" t="s">
        <v>1030</v>
      </c>
      <c r="F436" s="123" t="s">
        <v>293</v>
      </c>
      <c r="G436" s="105" t="s">
        <v>294</v>
      </c>
      <c r="H436" s="124" t="s">
        <v>1031</v>
      </c>
      <c r="I436" s="36">
        <v>11</v>
      </c>
      <c r="J436" s="105" t="str">
        <f t="shared" si="183"/>
        <v>Officiel D</v>
      </c>
      <c r="K436" s="210">
        <v>11</v>
      </c>
      <c r="L436" s="105" t="str">
        <f t="shared" si="184"/>
        <v>Officiel D</v>
      </c>
      <c r="M436" s="124" t="s">
        <v>3104</v>
      </c>
      <c r="N436" s="143">
        <v>41907</v>
      </c>
      <c r="O436" s="143">
        <v>41907</v>
      </c>
      <c r="P436" s="211" t="s">
        <v>210</v>
      </c>
      <c r="Q436" s="143">
        <v>26148</v>
      </c>
      <c r="R436" s="144" t="s">
        <v>244</v>
      </c>
      <c r="S436" s="122" t="s">
        <v>1723</v>
      </c>
      <c r="T436" s="122"/>
      <c r="U436" s="145" t="s">
        <v>1724</v>
      </c>
      <c r="V436" s="146" t="s">
        <v>1725</v>
      </c>
    </row>
    <row r="437" spans="1:22" ht="12.75" customHeight="1" x14ac:dyDescent="0.15">
      <c r="A437" s="345" t="s">
        <v>5165</v>
      </c>
      <c r="B437" s="103" t="s">
        <v>3377</v>
      </c>
      <c r="C437" s="104" t="s">
        <v>2167</v>
      </c>
      <c r="D437" s="122" t="s">
        <v>107</v>
      </c>
      <c r="E437" s="122" t="s">
        <v>3378</v>
      </c>
      <c r="F437" s="123" t="s">
        <v>2696</v>
      </c>
      <c r="G437" s="105" t="s">
        <v>800</v>
      </c>
      <c r="H437" s="124" t="s">
        <v>320</v>
      </c>
      <c r="I437" s="36">
        <v>212</v>
      </c>
      <c r="J437" s="105" t="str">
        <f t="shared" si="183"/>
        <v>Contact famille</v>
      </c>
      <c r="K437" s="210">
        <v>1</v>
      </c>
      <c r="L437" s="105" t="str">
        <f t="shared" si="184"/>
        <v>Officiel H</v>
      </c>
      <c r="M437" s="124" t="s">
        <v>3436</v>
      </c>
      <c r="N437" s="143">
        <v>44061</v>
      </c>
      <c r="O437" s="143">
        <v>44028</v>
      </c>
      <c r="P437" s="36" t="s">
        <v>242</v>
      </c>
      <c r="Q437" s="143">
        <v>30654</v>
      </c>
      <c r="R437" s="144" t="s">
        <v>3382</v>
      </c>
      <c r="S437" s="122"/>
      <c r="T437" s="122"/>
      <c r="U437" s="122" t="s">
        <v>3383</v>
      </c>
      <c r="V437" s="213" t="s">
        <v>3384</v>
      </c>
    </row>
    <row r="438" spans="1:22" ht="12.75" customHeight="1" x14ac:dyDescent="0.15">
      <c r="A438" s="345" t="s">
        <v>5165</v>
      </c>
      <c r="B438" s="103" t="s">
        <v>478</v>
      </c>
      <c r="C438" s="104" t="s">
        <v>4044</v>
      </c>
      <c r="D438" s="122" t="s">
        <v>107</v>
      </c>
      <c r="E438" s="122" t="s">
        <v>4045</v>
      </c>
      <c r="F438" s="123" t="s">
        <v>4046</v>
      </c>
      <c r="G438" s="105" t="s">
        <v>4047</v>
      </c>
      <c r="H438" s="124" t="s">
        <v>320</v>
      </c>
      <c r="I438" s="36">
        <v>12</v>
      </c>
      <c r="J438" s="105" t="str">
        <f t="shared" si="183"/>
        <v>Dames</v>
      </c>
      <c r="K438" s="210">
        <v>12</v>
      </c>
      <c r="L438" s="105" t="str">
        <f t="shared" si="184"/>
        <v>Dames</v>
      </c>
      <c r="M438" s="124" t="s">
        <v>4092</v>
      </c>
      <c r="N438" s="143">
        <v>44812</v>
      </c>
      <c r="O438" s="143">
        <v>44782</v>
      </c>
      <c r="P438" s="36">
        <v>2031</v>
      </c>
      <c r="Q438" s="143">
        <v>33580</v>
      </c>
      <c r="R438" s="144" t="s">
        <v>4048</v>
      </c>
      <c r="S438" s="122"/>
      <c r="T438" s="122"/>
      <c r="U438" s="153">
        <v>621774215</v>
      </c>
      <c r="V438" s="213" t="s">
        <v>4049</v>
      </c>
    </row>
    <row r="439" spans="1:22" ht="15" customHeight="1" x14ac:dyDescent="0.15">
      <c r="A439" s="345" t="s">
        <v>5165</v>
      </c>
      <c r="B439" s="103" t="s">
        <v>1136</v>
      </c>
      <c r="C439" s="104" t="s">
        <v>644</v>
      </c>
      <c r="D439" s="122" t="s">
        <v>107</v>
      </c>
      <c r="E439" s="122" t="s">
        <v>1143</v>
      </c>
      <c r="F439" s="123" t="s">
        <v>868</v>
      </c>
      <c r="G439" s="105" t="s">
        <v>869</v>
      </c>
      <c r="H439" s="124" t="s">
        <v>1145</v>
      </c>
      <c r="I439" s="36">
        <v>1</v>
      </c>
      <c r="J439" s="105" t="str">
        <f t="shared" si="183"/>
        <v>Officiel H</v>
      </c>
      <c r="K439" s="210">
        <v>1</v>
      </c>
      <c r="L439" s="105" t="str">
        <f t="shared" si="184"/>
        <v>Officiel H</v>
      </c>
      <c r="M439" s="124" t="s">
        <v>3107</v>
      </c>
      <c r="N439" s="143">
        <v>37915</v>
      </c>
      <c r="O439" s="143">
        <v>37915</v>
      </c>
      <c r="P439" s="211" t="s">
        <v>210</v>
      </c>
      <c r="Q439" s="143">
        <v>20030</v>
      </c>
      <c r="R439" s="144" t="s">
        <v>244</v>
      </c>
      <c r="S439" s="122" t="s">
        <v>2580</v>
      </c>
      <c r="T439" s="122"/>
      <c r="U439" s="145" t="s">
        <v>2581</v>
      </c>
      <c r="V439" s="146" t="s">
        <v>2582</v>
      </c>
    </row>
    <row r="440" spans="1:22" ht="15" customHeight="1" x14ac:dyDescent="0.15">
      <c r="A440" s="345" t="s">
        <v>5165</v>
      </c>
      <c r="B440" s="103" t="s">
        <v>1063</v>
      </c>
      <c r="C440" s="104" t="s">
        <v>1430</v>
      </c>
      <c r="D440" s="122" t="s">
        <v>107</v>
      </c>
      <c r="E440" s="122" t="s">
        <v>1065</v>
      </c>
      <c r="F440" s="123" t="s">
        <v>1066</v>
      </c>
      <c r="G440" s="105" t="s">
        <v>582</v>
      </c>
      <c r="H440" s="124" t="s">
        <v>4376</v>
      </c>
      <c r="I440" s="36">
        <v>255</v>
      </c>
      <c r="J440" s="105" t="str">
        <f t="shared" si="183"/>
        <v>Arrêt</v>
      </c>
      <c r="K440" s="210">
        <v>2</v>
      </c>
      <c r="L440" s="105" t="str">
        <f t="shared" si="184"/>
        <v>Seniors - Hommes</v>
      </c>
      <c r="M440" s="124" t="s">
        <v>3046</v>
      </c>
      <c r="N440" s="143">
        <v>43281</v>
      </c>
      <c r="O440" s="143">
        <v>39717</v>
      </c>
      <c r="P440" s="36">
        <v>2028</v>
      </c>
      <c r="Q440" s="143">
        <v>35867</v>
      </c>
      <c r="R440" s="144" t="s">
        <v>2424</v>
      </c>
      <c r="S440" s="122" t="s">
        <v>2425</v>
      </c>
      <c r="T440" s="122"/>
      <c r="U440" s="511" t="s">
        <v>1432</v>
      </c>
      <c r="V440" s="70" t="s">
        <v>2426</v>
      </c>
    </row>
    <row r="441" spans="1:22" ht="15" customHeight="1" x14ac:dyDescent="0.15">
      <c r="A441" s="345" t="s">
        <v>5165</v>
      </c>
      <c r="B441" s="103" t="s">
        <v>1063</v>
      </c>
      <c r="C441" s="104" t="s">
        <v>1064</v>
      </c>
      <c r="D441" s="122" t="s">
        <v>107</v>
      </c>
      <c r="E441" s="122" t="s">
        <v>4282</v>
      </c>
      <c r="F441" s="123" t="s">
        <v>4283</v>
      </c>
      <c r="G441" s="105" t="s">
        <v>789</v>
      </c>
      <c r="H441" s="124" t="s">
        <v>4376</v>
      </c>
      <c r="I441" s="36">
        <v>255</v>
      </c>
      <c r="J441" s="105" t="str">
        <f t="shared" si="183"/>
        <v>Arrêt</v>
      </c>
      <c r="K441" s="210">
        <v>2</v>
      </c>
      <c r="L441" s="105" t="str">
        <f t="shared" si="184"/>
        <v>Seniors - Hommes</v>
      </c>
      <c r="M441" s="124" t="s">
        <v>3047</v>
      </c>
      <c r="N441" s="143">
        <v>39567</v>
      </c>
      <c r="O441" s="143">
        <v>39567</v>
      </c>
      <c r="P441" s="211">
        <v>2026</v>
      </c>
      <c r="Q441" s="143">
        <v>35250</v>
      </c>
      <c r="R441" s="144" t="s">
        <v>2427</v>
      </c>
      <c r="S441" s="122" t="s">
        <v>1431</v>
      </c>
      <c r="T441" s="145"/>
      <c r="U441" s="145" t="s">
        <v>2428</v>
      </c>
      <c r="V441" s="146" t="s">
        <v>2429</v>
      </c>
    </row>
    <row r="442" spans="1:22" ht="15" customHeight="1" x14ac:dyDescent="0.15">
      <c r="A442" s="345" t="s">
        <v>5165</v>
      </c>
      <c r="B442" s="512" t="s">
        <v>1183</v>
      </c>
      <c r="C442" s="513" t="s">
        <v>1184</v>
      </c>
      <c r="D442" s="514" t="s">
        <v>107</v>
      </c>
      <c r="E442" s="514" t="s">
        <v>1185</v>
      </c>
      <c r="F442" s="515" t="s">
        <v>1186</v>
      </c>
      <c r="G442" s="516" t="s">
        <v>177</v>
      </c>
      <c r="H442" s="517" t="s">
        <v>320</v>
      </c>
      <c r="I442" s="518">
        <v>12</v>
      </c>
      <c r="J442" s="516" t="str">
        <f t="shared" si="183"/>
        <v>Dames</v>
      </c>
      <c r="K442" s="519">
        <v>12</v>
      </c>
      <c r="L442" s="516" t="str">
        <f t="shared" si="184"/>
        <v>Dames</v>
      </c>
      <c r="M442" s="520" t="s">
        <v>3085</v>
      </c>
      <c r="N442" s="521">
        <v>42901</v>
      </c>
      <c r="O442" s="521">
        <v>42272</v>
      </c>
      <c r="P442" s="522">
        <v>2019</v>
      </c>
      <c r="Q442" s="521">
        <v>32742</v>
      </c>
      <c r="R442" s="523" t="s">
        <v>2687</v>
      </c>
      <c r="S442" s="514"/>
      <c r="T442" s="514"/>
      <c r="U442" s="524">
        <v>621716805</v>
      </c>
      <c r="V442" s="525" t="s">
        <v>2688</v>
      </c>
    </row>
    <row r="443" spans="1:22" ht="15" customHeight="1" x14ac:dyDescent="0.15">
      <c r="A443" s="345" t="s">
        <v>5165</v>
      </c>
      <c r="B443" s="512" t="s">
        <v>4748</v>
      </c>
      <c r="C443" s="513" t="s">
        <v>4749</v>
      </c>
      <c r="D443" s="514" t="s">
        <v>4750</v>
      </c>
      <c r="E443" s="514" t="s">
        <v>4763</v>
      </c>
      <c r="F443" s="515" t="s">
        <v>4764</v>
      </c>
      <c r="G443" s="516" t="s">
        <v>4035</v>
      </c>
      <c r="H443" s="517" t="s">
        <v>320</v>
      </c>
      <c r="I443" s="518">
        <v>9</v>
      </c>
      <c r="J443" s="516" t="str">
        <f t="shared" si="183"/>
        <v>Vétérans - Hommes</v>
      </c>
      <c r="K443" s="519">
        <v>9</v>
      </c>
      <c r="L443" s="516" t="str">
        <f t="shared" si="184"/>
        <v>Vétérans - Hommes</v>
      </c>
      <c r="M443" s="517" t="s">
        <v>4787</v>
      </c>
      <c r="N443" s="521">
        <v>45359</v>
      </c>
      <c r="O443" s="521">
        <v>45325</v>
      </c>
      <c r="P443" s="518">
        <v>2024</v>
      </c>
      <c r="Q443" s="521">
        <v>30914</v>
      </c>
      <c r="R443" s="523" t="s">
        <v>4780</v>
      </c>
      <c r="S443" s="514"/>
      <c r="T443" s="514"/>
      <c r="U443" s="527" t="s">
        <v>4784</v>
      </c>
      <c r="V443" s="526" t="s">
        <v>4772</v>
      </c>
    </row>
    <row r="444" spans="1:22" ht="15" customHeight="1" x14ac:dyDescent="0.15">
      <c r="A444" s="345" t="s">
        <v>5165</v>
      </c>
      <c r="B444" s="103" t="s">
        <v>1473</v>
      </c>
      <c r="C444" s="104" t="s">
        <v>1770</v>
      </c>
      <c r="D444" s="122" t="s">
        <v>616</v>
      </c>
      <c r="E444" s="122" t="s">
        <v>4679</v>
      </c>
      <c r="F444" s="123" t="s">
        <v>3611</v>
      </c>
      <c r="G444" s="105" t="s">
        <v>3612</v>
      </c>
      <c r="H444" s="124" t="s">
        <v>320</v>
      </c>
      <c r="I444" s="36">
        <v>9</v>
      </c>
      <c r="J444" s="105" t="str">
        <f t="shared" si="183"/>
        <v>Vétérans - Hommes</v>
      </c>
      <c r="K444" s="210">
        <v>9</v>
      </c>
      <c r="L444" s="105" t="str">
        <f t="shared" si="184"/>
        <v>Vétérans - Hommes</v>
      </c>
      <c r="M444" s="124" t="s">
        <v>4775</v>
      </c>
      <c r="N444" s="143">
        <v>45324</v>
      </c>
      <c r="O444" s="143">
        <v>45252</v>
      </c>
      <c r="P444" s="36">
        <v>2026</v>
      </c>
      <c r="Q444" s="143">
        <v>29745</v>
      </c>
      <c r="R444" s="144" t="s">
        <v>4680</v>
      </c>
      <c r="S444" s="122" t="s">
        <v>4717</v>
      </c>
      <c r="T444" s="122"/>
      <c r="U444" s="153">
        <v>621229934</v>
      </c>
      <c r="V444" s="213" t="s">
        <v>4716</v>
      </c>
    </row>
    <row r="445" spans="1:22" ht="15" customHeight="1" x14ac:dyDescent="0.15">
      <c r="A445" s="345" t="s">
        <v>5165</v>
      </c>
      <c r="B445" s="103" t="s">
        <v>396</v>
      </c>
      <c r="C445" s="104" t="s">
        <v>579</v>
      </c>
      <c r="D445" s="122" t="s">
        <v>107</v>
      </c>
      <c r="E445" s="122" t="s">
        <v>998</v>
      </c>
      <c r="F445" s="123" t="s">
        <v>999</v>
      </c>
      <c r="G445" s="105" t="s">
        <v>177</v>
      </c>
      <c r="H445" s="124" t="s">
        <v>320</v>
      </c>
      <c r="I445" s="36">
        <v>19</v>
      </c>
      <c r="J445" s="105" t="str">
        <f t="shared" si="183"/>
        <v>Vétérans - Dames</v>
      </c>
      <c r="K445" s="210">
        <v>19</v>
      </c>
      <c r="L445" s="105" t="str">
        <f t="shared" si="184"/>
        <v>Vétérans - Dames</v>
      </c>
      <c r="M445" s="124" t="s">
        <v>3024</v>
      </c>
      <c r="N445" s="143">
        <v>33739</v>
      </c>
      <c r="O445" s="143">
        <v>33739</v>
      </c>
      <c r="P445" s="211">
        <v>2017</v>
      </c>
      <c r="Q445" s="143">
        <v>28417</v>
      </c>
      <c r="R445" s="144" t="s">
        <v>2241</v>
      </c>
      <c r="S445" s="122"/>
      <c r="T445" s="122"/>
      <c r="U445" s="145" t="s">
        <v>2242</v>
      </c>
      <c r="V445" s="146" t="s">
        <v>2243</v>
      </c>
    </row>
    <row r="446" spans="1:22" ht="15" customHeight="1" x14ac:dyDescent="0.15">
      <c r="A446" s="345" t="s">
        <v>5165</v>
      </c>
      <c r="B446" s="103" t="s">
        <v>709</v>
      </c>
      <c r="C446" s="104" t="s">
        <v>715</v>
      </c>
      <c r="D446" s="122" t="s">
        <v>107</v>
      </c>
      <c r="E446" s="122" t="s">
        <v>580</v>
      </c>
      <c r="F446" s="123" t="s">
        <v>581</v>
      </c>
      <c r="G446" s="105" t="s">
        <v>582</v>
      </c>
      <c r="H446" s="124" t="s">
        <v>3138</v>
      </c>
      <c r="I446" s="36">
        <v>9</v>
      </c>
      <c r="J446" s="105" t="str">
        <f t="shared" si="183"/>
        <v>Vétérans - Hommes</v>
      </c>
      <c r="K446" s="210">
        <v>9</v>
      </c>
      <c r="L446" s="105" t="str">
        <f t="shared" si="184"/>
        <v>Vétérans - Hommes</v>
      </c>
      <c r="M446" s="124" t="s">
        <v>2941</v>
      </c>
      <c r="N446" s="143">
        <v>38030</v>
      </c>
      <c r="O446" s="143">
        <v>38030</v>
      </c>
      <c r="P446" s="211">
        <v>2027</v>
      </c>
      <c r="Q446" s="143">
        <v>32003</v>
      </c>
      <c r="R446" s="144" t="s">
        <v>1528</v>
      </c>
      <c r="S446" s="122" t="s">
        <v>1529</v>
      </c>
      <c r="T446" s="122"/>
      <c r="U446" s="145" t="s">
        <v>1530</v>
      </c>
      <c r="V446" s="146" t="s">
        <v>1531</v>
      </c>
    </row>
    <row r="447" spans="1:22" ht="15" customHeight="1" x14ac:dyDescent="0.15">
      <c r="A447" s="345" t="s">
        <v>5610</v>
      </c>
      <c r="B447" s="103" t="s">
        <v>4063</v>
      </c>
      <c r="C447" s="104" t="s">
        <v>2849</v>
      </c>
      <c r="D447" s="122" t="s">
        <v>555</v>
      </c>
      <c r="E447" s="122" t="s">
        <v>4067</v>
      </c>
      <c r="F447" s="123" t="s">
        <v>4068</v>
      </c>
      <c r="G447" s="105" t="s">
        <v>4069</v>
      </c>
      <c r="H447" s="124" t="s">
        <v>4376</v>
      </c>
      <c r="I447" s="36">
        <v>212</v>
      </c>
      <c r="J447" s="105" t="s">
        <v>131</v>
      </c>
      <c r="K447" s="210">
        <v>212</v>
      </c>
      <c r="L447" s="105" t="s">
        <v>131</v>
      </c>
      <c r="M447" s="124" t="s">
        <v>252</v>
      </c>
      <c r="N447" s="143"/>
      <c r="O447" s="143"/>
      <c r="P447" s="36" t="s">
        <v>242</v>
      </c>
      <c r="Q447" s="36" t="s">
        <v>242</v>
      </c>
      <c r="R447" s="144" t="s">
        <v>244</v>
      </c>
      <c r="S447" s="122"/>
      <c r="T447" s="122"/>
      <c r="U447" s="153">
        <v>691644294</v>
      </c>
      <c r="V447" s="213" t="s">
        <v>4075</v>
      </c>
    </row>
    <row r="448" spans="1:22" ht="15" customHeight="1" x14ac:dyDescent="0.15">
      <c r="A448" s="345" t="s">
        <v>5610</v>
      </c>
      <c r="B448" s="103" t="s">
        <v>4065</v>
      </c>
      <c r="C448" s="104" t="s">
        <v>2171</v>
      </c>
      <c r="D448" s="122" t="s">
        <v>555</v>
      </c>
      <c r="E448" s="122" t="s">
        <v>4067</v>
      </c>
      <c r="F448" s="123" t="s">
        <v>4068</v>
      </c>
      <c r="G448" s="105" t="s">
        <v>4069</v>
      </c>
      <c r="H448" s="124" t="s">
        <v>4376</v>
      </c>
      <c r="I448" s="36">
        <v>252</v>
      </c>
      <c r="J448" s="105" t="s">
        <v>145</v>
      </c>
      <c r="K448" s="210">
        <v>3</v>
      </c>
      <c r="L448" s="105" t="s">
        <v>1261</v>
      </c>
      <c r="M448" s="124" t="s">
        <v>4102</v>
      </c>
      <c r="N448" s="143">
        <v>44827</v>
      </c>
      <c r="O448" s="143">
        <v>44818</v>
      </c>
      <c r="P448" s="36">
        <v>2024</v>
      </c>
      <c r="Q448" s="143">
        <v>39867</v>
      </c>
      <c r="R448" s="144" t="s">
        <v>4070</v>
      </c>
      <c r="S448" s="122" t="s">
        <v>4071</v>
      </c>
      <c r="T448" s="122"/>
      <c r="U448" s="153">
        <v>691571392</v>
      </c>
      <c r="V448" s="213" t="s">
        <v>4073</v>
      </c>
    </row>
    <row r="449" spans="1:22" ht="15" customHeight="1" x14ac:dyDescent="0.15">
      <c r="A449" s="345" t="s">
        <v>5610</v>
      </c>
      <c r="B449" s="103" t="s">
        <v>4403</v>
      </c>
      <c r="C449" s="104" t="s">
        <v>4404</v>
      </c>
      <c r="D449" s="122" t="s">
        <v>107</v>
      </c>
      <c r="E449" s="122" t="s">
        <v>4414</v>
      </c>
      <c r="F449" s="123" t="s">
        <v>4415</v>
      </c>
      <c r="G449" s="105" t="s">
        <v>4416</v>
      </c>
      <c r="H449" s="124" t="s">
        <v>320</v>
      </c>
      <c r="I449" s="36">
        <v>2</v>
      </c>
      <c r="J449" s="105" t="s">
        <v>29</v>
      </c>
      <c r="K449" s="210">
        <v>2</v>
      </c>
      <c r="L449" s="105" t="s">
        <v>29</v>
      </c>
      <c r="M449" s="124" t="s">
        <v>4474</v>
      </c>
      <c r="N449" s="143">
        <v>43370</v>
      </c>
      <c r="O449" s="143">
        <v>45139</v>
      </c>
      <c r="P449" s="36">
        <v>2027</v>
      </c>
      <c r="Q449" s="143">
        <v>35534</v>
      </c>
      <c r="R449" s="144" t="s">
        <v>4405</v>
      </c>
      <c r="S449" s="122"/>
      <c r="T449" s="122"/>
      <c r="U449" s="153">
        <v>691564903</v>
      </c>
      <c r="V449" s="213" t="s">
        <v>4406</v>
      </c>
    </row>
    <row r="450" spans="1:22" ht="15" customHeight="1" x14ac:dyDescent="0.15">
      <c r="A450" s="345" t="s">
        <v>5610</v>
      </c>
      <c r="B450" s="103" t="s">
        <v>4108</v>
      </c>
      <c r="C450" s="104" t="s">
        <v>4109</v>
      </c>
      <c r="D450" s="122" t="s">
        <v>107</v>
      </c>
      <c r="E450" s="122" t="s">
        <v>3339</v>
      </c>
      <c r="F450" s="123" t="s">
        <v>1156</v>
      </c>
      <c r="G450" s="105" t="s">
        <v>241</v>
      </c>
      <c r="H450" s="124" t="s">
        <v>1006</v>
      </c>
      <c r="I450" s="36">
        <v>12</v>
      </c>
      <c r="J450" s="105" t="s">
        <v>64</v>
      </c>
      <c r="K450" s="210">
        <v>12</v>
      </c>
      <c r="L450" s="105" t="s">
        <v>64</v>
      </c>
      <c r="M450" s="124" t="s">
        <v>4255</v>
      </c>
      <c r="N450" s="143">
        <v>44939</v>
      </c>
      <c r="O450" s="143">
        <v>44831</v>
      </c>
      <c r="P450" s="36">
        <v>2024</v>
      </c>
      <c r="Q450" s="143">
        <v>39990</v>
      </c>
      <c r="R450" s="144" t="s">
        <v>4113</v>
      </c>
      <c r="S450" s="122" t="s">
        <v>4114</v>
      </c>
      <c r="T450" s="153" t="s">
        <v>4151</v>
      </c>
      <c r="U450" s="153" t="s">
        <v>4152</v>
      </c>
      <c r="V450" s="213" t="s">
        <v>4115</v>
      </c>
    </row>
    <row r="451" spans="1:22" ht="15" customHeight="1" x14ac:dyDescent="0.15">
      <c r="A451" s="345" t="s">
        <v>5610</v>
      </c>
      <c r="B451" s="103" t="s">
        <v>2884</v>
      </c>
      <c r="C451" s="104" t="s">
        <v>2885</v>
      </c>
      <c r="D451" s="122" t="s">
        <v>2830</v>
      </c>
      <c r="E451" s="122" t="s">
        <v>2886</v>
      </c>
      <c r="F451" s="123" t="s">
        <v>1047</v>
      </c>
      <c r="G451" s="105" t="s">
        <v>266</v>
      </c>
      <c r="H451" s="124" t="s">
        <v>4376</v>
      </c>
      <c r="I451" s="36">
        <v>255</v>
      </c>
      <c r="J451" s="104" t="s">
        <v>3356</v>
      </c>
      <c r="K451" s="210">
        <v>3</v>
      </c>
      <c r="L451" s="105" t="s">
        <v>1261</v>
      </c>
      <c r="M451" s="124" t="s">
        <v>2894</v>
      </c>
      <c r="N451" s="143">
        <v>43756</v>
      </c>
      <c r="O451" s="143">
        <v>43722</v>
      </c>
      <c r="P451" s="36">
        <v>2021</v>
      </c>
      <c r="Q451" s="143">
        <v>40156</v>
      </c>
      <c r="R451" s="144" t="s">
        <v>2887</v>
      </c>
      <c r="S451" s="122" t="s">
        <v>2888</v>
      </c>
      <c r="T451" s="122" t="s">
        <v>2889</v>
      </c>
      <c r="U451" s="122" t="s">
        <v>2890</v>
      </c>
      <c r="V451" s="70"/>
    </row>
    <row r="452" spans="1:22" ht="15" customHeight="1" x14ac:dyDescent="0.15">
      <c r="A452" s="345" t="s">
        <v>5610</v>
      </c>
      <c r="B452" s="103" t="s">
        <v>709</v>
      </c>
      <c r="C452" s="104" t="s">
        <v>715</v>
      </c>
      <c r="D452" s="122" t="s">
        <v>107</v>
      </c>
      <c r="E452" s="122" t="s">
        <v>580</v>
      </c>
      <c r="F452" s="123" t="s">
        <v>581</v>
      </c>
      <c r="G452" s="105" t="s">
        <v>582</v>
      </c>
      <c r="H452" s="124" t="s">
        <v>3138</v>
      </c>
      <c r="I452" s="36">
        <v>212</v>
      </c>
      <c r="J452" s="105" t="s">
        <v>131</v>
      </c>
      <c r="K452" s="210">
        <v>212</v>
      </c>
      <c r="L452" s="105" t="s">
        <v>131</v>
      </c>
      <c r="M452" s="124"/>
      <c r="N452" s="143">
        <v>38030</v>
      </c>
      <c r="O452" s="143">
        <v>38030</v>
      </c>
      <c r="P452" s="211">
        <v>2027</v>
      </c>
      <c r="Q452" s="143">
        <v>32003</v>
      </c>
      <c r="R452" s="144" t="s">
        <v>1528</v>
      </c>
      <c r="S452" s="122" t="s">
        <v>1529</v>
      </c>
      <c r="T452" s="122"/>
      <c r="U452" s="145" t="s">
        <v>1530</v>
      </c>
      <c r="V452" s="146" t="s">
        <v>1531</v>
      </c>
    </row>
    <row r="453" spans="1:22" ht="15" customHeight="1" x14ac:dyDescent="0.15">
      <c r="A453" s="345" t="s">
        <v>5610</v>
      </c>
      <c r="B453" s="103" t="s">
        <v>723</v>
      </c>
      <c r="C453" s="104" t="s">
        <v>623</v>
      </c>
      <c r="D453" s="122" t="s">
        <v>248</v>
      </c>
      <c r="E453" s="122" t="s">
        <v>725</v>
      </c>
      <c r="F453" s="123" t="s">
        <v>726</v>
      </c>
      <c r="G453" s="105" t="s">
        <v>727</v>
      </c>
      <c r="H453" s="124" t="s">
        <v>728</v>
      </c>
      <c r="I453" s="36">
        <v>2</v>
      </c>
      <c r="J453" s="105" t="s">
        <v>29</v>
      </c>
      <c r="K453" s="210">
        <v>2</v>
      </c>
      <c r="L453" s="105" t="s">
        <v>29</v>
      </c>
      <c r="M453" s="124" t="s">
        <v>2944</v>
      </c>
      <c r="N453" s="143">
        <v>43281</v>
      </c>
      <c r="O453" s="143">
        <v>41912</v>
      </c>
      <c r="P453" s="211">
        <v>2029</v>
      </c>
      <c r="Q453" s="143">
        <v>36169</v>
      </c>
      <c r="R453" s="144" t="s">
        <v>1586</v>
      </c>
      <c r="S453" s="122" t="s">
        <v>1445</v>
      </c>
      <c r="T453" s="153" t="s">
        <v>1446</v>
      </c>
      <c r="U453" s="145" t="s">
        <v>1447</v>
      </c>
      <c r="V453" s="146" t="s">
        <v>1448</v>
      </c>
    </row>
    <row r="454" spans="1:22" ht="15" customHeight="1" x14ac:dyDescent="0.15">
      <c r="A454" s="345" t="s">
        <v>5610</v>
      </c>
      <c r="B454" s="103" t="s">
        <v>4110</v>
      </c>
      <c r="C454" s="104" t="s">
        <v>956</v>
      </c>
      <c r="D454" s="122" t="s">
        <v>107</v>
      </c>
      <c r="E454" s="122" t="s">
        <v>3339</v>
      </c>
      <c r="F454" s="123" t="s">
        <v>1156</v>
      </c>
      <c r="G454" s="105" t="s">
        <v>241</v>
      </c>
      <c r="H454" s="124" t="s">
        <v>1006</v>
      </c>
      <c r="I454" s="36">
        <v>212</v>
      </c>
      <c r="J454" s="105" t="s">
        <v>131</v>
      </c>
      <c r="K454" s="210">
        <v>212</v>
      </c>
      <c r="L454" s="105" t="s">
        <v>131</v>
      </c>
      <c r="M454" s="124"/>
      <c r="N454" s="143" t="s">
        <v>242</v>
      </c>
      <c r="O454" s="143" t="s">
        <v>242</v>
      </c>
      <c r="P454" s="36" t="s">
        <v>242</v>
      </c>
      <c r="Q454" s="36" t="s">
        <v>242</v>
      </c>
      <c r="R454" s="144" t="s">
        <v>244</v>
      </c>
      <c r="S454" s="122" t="s">
        <v>4114</v>
      </c>
      <c r="T454" s="122"/>
      <c r="U454" s="153">
        <v>621824729</v>
      </c>
      <c r="V454" s="213" t="s">
        <v>4116</v>
      </c>
    </row>
    <row r="455" spans="1:22" ht="15" customHeight="1" x14ac:dyDescent="0.15">
      <c r="A455" s="345" t="s">
        <v>5610</v>
      </c>
      <c r="B455" s="103" t="s">
        <v>2916</v>
      </c>
      <c r="C455" s="104" t="s">
        <v>974</v>
      </c>
      <c r="D455" s="122" t="s">
        <v>263</v>
      </c>
      <c r="E455" s="122" t="s">
        <v>975</v>
      </c>
      <c r="F455" s="123" t="s">
        <v>977</v>
      </c>
      <c r="G455" s="105" t="s">
        <v>978</v>
      </c>
      <c r="H455" s="124" t="s">
        <v>320</v>
      </c>
      <c r="I455" s="36">
        <v>2</v>
      </c>
      <c r="J455" s="105" t="s">
        <v>29</v>
      </c>
      <c r="K455" s="210">
        <v>2</v>
      </c>
      <c r="L455" s="105" t="s">
        <v>29</v>
      </c>
      <c r="M455" s="124" t="s">
        <v>2955</v>
      </c>
      <c r="N455" s="143">
        <v>42618</v>
      </c>
      <c r="O455" s="143">
        <v>42618</v>
      </c>
      <c r="P455" s="36">
        <v>2029</v>
      </c>
      <c r="Q455" s="143">
        <v>36187</v>
      </c>
      <c r="R455" s="144" t="s">
        <v>2117</v>
      </c>
      <c r="S455" s="122"/>
      <c r="T455" s="122" t="s">
        <v>252</v>
      </c>
      <c r="U455" s="153" t="s">
        <v>3509</v>
      </c>
      <c r="V455" s="70" t="s">
        <v>2118</v>
      </c>
    </row>
    <row r="456" spans="1:22" ht="15" customHeight="1" x14ac:dyDescent="0.15">
      <c r="A456" s="345" t="s">
        <v>5610</v>
      </c>
      <c r="B456" s="103" t="s">
        <v>2797</v>
      </c>
      <c r="C456" s="104" t="s">
        <v>857</v>
      </c>
      <c r="D456" s="122" t="s">
        <v>107</v>
      </c>
      <c r="E456" s="122" t="s">
        <v>2798</v>
      </c>
      <c r="F456" s="123" t="s">
        <v>2799</v>
      </c>
      <c r="G456" s="105" t="s">
        <v>2800</v>
      </c>
      <c r="H456" s="124" t="s">
        <v>320</v>
      </c>
      <c r="I456" s="36">
        <v>1</v>
      </c>
      <c r="J456" s="105" t="s">
        <v>96</v>
      </c>
      <c r="K456" s="210">
        <v>1</v>
      </c>
      <c r="L456" s="105" t="s">
        <v>96</v>
      </c>
      <c r="M456" s="124" t="s">
        <v>3525</v>
      </c>
      <c r="N456" s="143">
        <v>38913</v>
      </c>
      <c r="O456" s="143" t="s">
        <v>2801</v>
      </c>
      <c r="P456" s="36" t="s">
        <v>242</v>
      </c>
      <c r="Q456" s="143">
        <v>32881</v>
      </c>
      <c r="R456" s="144" t="s">
        <v>2802</v>
      </c>
      <c r="S456" s="122"/>
      <c r="T456" s="122"/>
      <c r="U456" s="122" t="s">
        <v>2803</v>
      </c>
      <c r="V456" s="213" t="s">
        <v>2804</v>
      </c>
    </row>
    <row r="457" spans="1:22" ht="15" customHeight="1" x14ac:dyDescent="0.15">
      <c r="A457" s="345" t="s">
        <v>5610</v>
      </c>
      <c r="B457" s="103" t="s">
        <v>4095</v>
      </c>
      <c r="C457" s="104" t="s">
        <v>415</v>
      </c>
      <c r="D457" s="122" t="s">
        <v>107</v>
      </c>
      <c r="E457" s="122" t="s">
        <v>572</v>
      </c>
      <c r="F457" s="123" t="s">
        <v>4096</v>
      </c>
      <c r="G457" s="105" t="s">
        <v>241</v>
      </c>
      <c r="H457" s="124" t="s">
        <v>320</v>
      </c>
      <c r="I457" s="36">
        <v>2</v>
      </c>
      <c r="J457" s="105" t="s">
        <v>29</v>
      </c>
      <c r="K457" s="210">
        <v>2</v>
      </c>
      <c r="L457" s="105" t="s">
        <v>29</v>
      </c>
      <c r="M457" s="124" t="s">
        <v>4118</v>
      </c>
      <c r="N457" s="143">
        <v>44846</v>
      </c>
      <c r="O457" s="143" t="s">
        <v>4097</v>
      </c>
      <c r="P457" s="36">
        <v>2024</v>
      </c>
      <c r="Q457" s="143">
        <v>34415</v>
      </c>
      <c r="R457" s="144" t="s">
        <v>4098</v>
      </c>
      <c r="S457" s="511"/>
      <c r="T457" s="122"/>
      <c r="U457" s="153">
        <v>691315400</v>
      </c>
      <c r="V457" s="213" t="s">
        <v>4099</v>
      </c>
    </row>
    <row r="458" spans="1:22" ht="15" customHeight="1" x14ac:dyDescent="0.15">
      <c r="A458" s="345" t="s">
        <v>5610</v>
      </c>
      <c r="B458" s="103" t="s">
        <v>1797</v>
      </c>
      <c r="C458" s="104" t="s">
        <v>1798</v>
      </c>
      <c r="D458" s="122" t="s">
        <v>1799</v>
      </c>
      <c r="E458" s="122" t="s">
        <v>3339</v>
      </c>
      <c r="F458" s="123" t="s">
        <v>1156</v>
      </c>
      <c r="G458" s="105" t="s">
        <v>241</v>
      </c>
      <c r="H458" s="124" t="s">
        <v>4376</v>
      </c>
      <c r="I458" s="36">
        <v>252</v>
      </c>
      <c r="J458" s="104" t="s">
        <v>145</v>
      </c>
      <c r="K458" s="210">
        <v>4</v>
      </c>
      <c r="L458" s="105" t="s">
        <v>34</v>
      </c>
      <c r="M458" s="124" t="s">
        <v>2920</v>
      </c>
      <c r="N458" s="143">
        <v>43634</v>
      </c>
      <c r="O458" s="143">
        <v>43525</v>
      </c>
      <c r="P458" s="36">
        <v>2022</v>
      </c>
      <c r="Q458" s="143">
        <v>40344</v>
      </c>
      <c r="R458" s="144" t="s">
        <v>1800</v>
      </c>
      <c r="S458" s="122" t="s">
        <v>2848</v>
      </c>
      <c r="T458" s="122" t="s">
        <v>252</v>
      </c>
      <c r="U458" s="122"/>
      <c r="V458" s="70"/>
    </row>
    <row r="459" spans="1:22" ht="15" customHeight="1" x14ac:dyDescent="0.15">
      <c r="A459" s="345" t="s">
        <v>5610</v>
      </c>
      <c r="B459" s="103" t="s">
        <v>853</v>
      </c>
      <c r="C459" s="104" t="s">
        <v>3636</v>
      </c>
      <c r="D459" s="122" t="s">
        <v>107</v>
      </c>
      <c r="E459" s="122" t="s">
        <v>3631</v>
      </c>
      <c r="F459" s="123" t="s">
        <v>1073</v>
      </c>
      <c r="G459" s="105" t="s">
        <v>1074</v>
      </c>
      <c r="H459" s="124" t="s">
        <v>320</v>
      </c>
      <c r="I459" s="36">
        <v>2</v>
      </c>
      <c r="J459" s="105" t="s">
        <v>29</v>
      </c>
      <c r="K459" s="210">
        <v>2</v>
      </c>
      <c r="L459" s="105" t="s">
        <v>29</v>
      </c>
      <c r="M459" s="124" t="s">
        <v>3638</v>
      </c>
      <c r="N459" s="143">
        <v>44222</v>
      </c>
      <c r="O459" s="143">
        <v>44220</v>
      </c>
      <c r="P459" s="36">
        <v>2030</v>
      </c>
      <c r="Q459" s="143">
        <v>33082</v>
      </c>
      <c r="R459" s="144" t="s">
        <v>3632</v>
      </c>
      <c r="S459" s="122"/>
      <c r="T459" s="122"/>
      <c r="U459" s="122" t="s">
        <v>3633</v>
      </c>
      <c r="V459" s="213" t="s">
        <v>3634</v>
      </c>
    </row>
    <row r="460" spans="1:22" ht="15" customHeight="1" x14ac:dyDescent="0.15">
      <c r="A460" s="345" t="s">
        <v>5610</v>
      </c>
      <c r="B460" s="103" t="s">
        <v>4523</v>
      </c>
      <c r="C460" s="104" t="s">
        <v>4524</v>
      </c>
      <c r="D460" s="122" t="s">
        <v>4525</v>
      </c>
      <c r="E460" s="122" t="s">
        <v>4526</v>
      </c>
      <c r="F460" s="123" t="s">
        <v>4527</v>
      </c>
      <c r="G460" s="105" t="s">
        <v>4528</v>
      </c>
      <c r="H460" s="124" t="s">
        <v>320</v>
      </c>
      <c r="I460" s="36">
        <v>12</v>
      </c>
      <c r="J460" s="105" t="s">
        <v>64</v>
      </c>
      <c r="K460" s="210">
        <v>12</v>
      </c>
      <c r="L460" s="105" t="s">
        <v>64</v>
      </c>
      <c r="M460" s="124" t="s">
        <v>4560</v>
      </c>
      <c r="N460" s="143">
        <v>45210</v>
      </c>
      <c r="O460" s="143">
        <v>45188</v>
      </c>
      <c r="P460" s="36">
        <v>2029</v>
      </c>
      <c r="Q460" s="143">
        <v>36192</v>
      </c>
      <c r="R460" s="144" t="s">
        <v>4529</v>
      </c>
      <c r="S460" s="122"/>
      <c r="T460" s="122"/>
      <c r="U460" s="153">
        <v>661534866</v>
      </c>
      <c r="V460" s="213" t="s">
        <v>4530</v>
      </c>
    </row>
    <row r="461" spans="1:22" ht="15" customHeight="1" x14ac:dyDescent="0.15">
      <c r="A461" s="345" t="s">
        <v>5610</v>
      </c>
      <c r="B461" s="103" t="s">
        <v>1988</v>
      </c>
      <c r="C461" s="104" t="s">
        <v>280</v>
      </c>
      <c r="D461" s="122" t="s">
        <v>107</v>
      </c>
      <c r="E461" s="122" t="s">
        <v>1989</v>
      </c>
      <c r="F461" s="123" t="s">
        <v>773</v>
      </c>
      <c r="G461" s="105" t="s">
        <v>774</v>
      </c>
      <c r="H461" s="124" t="s">
        <v>4376</v>
      </c>
      <c r="I461" s="36">
        <v>252</v>
      </c>
      <c r="J461" s="104" t="s">
        <v>145</v>
      </c>
      <c r="K461" s="210">
        <v>4</v>
      </c>
      <c r="L461" s="105" t="s">
        <v>34</v>
      </c>
      <c r="M461" s="124" t="s">
        <v>2986</v>
      </c>
      <c r="N461" s="143">
        <v>43544</v>
      </c>
      <c r="O461" s="143">
        <v>43518</v>
      </c>
      <c r="P461" s="36">
        <v>2023</v>
      </c>
      <c r="Q461" s="143">
        <v>40901</v>
      </c>
      <c r="R461" s="144" t="s">
        <v>1990</v>
      </c>
      <c r="S461" s="122"/>
      <c r="T461" s="122" t="s">
        <v>1991</v>
      </c>
      <c r="U461" s="122" t="s">
        <v>1992</v>
      </c>
      <c r="V461" s="213" t="s">
        <v>1993</v>
      </c>
    </row>
    <row r="462" spans="1:22" ht="15" customHeight="1" x14ac:dyDescent="0.15">
      <c r="A462" s="345" t="s">
        <v>5610</v>
      </c>
      <c r="B462" s="103" t="s">
        <v>2040</v>
      </c>
      <c r="C462" s="104" t="s">
        <v>2042</v>
      </c>
      <c r="D462" s="122" t="s">
        <v>107</v>
      </c>
      <c r="E462" s="122" t="s">
        <v>951</v>
      </c>
      <c r="F462" s="123" t="s">
        <v>712</v>
      </c>
      <c r="G462" s="105" t="s">
        <v>713</v>
      </c>
      <c r="H462" s="124" t="s">
        <v>4376</v>
      </c>
      <c r="I462" s="36">
        <v>252</v>
      </c>
      <c r="J462" s="105" t="s">
        <v>145</v>
      </c>
      <c r="K462" s="210">
        <v>14</v>
      </c>
      <c r="L462" s="105" t="s">
        <v>4365</v>
      </c>
      <c r="M462" s="124" t="s">
        <v>2992</v>
      </c>
      <c r="N462" s="143">
        <v>43129</v>
      </c>
      <c r="O462" s="143">
        <v>43071</v>
      </c>
      <c r="P462" s="36">
        <v>2023</v>
      </c>
      <c r="Q462" s="143">
        <v>40667</v>
      </c>
      <c r="R462" s="144" t="s">
        <v>2043</v>
      </c>
      <c r="S462" s="122" t="s">
        <v>2041</v>
      </c>
      <c r="T462" s="122" t="s">
        <v>2044</v>
      </c>
      <c r="U462" s="122" t="s">
        <v>2045</v>
      </c>
      <c r="V462" s="122"/>
    </row>
    <row r="463" spans="1:22" ht="15" customHeight="1" x14ac:dyDescent="0.15">
      <c r="A463" s="345" t="s">
        <v>5610</v>
      </c>
      <c r="B463" s="103" t="s">
        <v>4835</v>
      </c>
      <c r="C463" s="104" t="s">
        <v>4836</v>
      </c>
      <c r="D463" s="122" t="s">
        <v>107</v>
      </c>
      <c r="E463" s="122" t="s">
        <v>4837</v>
      </c>
      <c r="F463" s="123" t="s">
        <v>256</v>
      </c>
      <c r="G463" s="105" t="s">
        <v>618</v>
      </c>
      <c r="H463" s="124" t="s">
        <v>320</v>
      </c>
      <c r="I463" s="36">
        <v>9</v>
      </c>
      <c r="J463" s="105" t="s">
        <v>101</v>
      </c>
      <c r="K463" s="210">
        <v>9</v>
      </c>
      <c r="L463" s="105" t="s">
        <v>101</v>
      </c>
      <c r="M463" s="124" t="s">
        <v>2805</v>
      </c>
      <c r="N463" s="143"/>
      <c r="O463" s="143">
        <v>45510</v>
      </c>
      <c r="P463" s="36"/>
      <c r="Q463" s="143">
        <v>31048</v>
      </c>
      <c r="R463" s="144" t="s">
        <v>4838</v>
      </c>
      <c r="S463" s="122"/>
      <c r="T463" s="122"/>
      <c r="U463" s="153">
        <v>661141764</v>
      </c>
      <c r="V463" s="213" t="s">
        <v>4839</v>
      </c>
    </row>
    <row r="464" spans="1:22" ht="15" customHeight="1" x14ac:dyDescent="0.15">
      <c r="A464" s="345" t="s">
        <v>5610</v>
      </c>
      <c r="B464" s="103" t="s">
        <v>356</v>
      </c>
      <c r="C464" s="104" t="s">
        <v>2070</v>
      </c>
      <c r="D464" s="122" t="s">
        <v>107</v>
      </c>
      <c r="E464" s="122" t="s">
        <v>1850</v>
      </c>
      <c r="F464" s="123" t="s">
        <v>670</v>
      </c>
      <c r="G464" s="105" t="s">
        <v>223</v>
      </c>
      <c r="H464" s="124" t="s">
        <v>4376</v>
      </c>
      <c r="I464" s="36">
        <v>252</v>
      </c>
      <c r="J464" s="104" t="s">
        <v>145</v>
      </c>
      <c r="K464" s="210">
        <v>14</v>
      </c>
      <c r="L464" s="105" t="s">
        <v>4365</v>
      </c>
      <c r="M464" s="124" t="s">
        <v>2997</v>
      </c>
      <c r="N464" s="143">
        <v>42917</v>
      </c>
      <c r="O464" s="143">
        <v>42882</v>
      </c>
      <c r="P464" s="36">
        <v>2022</v>
      </c>
      <c r="Q464" s="143">
        <v>40220</v>
      </c>
      <c r="R464" s="144" t="s">
        <v>2071</v>
      </c>
      <c r="S464" s="122"/>
      <c r="T464" s="122"/>
      <c r="U464" s="122" t="s">
        <v>2072</v>
      </c>
      <c r="V464" s="70" t="s">
        <v>2073</v>
      </c>
    </row>
    <row r="465" spans="1:22" ht="15" customHeight="1" x14ac:dyDescent="0.15">
      <c r="A465" s="345" t="s">
        <v>5610</v>
      </c>
      <c r="B465" s="103" t="s">
        <v>965</v>
      </c>
      <c r="C465" s="104" t="s">
        <v>966</v>
      </c>
      <c r="D465" s="122" t="s">
        <v>490</v>
      </c>
      <c r="E465" s="122" t="s">
        <v>725</v>
      </c>
      <c r="F465" s="123" t="s">
        <v>726</v>
      </c>
      <c r="G465" s="105" t="s">
        <v>727</v>
      </c>
      <c r="H465" s="124" t="s">
        <v>728</v>
      </c>
      <c r="I465" s="36">
        <v>212</v>
      </c>
      <c r="J465" s="105" t="s">
        <v>131</v>
      </c>
      <c r="K465" s="210">
        <v>212</v>
      </c>
      <c r="L465" s="105" t="s">
        <v>131</v>
      </c>
      <c r="M465" s="124"/>
      <c r="N465" s="143" t="s">
        <v>242</v>
      </c>
      <c r="O465" s="143"/>
      <c r="P465" s="211" t="s">
        <v>210</v>
      </c>
      <c r="Q465" s="36" t="s">
        <v>242</v>
      </c>
      <c r="R465" s="144" t="s">
        <v>244</v>
      </c>
      <c r="S465" s="122" t="s">
        <v>1445</v>
      </c>
      <c r="T465" s="122"/>
      <c r="U465" s="145" t="s">
        <v>2106</v>
      </c>
      <c r="V465" s="145" t="s">
        <v>2107</v>
      </c>
    </row>
    <row r="466" spans="1:22" ht="15" customHeight="1" x14ac:dyDescent="0.15">
      <c r="A466" s="345" t="s">
        <v>5610</v>
      </c>
      <c r="B466" s="103" t="s">
        <v>4064</v>
      </c>
      <c r="C466" s="104" t="s">
        <v>4066</v>
      </c>
      <c r="D466" s="122" t="s">
        <v>555</v>
      </c>
      <c r="E466" s="122" t="s">
        <v>4076</v>
      </c>
      <c r="F466" s="123" t="s">
        <v>4077</v>
      </c>
      <c r="G466" s="105" t="s">
        <v>4078</v>
      </c>
      <c r="H466" s="124" t="s">
        <v>4376</v>
      </c>
      <c r="I466" s="36">
        <v>212</v>
      </c>
      <c r="J466" s="105" t="s">
        <v>131</v>
      </c>
      <c r="K466" s="210">
        <v>212</v>
      </c>
      <c r="L466" s="105" t="s">
        <v>131</v>
      </c>
      <c r="M466" s="124"/>
      <c r="N466" s="143"/>
      <c r="O466" s="143"/>
      <c r="P466" s="36" t="s">
        <v>242</v>
      </c>
      <c r="Q466" s="36" t="s">
        <v>242</v>
      </c>
      <c r="R466" s="144" t="s">
        <v>244</v>
      </c>
      <c r="S466" s="122"/>
      <c r="T466" s="122"/>
      <c r="U466" s="122" t="s">
        <v>4072</v>
      </c>
      <c r="V466" s="213" t="s">
        <v>4074</v>
      </c>
    </row>
    <row r="467" spans="1:22" ht="15" customHeight="1" x14ac:dyDescent="0.15">
      <c r="A467" s="345" t="s">
        <v>5610</v>
      </c>
      <c r="B467" s="103" t="s">
        <v>2172</v>
      </c>
      <c r="C467" s="104" t="s">
        <v>2174</v>
      </c>
      <c r="D467" s="122" t="s">
        <v>1681</v>
      </c>
      <c r="E467" s="122" t="s">
        <v>1801</v>
      </c>
      <c r="F467" s="123" t="s">
        <v>504</v>
      </c>
      <c r="G467" s="105" t="s">
        <v>241</v>
      </c>
      <c r="H467" s="124" t="s">
        <v>4376</v>
      </c>
      <c r="I467" s="36">
        <v>252</v>
      </c>
      <c r="J467" s="104" t="s">
        <v>145</v>
      </c>
      <c r="K467" s="210">
        <v>4</v>
      </c>
      <c r="L467" s="105" t="s">
        <v>34</v>
      </c>
      <c r="M467" s="124" t="s">
        <v>3013</v>
      </c>
      <c r="N467" s="143">
        <v>42774</v>
      </c>
      <c r="O467" s="143">
        <v>42763</v>
      </c>
      <c r="P467" s="36">
        <v>2022</v>
      </c>
      <c r="Q467" s="143">
        <v>40278</v>
      </c>
      <c r="R467" s="144" t="s">
        <v>2175</v>
      </c>
      <c r="S467" s="122"/>
      <c r="T467" s="122"/>
      <c r="U467" s="153" t="s">
        <v>3503</v>
      </c>
      <c r="V467" s="70" t="s">
        <v>1802</v>
      </c>
    </row>
    <row r="468" spans="1:22" ht="15" customHeight="1" x14ac:dyDescent="0.15">
      <c r="A468" s="345" t="s">
        <v>5610</v>
      </c>
      <c r="B468" s="103" t="s">
        <v>987</v>
      </c>
      <c r="C468" s="104" t="s">
        <v>990</v>
      </c>
      <c r="D468" s="105" t="s">
        <v>263</v>
      </c>
      <c r="E468" s="122" t="s">
        <v>711</v>
      </c>
      <c r="F468" s="123" t="s">
        <v>712</v>
      </c>
      <c r="G468" s="105" t="s">
        <v>713</v>
      </c>
      <c r="H468" s="124" t="s">
        <v>320</v>
      </c>
      <c r="I468" s="36">
        <v>9</v>
      </c>
      <c r="J468" s="105" t="s">
        <v>101</v>
      </c>
      <c r="K468" s="210">
        <v>9</v>
      </c>
      <c r="L468" s="105" t="s">
        <v>101</v>
      </c>
      <c r="M468" s="124" t="s">
        <v>3015</v>
      </c>
      <c r="N468" s="143">
        <v>41922</v>
      </c>
      <c r="O468" s="143">
        <v>41922</v>
      </c>
      <c r="P468" s="211">
        <v>2027</v>
      </c>
      <c r="Q468" s="143">
        <v>30085</v>
      </c>
      <c r="R468" s="144" t="s">
        <v>2180</v>
      </c>
      <c r="S468" s="122" t="s">
        <v>1505</v>
      </c>
      <c r="T468" s="122"/>
      <c r="U468" s="145" t="s">
        <v>2181</v>
      </c>
      <c r="V468" s="146" t="s">
        <v>2179</v>
      </c>
    </row>
    <row r="469" spans="1:22" ht="15" customHeight="1" x14ac:dyDescent="0.15">
      <c r="A469" s="345" t="s">
        <v>5610</v>
      </c>
      <c r="B469" s="103" t="s">
        <v>2185</v>
      </c>
      <c r="C469" s="104" t="s">
        <v>2186</v>
      </c>
      <c r="D469" s="122" t="s">
        <v>263</v>
      </c>
      <c r="E469" s="122" t="s">
        <v>3717</v>
      </c>
      <c r="F469" s="123" t="s">
        <v>3718</v>
      </c>
      <c r="G469" s="105" t="s">
        <v>223</v>
      </c>
      <c r="H469" s="124" t="s">
        <v>320</v>
      </c>
      <c r="I469" s="36">
        <v>9</v>
      </c>
      <c r="J469" s="105" t="s">
        <v>101</v>
      </c>
      <c r="K469" s="210">
        <v>9</v>
      </c>
      <c r="L469" s="105" t="s">
        <v>101</v>
      </c>
      <c r="M469" s="124" t="s">
        <v>3017</v>
      </c>
      <c r="N469" s="143">
        <v>41401</v>
      </c>
      <c r="O469" s="143">
        <v>41401</v>
      </c>
      <c r="P469" s="211">
        <v>2022</v>
      </c>
      <c r="Q469" s="143">
        <v>28384</v>
      </c>
      <c r="R469" s="123" t="s">
        <v>2187</v>
      </c>
      <c r="S469" s="122"/>
      <c r="T469" s="122"/>
      <c r="U469" s="145" t="s">
        <v>2188</v>
      </c>
      <c r="V469" s="146" t="s">
        <v>2189</v>
      </c>
    </row>
    <row r="470" spans="1:22" ht="15" customHeight="1" x14ac:dyDescent="0.15">
      <c r="A470" s="345" t="s">
        <v>5610</v>
      </c>
      <c r="B470" s="103" t="s">
        <v>2282</v>
      </c>
      <c r="C470" s="104" t="s">
        <v>2058</v>
      </c>
      <c r="D470" s="122" t="s">
        <v>107</v>
      </c>
      <c r="E470" s="122" t="s">
        <v>2283</v>
      </c>
      <c r="F470" s="123" t="s">
        <v>134</v>
      </c>
      <c r="G470" s="105" t="s">
        <v>135</v>
      </c>
      <c r="H470" s="124" t="s">
        <v>4376</v>
      </c>
      <c r="I470" s="36">
        <v>252</v>
      </c>
      <c r="J470" s="104" t="s">
        <v>145</v>
      </c>
      <c r="K470" s="210">
        <v>3</v>
      </c>
      <c r="L470" s="105" t="s">
        <v>1261</v>
      </c>
      <c r="M470" s="124" t="s">
        <v>3028</v>
      </c>
      <c r="N470" s="143">
        <v>43076</v>
      </c>
      <c r="O470" s="143">
        <v>43033</v>
      </c>
      <c r="P470" s="36">
        <v>2021</v>
      </c>
      <c r="Q470" s="143">
        <v>38926</v>
      </c>
      <c r="R470" s="144" t="s">
        <v>2284</v>
      </c>
      <c r="S470" s="122" t="s">
        <v>2285</v>
      </c>
      <c r="T470" s="122"/>
      <c r="U470" s="153" t="s">
        <v>3497</v>
      </c>
      <c r="V470" s="70" t="s">
        <v>2286</v>
      </c>
    </row>
    <row r="471" spans="1:22" ht="15" customHeight="1" x14ac:dyDescent="0.15">
      <c r="A471" s="345" t="s">
        <v>5610</v>
      </c>
      <c r="B471" s="103" t="s">
        <v>3466</v>
      </c>
      <c r="C471" s="104" t="s">
        <v>3467</v>
      </c>
      <c r="D471" s="343" t="s">
        <v>107</v>
      </c>
      <c r="E471" s="343" t="s">
        <v>3344</v>
      </c>
      <c r="F471" s="123" t="s">
        <v>3468</v>
      </c>
      <c r="G471" s="105" t="s">
        <v>582</v>
      </c>
      <c r="H471" s="124" t="s">
        <v>4376</v>
      </c>
      <c r="I471" s="36">
        <v>212</v>
      </c>
      <c r="J471" s="105" t="s">
        <v>131</v>
      </c>
      <c r="K471" s="210">
        <v>212</v>
      </c>
      <c r="L471" s="105" t="s">
        <v>131</v>
      </c>
      <c r="M471" s="124"/>
      <c r="N471" s="143" t="s">
        <v>242</v>
      </c>
      <c r="O471" s="143">
        <v>44085</v>
      </c>
      <c r="P471" s="36" t="s">
        <v>242</v>
      </c>
      <c r="Q471" s="143" t="s">
        <v>242</v>
      </c>
      <c r="R471" s="144" t="s">
        <v>242</v>
      </c>
      <c r="S471" s="122"/>
      <c r="T471" s="122"/>
      <c r="U471" s="122" t="s">
        <v>3471</v>
      </c>
      <c r="V471" s="213" t="s">
        <v>3472</v>
      </c>
    </row>
    <row r="472" spans="1:22" ht="15" customHeight="1" x14ac:dyDescent="0.15">
      <c r="A472" s="345" t="s">
        <v>5610</v>
      </c>
      <c r="B472" s="103" t="s">
        <v>1011</v>
      </c>
      <c r="C472" s="104" t="s">
        <v>3179</v>
      </c>
      <c r="D472" s="796" t="s">
        <v>107</v>
      </c>
      <c r="E472" s="122" t="s">
        <v>1013</v>
      </c>
      <c r="F472" s="123" t="s">
        <v>1014</v>
      </c>
      <c r="G472" s="105" t="s">
        <v>241</v>
      </c>
      <c r="H472" s="124" t="s">
        <v>4376</v>
      </c>
      <c r="I472" s="36">
        <v>252</v>
      </c>
      <c r="J472" s="104" t="s">
        <v>145</v>
      </c>
      <c r="K472" s="210">
        <v>4</v>
      </c>
      <c r="L472" s="105" t="s">
        <v>34</v>
      </c>
      <c r="M472" s="124" t="s">
        <v>3225</v>
      </c>
      <c r="N472" s="143">
        <v>43843</v>
      </c>
      <c r="O472" s="143">
        <v>43801</v>
      </c>
      <c r="P472" s="36">
        <v>2022</v>
      </c>
      <c r="Q472" s="143">
        <v>40195</v>
      </c>
      <c r="R472" s="144" t="s">
        <v>3181</v>
      </c>
      <c r="S472" s="122" t="s">
        <v>2333</v>
      </c>
      <c r="T472" s="122" t="s">
        <v>3183</v>
      </c>
      <c r="U472" s="122" t="s">
        <v>3182</v>
      </c>
      <c r="V472" s="70" t="s">
        <v>2334</v>
      </c>
    </row>
    <row r="473" spans="1:22" ht="15" customHeight="1" x14ac:dyDescent="0.15">
      <c r="A473" s="345" t="s">
        <v>5610</v>
      </c>
      <c r="B473" s="103" t="s">
        <v>4025</v>
      </c>
      <c r="C473" s="104" t="s">
        <v>4026</v>
      </c>
      <c r="D473" s="122" t="s">
        <v>490</v>
      </c>
      <c r="E473" s="122" t="s">
        <v>4027</v>
      </c>
      <c r="F473" s="123" t="s">
        <v>4028</v>
      </c>
      <c r="G473" s="105" t="s">
        <v>4029</v>
      </c>
      <c r="H473" s="124" t="s">
        <v>320</v>
      </c>
      <c r="I473" s="36">
        <v>2</v>
      </c>
      <c r="J473" s="105" t="s">
        <v>29</v>
      </c>
      <c r="K473" s="210">
        <v>2</v>
      </c>
      <c r="L473" s="105" t="s">
        <v>29</v>
      </c>
      <c r="M473" s="124" t="s">
        <v>4057</v>
      </c>
      <c r="N473" s="143">
        <v>44792</v>
      </c>
      <c r="O473" s="143">
        <v>44757</v>
      </c>
      <c r="P473" s="36">
        <v>2026</v>
      </c>
      <c r="Q473" s="143">
        <v>35100</v>
      </c>
      <c r="R473" s="144" t="s">
        <v>4030</v>
      </c>
      <c r="S473" s="122"/>
      <c r="T473" s="122"/>
      <c r="U473" s="153">
        <v>621430505</v>
      </c>
      <c r="V473" s="213" t="s">
        <v>4031</v>
      </c>
    </row>
    <row r="474" spans="1:22" ht="15" customHeight="1" x14ac:dyDescent="0.15">
      <c r="A474" s="345" t="s">
        <v>5610</v>
      </c>
      <c r="B474" s="601" t="s">
        <v>1028</v>
      </c>
      <c r="C474" s="602" t="s">
        <v>3467</v>
      </c>
      <c r="D474" s="618" t="s">
        <v>107</v>
      </c>
      <c r="E474" s="603" t="s">
        <v>580</v>
      </c>
      <c r="F474" s="604" t="s">
        <v>581</v>
      </c>
      <c r="G474" s="605" t="s">
        <v>582</v>
      </c>
      <c r="H474" s="797" t="s">
        <v>3138</v>
      </c>
      <c r="I474" s="798">
        <v>212</v>
      </c>
      <c r="J474" s="799" t="s">
        <v>131</v>
      </c>
      <c r="K474" s="800">
        <v>212</v>
      </c>
      <c r="L474" s="105" t="s">
        <v>131</v>
      </c>
      <c r="M474" s="609"/>
      <c r="N474" s="801" t="s">
        <v>242</v>
      </c>
      <c r="O474" s="801" t="s">
        <v>242</v>
      </c>
      <c r="P474" s="802" t="s">
        <v>242</v>
      </c>
      <c r="Q474" s="801" t="s">
        <v>242</v>
      </c>
      <c r="R474" s="803" t="s">
        <v>244</v>
      </c>
      <c r="S474" s="588"/>
      <c r="T474" s="588"/>
      <c r="U474" s="588"/>
      <c r="V474" s="593"/>
    </row>
    <row r="475" spans="1:22" ht="15" customHeight="1" x14ac:dyDescent="0.15">
      <c r="A475" s="345" t="s">
        <v>5610</v>
      </c>
      <c r="B475" s="601" t="s">
        <v>2420</v>
      </c>
      <c r="C475" s="602" t="s">
        <v>2422</v>
      </c>
      <c r="D475" s="618" t="s">
        <v>107</v>
      </c>
      <c r="E475" s="603" t="s">
        <v>2421</v>
      </c>
      <c r="F475" s="604" t="s">
        <v>925</v>
      </c>
      <c r="G475" s="605" t="s">
        <v>135</v>
      </c>
      <c r="H475" s="797" t="s">
        <v>4376</v>
      </c>
      <c r="I475" s="798">
        <v>992</v>
      </c>
      <c r="J475" s="804" t="s">
        <v>195</v>
      </c>
      <c r="K475" s="800">
        <v>4</v>
      </c>
      <c r="L475" s="105" t="s">
        <v>34</v>
      </c>
      <c r="M475" s="609" t="s">
        <v>3045</v>
      </c>
      <c r="N475" s="676">
        <v>42698</v>
      </c>
      <c r="O475" s="676">
        <v>42698</v>
      </c>
      <c r="P475" s="591">
        <v>2017</v>
      </c>
      <c r="Q475" s="677">
        <v>40262</v>
      </c>
      <c r="R475" s="678" t="s">
        <v>2423</v>
      </c>
      <c r="S475" s="588"/>
      <c r="T475" s="588"/>
      <c r="U475" s="588"/>
      <c r="V475" s="587"/>
    </row>
    <row r="476" spans="1:22" ht="15" customHeight="1" x14ac:dyDescent="0.15">
      <c r="A476" s="345" t="s">
        <v>5610</v>
      </c>
      <c r="B476" s="601" t="s">
        <v>4111</v>
      </c>
      <c r="C476" s="602" t="s">
        <v>4112</v>
      </c>
      <c r="D476" s="618" t="s">
        <v>107</v>
      </c>
      <c r="E476" s="603" t="s">
        <v>3339</v>
      </c>
      <c r="F476" s="604" t="s">
        <v>1156</v>
      </c>
      <c r="G476" s="605" t="s">
        <v>241</v>
      </c>
      <c r="H476" s="797" t="s">
        <v>1006</v>
      </c>
      <c r="I476" s="798">
        <v>212</v>
      </c>
      <c r="J476" s="799" t="s">
        <v>131</v>
      </c>
      <c r="K476" s="800">
        <v>212</v>
      </c>
      <c r="L476" s="105" t="s">
        <v>131</v>
      </c>
      <c r="M476" s="609"/>
      <c r="N476" s="676" t="s">
        <v>242</v>
      </c>
      <c r="O476" s="676" t="s">
        <v>242</v>
      </c>
      <c r="P476" s="591" t="s">
        <v>242</v>
      </c>
      <c r="Q476" s="805" t="s">
        <v>242</v>
      </c>
      <c r="R476" s="678" t="s">
        <v>244</v>
      </c>
      <c r="S476" s="588" t="s">
        <v>4114</v>
      </c>
      <c r="T476" s="588"/>
      <c r="U476" s="724">
        <v>621552060</v>
      </c>
      <c r="V476" s="593" t="s">
        <v>4115</v>
      </c>
    </row>
    <row r="477" spans="1:22" ht="15" customHeight="1" x14ac:dyDescent="0.15">
      <c r="A477" s="345" t="s">
        <v>5610</v>
      </c>
      <c r="B477" s="601" t="s">
        <v>4609</v>
      </c>
      <c r="C477" s="602" t="s">
        <v>4610</v>
      </c>
      <c r="D477" s="618" t="s">
        <v>4788</v>
      </c>
      <c r="E477" s="603" t="s">
        <v>4611</v>
      </c>
      <c r="F477" s="604" t="s">
        <v>3718</v>
      </c>
      <c r="G477" s="605" t="s">
        <v>223</v>
      </c>
      <c r="H477" s="797" t="s">
        <v>2246</v>
      </c>
      <c r="I477" s="798">
        <v>212</v>
      </c>
      <c r="J477" s="799" t="s">
        <v>131</v>
      </c>
      <c r="K477" s="800">
        <v>212</v>
      </c>
      <c r="L477" s="105" t="s">
        <v>131</v>
      </c>
      <c r="M477" s="609"/>
      <c r="N477" s="676" t="s">
        <v>242</v>
      </c>
      <c r="O477" s="676" t="s">
        <v>242</v>
      </c>
      <c r="P477" s="591" t="s">
        <v>242</v>
      </c>
      <c r="Q477" s="805" t="s">
        <v>242</v>
      </c>
      <c r="R477" s="678" t="s">
        <v>244</v>
      </c>
      <c r="S477" s="588"/>
      <c r="T477" s="588"/>
      <c r="U477" s="588"/>
      <c r="V477" s="593"/>
    </row>
    <row r="478" spans="1:22" ht="15" customHeight="1" x14ac:dyDescent="0.15">
      <c r="A478" s="345" t="s">
        <v>5610</v>
      </c>
      <c r="B478" s="601" t="s">
        <v>2853</v>
      </c>
      <c r="C478" s="602" t="s">
        <v>871</v>
      </c>
      <c r="D478" s="618" t="s">
        <v>107</v>
      </c>
      <c r="E478" s="603" t="s">
        <v>2855</v>
      </c>
      <c r="F478" s="604" t="s">
        <v>110</v>
      </c>
      <c r="G478" s="605" t="s">
        <v>111</v>
      </c>
      <c r="H478" s="797" t="s">
        <v>320</v>
      </c>
      <c r="I478" s="798">
        <v>150</v>
      </c>
      <c r="J478" s="799" t="s">
        <v>115</v>
      </c>
      <c r="K478" s="800">
        <v>1</v>
      </c>
      <c r="L478" s="105" t="s">
        <v>96</v>
      </c>
      <c r="M478" s="609" t="s">
        <v>4792</v>
      </c>
      <c r="N478" s="676">
        <v>45175</v>
      </c>
      <c r="O478" s="676">
        <v>43740</v>
      </c>
      <c r="P478" s="591">
        <v>2026</v>
      </c>
      <c r="Q478" s="677">
        <v>27910</v>
      </c>
      <c r="R478" s="678" t="s">
        <v>4467</v>
      </c>
      <c r="S478" s="588"/>
      <c r="T478" s="588"/>
      <c r="U478" s="724">
        <v>691878372</v>
      </c>
      <c r="V478" s="806" t="s">
        <v>2856</v>
      </c>
    </row>
    <row r="479" spans="1:22" ht="15" customHeight="1" x14ac:dyDescent="0.15">
      <c r="A479" s="345" t="s">
        <v>5610</v>
      </c>
      <c r="B479" s="601" t="s">
        <v>2536</v>
      </c>
      <c r="C479" s="602" t="s">
        <v>2537</v>
      </c>
      <c r="D479" s="618" t="s">
        <v>107</v>
      </c>
      <c r="E479" s="603" t="s">
        <v>3494</v>
      </c>
      <c r="F479" s="604" t="s">
        <v>2538</v>
      </c>
      <c r="G479" s="605" t="s">
        <v>1051</v>
      </c>
      <c r="H479" s="797" t="s">
        <v>2539</v>
      </c>
      <c r="I479" s="798">
        <v>3</v>
      </c>
      <c r="J479" s="799" t="s">
        <v>1261</v>
      </c>
      <c r="K479" s="800">
        <v>3</v>
      </c>
      <c r="L479" s="105" t="s">
        <v>1261</v>
      </c>
      <c r="M479" s="609" t="s">
        <v>3063</v>
      </c>
      <c r="N479" s="676">
        <v>43228</v>
      </c>
      <c r="O479" s="676">
        <v>43178</v>
      </c>
      <c r="P479" s="591">
        <v>2028</v>
      </c>
      <c r="Q479" s="677">
        <v>39603</v>
      </c>
      <c r="R479" s="678" t="s">
        <v>2540</v>
      </c>
      <c r="S479" s="588" t="s">
        <v>2541</v>
      </c>
      <c r="T479" s="588" t="s">
        <v>2542</v>
      </c>
      <c r="U479" s="588" t="s">
        <v>2543</v>
      </c>
      <c r="V479" s="807" t="s">
        <v>3454</v>
      </c>
    </row>
    <row r="480" spans="1:22" ht="15" customHeight="1" x14ac:dyDescent="0.15">
      <c r="A480" s="345" t="s">
        <v>5610</v>
      </c>
      <c r="B480" s="601" t="s">
        <v>1150</v>
      </c>
      <c r="C480" s="602" t="s">
        <v>1151</v>
      </c>
      <c r="D480" s="618" t="s">
        <v>107</v>
      </c>
      <c r="E480" s="603" t="s">
        <v>944</v>
      </c>
      <c r="F480" s="604" t="s">
        <v>945</v>
      </c>
      <c r="G480" s="605" t="s">
        <v>946</v>
      </c>
      <c r="H480" s="797" t="s">
        <v>948</v>
      </c>
      <c r="I480" s="798">
        <v>2</v>
      </c>
      <c r="J480" s="799" t="s">
        <v>29</v>
      </c>
      <c r="K480" s="800">
        <v>2</v>
      </c>
      <c r="L480" s="105" t="s">
        <v>29</v>
      </c>
      <c r="M480" s="609" t="s">
        <v>3079</v>
      </c>
      <c r="N480" s="676">
        <v>38639</v>
      </c>
      <c r="O480" s="676">
        <v>38639</v>
      </c>
      <c r="P480" s="808">
        <v>2026</v>
      </c>
      <c r="Q480" s="677">
        <v>35307</v>
      </c>
      <c r="R480" s="678" t="s">
        <v>2648</v>
      </c>
      <c r="S480" s="588" t="s">
        <v>2023</v>
      </c>
      <c r="T480" s="588"/>
      <c r="U480" s="809" t="s">
        <v>2649</v>
      </c>
      <c r="V480" s="810" t="s">
        <v>2024</v>
      </c>
    </row>
    <row r="481" spans="1:22" ht="15" customHeight="1" x14ac:dyDescent="0.15">
      <c r="A481" s="345" t="s">
        <v>5610</v>
      </c>
      <c r="B481" s="103" t="s">
        <v>709</v>
      </c>
      <c r="C481" s="104" t="s">
        <v>4379</v>
      </c>
      <c r="D481" s="122" t="s">
        <v>107</v>
      </c>
      <c r="E481" s="122" t="s">
        <v>580</v>
      </c>
      <c r="F481" s="123" t="s">
        <v>581</v>
      </c>
      <c r="G481" s="105" t="s">
        <v>582</v>
      </c>
      <c r="H481" s="124" t="s">
        <v>3138</v>
      </c>
      <c r="I481" s="36">
        <v>252</v>
      </c>
      <c r="J481" s="105" t="str">
        <f t="shared" ref="J481:J486" si="185">VLOOKUP(I481,CAT_JOUEUR,2,FALSE)</f>
        <v>Arrêt jeune (garder licence)</v>
      </c>
      <c r="K481" s="210">
        <v>17</v>
      </c>
      <c r="L481" s="105" t="str">
        <f t="shared" ref="L481:L486" si="186">VLOOKUP(K481,CAT_JOUEUR,2,FALSE)</f>
        <v>U 11 Dames</v>
      </c>
      <c r="M481" s="124" t="s">
        <v>4773</v>
      </c>
      <c r="N481" s="143">
        <v>45341</v>
      </c>
      <c r="O481" s="143">
        <v>45101</v>
      </c>
      <c r="P481" s="36">
        <v>2024</v>
      </c>
      <c r="Q481" s="143">
        <v>43086</v>
      </c>
      <c r="R481" s="144" t="s">
        <v>4567</v>
      </c>
      <c r="U481" s="145" t="s">
        <v>1530</v>
      </c>
      <c r="V481" s="146" t="s">
        <v>1531</v>
      </c>
    </row>
    <row r="482" spans="1:22" ht="15" customHeight="1" x14ac:dyDescent="0.15">
      <c r="A482" s="345" t="s">
        <v>5610</v>
      </c>
      <c r="B482" s="103" t="s">
        <v>709</v>
      </c>
      <c r="C482" s="104" t="s">
        <v>3200</v>
      </c>
      <c r="D482" s="122" t="s">
        <v>107</v>
      </c>
      <c r="E482" s="122" t="s">
        <v>580</v>
      </c>
      <c r="F482" s="123" t="s">
        <v>581</v>
      </c>
      <c r="G482" s="105" t="s">
        <v>582</v>
      </c>
      <c r="H482" s="124" t="s">
        <v>3138</v>
      </c>
      <c r="I482" s="36">
        <v>252</v>
      </c>
      <c r="J482" s="105" t="str">
        <f t="shared" si="185"/>
        <v>Arrêt jeune (garder licence)</v>
      </c>
      <c r="K482" s="210">
        <v>21</v>
      </c>
      <c r="L482" s="105" t="str">
        <f t="shared" si="186"/>
        <v>U7 Mixte</v>
      </c>
      <c r="M482" s="124" t="s">
        <v>4774</v>
      </c>
      <c r="N482" s="143">
        <v>45341</v>
      </c>
      <c r="O482" s="143">
        <v>45101</v>
      </c>
      <c r="P482" s="36">
        <v>2027</v>
      </c>
      <c r="Q482" s="143">
        <v>44077</v>
      </c>
      <c r="R482" s="144" t="s">
        <v>4566</v>
      </c>
      <c r="U482" s="145" t="s">
        <v>1530</v>
      </c>
      <c r="V482" s="146" t="s">
        <v>1531</v>
      </c>
    </row>
    <row r="483" spans="1:22" ht="15" customHeight="1" x14ac:dyDescent="0.15">
      <c r="A483" s="345" t="s">
        <v>5610</v>
      </c>
      <c r="B483" s="103" t="s">
        <v>2874</v>
      </c>
      <c r="C483" s="104" t="s">
        <v>2875</v>
      </c>
      <c r="D483" s="122" t="s">
        <v>1489</v>
      </c>
      <c r="E483" s="122" t="s">
        <v>2876</v>
      </c>
      <c r="F483" s="123" t="s">
        <v>2877</v>
      </c>
      <c r="G483" s="105" t="s">
        <v>982</v>
      </c>
      <c r="H483" s="124" t="s">
        <v>4376</v>
      </c>
      <c r="I483" s="36">
        <v>252</v>
      </c>
      <c r="J483" s="104" t="str">
        <f t="shared" si="185"/>
        <v>Arrêt jeune (garder licence)</v>
      </c>
      <c r="K483" s="210">
        <v>4</v>
      </c>
      <c r="L483" s="105" t="str">
        <f t="shared" si="186"/>
        <v>U 17 Hommes</v>
      </c>
      <c r="M483" s="124" t="s">
        <v>2883</v>
      </c>
      <c r="N483" s="143">
        <v>43749</v>
      </c>
      <c r="O483" s="143">
        <v>43748</v>
      </c>
      <c r="P483" s="36">
        <v>2022</v>
      </c>
      <c r="Q483" s="143">
        <v>40252</v>
      </c>
      <c r="R483" s="144" t="s">
        <v>2878</v>
      </c>
      <c r="T483" s="122" t="s">
        <v>2880</v>
      </c>
      <c r="U483" s="122" t="s">
        <v>2879</v>
      </c>
      <c r="V483" s="213" t="s">
        <v>2881</v>
      </c>
    </row>
    <row r="484" spans="1:22" ht="15.75" customHeight="1" x14ac:dyDescent="0.15">
      <c r="A484" s="345" t="s">
        <v>5610</v>
      </c>
      <c r="B484" s="103" t="s">
        <v>2895</v>
      </c>
      <c r="C484" s="104" t="s">
        <v>2896</v>
      </c>
      <c r="D484" s="122" t="s">
        <v>107</v>
      </c>
      <c r="E484" s="122" t="s">
        <v>2897</v>
      </c>
      <c r="F484" s="123" t="s">
        <v>2898</v>
      </c>
      <c r="G484" s="105" t="s">
        <v>241</v>
      </c>
      <c r="H484" s="124" t="s">
        <v>4376</v>
      </c>
      <c r="I484" s="36">
        <v>252</v>
      </c>
      <c r="J484" s="104" t="str">
        <f t="shared" si="185"/>
        <v>Arrêt jeune (garder licence)</v>
      </c>
      <c r="K484" s="210">
        <v>4</v>
      </c>
      <c r="L484" s="105" t="str">
        <f t="shared" si="186"/>
        <v>U 17 Hommes</v>
      </c>
      <c r="M484" s="124" t="s">
        <v>3115</v>
      </c>
      <c r="N484" s="143">
        <v>43780</v>
      </c>
      <c r="O484" s="143">
        <v>43763</v>
      </c>
      <c r="P484" s="36">
        <v>2022</v>
      </c>
      <c r="Q484" s="143">
        <v>40199</v>
      </c>
      <c r="R484" s="123" t="s">
        <v>3441</v>
      </c>
      <c r="T484" s="105" t="s">
        <v>2899</v>
      </c>
      <c r="U484" s="238" t="s">
        <v>2900</v>
      </c>
      <c r="V484" s="239" t="s">
        <v>2901</v>
      </c>
    </row>
    <row r="485" spans="1:22" ht="15" customHeight="1" x14ac:dyDescent="0.15">
      <c r="A485" s="345" t="s">
        <v>5610</v>
      </c>
      <c r="B485" s="601" t="s">
        <v>2837</v>
      </c>
      <c r="C485" s="602" t="s">
        <v>2167</v>
      </c>
      <c r="D485" s="618" t="s">
        <v>107</v>
      </c>
      <c r="E485" s="603" t="s">
        <v>2839</v>
      </c>
      <c r="F485" s="604" t="s">
        <v>2840</v>
      </c>
      <c r="G485" s="605" t="s">
        <v>500</v>
      </c>
      <c r="H485" s="797" t="s">
        <v>2825</v>
      </c>
      <c r="I485" s="798">
        <v>212</v>
      </c>
      <c r="J485" s="799" t="str">
        <f t="shared" si="185"/>
        <v>Contact famille</v>
      </c>
      <c r="K485" s="800">
        <v>212</v>
      </c>
      <c r="L485" s="105" t="str">
        <f t="shared" si="186"/>
        <v>Contact famille</v>
      </c>
      <c r="N485" s="676" t="s">
        <v>242</v>
      </c>
      <c r="O485" s="676" t="s">
        <v>242</v>
      </c>
      <c r="P485" s="591" t="s">
        <v>242</v>
      </c>
      <c r="Q485" s="805" t="s">
        <v>242</v>
      </c>
      <c r="R485" s="678" t="s">
        <v>244</v>
      </c>
      <c r="S485" s="588" t="s">
        <v>2842</v>
      </c>
      <c r="T485" s="588"/>
      <c r="U485" s="588" t="s">
        <v>2844</v>
      </c>
      <c r="V485" s="806" t="s">
        <v>2846</v>
      </c>
    </row>
    <row r="486" spans="1:22" ht="15" customHeight="1" x14ac:dyDescent="0.15">
      <c r="A486" s="345" t="s">
        <v>5610</v>
      </c>
      <c r="B486" s="601" t="s">
        <v>2837</v>
      </c>
      <c r="C486" s="602" t="s">
        <v>1029</v>
      </c>
      <c r="D486" s="618" t="s">
        <v>3257</v>
      </c>
      <c r="E486" s="603" t="s">
        <v>2839</v>
      </c>
      <c r="F486" s="604" t="s">
        <v>2840</v>
      </c>
      <c r="G486" s="605" t="s">
        <v>500</v>
      </c>
      <c r="H486" s="797" t="s">
        <v>2825</v>
      </c>
      <c r="I486" s="798">
        <v>12</v>
      </c>
      <c r="J486" s="799" t="str">
        <f t="shared" si="185"/>
        <v>Dames</v>
      </c>
      <c r="K486" s="800">
        <v>12</v>
      </c>
      <c r="L486" s="105" t="str">
        <f t="shared" si="186"/>
        <v>Dames</v>
      </c>
      <c r="M486" s="609" t="s">
        <v>2903</v>
      </c>
      <c r="N486" s="676">
        <v>43768</v>
      </c>
      <c r="O486" s="676">
        <v>43737</v>
      </c>
      <c r="P486" s="591">
        <v>2023</v>
      </c>
      <c r="Q486" s="677">
        <v>37686</v>
      </c>
      <c r="R486" s="678" t="s">
        <v>2841</v>
      </c>
      <c r="S486" s="588" t="s">
        <v>2842</v>
      </c>
      <c r="T486" s="588"/>
      <c r="U486" s="588" t="s">
        <v>2843</v>
      </c>
      <c r="V486" s="807"/>
    </row>
    <row r="487" spans="1:22" ht="15" customHeight="1" x14ac:dyDescent="0.15">
      <c r="A487" s="345" t="s">
        <v>5610</v>
      </c>
    </row>
    <row r="488" spans="1:22" ht="15" customHeight="1" x14ac:dyDescent="0.15">
      <c r="A488" s="345" t="s">
        <v>5610</v>
      </c>
    </row>
    <row r="489" spans="1:22" ht="15" customHeight="1" x14ac:dyDescent="0.15">
      <c r="A489" s="345" t="s">
        <v>5610</v>
      </c>
    </row>
  </sheetData>
  <autoFilter ref="A1:V438" xr:uid="{00000000-0009-0000-0000-000002000000}"/>
  <mergeCells count="2">
    <mergeCell ref="W360:W362"/>
    <mergeCell ref="W363:W364"/>
  </mergeCells>
  <phoneticPr fontId="13" type="noConversion"/>
  <hyperlinks>
    <hyperlink ref="V6" r:id="rId1" xr:uid="{00000000-0004-0000-0200-000000000000}"/>
    <hyperlink ref="V8" r:id="rId2" xr:uid="{00000000-0004-0000-0200-000001000000}"/>
    <hyperlink ref="V11" r:id="rId3" xr:uid="{00000000-0004-0000-0200-000002000000}"/>
    <hyperlink ref="V13" r:id="rId4" xr:uid="{00000000-0004-0000-0200-000003000000}"/>
    <hyperlink ref="V18" r:id="rId5" xr:uid="{00000000-0004-0000-0200-000004000000}"/>
    <hyperlink ref="V20" r:id="rId6" xr:uid="{00000000-0004-0000-0200-000005000000}"/>
    <hyperlink ref="V44" r:id="rId7" xr:uid="{00000000-0004-0000-0200-000006000000}"/>
    <hyperlink ref="V48" r:id="rId8" xr:uid="{00000000-0004-0000-0200-000007000000}"/>
    <hyperlink ref="V53" r:id="rId9" xr:uid="{00000000-0004-0000-0200-000008000000}"/>
    <hyperlink ref="V58" r:id="rId10" xr:uid="{00000000-0004-0000-0200-000009000000}"/>
    <hyperlink ref="V61" r:id="rId11" xr:uid="{00000000-0004-0000-0200-00000A000000}"/>
    <hyperlink ref="V66" r:id="rId12" xr:uid="{00000000-0004-0000-0200-00000B000000}"/>
    <hyperlink ref="V67" r:id="rId13" xr:uid="{00000000-0004-0000-0200-00000C000000}"/>
    <hyperlink ref="V72" r:id="rId14" xr:uid="{00000000-0004-0000-0200-00000D000000}"/>
    <hyperlink ref="V76" r:id="rId15" xr:uid="{00000000-0004-0000-0200-00000E000000}"/>
    <hyperlink ref="V84" r:id="rId16" xr:uid="{00000000-0004-0000-0200-00000F000000}"/>
    <hyperlink ref="V86" r:id="rId17" xr:uid="{00000000-0004-0000-0200-000010000000}"/>
    <hyperlink ref="V87" r:id="rId18" xr:uid="{00000000-0004-0000-0200-000011000000}"/>
    <hyperlink ref="V89" r:id="rId19" xr:uid="{00000000-0004-0000-0200-000012000000}"/>
    <hyperlink ref="V91" r:id="rId20" xr:uid="{00000000-0004-0000-0200-000013000000}"/>
    <hyperlink ref="V93" r:id="rId21" xr:uid="{00000000-0004-0000-0200-000014000000}"/>
    <hyperlink ref="V95" r:id="rId22" xr:uid="{00000000-0004-0000-0200-000015000000}"/>
    <hyperlink ref="V98" r:id="rId23" xr:uid="{00000000-0004-0000-0200-000016000000}"/>
    <hyperlink ref="V99" r:id="rId24" xr:uid="{00000000-0004-0000-0200-000017000000}"/>
    <hyperlink ref="V101" r:id="rId25" xr:uid="{00000000-0004-0000-0200-000018000000}"/>
    <hyperlink ref="V103" r:id="rId26" xr:uid="{00000000-0004-0000-0200-000019000000}"/>
    <hyperlink ref="V104" r:id="rId27" xr:uid="{00000000-0004-0000-0200-00001A000000}"/>
    <hyperlink ref="V105" r:id="rId28" xr:uid="{00000000-0004-0000-0200-00001B000000}"/>
    <hyperlink ref="V110" r:id="rId29" xr:uid="{00000000-0004-0000-0200-00001C000000}"/>
    <hyperlink ref="V114" r:id="rId30" xr:uid="{00000000-0004-0000-0200-00001D000000}"/>
    <hyperlink ref="V117" r:id="rId31" xr:uid="{00000000-0004-0000-0200-00001E000000}"/>
    <hyperlink ref="V118" r:id="rId32" xr:uid="{00000000-0004-0000-0200-00001F000000}"/>
    <hyperlink ref="V122" r:id="rId33" xr:uid="{00000000-0004-0000-0200-000020000000}"/>
    <hyperlink ref="V123" r:id="rId34" xr:uid="{00000000-0004-0000-0200-000021000000}"/>
    <hyperlink ref="V126" r:id="rId35" xr:uid="{00000000-0004-0000-0200-000022000000}"/>
    <hyperlink ref="V131" r:id="rId36" xr:uid="{00000000-0004-0000-0200-000023000000}"/>
    <hyperlink ref="V136" r:id="rId37" xr:uid="{00000000-0004-0000-0200-000024000000}"/>
    <hyperlink ref="V137" r:id="rId38" xr:uid="{00000000-0004-0000-0200-000025000000}"/>
    <hyperlink ref="V139" r:id="rId39" xr:uid="{00000000-0004-0000-0200-000026000000}"/>
    <hyperlink ref="V141" r:id="rId40" xr:uid="{00000000-0004-0000-0200-000027000000}"/>
    <hyperlink ref="V142" r:id="rId41" xr:uid="{00000000-0004-0000-0200-000028000000}"/>
    <hyperlink ref="V144" r:id="rId42" xr:uid="{00000000-0004-0000-0200-000029000000}"/>
    <hyperlink ref="V145" r:id="rId43" xr:uid="{00000000-0004-0000-0200-00002A000000}"/>
    <hyperlink ref="V147" r:id="rId44" xr:uid="{00000000-0004-0000-0200-00002B000000}"/>
    <hyperlink ref="V148" r:id="rId45" xr:uid="{00000000-0004-0000-0200-00002C000000}"/>
    <hyperlink ref="V149" r:id="rId46" xr:uid="{00000000-0004-0000-0200-00002D000000}"/>
    <hyperlink ref="V152" r:id="rId47" xr:uid="{00000000-0004-0000-0200-00002E000000}"/>
    <hyperlink ref="V157" r:id="rId48" xr:uid="{00000000-0004-0000-0200-00002F000000}"/>
    <hyperlink ref="V161" r:id="rId49" xr:uid="{00000000-0004-0000-0200-000030000000}"/>
    <hyperlink ref="V164" r:id="rId50" xr:uid="{00000000-0004-0000-0200-000031000000}"/>
    <hyperlink ref="V165" r:id="rId51" xr:uid="{00000000-0004-0000-0200-000032000000}"/>
    <hyperlink ref="V166" r:id="rId52" xr:uid="{00000000-0004-0000-0200-000033000000}"/>
    <hyperlink ref="V167" r:id="rId53" xr:uid="{00000000-0004-0000-0200-000034000000}"/>
    <hyperlink ref="V168" r:id="rId54" xr:uid="{00000000-0004-0000-0200-000035000000}"/>
    <hyperlink ref="V169" r:id="rId55" xr:uid="{00000000-0004-0000-0200-000036000000}"/>
    <hyperlink ref="V171" r:id="rId56" xr:uid="{00000000-0004-0000-0200-000037000000}"/>
    <hyperlink ref="V175" r:id="rId57" xr:uid="{00000000-0004-0000-0200-000038000000}"/>
    <hyperlink ref="V177" r:id="rId58" xr:uid="{00000000-0004-0000-0200-000039000000}"/>
    <hyperlink ref="V178" r:id="rId59" xr:uid="{00000000-0004-0000-0200-00003A000000}"/>
    <hyperlink ref="V179" r:id="rId60" xr:uid="{00000000-0004-0000-0200-00003B000000}"/>
    <hyperlink ref="V182" r:id="rId61" xr:uid="{00000000-0004-0000-0200-00003C000000}"/>
    <hyperlink ref="V183" r:id="rId62" xr:uid="{00000000-0004-0000-0200-00003D000000}"/>
    <hyperlink ref="V184" r:id="rId63" xr:uid="{00000000-0004-0000-0200-00003E000000}"/>
    <hyperlink ref="V185" r:id="rId64" xr:uid="{00000000-0004-0000-0200-00003F000000}"/>
    <hyperlink ref="V186" r:id="rId65" xr:uid="{00000000-0004-0000-0200-000040000000}"/>
    <hyperlink ref="V187" r:id="rId66" xr:uid="{00000000-0004-0000-0200-000041000000}"/>
    <hyperlink ref="V188" r:id="rId67" xr:uid="{00000000-0004-0000-0200-000042000000}"/>
    <hyperlink ref="V189" r:id="rId68" xr:uid="{00000000-0004-0000-0200-000043000000}"/>
    <hyperlink ref="V190" r:id="rId69" xr:uid="{00000000-0004-0000-0200-000044000000}"/>
    <hyperlink ref="V191" r:id="rId70" xr:uid="{00000000-0004-0000-0200-000045000000}"/>
    <hyperlink ref="V192" r:id="rId71" xr:uid="{00000000-0004-0000-0200-000046000000}"/>
    <hyperlink ref="V193" r:id="rId72" xr:uid="{00000000-0004-0000-0200-000047000000}"/>
    <hyperlink ref="V194" r:id="rId73" xr:uid="{00000000-0004-0000-0200-000048000000}"/>
    <hyperlink ref="V195" r:id="rId74" xr:uid="{00000000-0004-0000-0200-000049000000}"/>
    <hyperlink ref="V196" r:id="rId75" xr:uid="{00000000-0004-0000-0200-00004A000000}"/>
    <hyperlink ref="V197" r:id="rId76" xr:uid="{00000000-0004-0000-0200-00004B000000}"/>
    <hyperlink ref="V198" r:id="rId77" xr:uid="{00000000-0004-0000-0200-00004C000000}"/>
    <hyperlink ref="V199" r:id="rId78" xr:uid="{00000000-0004-0000-0200-00004D000000}"/>
    <hyperlink ref="V200" r:id="rId79" xr:uid="{00000000-0004-0000-0200-00004E000000}"/>
    <hyperlink ref="V201" r:id="rId80" xr:uid="{00000000-0004-0000-0200-00004F000000}"/>
    <hyperlink ref="V203" r:id="rId81" xr:uid="{00000000-0004-0000-0200-000050000000}"/>
    <hyperlink ref="V204" r:id="rId82" xr:uid="{00000000-0004-0000-0200-000051000000}"/>
    <hyperlink ref="V205" r:id="rId83" xr:uid="{00000000-0004-0000-0200-000052000000}"/>
    <hyperlink ref="V206" r:id="rId84" xr:uid="{00000000-0004-0000-0200-000053000000}"/>
    <hyperlink ref="V207" r:id="rId85" xr:uid="{00000000-0004-0000-0200-000054000000}"/>
    <hyperlink ref="V208" r:id="rId86" xr:uid="{00000000-0004-0000-0200-000055000000}"/>
    <hyperlink ref="V209" r:id="rId87" xr:uid="{00000000-0004-0000-0200-000056000000}"/>
    <hyperlink ref="V210" r:id="rId88" xr:uid="{00000000-0004-0000-0200-000057000000}"/>
    <hyperlink ref="V211" r:id="rId89" xr:uid="{00000000-0004-0000-0200-000058000000}"/>
    <hyperlink ref="V212" r:id="rId90" xr:uid="{00000000-0004-0000-0200-000059000000}"/>
    <hyperlink ref="V214" r:id="rId91" xr:uid="{00000000-0004-0000-0200-00005A000000}"/>
    <hyperlink ref="V216" r:id="rId92" xr:uid="{00000000-0004-0000-0200-00005B000000}"/>
    <hyperlink ref="V217" r:id="rId93" xr:uid="{00000000-0004-0000-0200-00005C000000}"/>
    <hyperlink ref="V218" r:id="rId94" xr:uid="{00000000-0004-0000-0200-00005D000000}"/>
    <hyperlink ref="V219" r:id="rId95" xr:uid="{00000000-0004-0000-0200-00005E000000}"/>
    <hyperlink ref="V220" r:id="rId96" xr:uid="{00000000-0004-0000-0200-00005F000000}"/>
    <hyperlink ref="V221" r:id="rId97" xr:uid="{00000000-0004-0000-0200-000060000000}"/>
    <hyperlink ref="V222" r:id="rId98" xr:uid="{00000000-0004-0000-0200-000061000000}"/>
    <hyperlink ref="V223" r:id="rId99" xr:uid="{00000000-0004-0000-0200-000062000000}"/>
    <hyperlink ref="V224" r:id="rId100" xr:uid="{00000000-0004-0000-0200-000063000000}"/>
    <hyperlink ref="V225" r:id="rId101" xr:uid="{00000000-0004-0000-0200-000064000000}"/>
    <hyperlink ref="V227" r:id="rId102" xr:uid="{00000000-0004-0000-0200-000066000000}"/>
    <hyperlink ref="V226" r:id="rId103" xr:uid="{00000000-0004-0000-0200-000065000000}"/>
    <hyperlink ref="V230" r:id="rId104" xr:uid="{9B433470-9843-4072-998C-B97173DA5D9D}"/>
    <hyperlink ref="V231" r:id="rId105" xr:uid="{3A3A9814-DDDE-4B84-8324-C7EADCCEFF8A}"/>
    <hyperlink ref="V232" r:id="rId106" xr:uid="{8B4B41CC-2939-47A5-8382-7EA366779089}"/>
    <hyperlink ref="V233" r:id="rId107" xr:uid="{12B03D77-9031-43D2-9E92-15FF7B2404D9}"/>
    <hyperlink ref="V234" r:id="rId108" xr:uid="{6A1DF62C-A381-4D64-BBCB-FA22D4375A19}"/>
    <hyperlink ref="V235" r:id="rId109" xr:uid="{C7E26070-7F48-4292-B988-8B824DC30D96}"/>
    <hyperlink ref="V238" r:id="rId110" xr:uid="{AC9080A0-736E-48AF-AA23-36053658F517}"/>
    <hyperlink ref="V239" r:id="rId111" xr:uid="{8ABD6D55-1A99-440E-900F-7396715A384C}"/>
    <hyperlink ref="V241" r:id="rId112" xr:uid="{2601D205-0216-486F-9CF7-87D34A4CE71C}"/>
    <hyperlink ref="V243" r:id="rId113" xr:uid="{A19FE298-518F-4532-BF2A-1928C6F1A6EA}"/>
    <hyperlink ref="V246" r:id="rId114" xr:uid="{979CD326-5989-48C7-AB41-4ED1461C9115}"/>
    <hyperlink ref="V248" r:id="rId115" xr:uid="{3E5AEABE-AC1C-4B99-8B6F-95CF07B3451C}"/>
    <hyperlink ref="V249" r:id="rId116" xr:uid="{B1386F38-8F23-479D-A6E8-7692C354D86B}"/>
    <hyperlink ref="V250" r:id="rId117" xr:uid="{2B143871-9C79-4782-BD7B-815B9CBB5132}"/>
    <hyperlink ref="V251" r:id="rId118" xr:uid="{BFEED9D4-6A9E-471D-9785-4623AB8011B0}"/>
    <hyperlink ref="V254" r:id="rId119" xr:uid="{D29135D7-5A1D-4555-8581-00B06070B169}"/>
    <hyperlink ref="V255" r:id="rId120" xr:uid="{DB253828-FB14-4B3A-A09F-B167F9560BCA}"/>
    <hyperlink ref="V256" r:id="rId121" xr:uid="{FD50F745-0BF4-491A-8393-F600138C8F6C}"/>
    <hyperlink ref="V258" r:id="rId122" xr:uid="{EFE80BF0-E908-48AC-8066-7AD52201CBF0}"/>
    <hyperlink ref="V259" r:id="rId123" xr:uid="{242E3518-E357-4881-B20E-90E45FC095CA}"/>
    <hyperlink ref="V260" r:id="rId124" xr:uid="{407E9457-6736-47F3-A537-C81593FF4B77}"/>
    <hyperlink ref="V263" r:id="rId125" xr:uid="{9EE94554-30E5-4CDC-87EE-AC3EE81637A8}"/>
    <hyperlink ref="V265" r:id="rId126" xr:uid="{7DA2A871-E305-4297-8ED4-D9CE2DEFA32A}"/>
    <hyperlink ref="V266" r:id="rId127" xr:uid="{230EDCE5-0210-4124-8DC1-491E54BA7DF2}"/>
    <hyperlink ref="V267" r:id="rId128" xr:uid="{58F64255-CE2E-41C5-82F6-315E3C01A4F5}"/>
    <hyperlink ref="V268" r:id="rId129" xr:uid="{9939A3FC-A680-4EE6-B77E-2F7E7A7C06DF}"/>
    <hyperlink ref="V269" r:id="rId130" xr:uid="{110C5A07-1FFB-400D-A97B-B59AA93E5D22}"/>
    <hyperlink ref="V270" r:id="rId131" xr:uid="{637F11A1-23B7-4DE1-8A20-7DCD0C949A59}"/>
    <hyperlink ref="V271" r:id="rId132" xr:uid="{49869C64-B09B-4876-9140-F33535DF4419}"/>
    <hyperlink ref="V272" r:id="rId133" xr:uid="{BA787EC2-D3CC-46D5-9C13-EC4781F6E621}"/>
    <hyperlink ref="V273" r:id="rId134" xr:uid="{22184475-C722-4D9D-8C37-4B71B3D3FF8C}"/>
    <hyperlink ref="V275" r:id="rId135" xr:uid="{56DEB965-D8BF-484E-8264-B8689060BEEE}"/>
    <hyperlink ref="V277" r:id="rId136" xr:uid="{F2A230A9-6790-42C6-886F-001AEA3CB6D2}"/>
    <hyperlink ref="V278" r:id="rId137" xr:uid="{FFED3F83-E7DD-4C29-8284-20584FEF7437}"/>
    <hyperlink ref="V279" r:id="rId138" xr:uid="{A9F24E18-E1CB-4838-8E46-DC5C67E586AB}"/>
    <hyperlink ref="V280" r:id="rId139" xr:uid="{2C3E673E-C6D0-405F-A28F-A1C2A24D76D0}"/>
    <hyperlink ref="V281" r:id="rId140" xr:uid="{C2748D93-42B3-4217-8FC2-319D5570F342}"/>
    <hyperlink ref="V282" r:id="rId141" xr:uid="{6806D89E-8597-46A2-AE38-98612EF7283E}"/>
    <hyperlink ref="V285" r:id="rId142" xr:uid="{6F03F560-06EC-4EB9-90D2-C4DA66AF3D60}"/>
    <hyperlink ref="V286" r:id="rId143" xr:uid="{DF460D48-463B-40FC-AB4D-21635DBCE89C}"/>
    <hyperlink ref="V289" r:id="rId144" xr:uid="{1D281612-CA9D-438C-B067-5D47C95A74E7}"/>
    <hyperlink ref="V290" r:id="rId145" xr:uid="{66AC71E9-BAE5-43B3-8E99-A59944C271C1}"/>
    <hyperlink ref="V292" r:id="rId146" xr:uid="{21304A5A-9077-402B-BE82-4EDAAA39BFBA}"/>
    <hyperlink ref="V293" r:id="rId147" xr:uid="{B7A6EC37-4F44-411E-8104-B1D5C9866E85}"/>
    <hyperlink ref="V294" r:id="rId148" xr:uid="{D599FFB8-CEAF-4A09-BC91-27DC6F7A901B}"/>
    <hyperlink ref="V295" r:id="rId149" xr:uid="{E5DA6CA8-8E73-4032-BAA3-6BD7BB747511}"/>
    <hyperlink ref="V296" r:id="rId150" xr:uid="{911C203B-2CE3-45E6-ADF0-BD0BC994238F}"/>
    <hyperlink ref="V297" r:id="rId151" xr:uid="{1270E54B-3ECB-46A6-BEE0-D14EFFC983F5}"/>
    <hyperlink ref="V298" r:id="rId152" xr:uid="{98747CC3-01A4-49D6-B58B-8F71A99124A5}"/>
    <hyperlink ref="V300" r:id="rId153" xr:uid="{531BBCA4-53FA-462D-BF24-D672B0F6B6C9}"/>
    <hyperlink ref="V302" r:id="rId154" xr:uid="{7102AB45-0287-4DD9-84A3-F6DF1F47BB43}"/>
    <hyperlink ref="V303" r:id="rId155" xr:uid="{7A636A19-A61A-494A-822A-9EE21EB823CB}"/>
    <hyperlink ref="V304" r:id="rId156" xr:uid="{001A30F4-05B0-4877-BABB-7C35AA19A092}"/>
    <hyperlink ref="V305" r:id="rId157" xr:uid="{09258166-B0F3-45EB-8F99-48840EC48509}"/>
    <hyperlink ref="V306" r:id="rId158" xr:uid="{9607AAB4-DCA5-441C-BC4F-5FB129E1A21B}"/>
    <hyperlink ref="V307" r:id="rId159" xr:uid="{9E9F46CB-3D06-4F04-8254-A5EDFD38A0DD}"/>
    <hyperlink ref="V308" r:id="rId160" xr:uid="{40E14C60-AF36-411B-8992-156F0EC20ADF}"/>
    <hyperlink ref="V309" r:id="rId161" xr:uid="{F484F66F-6A0A-462B-9B59-1C7E9E71FA15}"/>
    <hyperlink ref="V310" r:id="rId162" xr:uid="{6DF89C7E-4AC7-45CA-B6E7-DB5C6EBB855A}"/>
    <hyperlink ref="V311" r:id="rId163" xr:uid="{44F13C5A-9DC5-494A-8412-D284D2B5B62A}"/>
    <hyperlink ref="V312" r:id="rId164" xr:uid="{4DC77A50-D0AB-415F-9F14-B27D3134E28D}"/>
    <hyperlink ref="V313" r:id="rId165" xr:uid="{86A1F980-EB41-4A5A-A626-184315587876}"/>
    <hyperlink ref="V315" r:id="rId166" xr:uid="{0BCD9487-6897-4065-8400-0E5327151C9B}"/>
    <hyperlink ref="V316" r:id="rId167" xr:uid="{56237569-EBFB-4838-9D52-9AF6FC8DACE5}"/>
    <hyperlink ref="V317" r:id="rId168" display="jilleydt@pt.lu" xr:uid="{7EAAB25B-EA8A-47B0-BE2D-35C102494927}"/>
    <hyperlink ref="V318" r:id="rId169" xr:uid="{ED0DE1E5-12C5-4487-B961-E5E811ED0629}"/>
    <hyperlink ref="V319" r:id="rId170" display="benbisenius@gmail.com" xr:uid="{6FE54935-90DF-4655-9679-1FCC9FEFE222}"/>
    <hyperlink ref="V320" r:id="rId171" xr:uid="{910652D8-EC81-45BB-9857-B13B3C40EB7C}"/>
    <hyperlink ref="V321" r:id="rId172" xr:uid="{CE2AD955-F309-4D23-8BB4-1801E2F707D2}"/>
    <hyperlink ref="V322" r:id="rId173" xr:uid="{755EF354-2BD4-495D-842D-ACF31F40540D}"/>
    <hyperlink ref="V324" r:id="rId174" xr:uid="{AEA62B41-56CB-4955-A72F-1C84B6EA4942}"/>
    <hyperlink ref="V325" r:id="rId175" xr:uid="{F1F81A20-BE58-4B3B-9744-481BC0CA8946}"/>
    <hyperlink ref="V326" r:id="rId176" xr:uid="{DF0789ED-3855-4134-B3B0-9759420CAAFD}"/>
    <hyperlink ref="V327" r:id="rId177" xr:uid="{A16558CB-3487-4BDE-A561-296429F1F8E0}"/>
    <hyperlink ref="V328" r:id="rId178" xr:uid="{34413174-158E-4F6C-8ED6-6E0C0D73EB78}"/>
    <hyperlink ref="V329" r:id="rId179" xr:uid="{B2101E3C-7E0B-49AA-8DE8-A96BE3D2A7AE}"/>
    <hyperlink ref="V330" r:id="rId180" xr:uid="{72705019-8C5A-45D3-B0EA-1BEAD9BC6A87}"/>
    <hyperlink ref="V331" r:id="rId181" display="ewokomopibo@gmail.com" xr:uid="{0B683709-2060-4EF6-8234-E6541498E150}"/>
    <hyperlink ref="V332" r:id="rId182" xr:uid="{38E04BAD-962A-4242-AEB4-590EE68E18D0}"/>
    <hyperlink ref="V333" r:id="rId183" xr:uid="{9B8B9E8D-7306-4926-9ACC-FB3A3099C079}"/>
    <hyperlink ref="V334" r:id="rId184" xr:uid="{43AC985E-BF46-4872-8C53-12C0CF45ED00}"/>
    <hyperlink ref="V335" r:id="rId185" xr:uid="{CB606A85-5C07-458F-8262-67BA4C447D07}"/>
    <hyperlink ref="V336" r:id="rId186" xr:uid="{FB65511F-2502-468E-8932-7F73031E4809}"/>
    <hyperlink ref="V338" r:id="rId187" xr:uid="{632AAFC6-E8AD-407D-9DB2-D8453B7A72C4}"/>
    <hyperlink ref="V337" r:id="rId188" xr:uid="{EEB6887F-57A9-4691-9EB5-A92B803A89EC}"/>
    <hyperlink ref="V340" r:id="rId189" xr:uid="{D3F9497A-D732-4279-867F-904D595AE607}"/>
    <hyperlink ref="V339" r:id="rId190" xr:uid="{BD5CD437-E0BE-426A-A565-B7B5EC4C93B3}"/>
    <hyperlink ref="V342" r:id="rId191" xr:uid="{FB229B81-4DF6-4D3D-B4C7-3F5F244B3F53}"/>
    <hyperlink ref="V343" r:id="rId192" xr:uid="{7B0C1DD5-04C4-4B3A-8B4F-20F8DA71BFD7}"/>
    <hyperlink ref="V344" r:id="rId193" xr:uid="{D240E395-7606-4BD3-ACAC-52BF9F559955}"/>
    <hyperlink ref="V345" r:id="rId194" xr:uid="{3AD11E4B-6D09-434B-9B08-529985BA39BE}"/>
    <hyperlink ref="V346" r:id="rId195" xr:uid="{AB05085E-C807-4701-A6B1-1C450B1B604A}"/>
    <hyperlink ref="V347" r:id="rId196" xr:uid="{E7095B6A-607B-4BED-97BF-20AB113545B0}"/>
    <hyperlink ref="V348" r:id="rId197" xr:uid="{0A0E658E-0955-43A0-9D93-5E92241A8E39}"/>
    <hyperlink ref="V349" r:id="rId198" xr:uid="{3AE9F44A-7214-48EE-B4BF-4BDA91D7A6C5}"/>
    <hyperlink ref="V350" r:id="rId199" xr:uid="{9B8399F6-03CF-4E03-A92B-25BBA563B7BE}"/>
    <hyperlink ref="V351" r:id="rId200" xr:uid="{3C14DFD3-3ECA-46D6-B405-DE816B9D056A}"/>
    <hyperlink ref="V352" r:id="rId201" xr:uid="{0C3D804A-C221-4FB6-9BE8-1356F65BE264}"/>
    <hyperlink ref="V353" r:id="rId202" xr:uid="{01D54C75-40E3-470C-A087-A9591027C65E}"/>
    <hyperlink ref="V354" r:id="rId203" xr:uid="{352C8D80-D8E3-400F-BC16-3285592AAF6D}"/>
    <hyperlink ref="V356" r:id="rId204" xr:uid="{139F294F-8F98-4B38-8A08-876C80817FAC}"/>
    <hyperlink ref="V357" r:id="rId205" xr:uid="{A9ECA8BA-D631-4467-B245-9E1BAF1B7F99}"/>
    <hyperlink ref="V358" r:id="rId206" xr:uid="{AB6479BF-0711-4E4A-822F-5B0A92746E9C}"/>
    <hyperlink ref="V359" r:id="rId207" xr:uid="{A3AC8826-7D0A-4688-8767-ED2198B64C3F}"/>
    <hyperlink ref="V361" r:id="rId208" xr:uid="{07FECA8D-A45A-4DA8-B63C-8CA9BC7C5703}"/>
    <hyperlink ref="V362" r:id="rId209" xr:uid="{30F9A93E-B5A5-473B-B881-B4B4820AF1CD}"/>
    <hyperlink ref="V360" r:id="rId210" xr:uid="{AE21BC8A-2C54-475B-87FA-4C4394382F0A}"/>
    <hyperlink ref="V365" r:id="rId211" xr:uid="{C8C62F55-A5BB-4582-A7B9-7D9A8776626D}"/>
    <hyperlink ref="V366" r:id="rId212" xr:uid="{86C48C20-0A54-4E39-BF5A-2DDB821CD75C}"/>
    <hyperlink ref="V367" r:id="rId213" xr:uid="{3514883E-0D2F-4D85-907D-1EAD3B92EB36}"/>
    <hyperlink ref="V368" r:id="rId214" xr:uid="{9EAC3433-8817-453F-A49B-97F97E2F794C}"/>
    <hyperlink ref="V369" r:id="rId215" xr:uid="{5037F4C6-1A79-4E9B-9CE1-D99A7C3749F9}"/>
    <hyperlink ref="V370" r:id="rId216" xr:uid="{154A2CF3-6DC4-4E4A-922F-6D01A5B1B59C}"/>
    <hyperlink ref="V371" r:id="rId217" display="veigacindy@gmail.com" xr:uid="{92C1D76B-AA53-49BE-8265-502967454631}"/>
    <hyperlink ref="V373" r:id="rId218" xr:uid="{68B13495-9F9D-4A89-A59D-8437419FD5BC}"/>
    <hyperlink ref="V374" r:id="rId219" xr:uid="{5F501FB5-F38F-49F9-8039-1D1EDE1B0519}"/>
    <hyperlink ref="V375" r:id="rId220" xr:uid="{B38B20C2-1341-4300-9B9C-5B7243F47C90}"/>
    <hyperlink ref="V376" r:id="rId221" xr:uid="{EF02B12A-F664-4427-B96E-7DDE1EAA01D5}"/>
    <hyperlink ref="V377" r:id="rId222" xr:uid="{F3B0BBEE-A160-40B7-9DB9-3676B5CE4BC8}"/>
    <hyperlink ref="V378" r:id="rId223" xr:uid="{EF1C9EB4-C010-48D2-8903-C8F1E929E9CC}"/>
    <hyperlink ref="V382" r:id="rId224" xr:uid="{9E846009-0BC0-44C3-8FCF-6C5E669C1AC6}"/>
    <hyperlink ref="V379" r:id="rId225" xr:uid="{BC6092C6-DDB7-4647-9753-46AB0173CD63}"/>
    <hyperlink ref="V384" r:id="rId226" xr:uid="{43834800-2C02-4D32-8BF6-73B252C39233}"/>
    <hyperlink ref="V385" r:id="rId227" xr:uid="{57AB660D-6D59-4BD0-B5DB-D88BDF0D5393}"/>
    <hyperlink ref="V386" r:id="rId228" xr:uid="{8864D18E-A69D-4D5F-BA8C-AA5B919BD7AF}"/>
    <hyperlink ref="V387" r:id="rId229" xr:uid="{CADE2356-806C-4794-B5E0-BB418D8146F7}"/>
    <hyperlink ref="V390" r:id="rId230" xr:uid="{58CC5326-33E6-43FA-87C0-50040C442A8B}"/>
    <hyperlink ref="V391" r:id="rId231" display="jetti.rossy@education.lu" xr:uid="{AAE5B887-24A7-4535-BD37-B96ACFB64F87}"/>
    <hyperlink ref="V392" r:id="rId232" display="nopatz@hotmail.com" xr:uid="{7DABF596-1E2E-4BE7-9FB5-CF01E6A3B4FD}"/>
    <hyperlink ref="V393" r:id="rId233" display="veigacindy@gmail.com" xr:uid="{C0A99778-3C38-4E40-B0AB-0D620075C419}"/>
    <hyperlink ref="V394" r:id="rId234" xr:uid="{F7D1D7E3-93D6-4EA2-B221-2E0C3B0FACA3}"/>
    <hyperlink ref="V395" r:id="rId235" xr:uid="{7501CCF6-4790-4B67-A382-19C429E4CD9B}"/>
    <hyperlink ref="V396" r:id="rId236" xr:uid="{DA619904-352D-4A6D-A4E0-84E3B0435712}"/>
    <hyperlink ref="V397" r:id="rId237" xr:uid="{4B1D7FFA-D62B-4EC6-8E43-F20517F34F01}"/>
    <hyperlink ref="V398" r:id="rId238" xr:uid="{2F0F2951-BEDE-4700-94A4-42C54F33481A}"/>
    <hyperlink ref="V399" r:id="rId239" xr:uid="{8FCFF8B9-4CFC-4BDB-9676-0387BE3D33BE}"/>
    <hyperlink ref="V400" r:id="rId240" xr:uid="{0A353EE5-AABA-403C-A583-2432A852C0CE}"/>
    <hyperlink ref="V401" r:id="rId241" xr:uid="{2CEA82D7-9CCF-4AC9-9510-5B3EC3DED003}"/>
    <hyperlink ref="V402" r:id="rId242" xr:uid="{C1CFF4A4-5B23-4233-9028-3C4A2F5F3C94}"/>
    <hyperlink ref="V403" r:id="rId243" xr:uid="{3F49D2BD-5BA1-4491-9453-E9162C524811}"/>
    <hyperlink ref="V404" r:id="rId244" xr:uid="{C0389F4D-0428-45D6-A0CE-95AC74F81643}"/>
    <hyperlink ref="V405" r:id="rId245" xr:uid="{E1DBCFE1-A413-4089-AE13-1DBBBB68D51E}"/>
    <hyperlink ref="V406" r:id="rId246" xr:uid="{AE5E5B43-53EE-4737-8D4F-48997980B98B}"/>
    <hyperlink ref="V407" r:id="rId247" xr:uid="{AE423974-ACAE-420F-8BCA-D6AF774BB5D9}"/>
    <hyperlink ref="V409" r:id="rId248" xr:uid="{6A0536FB-7AB5-4342-8F02-DC76C883BC90}"/>
    <hyperlink ref="V410" r:id="rId249" xr:uid="{C5F76849-F281-47D2-B6F7-9905D93F3E0A}"/>
    <hyperlink ref="V411" r:id="rId250" xr:uid="{7D4A8F08-4772-43E5-B573-E46D56C3B4A6}"/>
    <hyperlink ref="V412" r:id="rId251" xr:uid="{AE75DD00-AE8E-43AB-B071-25AF448E55B9}"/>
    <hyperlink ref="V414" r:id="rId252" xr:uid="{1A4AEC9F-4C9D-4416-91F8-645FE4474660}"/>
    <hyperlink ref="V415" r:id="rId253" xr:uid="{A14CA294-1FB8-4124-9333-975F3E99A4AA}"/>
    <hyperlink ref="V416" r:id="rId254" xr:uid="{768071C2-C515-4FE9-9DB9-FA4D645CEEF8}"/>
    <hyperlink ref="V417" r:id="rId255" xr:uid="{B325BF96-0584-441A-AF8A-EA03F4EFA406}"/>
    <hyperlink ref="V418" r:id="rId256" xr:uid="{0E956695-8408-488F-83E8-2907523362C2}"/>
    <hyperlink ref="V419" r:id="rId257" xr:uid="{9F367DF8-0924-4A9D-93DA-6EA1C5C807D7}"/>
    <hyperlink ref="V420" r:id="rId258" xr:uid="{97A24FFE-E89F-499F-ACB5-59878D1C08F9}"/>
    <hyperlink ref="V421" r:id="rId259" xr:uid="{4C1059FC-830E-4C99-8C77-FE442F41C649}"/>
    <hyperlink ref="V422" r:id="rId260" xr:uid="{519864B5-D375-4AFF-A288-EA8D792D416C}"/>
    <hyperlink ref="V423" r:id="rId261" xr:uid="{419151B0-C9B5-4F1F-8646-6404C0B70319}"/>
    <hyperlink ref="V424" r:id="rId262" xr:uid="{C0BC68F3-C6E4-40B3-96C4-10A680EABABF}"/>
    <hyperlink ref="V426" r:id="rId263" xr:uid="{126221EF-CE44-437E-9DA0-FA231050F445}"/>
    <hyperlink ref="V427" r:id="rId264" xr:uid="{6699E8FF-22B8-44AD-89DB-4C3A9108459E}"/>
    <hyperlink ref="V428" r:id="rId265" xr:uid="{D4295E6B-B698-43DC-8C78-F487AA30ABF8}"/>
    <hyperlink ref="V429" r:id="rId266" xr:uid="{4E6E9926-3245-4B18-B2BB-89B2478344D7}"/>
    <hyperlink ref="V430" r:id="rId267" xr:uid="{68F482D4-982D-450A-8F18-944C3A613E64}"/>
    <hyperlink ref="V431" r:id="rId268" xr:uid="{2C80F7C8-7423-46F0-A64D-75EC87D50900}"/>
    <hyperlink ref="V432" r:id="rId269" xr:uid="{43F5AF5A-8D58-404B-B872-2C27CC225555}"/>
    <hyperlink ref="V433" r:id="rId270" xr:uid="{E5FD1770-04CA-499B-A7CB-0AF5BFDD188B}"/>
    <hyperlink ref="V435" r:id="rId271" xr:uid="{0DCF09C3-06B8-4005-BF26-6AE3F9174830}"/>
    <hyperlink ref="V436" r:id="rId272" xr:uid="{8CA83C4D-52B3-479F-800B-0E7747F37F9F}"/>
    <hyperlink ref="V437" r:id="rId273" xr:uid="{3FCB389D-BFCF-467F-B3E6-7048766A54E8}"/>
    <hyperlink ref="V438" r:id="rId274" xr:uid="{B0A04F14-D907-43B4-BDAE-7258CC535232}"/>
    <hyperlink ref="V439" r:id="rId275" xr:uid="{8C00431A-34E9-4C1C-8B45-CDCA464A7417}"/>
    <hyperlink ref="V440" r:id="rId276" xr:uid="{0ED3DB04-AA8D-48A3-8A8D-B4191C83D0A9}"/>
    <hyperlink ref="V441" r:id="rId277" xr:uid="{B5D6226D-D691-4C4E-9DDF-6976473309FB}"/>
    <hyperlink ref="V442" r:id="rId278" xr:uid="{B74BF876-BFC5-439F-9C0C-7D3A52AA513B}"/>
    <hyperlink ref="V443" r:id="rId279" xr:uid="{675154FC-2B85-4C6C-9437-77A7B13638C9}"/>
    <hyperlink ref="V444" r:id="rId280" xr:uid="{035DDA4C-785A-420D-898E-AA1D637CB985}"/>
    <hyperlink ref="V445" r:id="rId281" xr:uid="{C7EE3E11-BBFA-4D09-98F5-FD0B5C5862B3}"/>
    <hyperlink ref="V446" r:id="rId282" xr:uid="{74011B59-0EAA-4CC0-A44A-1557B5F31D59}"/>
    <hyperlink ref="V447" r:id="rId283" xr:uid="{627C8F7F-AC9D-4C8C-A5A1-8DCDA2B4F96F}"/>
    <hyperlink ref="V448" r:id="rId284" xr:uid="{65A1F412-74C0-4438-852B-A9B9B3899791}"/>
    <hyperlink ref="V449" r:id="rId285" xr:uid="{20A291A3-2DE1-4861-90DF-BBAF5D86CA63}"/>
    <hyperlink ref="V450" r:id="rId286" xr:uid="{58FBF44C-DE9F-4740-8D01-9B10BC6C0E5D}"/>
    <hyperlink ref="V452" r:id="rId287" xr:uid="{A7C516E9-2324-4DFD-97DA-1F9472AE720E}"/>
    <hyperlink ref="V453" r:id="rId288" xr:uid="{14E53836-CBA9-4D01-908C-FD0878C51C01}"/>
    <hyperlink ref="V454" r:id="rId289" xr:uid="{A322B752-C0FF-4766-8BAF-CD19E0924950}"/>
    <hyperlink ref="V455" r:id="rId290" xr:uid="{4EC27F92-A07C-4326-8F0F-8D77FA3B3944}"/>
    <hyperlink ref="V456" r:id="rId291" xr:uid="{6F8FB711-1B51-40CF-B1B1-47DD2B758294}"/>
    <hyperlink ref="V457" r:id="rId292" xr:uid="{3C69C09C-6ACA-4CF2-BAA7-BDE4A4D2CCCC}"/>
    <hyperlink ref="V459" r:id="rId293" xr:uid="{991EAB92-6925-4BE7-A93C-060566F0916F}"/>
    <hyperlink ref="V460" r:id="rId294" xr:uid="{D4AE9D47-93D8-49DD-A665-A389B28F2B0B}"/>
    <hyperlink ref="V461" r:id="rId295" xr:uid="{95CBD8A1-EE34-47A3-8874-14CA64DA85F8}"/>
    <hyperlink ref="V463" r:id="rId296" xr:uid="{0287D197-4809-4028-8314-DC4EF32201C2}"/>
    <hyperlink ref="V464" r:id="rId297" xr:uid="{D44B7BD3-BE11-4CEB-BC84-F4ABFF33538B}"/>
    <hyperlink ref="V466" r:id="rId298" xr:uid="{2791B58D-5F2D-4165-9DC4-87B0AC92208D}"/>
    <hyperlink ref="V467" r:id="rId299" xr:uid="{FB709ABC-DF5A-4A55-B7CB-3A74E8669351}"/>
    <hyperlink ref="V468" r:id="rId300" xr:uid="{15724211-F7DD-410D-9F83-F6948B90623B}"/>
    <hyperlink ref="V469" r:id="rId301" xr:uid="{DF198EC2-AE3F-4DA0-B4DD-FC779E555E2A}"/>
    <hyperlink ref="V470" r:id="rId302" xr:uid="{509B9D54-CAC2-4D61-BDBC-6C8F9544F649}"/>
    <hyperlink ref="V471" r:id="rId303" xr:uid="{B9C68709-6C99-4951-8E30-7B54BBFDB752}"/>
    <hyperlink ref="V473" r:id="rId304" xr:uid="{CA3B6754-A9DF-4582-94FB-D79A4160EB3C}"/>
    <hyperlink ref="V474" r:id="rId305" display="domingogomartinez@gmail.com" xr:uid="{1908A0EF-DF0D-4EE8-B353-D08452E7FDA0}"/>
    <hyperlink ref="V476" r:id="rId306" display="begicbelma@hotmail.com" xr:uid="{6262ABFA-E041-4CE4-A478-02F1F3BAE0A5}"/>
    <hyperlink ref="V479" r:id="rId307" display="steenfamily1@outlook.com" xr:uid="{AD8F6001-C9F9-4058-87BA-E5C1372021A1}"/>
    <hyperlink ref="V480" r:id="rId308" xr:uid="{8D0CC521-D970-4F61-8214-F6F806C1AB69}"/>
    <hyperlink ref="V481" r:id="rId309" xr:uid="{02ED8A42-C2E9-4D7D-8E02-70FC7AB424AF}"/>
    <hyperlink ref="V482" r:id="rId310" xr:uid="{3F38D8FA-0CD5-4296-A058-5B5DD1D759D2}"/>
    <hyperlink ref="V483" r:id="rId311" xr:uid="{712CE1A4-A5B4-42CC-8EFD-2C6F5B2CCEC4}"/>
    <hyperlink ref="V484" r:id="rId312" xr:uid="{206CE90B-7666-4395-B4A9-E7132D5E8C86}"/>
    <hyperlink ref="V485" r:id="rId313" xr:uid="{7437120D-8DAF-4A7E-885B-C3CDD26849CA}"/>
  </hyperlinks>
  <pageMargins left="0" right="0" top="0.78740157480314965" bottom="0.78740157480314965" header="0" footer="0"/>
  <pageSetup paperSize="9" scale="75" orientation="landscape" r:id="rId314"/>
  <legacyDrawing r:id="rId31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4.5" defaultRowHeight="15" customHeight="1" x14ac:dyDescent="0.15"/>
  <cols>
    <col min="1" max="26" width="11.5" customWidth="1"/>
  </cols>
  <sheetData/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20</vt:i4>
      </vt:variant>
    </vt:vector>
  </HeadingPairs>
  <TitlesOfParts>
    <vt:vector size="26" baseType="lpstr">
      <vt:lpstr> Membres 2026 -2027</vt:lpstr>
      <vt:lpstr>Médico 2026</vt:lpstr>
      <vt:lpstr>TABLES</vt:lpstr>
      <vt:lpstr>Donateurs-Benevoles-Sponsors</vt:lpstr>
      <vt:lpstr>Annulés </vt:lpstr>
      <vt:lpstr>ANNULé</vt:lpstr>
      <vt:lpstr>CAT</vt:lpstr>
      <vt:lpstr>CAT_JOUEUR</vt:lpstr>
      <vt:lpstr>' Membres 2026 -2027'!Z_243A2D66_1EE2_4BD0_AC78_A12DB67B0F32_.wvu.PrintArea</vt:lpstr>
      <vt:lpstr>'Donateurs-Benevoles-Sponsors'!Z_243A2D66_1EE2_4BD0_AC78_A12DB67B0F32_.wvu.PrintArea</vt:lpstr>
      <vt:lpstr>'Médico 2026'!Z_243A2D66_1EE2_4BD0_AC78_A12DB67B0F32_.wvu.PrintArea</vt:lpstr>
      <vt:lpstr>' Membres 2026 -2027'!Z_50463E73_06BB_425A_826A_D8C115AC8DE1_.wvu.PrintArea</vt:lpstr>
      <vt:lpstr>'Donateurs-Benevoles-Sponsors'!Z_50463E73_06BB_425A_826A_D8C115AC8DE1_.wvu.PrintArea</vt:lpstr>
      <vt:lpstr>'Médico 2026'!Z_50463E73_06BB_425A_826A_D8C115AC8DE1_.wvu.PrintArea</vt:lpstr>
      <vt:lpstr>' Membres 2026 -2027'!Z_7ED0D532_AB01_4B5B_B792_F1D681C634D4_.wvu.PrintArea</vt:lpstr>
      <vt:lpstr>'Donateurs-Benevoles-Sponsors'!Z_7ED0D532_AB01_4B5B_B792_F1D681C634D4_.wvu.PrintArea</vt:lpstr>
      <vt:lpstr>'Médico 2026'!Z_7ED0D532_AB01_4B5B_B792_F1D681C634D4_.wvu.PrintArea</vt:lpstr>
      <vt:lpstr>' Membres 2026 -2027'!Z_A330C943_2282_6741_AC59_F66715D3AB2F_.wvu.PrintArea</vt:lpstr>
      <vt:lpstr>'Donateurs-Benevoles-Sponsors'!Z_A330C943_2282_6741_AC59_F66715D3AB2F_.wvu.PrintArea</vt:lpstr>
      <vt:lpstr>'Médico 2026'!Z_A330C943_2282_6741_AC59_F66715D3AB2F_.wvu.PrintArea</vt:lpstr>
      <vt:lpstr>' Membres 2026 -2027'!Z_A62E59E8_AA88_4548_90FF_37D3E1DB2512_.wvu.PrintArea</vt:lpstr>
      <vt:lpstr>'Donateurs-Benevoles-Sponsors'!Z_A62E59E8_AA88_4548_90FF_37D3E1DB2512_.wvu.PrintArea</vt:lpstr>
      <vt:lpstr>'Médico 2026'!Z_A62E59E8_AA88_4548_90FF_37D3E1DB2512_.wvu.PrintArea</vt:lpstr>
      <vt:lpstr>' Membres 2026 -2027'!Z_D79DF7E4_7CDF_4EE5_9DA3_76624A56F291_.wvu.PrintArea</vt:lpstr>
      <vt:lpstr>'Donateurs-Benevoles-Sponsors'!Z_D79DF7E4_7CDF_4EE5_9DA3_76624A56F291_.wvu.PrintArea</vt:lpstr>
      <vt:lpstr>'Médico 2026'!Z_D79DF7E4_7CDF_4EE5_9DA3_76624A56F291_.wvu.PrintArea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Gino</dc:creator>
  <cp:lastModifiedBy>Adrien Deischter</cp:lastModifiedBy>
  <cp:lastPrinted>2026-07-01T08:12:09Z</cp:lastPrinted>
  <dcterms:created xsi:type="dcterms:W3CDTF">2012-09-29T16:47:19Z</dcterms:created>
  <dcterms:modified xsi:type="dcterms:W3CDTF">2026-07-21T05:44:59Z</dcterms:modified>
</cp:coreProperties>
</file>